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46265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46265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46265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46265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46265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46265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46265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46265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46265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46265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46265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46265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46265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46265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46265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46265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46265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31749-2024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45509</v>
      </c>
      <c r="E19" s="1" t="n">
        <v>46265</v>
      </c>
      <c r="F19" t="inlineStr">
        <is>
          <t>DALARNAS LÄN</t>
        </is>
      </c>
      <c r="G19" t="inlineStr">
        <is>
          <t>LUDVIKA</t>
        </is>
      </c>
      <c r="I19" t="n">
        <v>6.7</v>
      </c>
      <c r="J19" t="n">
        <v>1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8</v>
      </c>
      <c r="T19" t="n">
        <v>17</v>
      </c>
      <c r="U19" t="n">
        <v>17</v>
      </c>
      <c r="V19" s="2" t="inlineStr">
        <is>
          <t>Rynkskinn
Vårärt
Sotriska
Svart trolldruva
Svavelriska
Tibast
Underviol
Blåsippa</t>
        </is>
      </c>
      <c r="W19">
        <f>HYPERLINK("https://klasma.github.io/Logging_2085/artfynd/A 31749-2024 artfynd.xlsx", "A 31749-2024")</f>
        <v/>
      </c>
      <c r="X19">
        <f>HYPERLINK("https://klasma.github.io/Logging_2085/kartor/A 31749-2024 karta.png", "A 31749-2024")</f>
        <v/>
      </c>
      <c r="Y19">
        <f>HYPERLINK("https://klasma.github.io/Logging_2085/kartor_geotiff/A 31749-2024 georefererad karta.tif", "A 31749-2024")</f>
        <v/>
      </c>
      <c r="AA19">
        <f>HYPERLINK("https://klasma.github.io/Logging_2085/klagomål/A 31749-2024 FSC-klagomål.docx", "A 31749-2024")</f>
        <v/>
      </c>
      <c r="AB19">
        <f>HYPERLINK("https://klasma.github.io/Logging_2085/klagomålsmail/A 31749-2024 FSC-klagomål mail.docx", "A 31749-2024")</f>
        <v/>
      </c>
      <c r="AC19">
        <f>HYPERLINK("https://klasma.github.io/Logging_2085/tillsyn/A 31749-2024 tillsynsbegäran.docx", "A 31749-2024")</f>
        <v/>
      </c>
      <c r="AD19">
        <f>HYPERLINK("https://klasma.github.io/Logging_2085/tillsynsmail/A 31749-2024 tillsynsbegäran mail.docx", "A 31749-2024")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46265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46265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46265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45597</v>
      </c>
      <c r="E23" s="1" t="n">
        <v>46265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20.9</v>
      </c>
      <c r="J23" t="n">
        <v>3</v>
      </c>
      <c r="K23" t="n">
        <v>0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8</v>
      </c>
      <c r="T23" t="n">
        <v>28</v>
      </c>
      <c r="U23" t="n">
        <v>17</v>
      </c>
      <c r="V23" s="2" t="inlineStr">
        <is>
          <t>Garnlav
Mörk kådsvartspik
Dropptaggsvamp
Gammelgransskål
Stjärntagging
Tretåig hackspett
Järpe
Spillkråka</t>
        </is>
      </c>
      <c r="W23">
        <f>HYPERLINK("https://klasma.github.io/Logging_2085/artfynd/A 49783-2024 artfynd.xlsx", "A 49783-2024")</f>
        <v/>
      </c>
      <c r="X23">
        <f>HYPERLINK("https://klasma.github.io/Logging_2085/kartor/A 49783-2024 karta.png", "A 49783-2024")</f>
        <v/>
      </c>
      <c r="Y23">
        <f>HYPERLINK("https://klasma.github.io/Logging_2085/kartor_geotiff/A 49783-2024 georefererad karta.tif", "A 49783-2024")</f>
        <v/>
      </c>
      <c r="AA23">
        <f>HYPERLINK("https://klasma.github.io/Logging_2085/klagomål/A 49783-2024 FSC-klagomål.docx", "A 49783-2024")</f>
        <v/>
      </c>
      <c r="AB23">
        <f>HYPERLINK("https://klasma.github.io/Logging_2085/klagomålsmail/A 49783-2024 FSC-klagomål mail.docx", "A 49783-2024")</f>
        <v/>
      </c>
      <c r="AC23">
        <f>HYPERLINK("https://klasma.github.io/Logging_2085/tillsyn/A 49783-2024 tillsynsbegäran.docx", "A 49783-2024")</f>
        <v/>
      </c>
      <c r="AD23">
        <f>HYPERLINK("https://klasma.github.io/Logging_2085/tillsynsmail/A 49783-2024 tillsynsbegäran mail.docx", "A 49783-2024")</f>
        <v/>
      </c>
      <c r="AE23">
        <f>HYPERLINK("https://klasma.github.io/Logging_2085/fåglar/A 49783-2024 prioriterade fågelarter.docx", "A 49783-2024")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46265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46265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46265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46265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t="n">
        <v>3</v>
      </c>
      <c r="V27" s="2" t="inlineStr">
        <is>
          <t>Knärot
Gullgröppa
Plattlummer
Blåsippa
Nattviol
Revlummer</t>
        </is>
      </c>
      <c r="W27">
        <f>HYPERLINK("https://klasma.github.io/Logging_2085/artfynd/A 55406-2025 artfynd.xlsx", "A 55406-2025")</f>
        <v/>
      </c>
      <c r="X27">
        <f>HYPERLINK("https://klasma.github.io/Logging_2085/kartor/A 55406-2025 karta.png", "A 55406-2025")</f>
        <v/>
      </c>
      <c r="Y27">
        <f>HYPERLINK("https://klasma.github.io/Logging_2085/kartor_geotiff/A 55406-2025 georefererad karta.tif", "A 55406-2025")</f>
        <v/>
      </c>
      <c r="Z27">
        <f>HYPERLINK("https://klasma.github.io/Logging_2085/knärot/A 55406-2025 karta knärot.png", "A 55406-2025")</f>
        <v/>
      </c>
      <c r="AA27">
        <f>HYPERLINK("https://klasma.github.io/Logging_2085/klagomål/A 55406-2025 FSC-klagomål.docx", "A 55406-2025")</f>
        <v/>
      </c>
      <c r="AB27">
        <f>HYPERLINK("https://klasma.github.io/Logging_2085/klagomålsmail/A 55406-2025 FSC-klagomål mail.docx", "A 55406-2025")</f>
        <v/>
      </c>
      <c r="AC27">
        <f>HYPERLINK("https://klasma.github.io/Logging_2085/tillsyn/A 55406-2025 tillsynsbegäran.docx", "A 55406-2025")</f>
        <v/>
      </c>
      <c r="AD27">
        <f>HYPERLINK("https://klasma.github.io/Logging_2085/tillsynsmail/A 55406-2025 tillsynsbegäran mail.docx", "A 55406-2025")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46265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46265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46265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46265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46265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46265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46265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46265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46265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46265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46265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46265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46265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46265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46265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46265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46265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4</v>
      </c>
      <c r="V44" s="2" t="inlineStr">
        <is>
          <t>Talltita
Tretåig hackspett
Vedskivlav
Järpe</t>
        </is>
      </c>
      <c r="W44">
        <f>HYPERLINK("https://klasma.github.io/Logging_2085/artfynd/A 46721-2025 artfynd.xlsx", "A 46721-2025")</f>
        <v/>
      </c>
      <c r="X44">
        <f>HYPERLINK("https://klasma.github.io/Logging_2085/kartor/A 46721-2025 karta.png", "A 46721-2025")</f>
        <v/>
      </c>
      <c r="Y44">
        <f>HYPERLINK("https://klasma.github.io/Logging_2085/kartor_geotiff/A 46721-2025 georefererad karta.tif", "A 46721-2025")</f>
        <v/>
      </c>
      <c r="AA44">
        <f>HYPERLINK("https://klasma.github.io/Logging_2085/klagomål/A 46721-2025 FSC-klagomål.docx", "A 46721-2025")</f>
        <v/>
      </c>
      <c r="AB44">
        <f>HYPERLINK("https://klasma.github.io/Logging_2085/klagomålsmail/A 46721-2025 FSC-klagomål mail.docx", "A 46721-2025")</f>
        <v/>
      </c>
      <c r="AC44">
        <f>HYPERLINK("https://klasma.github.io/Logging_2085/tillsyn/A 46721-2025 tillsynsbegäran.docx", "A 46721-2025")</f>
        <v/>
      </c>
      <c r="AD44">
        <f>HYPERLINK("https://klasma.github.io/Logging_2085/tillsynsmail/A 46721-2025 tillsynsbegäran mail.docx", "A 46721-2025")</f>
        <v/>
      </c>
      <c r="AE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46265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46265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46265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46265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46265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46265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46265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46265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46265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46265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23087-2025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46265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0.9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Dropptaggsvamp
Motaggsvamp
Orange taggsvamp</t>
        </is>
      </c>
      <c r="W55">
        <f>HYPERLINK("https://klasma.github.io/Logging_2085/artfynd/A 23087-2025 artfynd.xlsx", "A 23087-2025")</f>
        <v/>
      </c>
      <c r="X55">
        <f>HYPERLINK("https://klasma.github.io/Logging_2085/kartor/A 23087-2025 karta.png", "A 23087-2025")</f>
        <v/>
      </c>
      <c r="Y55">
        <f>HYPERLINK("https://klasma.github.io/Logging_2085/kartor_geotiff/A 23087-2025 georefererad karta.tif", "A 23087-2025")</f>
        <v/>
      </c>
      <c r="AA55">
        <f>HYPERLINK("https://klasma.github.io/Logging_2085/klagomål/A 23087-2025 FSC-klagomål.docx", "A 23087-2025")</f>
        <v/>
      </c>
      <c r="AB55">
        <f>HYPERLINK("https://klasma.github.io/Logging_2085/klagomålsmail/A 23087-2025 FSC-klagomål mail.docx", "A 23087-2025")</f>
        <v/>
      </c>
      <c r="AC55">
        <f>HYPERLINK("https://klasma.github.io/Logging_2085/tillsyn/A 23087-2025 tillsynsbegäran.docx", "A 23087-2025")</f>
        <v/>
      </c>
      <c r="AD55">
        <f>HYPERLINK("https://klasma.github.io/Logging_2085/tillsynsmail/A 23087-2025 tillsynsbegäran mail.docx", "A 23087-2025")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46265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46265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46265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46265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46265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46265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46265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50170-2025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46265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2.5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Labyrintlav
Gulnål</t>
        </is>
      </c>
      <c r="W63">
        <f>HYPERLINK("https://klasma.github.io/Logging_2085/artfynd/A 50170-2025 artfynd.xlsx", "A 50170-2025")</f>
        <v/>
      </c>
      <c r="X63">
        <f>HYPERLINK("https://klasma.github.io/Logging_2085/kartor/A 50170-2025 karta.png", "A 50170-2025")</f>
        <v/>
      </c>
      <c r="Y63">
        <f>HYPERLINK("https://klasma.github.io/Logging_2085/kartor_geotiff/A 50170-2025 georefererad karta.tif", "A 50170-2025")</f>
        <v/>
      </c>
      <c r="AA63">
        <f>HYPERLINK("https://klasma.github.io/Logging_2085/klagomål/A 50170-2025 FSC-klagomål.docx", "A 50170-2025")</f>
        <v/>
      </c>
      <c r="AB63">
        <f>HYPERLINK("https://klasma.github.io/Logging_2085/klagomålsmail/A 50170-2025 FSC-klagomål mail.docx", "A 50170-2025")</f>
        <v/>
      </c>
      <c r="AC63">
        <f>HYPERLINK("https://klasma.github.io/Logging_2085/tillsyn/A 50170-2025 tillsynsbegäran.docx", "A 50170-2025")</f>
        <v/>
      </c>
      <c r="AD63">
        <f>HYPERLINK("https://klasma.github.io/Logging_2085/tillsynsmail/A 50170-2025 tillsynsbegäran mail.docx", "A 50170-2025")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46265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56179-2025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46265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2.8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Gultoppig fingersvamp
Kortskaftad ärgspik</t>
        </is>
      </c>
      <c r="W65">
        <f>HYPERLINK("https://klasma.github.io/Logging_2085/artfynd/A 56179-2025 artfynd.xlsx", "A 56179-2025")</f>
        <v/>
      </c>
      <c r="X65">
        <f>HYPERLINK("https://klasma.github.io/Logging_2085/kartor/A 56179-2025 karta.png", "A 56179-2025")</f>
        <v/>
      </c>
      <c r="Y65">
        <f>HYPERLINK("https://klasma.github.io/Logging_2085/kartor_geotiff/A 56179-2025 georefererad karta.tif", "A 56179-2025")</f>
        <v/>
      </c>
      <c r="Z65">
        <f>HYPERLINK("https://klasma.github.io/Logging_2085/knärot/A 56179-2025 karta knärot.png", "A 56179-2025")</f>
        <v/>
      </c>
      <c r="AA65">
        <f>HYPERLINK("https://klasma.github.io/Logging_2085/klagomål/A 56179-2025 FSC-klagomål.docx", "A 56179-2025")</f>
        <v/>
      </c>
      <c r="AB65">
        <f>HYPERLINK("https://klasma.github.io/Logging_2085/klagomålsmail/A 56179-2025 FSC-klagomål mail.docx", "A 56179-2025")</f>
        <v/>
      </c>
      <c r="AC65">
        <f>HYPERLINK("https://klasma.github.io/Logging_2085/tillsyn/A 56179-2025 tillsynsbegäran.docx", "A 56179-2025")</f>
        <v/>
      </c>
      <c r="AD65">
        <f>HYPERLINK("https://klasma.github.io/Logging_2085/tillsynsmail/A 56179-2025 tillsynsbegäran mail.docx", "A 56179-2025")</f>
        <v/>
      </c>
    </row>
    <row r="66" ht="15" customHeight="1">
      <c r="A66" t="inlineStr">
        <is>
          <t>A 42558-2022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44831</v>
      </c>
      <c r="E66" s="1" t="n">
        <v>46265</v>
      </c>
      <c r="F66" t="inlineStr">
        <is>
          <t>DALARNAS LÄN</t>
        </is>
      </c>
      <c r="G66" t="inlineStr">
        <is>
          <t>LUDVIKA</t>
        </is>
      </c>
      <c r="H66" t="inlineStr">
        <is>
          <t>Naturvårdsverket</t>
        </is>
      </c>
      <c r="I66" t="n">
        <v>4.9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Gräddporing
Lopplummer (aggregat)</t>
        </is>
      </c>
      <c r="W66">
        <f>HYPERLINK("https://klasma.github.io/Logging_2085/artfynd/A 42558-2022 artfynd.xlsx", "A 42558-2022")</f>
        <v/>
      </c>
      <c r="X66">
        <f>HYPERLINK("https://klasma.github.io/Logging_2085/kartor/A 42558-2022 karta.png", "A 42558-2022")</f>
        <v/>
      </c>
      <c r="Y66">
        <f>HYPERLINK("https://klasma.github.io/Logging_2085/kartor_geotiff/A 42558-2022 georefererad karta.tif", "A 42558-2022")</f>
        <v/>
      </c>
      <c r="AA66">
        <f>HYPERLINK("https://klasma.github.io/Logging_2085/klagomål/A 42558-2022 FSC-klagomål.docx", "A 42558-2022")</f>
        <v/>
      </c>
      <c r="AB66">
        <f>HYPERLINK("https://klasma.github.io/Logging_2085/klagomålsmail/A 42558-2022 FSC-klagomål mail.docx", "A 42558-2022")</f>
        <v/>
      </c>
      <c r="AC66">
        <f>HYPERLINK("https://klasma.github.io/Logging_2085/tillsyn/A 42558-2022 tillsynsbegäran.docx", "A 42558-2022")</f>
        <v/>
      </c>
      <c r="AD66">
        <f>HYPERLINK("https://klasma.github.io/Logging_2085/tillsynsmail/A 42558-2022 tillsynsbegäran mail.docx", "A 42558-2022")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46265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11755-2023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46265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Garnlav
Spillkråka</t>
        </is>
      </c>
      <c r="W68">
        <f>HYPERLINK("https://klasma.github.io/Logging_2085/artfynd/A 11755-2023 artfynd.xlsx", "A 11755-2023")</f>
        <v/>
      </c>
      <c r="X68">
        <f>HYPERLINK("https://klasma.github.io/Logging_2085/kartor/A 11755-2023 karta.png", "A 11755-2023")</f>
        <v/>
      </c>
      <c r="Y68">
        <f>HYPERLINK("https://klasma.github.io/Logging_2085/kartor_geotiff/A 11755-2023 georefererad karta.tif", "A 11755-2023")</f>
        <v/>
      </c>
      <c r="AA68">
        <f>HYPERLINK("https://klasma.github.io/Logging_2085/klagomål/A 11755-2023 FSC-klagomål.docx", "A 11755-2023")</f>
        <v/>
      </c>
      <c r="AB68">
        <f>HYPERLINK("https://klasma.github.io/Logging_2085/klagomålsmail/A 11755-2023 FSC-klagomål mail.docx", "A 11755-2023")</f>
        <v/>
      </c>
      <c r="AC68">
        <f>HYPERLINK("https://klasma.github.io/Logging_2085/tillsyn/A 11755-2023 tillsynsbegäran.docx", "A 11755-2023")</f>
        <v/>
      </c>
      <c r="AD68">
        <f>HYPERLINK("https://klasma.github.io/Logging_2085/tillsynsmail/A 11755-2023 tillsynsbegäran mail.docx", "A 11755-2023")</f>
        <v/>
      </c>
      <c r="AE68">
        <f>HYPERLINK("https://klasma.github.io/Logging_2085/fåglar/A 11755-2023 prioriterade fågelarter.docx", "A 11755-2023")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46265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49767-2025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46265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4</v>
      </c>
      <c r="U70" t="n">
        <v>4</v>
      </c>
      <c r="V70" s="2" t="inlineStr">
        <is>
          <t>Garnlav
Tretåig hackspett</t>
        </is>
      </c>
      <c r="W70">
        <f>HYPERLINK("https://klasma.github.io/Logging_2085/artfynd/A 49767-2025 artfynd.xlsx", "A 49767-2025")</f>
        <v/>
      </c>
      <c r="X70">
        <f>HYPERLINK("https://klasma.github.io/Logging_2085/kartor/A 49767-2025 karta.png", "A 49767-2025")</f>
        <v/>
      </c>
      <c r="Y70">
        <f>HYPERLINK("https://klasma.github.io/Logging_2085/kartor_geotiff/A 49767-2025 georefererad karta.tif", "A 49767-2025")</f>
        <v/>
      </c>
      <c r="AA70">
        <f>HYPERLINK("https://klasma.github.io/Logging_2085/klagomål/A 49767-2025 FSC-klagomål.docx", "A 49767-2025")</f>
        <v/>
      </c>
      <c r="AB70">
        <f>HYPERLINK("https://klasma.github.io/Logging_2085/klagomålsmail/A 49767-2025 FSC-klagomål mail.docx", "A 49767-2025")</f>
        <v/>
      </c>
      <c r="AC70">
        <f>HYPERLINK("https://klasma.github.io/Logging_2085/tillsyn/A 49767-2025 tillsynsbegäran.docx", "A 49767-2025")</f>
        <v/>
      </c>
      <c r="AD70">
        <f>HYPERLINK("https://klasma.github.io/Logging_2085/tillsynsmail/A 49767-2025 tillsynsbegäran mail.docx", "A 49767-2025")</f>
        <v/>
      </c>
      <c r="AE70">
        <f>HYPERLINK("https://klasma.github.io/Logging_2085/fåglar/A 49767-2025 prioriterade fågelarter.docx", "A 49767-2025")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46265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49051-2024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46265</v>
      </c>
      <c r="F72" t="inlineStr">
        <is>
          <t>DALARNAS LÄN</t>
        </is>
      </c>
      <c r="G72" t="inlineStr">
        <is>
          <t>LUDVIKA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2</v>
      </c>
      <c r="O72" t="n">
        <v>0</v>
      </c>
      <c r="P72" t="n">
        <v>0</v>
      </c>
      <c r="Q72" t="n">
        <v>2</v>
      </c>
      <c r="R72" t="n">
        <v>2</v>
      </c>
      <c r="S72" t="n">
        <v>2</v>
      </c>
      <c r="T72" t="n">
        <v>2</v>
      </c>
      <c r="U72" t="n">
        <v>0</v>
      </c>
      <c r="V72" s="2" t="inlineStr">
        <is>
          <t>Ladparasitspik
Vedkastanjelav</t>
        </is>
      </c>
      <c r="W72">
        <f>HYPERLINK("https://klasma.github.io/Logging_2085/artfynd/A 49051-2024 artfynd.xlsx", "A 49051-2024")</f>
        <v/>
      </c>
      <c r="X72">
        <f>HYPERLINK("https://klasma.github.io/Logging_2085/kartor/A 49051-2024 karta.png", "A 49051-2024")</f>
        <v/>
      </c>
      <c r="Y72">
        <f>HYPERLINK("https://klasma.github.io/Logging_2085/kartor_geotiff/A 49051-2024 georefererad karta.tif", "A 49051-2024")</f>
        <v/>
      </c>
      <c r="AA72">
        <f>HYPERLINK("https://klasma.github.io/Logging_2085/klagomål/A 49051-2024 FSC-klagomål.docx", "A 49051-2024")</f>
        <v/>
      </c>
      <c r="AB72">
        <f>HYPERLINK("https://klasma.github.io/Logging_2085/klagomålsmail/A 49051-2024 FSC-klagomål mail.docx", "A 49051-2024")</f>
        <v/>
      </c>
      <c r="AC72">
        <f>HYPERLINK("https://klasma.github.io/Logging_2085/tillsyn/A 49051-2024 tillsynsbegäran.docx", "A 49051-2024")</f>
        <v/>
      </c>
      <c r="AD72">
        <f>HYPERLINK("https://klasma.github.io/Logging_2085/tillsynsmail/A 49051-2024 tillsynsbegäran mail.docx", "A 49051-2024")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46265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Garnlav
Tjäder</t>
        </is>
      </c>
      <c r="W73">
        <f>HYPERLINK("https://klasma.github.io/Logging_2085/artfynd/A 56879-2025 artfynd.xlsx", "A 56879-2025")</f>
        <v/>
      </c>
      <c r="X73">
        <f>HYPERLINK("https://klasma.github.io/Logging_2085/kartor/A 56879-2025 karta.png", "A 56879-2025")</f>
        <v/>
      </c>
      <c r="Y73">
        <f>HYPERLINK("https://klasma.github.io/Logging_2085/kartor_geotiff/A 56879-2025 georefererad karta.tif", "A 56879-2025")</f>
        <v/>
      </c>
      <c r="AA73">
        <f>HYPERLINK("https://klasma.github.io/Logging_2085/klagomål/A 56879-2025 FSC-klagomål.docx", "A 56879-2025")</f>
        <v/>
      </c>
      <c r="AB73">
        <f>HYPERLINK("https://klasma.github.io/Logging_2085/klagomålsmail/A 56879-2025 FSC-klagomål mail.docx", "A 56879-2025")</f>
        <v/>
      </c>
      <c r="AC73">
        <f>HYPERLINK("https://klasma.github.io/Logging_2085/tillsyn/A 56879-2025 tillsynsbegäran.docx", "A 56879-2025")</f>
        <v/>
      </c>
      <c r="AD73">
        <f>HYPERLINK("https://klasma.github.io/Logging_2085/tillsynsmail/A 56879-2025 tillsynsbegäran mail.docx", "A 56879-2025")</f>
        <v/>
      </c>
      <c r="AE73">
        <f>HYPERLINK("https://klasma.github.io/Logging_2085/fåglar/A 56879-2025 prioriterade fågelarter.docx", "A 56879-2025")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46265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46265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46265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46265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46265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46265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46265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46265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46265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49763-2025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46265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6.9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2</v>
      </c>
      <c r="V83" s="2" t="inlineStr">
        <is>
          <t>Dvärgbägarlav
Vedticka</t>
        </is>
      </c>
      <c r="W83">
        <f>HYPERLINK("https://klasma.github.io/Logging_2085/artfynd/A 49763-2025 artfynd.xlsx", "A 49763-2025")</f>
        <v/>
      </c>
      <c r="X83">
        <f>HYPERLINK("https://klasma.github.io/Logging_2085/kartor/A 49763-2025 karta.png", "A 49763-2025")</f>
        <v/>
      </c>
      <c r="Y83">
        <f>HYPERLINK("https://klasma.github.io/Logging_2085/kartor_geotiff/A 49763-2025 georefererad karta.tif", "A 49763-2025")</f>
        <v/>
      </c>
      <c r="AA83">
        <f>HYPERLINK("https://klasma.github.io/Logging_2085/klagomål/A 49763-2025 FSC-klagomål.docx", "A 49763-2025")</f>
        <v/>
      </c>
      <c r="AB83">
        <f>HYPERLINK("https://klasma.github.io/Logging_2085/klagomålsmail/A 49763-2025 FSC-klagomål mail.docx", "A 49763-2025")</f>
        <v/>
      </c>
      <c r="AC83">
        <f>HYPERLINK("https://klasma.github.io/Logging_2085/tillsyn/A 49763-2025 tillsynsbegäran.docx", "A 49763-2025")</f>
        <v/>
      </c>
      <c r="AD83">
        <f>HYPERLINK("https://klasma.github.io/Logging_2085/tillsynsmail/A 49763-2025 tillsynsbegäran mail.docx", "A 49763-2025")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46265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46265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S 296-2025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45687</v>
      </c>
      <c r="E86" s="1" t="n">
        <v>46265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278.6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Brunpudrad nållav
Rödgul trumpetsvamp</t>
        </is>
      </c>
      <c r="W86">
        <f>HYPERLINK("https://klasma.github.io/Logging_2085/artfynd/S 296-2025 artfynd.xlsx", "S 296-2025")</f>
        <v/>
      </c>
      <c r="X86">
        <f>HYPERLINK("https://klasma.github.io/Logging_2085/kartor/S 296-2025 karta.png", "S 296-2025")</f>
        <v/>
      </c>
      <c r="Y86">
        <f>HYPERLINK("https://klasma.github.io/Logging_2085/kartor_geotiff/S 296-2025 georefererad karta.tif", "S 296-2025")</f>
        <v/>
      </c>
      <c r="AA86">
        <f>HYPERLINK("https://klasma.github.io/Logging_2085/klagomål/S 296-2025 FSC-klagomål.docx", "S 296-2025")</f>
        <v/>
      </c>
      <c r="AB86">
        <f>HYPERLINK("https://klasma.github.io/Logging_2085/klagomålsmail/S 296-2025 FSC-klagomål mail.docx", "S 296-2025")</f>
        <v/>
      </c>
      <c r="AC86">
        <f>HYPERLINK("https://klasma.github.io/Logging_2085/tillsyn/S 296-2025 tillsynsbegäran.docx", "S 296-2025")</f>
        <v/>
      </c>
      <c r="AD86">
        <f>HYPERLINK("https://klasma.github.io/Logging_2085/tillsynsmail/S 296-2025 tillsynsbegäran mail.docx", "S 296-2025")</f>
        <v/>
      </c>
    </row>
    <row r="87" ht="15" customHeight="1">
      <c r="A87" t="inlineStr">
        <is>
          <t>S 3586-2025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46010</v>
      </c>
      <c r="E87" s="1" t="n">
        <v>46265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275.6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1</v>
      </c>
      <c r="V87" s="2" t="inlineStr">
        <is>
          <t>Garnlav
Järpe</t>
        </is>
      </c>
      <c r="W87">
        <f>HYPERLINK("https://klasma.github.io/Logging_2085/artfynd/S 3586-2025 artfynd.xlsx", "S 3586-2025")</f>
        <v/>
      </c>
      <c r="X87">
        <f>HYPERLINK("https://klasma.github.io/Logging_2085/kartor/S 3586-2025 karta.png", "S 3586-2025")</f>
        <v/>
      </c>
      <c r="Y87">
        <f>HYPERLINK("https://klasma.github.io/Logging_2085/kartor_geotiff/S 3586-2025 georefererad karta.tif", "S 3586-2025")</f>
        <v/>
      </c>
      <c r="AA87">
        <f>HYPERLINK("https://klasma.github.io/Logging_2085/klagomål/S 3586-2025 FSC-klagomål.docx", "S 3586-2025")</f>
        <v/>
      </c>
      <c r="AB87">
        <f>HYPERLINK("https://klasma.github.io/Logging_2085/klagomålsmail/S 3586-2025 FSC-klagomål mail.docx", "S 3586-2025")</f>
        <v/>
      </c>
      <c r="AC87">
        <f>HYPERLINK("https://klasma.github.io/Logging_2085/tillsyn/S 3586-2025 tillsynsbegäran.docx", "S 3586-2025")</f>
        <v/>
      </c>
      <c r="AD87">
        <f>HYPERLINK("https://klasma.github.io/Logging_2085/tillsynsmail/S 3586-2025 tillsynsbegäran mail.docx", "S 3586-2025")</f>
        <v/>
      </c>
      <c r="AE87">
        <f>HYPERLINK("https://klasma.github.io/Logging_2085/fåglar/S 3586-2025 prioriterade fågelarter.docx", "S 3586-2025")</f>
        <v/>
      </c>
    </row>
    <row r="88" ht="15" customHeight="1">
      <c r="A88" t="inlineStr">
        <is>
          <t>A 45995-2021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44441</v>
      </c>
      <c r="E88" s="1" t="n">
        <v>46265</v>
      </c>
      <c r="F88" t="inlineStr">
        <is>
          <t>DALARNAS LÄN</t>
        </is>
      </c>
      <c r="G88" t="inlineStr">
        <is>
          <t>LUDVIKA</t>
        </is>
      </c>
      <c r="I88" t="n">
        <v>1.2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Nordfladdermus</t>
        </is>
      </c>
      <c r="W88">
        <f>HYPERLINK("https://klasma.github.io/Logging_2085/artfynd/A 45995-2021 artfynd.xlsx", "A 45995-2021")</f>
        <v/>
      </c>
      <c r="X88">
        <f>HYPERLINK("https://klasma.github.io/Logging_2085/kartor/A 45995-2021 karta.png", "A 45995-2021")</f>
        <v/>
      </c>
      <c r="Y88">
        <f>HYPERLINK("https://klasma.github.io/Logging_2085/kartor_geotiff/A 45995-2021 georefererad karta.tif", "A 45995-2021")</f>
        <v/>
      </c>
      <c r="AA88">
        <f>HYPERLINK("https://klasma.github.io/Logging_2085/klagomål/A 45995-2021 FSC-klagomål.docx", "A 45995-2021")</f>
        <v/>
      </c>
      <c r="AB88">
        <f>HYPERLINK("https://klasma.github.io/Logging_2085/klagomålsmail/A 45995-2021 FSC-klagomål mail.docx", "A 45995-2021")</f>
        <v/>
      </c>
      <c r="AC88">
        <f>HYPERLINK("https://klasma.github.io/Logging_2085/tillsyn/A 45995-2021 tillsynsbegäran.docx", "A 45995-2021")</f>
        <v/>
      </c>
      <c r="AD88">
        <f>HYPERLINK("https://klasma.github.io/Logging_2085/tillsynsmail/A 45995-2021 tillsynsbegäran mail.docx", "A 45995-2021")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46265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46265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46265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46265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25448-2024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45463</v>
      </c>
      <c r="E93" s="1" t="n">
        <v>46265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24.7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Blåsippa</t>
        </is>
      </c>
      <c r="W93">
        <f>HYPERLINK("https://klasma.github.io/Logging_2085/artfynd/A 25448-2024 artfynd.xlsx", "A 25448-2024")</f>
        <v/>
      </c>
      <c r="X93">
        <f>HYPERLINK("https://klasma.github.io/Logging_2085/kartor/A 25448-2024 karta.png", "A 25448-2024")</f>
        <v/>
      </c>
      <c r="Y93">
        <f>HYPERLINK("https://klasma.github.io/Logging_2085/kartor_geotiff/A 25448-2024 georefererad karta.tif", "A 25448-2024")</f>
        <v/>
      </c>
      <c r="AA93">
        <f>HYPERLINK("https://klasma.github.io/Logging_2085/klagomål/A 25448-2024 FSC-klagomål.docx", "A 25448-2024")</f>
        <v/>
      </c>
      <c r="AB93">
        <f>HYPERLINK("https://klasma.github.io/Logging_2085/klagomålsmail/A 25448-2024 FSC-klagomål mail.docx", "A 25448-2024")</f>
        <v/>
      </c>
      <c r="AC93">
        <f>HYPERLINK("https://klasma.github.io/Logging_2085/tillsyn/A 25448-2024 tillsynsbegäran.docx", "A 25448-2024")</f>
        <v/>
      </c>
      <c r="AD93">
        <f>HYPERLINK("https://klasma.github.io/Logging_2085/tillsynsmail/A 25448-2024 tillsynsbegäran mail.docx", "A 25448-2024")</f>
        <v/>
      </c>
    </row>
    <row r="94" ht="15" customHeight="1">
      <c r="A94" t="inlineStr">
        <is>
          <t>A 36050-2025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45866</v>
      </c>
      <c r="E94" s="1" t="n">
        <v>46265</v>
      </c>
      <c r="F94" t="inlineStr">
        <is>
          <t>DALARNAS LÄN</t>
        </is>
      </c>
      <c r="G94" t="inlineStr">
        <is>
          <t>LUDVIKA</t>
        </is>
      </c>
      <c r="I94" t="n">
        <v>1.4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Mindre hackspett</t>
        </is>
      </c>
      <c r="W94">
        <f>HYPERLINK("https://klasma.github.io/Logging_2085/artfynd/A 36050-2025 artfynd.xlsx", "A 36050-2025")</f>
        <v/>
      </c>
      <c r="X94">
        <f>HYPERLINK("https://klasma.github.io/Logging_2085/kartor/A 36050-2025 karta.png", "A 36050-2025")</f>
        <v/>
      </c>
      <c r="Y94">
        <f>HYPERLINK("https://klasma.github.io/Logging_2085/kartor_geotiff/A 36050-2025 georefererad karta.tif", "A 36050-2025")</f>
        <v/>
      </c>
      <c r="AA94">
        <f>HYPERLINK("https://klasma.github.io/Logging_2085/klagomål/A 36050-2025 FSC-klagomål.docx", "A 36050-2025")</f>
        <v/>
      </c>
      <c r="AB94">
        <f>HYPERLINK("https://klasma.github.io/Logging_2085/klagomålsmail/A 36050-2025 FSC-klagomål mail.docx", "A 36050-2025")</f>
        <v/>
      </c>
      <c r="AC94">
        <f>HYPERLINK("https://klasma.github.io/Logging_2085/tillsyn/A 36050-2025 tillsynsbegäran.docx", "A 36050-2025")</f>
        <v/>
      </c>
      <c r="AD94">
        <f>HYPERLINK("https://klasma.github.io/Logging_2085/tillsynsmail/A 36050-2025 tillsynsbegäran mail.docx", "A 36050-2025")</f>
        <v/>
      </c>
      <c r="AE94">
        <f>HYPERLINK("https://klasma.github.io/Logging_2085/fåglar/A 36050-2025 prioriterade fågelarter.docx", "A 36050-2025")</f>
        <v/>
      </c>
    </row>
    <row r="95" ht="15" customHeight="1">
      <c r="A95" t="inlineStr">
        <is>
          <t>A 29882-2024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45486</v>
      </c>
      <c r="E95" s="1" t="n">
        <v>46265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HYPERLINK("https://klasma.github.io/Logging_2085/artfynd/A 29882-2024 artfynd.xlsx", "A 29882-2024")</f>
        <v/>
      </c>
      <c r="X95">
        <f>HYPERLINK("https://klasma.github.io/Logging_2085/kartor/A 29882-2024 karta.png", "A 29882-2024")</f>
        <v/>
      </c>
      <c r="Y95">
        <f>HYPERLINK("https://klasma.github.io/Logging_2085/kartor_geotiff/A 29882-2024 georefererad karta.tif", "A 29882-2024")</f>
        <v/>
      </c>
      <c r="AA95">
        <f>HYPERLINK("https://klasma.github.io/Logging_2085/klagomål/A 29882-2024 FSC-klagomål.docx", "A 29882-2024")</f>
        <v/>
      </c>
      <c r="AB95">
        <f>HYPERLINK("https://klasma.github.io/Logging_2085/klagomålsmail/A 29882-2024 FSC-klagomål mail.docx", "A 29882-2024")</f>
        <v/>
      </c>
      <c r="AC95">
        <f>HYPERLINK("https://klasma.github.io/Logging_2085/tillsyn/A 29882-2024 tillsynsbegäran.docx", "A 29882-2024")</f>
        <v/>
      </c>
      <c r="AD95">
        <f>HYPERLINK("https://klasma.github.io/Logging_2085/tillsynsmail/A 29882-2024 tillsynsbegäran mail.docx", "A 29882-2024")</f>
        <v/>
      </c>
      <c r="AE95">
        <f>HYPERLINK("https://klasma.github.io/Logging_2085/fåglar/A 29882-2024 prioriterade fågelarter.docx", "A 29882-2024")</f>
        <v/>
      </c>
    </row>
    <row r="96" ht="15" customHeight="1">
      <c r="A96" t="inlineStr">
        <is>
          <t>A 23102-2025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46265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HYPERLINK("https://klasma.github.io/Logging_2085/artfynd/A 23102-2025 artfynd.xlsx", "A 23102-2025")</f>
        <v/>
      </c>
      <c r="X96">
        <f>HYPERLINK("https://klasma.github.io/Logging_2085/kartor/A 23102-2025 karta.png", "A 23102-2025")</f>
        <v/>
      </c>
      <c r="Y96">
        <f>HYPERLINK("https://klasma.github.io/Logging_2085/kartor_geotiff/A 23102-2025 georefererad karta.tif", "A 23102-2025")</f>
        <v/>
      </c>
      <c r="AA96">
        <f>HYPERLINK("https://klasma.github.io/Logging_2085/klagomål/A 23102-2025 FSC-klagomål.docx", "A 23102-2025")</f>
        <v/>
      </c>
      <c r="AB96">
        <f>HYPERLINK("https://klasma.github.io/Logging_2085/klagomålsmail/A 23102-2025 FSC-klagomål mail.docx", "A 23102-2025")</f>
        <v/>
      </c>
      <c r="AC96">
        <f>HYPERLINK("https://klasma.github.io/Logging_2085/tillsyn/A 23102-2025 tillsynsbegäran.docx", "A 23102-2025")</f>
        <v/>
      </c>
      <c r="AD96">
        <f>HYPERLINK("https://klasma.github.io/Logging_2085/tillsynsmail/A 23102-2025 tillsynsbegäran mail.docx", "A 23102-2025")</f>
        <v/>
      </c>
    </row>
    <row r="97" ht="15" customHeight="1">
      <c r="A97" t="inlineStr">
        <is>
          <t>A 45791-2025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46265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Vitfläckig guldvinge</t>
        </is>
      </c>
      <c r="W97">
        <f>HYPERLINK("https://klasma.github.io/Logging_2085/artfynd/A 45791-2025 artfynd.xlsx", "A 45791-2025")</f>
        <v/>
      </c>
      <c r="X97">
        <f>HYPERLINK("https://klasma.github.io/Logging_2085/kartor/A 45791-2025 karta.png", "A 45791-2025")</f>
        <v/>
      </c>
      <c r="Y97">
        <f>HYPERLINK("https://klasma.github.io/Logging_2085/kartor_geotiff/A 45791-2025 georefererad karta.tif", "A 45791-2025")</f>
        <v/>
      </c>
      <c r="AA97">
        <f>HYPERLINK("https://klasma.github.io/Logging_2085/klagomål/A 45791-2025 FSC-klagomål.docx", "A 45791-2025")</f>
        <v/>
      </c>
      <c r="AB97">
        <f>HYPERLINK("https://klasma.github.io/Logging_2085/klagomålsmail/A 45791-2025 FSC-klagomål mail.docx", "A 45791-2025")</f>
        <v/>
      </c>
      <c r="AC97">
        <f>HYPERLINK("https://klasma.github.io/Logging_2085/tillsyn/A 45791-2025 tillsynsbegäran.docx", "A 45791-2025")</f>
        <v/>
      </c>
      <c r="AD97">
        <f>HYPERLINK("https://klasma.github.io/Logging_2085/tillsynsmail/A 45791-2025 tillsynsbegäran mail.docx", "A 45791-2025")</f>
        <v/>
      </c>
    </row>
    <row r="98" ht="15" customHeight="1">
      <c r="A98" t="inlineStr">
        <is>
          <t>A 45858-2025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46265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Granbarkgnagare</t>
        </is>
      </c>
      <c r="W98">
        <f>HYPERLINK("https://klasma.github.io/Logging_2085/artfynd/A 45858-2025 artfynd.xlsx", "A 45858-2025")</f>
        <v/>
      </c>
      <c r="X98">
        <f>HYPERLINK("https://klasma.github.io/Logging_2085/kartor/A 45858-2025 karta.png", "A 45858-2025")</f>
        <v/>
      </c>
      <c r="Y98">
        <f>HYPERLINK("https://klasma.github.io/Logging_2085/kartor_geotiff/A 45858-2025 georefererad karta.tif", "A 45858-2025")</f>
        <v/>
      </c>
      <c r="AA98">
        <f>HYPERLINK("https://klasma.github.io/Logging_2085/klagomål/A 45858-2025 FSC-klagomål.docx", "A 45858-2025")</f>
        <v/>
      </c>
      <c r="AB98">
        <f>HYPERLINK("https://klasma.github.io/Logging_2085/klagomålsmail/A 45858-2025 FSC-klagomål mail.docx", "A 45858-2025")</f>
        <v/>
      </c>
      <c r="AC98">
        <f>HYPERLINK("https://klasma.github.io/Logging_2085/tillsyn/A 45858-2025 tillsynsbegäran.docx", "A 45858-2025")</f>
        <v/>
      </c>
      <c r="AD98">
        <f>HYPERLINK("https://klasma.github.io/Logging_2085/tillsynsmail/A 45858-2025 tillsynsbegäran mail.docx", "A 45858-2025")</f>
        <v/>
      </c>
    </row>
    <row r="99" ht="15" customHeight="1">
      <c r="A99" t="inlineStr">
        <is>
          <t>A 59873-2025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46265</v>
      </c>
      <c r="F99" t="inlineStr">
        <is>
          <t>DALARNAS LÄN</t>
        </is>
      </c>
      <c r="G99" t="inlineStr">
        <is>
          <t>LUDVIKA</t>
        </is>
      </c>
      <c r="I99" t="n">
        <v>3.7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Lateritticka</t>
        </is>
      </c>
      <c r="W99">
        <f>HYPERLINK("https://klasma.github.io/Logging_2085/artfynd/A 59873-2025 artfynd.xlsx", "A 59873-2025")</f>
        <v/>
      </c>
      <c r="X99">
        <f>HYPERLINK("https://klasma.github.io/Logging_2085/kartor/A 59873-2025 karta.png", "A 59873-2025")</f>
        <v/>
      </c>
      <c r="Y99">
        <f>HYPERLINK("https://klasma.github.io/Logging_2085/kartor_geotiff/A 59873-2025 georefererad karta.tif", "A 59873-2025")</f>
        <v/>
      </c>
      <c r="AA99">
        <f>HYPERLINK("https://klasma.github.io/Logging_2085/klagomål/A 59873-2025 FSC-klagomål.docx", "A 59873-2025")</f>
        <v/>
      </c>
      <c r="AB99">
        <f>HYPERLINK("https://klasma.github.io/Logging_2085/klagomålsmail/A 59873-2025 FSC-klagomål mail.docx", "A 59873-2025")</f>
        <v/>
      </c>
      <c r="AC99">
        <f>HYPERLINK("https://klasma.github.io/Logging_2085/tillsyn/A 59873-2025 tillsynsbegäran.docx", "A 59873-2025")</f>
        <v/>
      </c>
      <c r="AD99">
        <f>HYPERLINK("https://klasma.github.io/Logging_2085/tillsynsmail/A 59873-2025 tillsynsbegäran mail.docx", "A 59873-2025")</f>
        <v/>
      </c>
    </row>
    <row r="100" ht="15" customHeight="1">
      <c r="A100" t="inlineStr">
        <is>
          <t>A 55550-2022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46265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Ögonpyrola</t>
        </is>
      </c>
      <c r="W100">
        <f>HYPERLINK("https://klasma.github.io/Logging_2085/artfynd/A 55550-2022 artfynd.xlsx", "A 55550-2022")</f>
        <v/>
      </c>
      <c r="X100">
        <f>HYPERLINK("https://klasma.github.io/Logging_2085/kartor/A 55550-2022 karta.png", "A 55550-2022")</f>
        <v/>
      </c>
      <c r="Y100">
        <f>HYPERLINK("https://klasma.github.io/Logging_2085/kartor_geotiff/A 55550-2022 georefererad karta.tif", "A 55550-2022")</f>
        <v/>
      </c>
      <c r="AA100">
        <f>HYPERLINK("https://klasma.github.io/Logging_2085/klagomål/A 55550-2022 FSC-klagomål.docx", "A 55550-2022")</f>
        <v/>
      </c>
      <c r="AB100">
        <f>HYPERLINK("https://klasma.github.io/Logging_2085/klagomålsmail/A 55550-2022 FSC-klagomål mail.docx", "A 55550-2022")</f>
        <v/>
      </c>
      <c r="AC100">
        <f>HYPERLINK("https://klasma.github.io/Logging_2085/tillsyn/A 55550-2022 tillsynsbegäran.docx", "A 55550-2022")</f>
        <v/>
      </c>
      <c r="AD100">
        <f>HYPERLINK("https://klasma.github.io/Logging_2085/tillsynsmail/A 55550-2022 tillsynsbegäran mail.docx", "A 55550-2022")</f>
        <v/>
      </c>
    </row>
    <row r="101" ht="15" customHeight="1">
      <c r="A101" t="inlineStr">
        <is>
          <t>A 26850-2023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46265</v>
      </c>
      <c r="F101" t="inlineStr">
        <is>
          <t>DALARNAS LÄN</t>
        </is>
      </c>
      <c r="G101" t="inlineStr">
        <is>
          <t>LUDVIKA</t>
        </is>
      </c>
      <c r="H101" t="inlineStr">
        <is>
          <t>Naturvårdsverket</t>
        </is>
      </c>
      <c r="I101" t="n">
        <v>2.7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Motaggsvamp</t>
        </is>
      </c>
      <c r="W101">
        <f>HYPERLINK("https://klasma.github.io/Logging_2085/artfynd/A 26850-2023 artfynd.xlsx", "A 26850-2023")</f>
        <v/>
      </c>
      <c r="X101">
        <f>HYPERLINK("https://klasma.github.io/Logging_2085/kartor/A 26850-2023 karta.png", "A 26850-2023")</f>
        <v/>
      </c>
      <c r="Y101">
        <f>HYPERLINK("https://klasma.github.io/Logging_2085/kartor_geotiff/A 26850-2023 georefererad karta.tif", "A 26850-2023")</f>
        <v/>
      </c>
      <c r="AA101">
        <f>HYPERLINK("https://klasma.github.io/Logging_2085/klagomål/A 26850-2023 FSC-klagomål.docx", "A 26850-2023")</f>
        <v/>
      </c>
      <c r="AB101">
        <f>HYPERLINK("https://klasma.github.io/Logging_2085/klagomålsmail/A 26850-2023 FSC-klagomål mail.docx", "A 26850-2023")</f>
        <v/>
      </c>
      <c r="AC101">
        <f>HYPERLINK("https://klasma.github.io/Logging_2085/tillsyn/A 26850-2023 tillsynsbegäran.docx", "A 26850-2023")</f>
        <v/>
      </c>
      <c r="AD101">
        <f>HYPERLINK("https://klasma.github.io/Logging_2085/tillsynsmail/A 26850-2023 tillsynsbegäran mail.docx", "A 26850-2023")</f>
        <v/>
      </c>
    </row>
    <row r="102" ht="15" customHeight="1">
      <c r="A102" t="inlineStr">
        <is>
          <t>A 29733-2025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46265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10.4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Stuplav</t>
        </is>
      </c>
      <c r="W102">
        <f>HYPERLINK("https://klasma.github.io/Logging_2085/artfynd/A 29733-2025 artfynd.xlsx", "A 29733-2025")</f>
        <v/>
      </c>
      <c r="X102">
        <f>HYPERLINK("https://klasma.github.io/Logging_2085/kartor/A 29733-2025 karta.png", "A 29733-2025")</f>
        <v/>
      </c>
      <c r="Y102">
        <f>HYPERLINK("https://klasma.github.io/Logging_2085/kartor_geotiff/A 29733-2025 georefererad karta.tif", "A 29733-2025")</f>
        <v/>
      </c>
      <c r="AA102">
        <f>HYPERLINK("https://klasma.github.io/Logging_2085/klagomål/A 29733-2025 FSC-klagomål.docx", "A 29733-2025")</f>
        <v/>
      </c>
      <c r="AB102">
        <f>HYPERLINK("https://klasma.github.io/Logging_2085/klagomålsmail/A 29733-2025 FSC-klagomål mail.docx", "A 29733-2025")</f>
        <v/>
      </c>
      <c r="AC102">
        <f>HYPERLINK("https://klasma.github.io/Logging_2085/tillsyn/A 29733-2025 tillsynsbegäran.docx", "A 29733-2025")</f>
        <v/>
      </c>
      <c r="AD102">
        <f>HYPERLINK("https://klasma.github.io/Logging_2085/tillsynsmail/A 29733-2025 tillsynsbegäran mail.docx", "A 29733-2025")</f>
        <v/>
      </c>
    </row>
    <row r="103" ht="15" customHeight="1">
      <c r="A103" t="inlineStr">
        <is>
          <t>A 400-2023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44929</v>
      </c>
      <c r="E103" s="1" t="n">
        <v>46265</v>
      </c>
      <c r="F103" t="inlineStr">
        <is>
          <t>DALARNAS LÄN</t>
        </is>
      </c>
      <c r="G103" t="inlineStr">
        <is>
          <t>LUDVIKA</t>
        </is>
      </c>
      <c r="I103" t="n">
        <v>3.6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Nordfladdermus</t>
        </is>
      </c>
      <c r="W103">
        <f>HYPERLINK("https://klasma.github.io/Logging_2085/artfynd/A 400-2023 artfynd.xlsx", "A 400-2023")</f>
        <v/>
      </c>
      <c r="X103">
        <f>HYPERLINK("https://klasma.github.io/Logging_2085/kartor/A 400-2023 karta.png", "A 400-2023")</f>
        <v/>
      </c>
      <c r="Y103">
        <f>HYPERLINK("https://klasma.github.io/Logging_2085/kartor_geotiff/A 400-2023 georefererad karta.tif", "A 400-2023")</f>
        <v/>
      </c>
      <c r="AA103">
        <f>HYPERLINK("https://klasma.github.io/Logging_2085/klagomål/A 400-2023 FSC-klagomål.docx", "A 400-2023")</f>
        <v/>
      </c>
      <c r="AB103">
        <f>HYPERLINK("https://klasma.github.io/Logging_2085/klagomålsmail/A 400-2023 FSC-klagomål mail.docx", "A 400-2023")</f>
        <v/>
      </c>
      <c r="AC103">
        <f>HYPERLINK("https://klasma.github.io/Logging_2085/tillsyn/A 400-2023 tillsynsbegäran.docx", "A 400-2023")</f>
        <v/>
      </c>
      <c r="AD103">
        <f>HYPERLINK("https://klasma.github.io/Logging_2085/tillsynsmail/A 400-2023 tillsynsbegäran mail.docx", "A 400-2023")</f>
        <v/>
      </c>
    </row>
    <row r="104" ht="15" customHeight="1">
      <c r="A104" t="inlineStr">
        <is>
          <t>A 31478-2023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45114</v>
      </c>
      <c r="E104" s="1" t="n">
        <v>46265</v>
      </c>
      <c r="F104" t="inlineStr">
        <is>
          <t>DALARNAS LÄN</t>
        </is>
      </c>
      <c r="G104" t="inlineStr">
        <is>
          <t>LUDVIKA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HYPERLINK("https://klasma.github.io/Logging_2085/artfynd/A 31478-2023 artfynd.xlsx", "A 31478-2023")</f>
        <v/>
      </c>
      <c r="X104">
        <f>HYPERLINK("https://klasma.github.io/Logging_2085/kartor/A 31478-2023 karta.png", "A 31478-2023")</f>
        <v/>
      </c>
      <c r="Y104">
        <f>HYPERLINK("https://klasma.github.io/Logging_2085/kartor_geotiff/A 31478-2023 georefererad karta.tif", "A 31478-2023")</f>
        <v/>
      </c>
      <c r="AA104">
        <f>HYPERLINK("https://klasma.github.io/Logging_2085/klagomål/A 31478-2023 FSC-klagomål.docx", "A 31478-2023")</f>
        <v/>
      </c>
      <c r="AB104">
        <f>HYPERLINK("https://klasma.github.io/Logging_2085/klagomålsmail/A 31478-2023 FSC-klagomål mail.docx", "A 31478-2023")</f>
        <v/>
      </c>
      <c r="AC104">
        <f>HYPERLINK("https://klasma.github.io/Logging_2085/tillsyn/A 31478-2023 tillsynsbegäran.docx", "A 31478-2023")</f>
        <v/>
      </c>
      <c r="AD104">
        <f>HYPERLINK("https://klasma.github.io/Logging_2085/tillsynsmail/A 31478-2023 tillsynsbegäran mail.docx", "A 31478-2023")</f>
        <v/>
      </c>
    </row>
    <row r="105" ht="15" customHeight="1">
      <c r="A105" t="inlineStr">
        <is>
          <t>A 74401-2021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44560</v>
      </c>
      <c r="E105" s="1" t="n">
        <v>46265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Gullgröppa</t>
        </is>
      </c>
      <c r="W105">
        <f>HYPERLINK("https://klasma.github.io/Logging_2085/artfynd/A 74401-2021 artfynd.xlsx", "A 74401-2021")</f>
        <v/>
      </c>
      <c r="X105">
        <f>HYPERLINK("https://klasma.github.io/Logging_2085/kartor/A 74401-2021 karta.png", "A 74401-2021")</f>
        <v/>
      </c>
      <c r="Y105">
        <f>HYPERLINK("https://klasma.github.io/Logging_2085/kartor_geotiff/A 74401-2021 georefererad karta.tif", "A 74401-2021")</f>
        <v/>
      </c>
      <c r="AA105">
        <f>HYPERLINK("https://klasma.github.io/Logging_2085/klagomål/A 74401-2021 FSC-klagomål.docx", "A 74401-2021")</f>
        <v/>
      </c>
      <c r="AB105">
        <f>HYPERLINK("https://klasma.github.io/Logging_2085/klagomålsmail/A 74401-2021 FSC-klagomål mail.docx", "A 74401-2021")</f>
        <v/>
      </c>
      <c r="AC105">
        <f>HYPERLINK("https://klasma.github.io/Logging_2085/tillsyn/A 74401-2021 tillsynsbegäran.docx", "A 74401-2021")</f>
        <v/>
      </c>
      <c r="AD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6579-2023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44960</v>
      </c>
      <c r="E106" s="1" t="n">
        <v>46265</v>
      </c>
      <c r="F106" t="inlineStr">
        <is>
          <t>DALARNAS LÄN</t>
        </is>
      </c>
      <c r="G106" t="inlineStr">
        <is>
          <t>LUDVIKA</t>
        </is>
      </c>
      <c r="I106" t="n">
        <v>3.4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Blomkålssvamp</t>
        </is>
      </c>
      <c r="W106">
        <f>HYPERLINK("https://klasma.github.io/Logging_2085/artfynd/A 6579-2023 artfynd.xlsx", "A 6579-2023")</f>
        <v/>
      </c>
      <c r="X106">
        <f>HYPERLINK("https://klasma.github.io/Logging_2085/kartor/A 6579-2023 karta.png", "A 6579-2023")</f>
        <v/>
      </c>
      <c r="Y106">
        <f>HYPERLINK("https://klasma.github.io/Logging_2085/kartor_geotiff/A 6579-2023 georefererad karta.tif", "A 6579-2023")</f>
        <v/>
      </c>
      <c r="AA106">
        <f>HYPERLINK("https://klasma.github.io/Logging_2085/klagomål/A 6579-2023 FSC-klagomål.docx", "A 6579-2023")</f>
        <v/>
      </c>
      <c r="AB106">
        <f>HYPERLINK("https://klasma.github.io/Logging_2085/klagomålsmail/A 6579-2023 FSC-klagomål mail.docx", "A 6579-2023")</f>
        <v/>
      </c>
      <c r="AC106">
        <f>HYPERLINK("https://klasma.github.io/Logging_2085/tillsyn/A 6579-2023 tillsynsbegäran.docx", "A 6579-2023")</f>
        <v/>
      </c>
      <c r="AD106">
        <f>HYPERLINK("https://klasma.github.io/Logging_2085/tillsynsmail/A 6579-2023 tillsynsbegäran mail.docx", "A 6579-2023")</f>
        <v/>
      </c>
    </row>
    <row r="107" ht="15" customHeight="1">
      <c r="A107" t="inlineStr">
        <is>
          <t>A 62676-2025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46265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4.2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Kolflarnlav</t>
        </is>
      </c>
      <c r="W107">
        <f>HYPERLINK("https://klasma.github.io/Logging_2085/artfynd/A 62676-2025 artfynd.xlsx", "A 62676-2025")</f>
        <v/>
      </c>
      <c r="X107">
        <f>HYPERLINK("https://klasma.github.io/Logging_2085/kartor/A 62676-2025 karta.png", "A 62676-2025")</f>
        <v/>
      </c>
      <c r="Y107">
        <f>HYPERLINK("https://klasma.github.io/Logging_2085/kartor_geotiff/A 62676-2025 georefererad karta.tif", "A 62676-2025")</f>
        <v/>
      </c>
      <c r="AA107">
        <f>HYPERLINK("https://klasma.github.io/Logging_2085/klagomål/A 62676-2025 FSC-klagomål.docx", "A 62676-2025")</f>
        <v/>
      </c>
      <c r="AB107">
        <f>HYPERLINK("https://klasma.github.io/Logging_2085/klagomålsmail/A 62676-2025 FSC-klagomål mail.docx", "A 62676-2025")</f>
        <v/>
      </c>
      <c r="AC107">
        <f>HYPERLINK("https://klasma.github.io/Logging_2085/tillsyn/A 62676-2025 tillsynsbegäran.docx", "A 62676-2025")</f>
        <v/>
      </c>
      <c r="AD107">
        <f>HYPERLINK("https://klasma.github.io/Logging_2085/tillsynsmail/A 62676-2025 tillsynsbegäran mail.docx", "A 62676-2025")</f>
        <v/>
      </c>
    </row>
    <row r="108" ht="15" customHeight="1">
      <c r="A108" t="inlineStr">
        <is>
          <t>A 44578-2023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46265</v>
      </c>
      <c r="F108" t="inlineStr">
        <is>
          <t>DALARNAS LÄN</t>
        </is>
      </c>
      <c r="G108" t="inlineStr">
        <is>
          <t>LUDVIKA</t>
        </is>
      </c>
      <c r="H108" t="inlineStr">
        <is>
          <t>Övriga Aktiebolag</t>
        </is>
      </c>
      <c r="I108" t="n">
        <v>12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Dofttaggsvamp</t>
        </is>
      </c>
      <c r="W108">
        <f>HYPERLINK("https://klasma.github.io/Logging_2085/artfynd/A 44578-2023 artfynd.xlsx", "A 44578-2023")</f>
        <v/>
      </c>
      <c r="X108">
        <f>HYPERLINK("https://klasma.github.io/Logging_2085/kartor/A 44578-2023 karta.png", "A 44578-2023")</f>
        <v/>
      </c>
      <c r="Y108">
        <f>HYPERLINK("https://klasma.github.io/Logging_2085/kartor_geotiff/A 44578-2023 georefererad karta.tif", "A 44578-2023")</f>
        <v/>
      </c>
      <c r="AA108">
        <f>HYPERLINK("https://klasma.github.io/Logging_2085/klagomål/A 44578-2023 FSC-klagomål.docx", "A 44578-2023")</f>
        <v/>
      </c>
      <c r="AB108">
        <f>HYPERLINK("https://klasma.github.io/Logging_2085/klagomålsmail/A 44578-2023 FSC-klagomål mail.docx", "A 44578-2023")</f>
        <v/>
      </c>
      <c r="AC108">
        <f>HYPERLINK("https://klasma.github.io/Logging_2085/tillsyn/A 44578-2023 tillsynsbegäran.docx", "A 44578-2023")</f>
        <v/>
      </c>
      <c r="AD108">
        <f>HYPERLINK("https://klasma.github.io/Logging_2085/tillsynsmail/A 44578-2023 tillsynsbegäran mail.docx", "A 44578-2023")</f>
        <v/>
      </c>
    </row>
    <row r="109" ht="15" customHeight="1">
      <c r="A109" t="inlineStr">
        <is>
          <t>A 62275-2022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44923</v>
      </c>
      <c r="E109" s="1" t="n">
        <v>46265</v>
      </c>
      <c r="F109" t="inlineStr">
        <is>
          <t>DALARNAS LÄN</t>
        </is>
      </c>
      <c r="G109" t="inlineStr">
        <is>
          <t>LUDVIKA</t>
        </is>
      </c>
      <c r="I109" t="n">
        <v>4.6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2</v>
      </c>
      <c r="V109" s="2" t="inlineStr">
        <is>
          <t>Knärot</t>
        </is>
      </c>
      <c r="W109">
        <f>HYPERLINK("https://klasma.github.io/Logging_2085/artfynd/A 62275-2022 artfynd.xlsx", "A 62275-2022")</f>
        <v/>
      </c>
      <c r="X109">
        <f>HYPERLINK("https://klasma.github.io/Logging_2085/kartor/A 62275-2022 karta.png", "A 62275-2022")</f>
        <v/>
      </c>
      <c r="Y109">
        <f>HYPERLINK("https://klasma.github.io/Logging_2085/kartor_geotiff/A 62275-2022 georefererad karta.tif", "A 62275-2022")</f>
        <v/>
      </c>
      <c r="Z109">
        <f>HYPERLINK("https://klasma.github.io/Logging_2085/knärot/A 62275-2022 karta knärot.png", "A 62275-2022")</f>
        <v/>
      </c>
      <c r="AA109">
        <f>HYPERLINK("https://klasma.github.io/Logging_2085/klagomål/A 62275-2022 FSC-klagomål.docx", "A 62275-2022")</f>
        <v/>
      </c>
      <c r="AB109">
        <f>HYPERLINK("https://klasma.github.io/Logging_2085/klagomålsmail/A 62275-2022 FSC-klagomål mail.docx", "A 62275-2022")</f>
        <v/>
      </c>
      <c r="AC109">
        <f>HYPERLINK("https://klasma.github.io/Logging_2085/tillsyn/A 62275-2022 tillsynsbegäran.docx", "A 62275-2022")</f>
        <v/>
      </c>
      <c r="AD109">
        <f>HYPERLINK("https://klasma.github.io/Logging_2085/tillsynsmail/A 62275-2022 tillsynsbegäran mail.docx", "A 62275-2022")</f>
        <v/>
      </c>
    </row>
    <row r="110" ht="15" customHeight="1">
      <c r="A110" t="inlineStr">
        <is>
          <t>A 1237-2026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46265</v>
      </c>
      <c r="F110" t="inlineStr">
        <is>
          <t>DALARNAS LÄN</t>
        </is>
      </c>
      <c r="G110" t="inlineStr">
        <is>
          <t>LUDVIKA</t>
        </is>
      </c>
      <c r="I110" t="n">
        <v>5.9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3</v>
      </c>
      <c r="U110" t="n">
        <v>0</v>
      </c>
      <c r="V110" s="2" t="inlineStr">
        <is>
          <t>Fläcknycklar</t>
        </is>
      </c>
      <c r="W110">
        <f>HYPERLINK("https://klasma.github.io/Logging_2085/artfynd/A 1237-2026 artfynd.xlsx", "A 1237-2026")</f>
        <v/>
      </c>
      <c r="X110">
        <f>HYPERLINK("https://klasma.github.io/Logging_2085/kartor/A 1237-2026 karta.png", "A 1237-2026")</f>
        <v/>
      </c>
      <c r="Y110">
        <f>HYPERLINK("https://klasma.github.io/Logging_2085/kartor_geotiff/A 1237-2026 georefererad karta.tif", "A 1237-2026")</f>
        <v/>
      </c>
      <c r="AA110">
        <f>HYPERLINK("https://klasma.github.io/Logging_2085/klagomål/A 1237-2026 FSC-klagomål.docx", "A 1237-2026")</f>
        <v/>
      </c>
      <c r="AB110">
        <f>HYPERLINK("https://klasma.github.io/Logging_2085/klagomålsmail/A 1237-2026 FSC-klagomål mail.docx", "A 1237-2026")</f>
        <v/>
      </c>
      <c r="AC110">
        <f>HYPERLINK("https://klasma.github.io/Logging_2085/tillsyn/A 1237-2026 tillsynsbegäran.docx", "A 1237-2026")</f>
        <v/>
      </c>
      <c r="AD110">
        <f>HYPERLINK("https://klasma.github.io/Logging_2085/tillsynsmail/A 1237-2026 tillsynsbegäran mail.docx", "A 1237-2026")</f>
        <v/>
      </c>
    </row>
    <row r="111" ht="15" customHeight="1">
      <c r="A111" t="inlineStr">
        <is>
          <t>A 59947-2025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46265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HYPERLINK("https://klasma.github.io/Logging_2085/artfynd/A 59947-2025 artfynd.xlsx", "A 59947-2025")</f>
        <v/>
      </c>
      <c r="X111">
        <f>HYPERLINK("https://klasma.github.io/Logging_2085/kartor/A 59947-2025 karta.png", "A 59947-2025")</f>
        <v/>
      </c>
      <c r="Y111">
        <f>HYPERLINK("https://klasma.github.io/Logging_2085/kartor_geotiff/A 59947-2025 georefererad karta.tif", "A 59947-2025")</f>
        <v/>
      </c>
      <c r="AA111">
        <f>HYPERLINK("https://klasma.github.io/Logging_2085/klagomål/A 59947-2025 FSC-klagomål.docx", "A 59947-2025")</f>
        <v/>
      </c>
      <c r="AB111">
        <f>HYPERLINK("https://klasma.github.io/Logging_2085/klagomålsmail/A 59947-2025 FSC-klagomål mail.docx", "A 59947-2025")</f>
        <v/>
      </c>
      <c r="AC111">
        <f>HYPERLINK("https://klasma.github.io/Logging_2085/tillsyn/A 59947-2025 tillsynsbegäran.docx", "A 59947-2025")</f>
        <v/>
      </c>
      <c r="AD111">
        <f>HYPERLINK("https://klasma.github.io/Logging_2085/tillsynsmail/A 59947-2025 tillsynsbegäran mail.docx", "A 59947-2025")</f>
        <v/>
      </c>
      <c r="AE111">
        <f>HYPERLINK("https://klasma.github.io/Logging_2085/fåglar/A 59947-2025 prioriterade fågelarter.docx", "A 59947-2025")</f>
        <v/>
      </c>
    </row>
    <row r="112" ht="15" customHeight="1">
      <c r="A112" t="inlineStr">
        <is>
          <t>A 17987-2025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45761</v>
      </c>
      <c r="E112" s="1" t="n">
        <v>46265</v>
      </c>
      <c r="F112" t="inlineStr">
        <is>
          <t>DALARNAS LÄN</t>
        </is>
      </c>
      <c r="G112" t="inlineStr">
        <is>
          <t>LUDVIKA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HYPERLINK("https://klasma.github.io/Logging_2085/artfynd/A 17987-2025 artfynd.xlsx", "A 17987-2025")</f>
        <v/>
      </c>
      <c r="X112">
        <f>HYPERLINK("https://klasma.github.io/Logging_2085/kartor/A 17987-2025 karta.png", "A 17987-2025")</f>
        <v/>
      </c>
      <c r="Y112">
        <f>HYPERLINK("https://klasma.github.io/Logging_2085/kartor_geotiff/A 17987-2025 georefererad karta.tif", "A 17987-2025")</f>
        <v/>
      </c>
      <c r="AA112">
        <f>HYPERLINK("https://klasma.github.io/Logging_2085/klagomål/A 17987-2025 FSC-klagomål.docx", "A 17987-2025")</f>
        <v/>
      </c>
      <c r="AB112">
        <f>HYPERLINK("https://klasma.github.io/Logging_2085/klagomålsmail/A 17987-2025 FSC-klagomål mail.docx", "A 17987-2025")</f>
        <v/>
      </c>
      <c r="AC112">
        <f>HYPERLINK("https://klasma.github.io/Logging_2085/tillsyn/A 17987-2025 tillsynsbegäran.docx", "A 17987-2025")</f>
        <v/>
      </c>
      <c r="AD112">
        <f>HYPERLINK("https://klasma.github.io/Logging_2085/tillsynsmail/A 17987-2025 tillsynsbegäran mail.docx", "A 17987-2025")</f>
        <v/>
      </c>
      <c r="AE112">
        <f>HYPERLINK("https://klasma.github.io/Logging_2085/fåglar/A 17987-2025 prioriterade fågelarter.docx", "A 17987-2025")</f>
        <v/>
      </c>
    </row>
    <row r="113" ht="15" customHeight="1">
      <c r="A113" t="inlineStr">
        <is>
          <t>A 25588-2023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46265</v>
      </c>
      <c r="F113" t="inlineStr">
        <is>
          <t>DALARNAS LÄN</t>
        </is>
      </c>
      <c r="G113" t="inlineStr">
        <is>
          <t>LUDVIKA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Garnlav</t>
        </is>
      </c>
      <c r="W113">
        <f>HYPERLINK("https://klasma.github.io/Logging_2085/artfynd/A 25588-2023 artfynd.xlsx", "A 25588-2023")</f>
        <v/>
      </c>
      <c r="X113">
        <f>HYPERLINK("https://klasma.github.io/Logging_2085/kartor/A 25588-2023 karta.png", "A 25588-2023")</f>
        <v/>
      </c>
      <c r="Y113">
        <f>HYPERLINK("https://klasma.github.io/Logging_2085/kartor_geotiff/A 25588-2023 georefererad karta.tif", "A 25588-2023")</f>
        <v/>
      </c>
      <c r="AA113">
        <f>HYPERLINK("https://klasma.github.io/Logging_2085/klagomål/A 25588-2023 FSC-klagomål.docx", "A 25588-2023")</f>
        <v/>
      </c>
      <c r="AB113">
        <f>HYPERLINK("https://klasma.github.io/Logging_2085/klagomålsmail/A 25588-2023 FSC-klagomål mail.docx", "A 25588-2023")</f>
        <v/>
      </c>
      <c r="AC113">
        <f>HYPERLINK("https://klasma.github.io/Logging_2085/tillsyn/A 25588-2023 tillsynsbegäran.docx", "A 25588-2023")</f>
        <v/>
      </c>
      <c r="AD113">
        <f>HYPERLINK("https://klasma.github.io/Logging_2085/tillsynsmail/A 25588-2023 tillsynsbegäran mail.docx", "A 25588-2023")</f>
        <v/>
      </c>
    </row>
    <row r="114" ht="15" customHeight="1">
      <c r="A114" t="inlineStr">
        <is>
          <t>A 12093-2023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44998</v>
      </c>
      <c r="E114" s="1" t="n">
        <v>46265</v>
      </c>
      <c r="F114" t="inlineStr">
        <is>
          <t>DALARNAS LÄN</t>
        </is>
      </c>
      <c r="G114" t="inlineStr">
        <is>
          <t>LUDVIKA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Bitter taggsvamp</t>
        </is>
      </c>
      <c r="W114">
        <f>HYPERLINK("https://klasma.github.io/Logging_2085/artfynd/A 12093-2023 artfynd.xlsx", "A 12093-2023")</f>
        <v/>
      </c>
      <c r="X114">
        <f>HYPERLINK("https://klasma.github.io/Logging_2085/kartor/A 12093-2023 karta.png", "A 12093-2023")</f>
        <v/>
      </c>
      <c r="Y114">
        <f>HYPERLINK("https://klasma.github.io/Logging_2085/kartor_geotiff/A 12093-2023 georefererad karta.tif", "A 12093-2023")</f>
        <v/>
      </c>
      <c r="AA114">
        <f>HYPERLINK("https://klasma.github.io/Logging_2085/klagomål/A 12093-2023 FSC-klagomål.docx", "A 12093-2023")</f>
        <v/>
      </c>
      <c r="AB114">
        <f>HYPERLINK("https://klasma.github.io/Logging_2085/klagomålsmail/A 12093-2023 FSC-klagomål mail.docx", "A 12093-2023")</f>
        <v/>
      </c>
      <c r="AC114">
        <f>HYPERLINK("https://klasma.github.io/Logging_2085/tillsyn/A 12093-2023 tillsynsbegäran.docx", "A 12093-2023")</f>
        <v/>
      </c>
      <c r="AD114">
        <f>HYPERLINK("https://klasma.github.io/Logging_2085/tillsynsmail/A 12093-2023 tillsynsbegäran mail.docx", "A 12093-2023")</f>
        <v/>
      </c>
    </row>
    <row r="115" ht="15" customHeight="1">
      <c r="A115" t="inlineStr">
        <is>
          <t>A 33560-2023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45131</v>
      </c>
      <c r="E115" s="1" t="n">
        <v>46265</v>
      </c>
      <c r="F115" t="inlineStr">
        <is>
          <t>DALARNAS LÄN</t>
        </is>
      </c>
      <c r="G115" t="inlineStr">
        <is>
          <t>LUDVIKA</t>
        </is>
      </c>
      <c r="I115" t="n">
        <v>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vattensalamander</t>
        </is>
      </c>
      <c r="W115">
        <f>HYPERLINK("https://klasma.github.io/Logging_2085/artfynd/A 33560-2023 artfynd.xlsx", "A 33560-2023")</f>
        <v/>
      </c>
      <c r="X115">
        <f>HYPERLINK("https://klasma.github.io/Logging_2085/kartor/A 33560-2023 karta.png", "A 33560-2023")</f>
        <v/>
      </c>
      <c r="Y115">
        <f>HYPERLINK("https://klasma.github.io/Logging_2085/kartor_geotiff/A 33560-2023 georefererad karta.tif", "A 33560-2023")</f>
        <v/>
      </c>
      <c r="AA115">
        <f>HYPERLINK("https://klasma.github.io/Logging_2085/klagomål/A 33560-2023 FSC-klagomål.docx", "A 33560-2023")</f>
        <v/>
      </c>
      <c r="AB115">
        <f>HYPERLINK("https://klasma.github.io/Logging_2085/klagomålsmail/A 33560-2023 FSC-klagomål mail.docx", "A 33560-2023")</f>
        <v/>
      </c>
      <c r="AC115">
        <f>HYPERLINK("https://klasma.github.io/Logging_2085/tillsyn/A 33560-2023 tillsynsbegäran.docx", "A 33560-2023")</f>
        <v/>
      </c>
      <c r="AD115">
        <f>HYPERLINK("https://klasma.github.io/Logging_2085/tillsynsmail/A 33560-2023 tillsynsbegäran mail.docx", "A 33560-2023")</f>
        <v/>
      </c>
    </row>
    <row r="116" ht="15" customHeight="1">
      <c r="A116" t="inlineStr">
        <is>
          <t>A 3687-2024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45321</v>
      </c>
      <c r="E116" s="1" t="n">
        <v>46265</v>
      </c>
      <c r="F116" t="inlineStr">
        <is>
          <t>DALARNAS LÄN</t>
        </is>
      </c>
      <c r="G116" t="inlineStr">
        <is>
          <t>LUDVIKA</t>
        </is>
      </c>
      <c r="I116" t="n">
        <v>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HYPERLINK("https://klasma.github.io/Logging_2085/artfynd/A 3687-2024 artfynd.xlsx", "A 3687-2024")</f>
        <v/>
      </c>
      <c r="X116">
        <f>HYPERLINK("https://klasma.github.io/Logging_2085/kartor/A 3687-2024 karta.png", "A 3687-2024")</f>
        <v/>
      </c>
      <c r="Y116">
        <f>HYPERLINK("https://klasma.github.io/Logging_2085/kartor_geotiff/A 3687-2024 georefererad karta.tif", "A 3687-2024")</f>
        <v/>
      </c>
      <c r="AA116">
        <f>HYPERLINK("https://klasma.github.io/Logging_2085/klagomål/A 3687-2024 FSC-klagomål.docx", "A 3687-2024")</f>
        <v/>
      </c>
      <c r="AB116">
        <f>HYPERLINK("https://klasma.github.io/Logging_2085/klagomålsmail/A 3687-2024 FSC-klagomål mail.docx", "A 3687-2024")</f>
        <v/>
      </c>
      <c r="AC116">
        <f>HYPERLINK("https://klasma.github.io/Logging_2085/tillsyn/A 3687-2024 tillsynsbegäran.docx", "A 3687-2024")</f>
        <v/>
      </c>
      <c r="AD116">
        <f>HYPERLINK("https://klasma.github.io/Logging_2085/tillsynsmail/A 3687-2024 tillsynsbegäran mail.docx", "A 3687-2024")</f>
        <v/>
      </c>
    </row>
    <row r="117" ht="15" customHeight="1">
      <c r="A117" t="inlineStr">
        <is>
          <t>A 56119-2021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44477</v>
      </c>
      <c r="E117" s="1" t="n">
        <v>46265</v>
      </c>
      <c r="F117" t="inlineStr">
        <is>
          <t>DALARNAS LÄN</t>
        </is>
      </c>
      <c r="G117" t="inlineStr">
        <is>
          <t>LUDVIKA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HYPERLINK("https://klasma.github.io/Logging_2085/artfynd/A 56119-2021 artfynd.xlsx", "A 56119-2021")</f>
        <v/>
      </c>
      <c r="X117">
        <f>HYPERLINK("https://klasma.github.io/Logging_2085/kartor/A 56119-2021 karta.png", "A 56119-2021")</f>
        <v/>
      </c>
      <c r="Y117">
        <f>HYPERLINK("https://klasma.github.io/Logging_2085/kartor_geotiff/A 56119-2021 georefererad karta.tif", "A 56119-2021")</f>
        <v/>
      </c>
      <c r="AA117">
        <f>HYPERLINK("https://klasma.github.io/Logging_2085/klagomål/A 56119-2021 FSC-klagomål.docx", "A 56119-2021")</f>
        <v/>
      </c>
      <c r="AB117">
        <f>HYPERLINK("https://klasma.github.io/Logging_2085/klagomålsmail/A 56119-2021 FSC-klagomål mail.docx", "A 56119-2021")</f>
        <v/>
      </c>
      <c r="AC117">
        <f>HYPERLINK("https://klasma.github.io/Logging_2085/tillsyn/A 56119-2021 tillsynsbegäran.docx", "A 56119-2021")</f>
        <v/>
      </c>
      <c r="AD117">
        <f>HYPERLINK("https://klasma.github.io/Logging_2085/tillsynsmail/A 56119-2021 tillsynsbegäran mail.docx", "A 56119-2021")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46265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Strimspindling</t>
        </is>
      </c>
      <c r="W118">
        <f>HYPERLINK("https://klasma.github.io/Logging_2085/artfynd/A 21499-2022 artfynd.xlsx", "A 21499-2022")</f>
        <v/>
      </c>
      <c r="X118">
        <f>HYPERLINK("https://klasma.github.io/Logging_2085/kartor/A 21499-2022 karta.png", "A 21499-2022")</f>
        <v/>
      </c>
      <c r="Y118">
        <f>HYPERLINK("https://klasma.github.io/Logging_2085/kartor_geotiff/A 21499-2022 georefererad karta.tif", "A 21499-2022")</f>
        <v/>
      </c>
      <c r="AA118">
        <f>HYPERLINK("https://klasma.github.io/Logging_2085/klagomål/A 21499-2022 FSC-klagomål.docx", "A 21499-2022")</f>
        <v/>
      </c>
      <c r="AB118">
        <f>HYPERLINK("https://klasma.github.io/Logging_2085/klagomålsmail/A 21499-2022 FSC-klagomål mail.docx", "A 21499-2022")</f>
        <v/>
      </c>
      <c r="AC118">
        <f>HYPERLINK("https://klasma.github.io/Logging_2085/tillsyn/A 21499-2022 tillsynsbegäran.docx", "A 21499-2022")</f>
        <v/>
      </c>
      <c r="AD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18189-2025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46265</v>
      </c>
      <c r="F119" t="inlineStr">
        <is>
          <t>DALARNAS LÄN</t>
        </is>
      </c>
      <c r="G119" t="inlineStr">
        <is>
          <t>LUDVIKA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Fläcknycklar</t>
        </is>
      </c>
      <c r="W119">
        <f>HYPERLINK("https://klasma.github.io/Logging_2085/artfynd/A 18189-2025 artfynd.xlsx", "A 18189-2025")</f>
        <v/>
      </c>
      <c r="X119">
        <f>HYPERLINK("https://klasma.github.io/Logging_2085/kartor/A 18189-2025 karta.png", "A 18189-2025")</f>
        <v/>
      </c>
      <c r="Y119">
        <f>HYPERLINK("https://klasma.github.io/Logging_2085/kartor_geotiff/A 18189-2025 georefererad karta.tif", "A 18189-2025")</f>
        <v/>
      </c>
      <c r="AA119">
        <f>HYPERLINK("https://klasma.github.io/Logging_2085/klagomål/A 18189-2025 FSC-klagomål.docx", "A 18189-2025")</f>
        <v/>
      </c>
      <c r="AB119">
        <f>HYPERLINK("https://klasma.github.io/Logging_2085/klagomålsmail/A 18189-2025 FSC-klagomål mail.docx", "A 18189-2025")</f>
        <v/>
      </c>
      <c r="AC119">
        <f>HYPERLINK("https://klasma.github.io/Logging_2085/tillsyn/A 18189-2025 tillsynsbegäran.docx", "A 18189-2025")</f>
        <v/>
      </c>
      <c r="AD119">
        <f>HYPERLINK("https://klasma.github.io/Logging_2085/tillsynsmail/A 18189-2025 tillsynsbegäran mail.docx", "A 18189-2025")</f>
        <v/>
      </c>
    </row>
    <row r="120" ht="15" customHeight="1">
      <c r="A120" t="inlineStr">
        <is>
          <t>A 51886-2022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46265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1.8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HYPERLINK("https://klasma.github.io/Logging_2085/artfynd/A 51886-2022 artfynd.xlsx", "A 51886-2022")</f>
        <v/>
      </c>
      <c r="X120">
        <f>HYPERLINK("https://klasma.github.io/Logging_2085/kartor/A 51886-2022 karta.png", "A 51886-2022")</f>
        <v/>
      </c>
      <c r="Y120">
        <f>HYPERLINK("https://klasma.github.io/Logging_2085/kartor_geotiff/A 51886-2022 georefererad karta.tif", "A 51886-2022")</f>
        <v/>
      </c>
      <c r="AA120">
        <f>HYPERLINK("https://klasma.github.io/Logging_2085/klagomål/A 51886-2022 FSC-klagomål.docx", "A 51886-2022")</f>
        <v/>
      </c>
      <c r="AB120">
        <f>HYPERLINK("https://klasma.github.io/Logging_2085/klagomålsmail/A 51886-2022 FSC-klagomål mail.docx", "A 51886-2022")</f>
        <v/>
      </c>
      <c r="AC120">
        <f>HYPERLINK("https://klasma.github.io/Logging_2085/tillsyn/A 51886-2022 tillsynsbegäran.docx", "A 51886-2022")</f>
        <v/>
      </c>
      <c r="AD120">
        <f>HYPERLINK("https://klasma.github.io/Logging_2085/tillsynsmail/A 51886-2022 tillsynsbegäran mail.docx", "A 51886-2022")</f>
        <v/>
      </c>
    </row>
    <row r="121" ht="15" customHeight="1">
      <c r="A121" t="inlineStr">
        <is>
          <t>A 1047-2023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46265</v>
      </c>
      <c r="F121" t="inlineStr">
        <is>
          <t>DALARNAS LÄN</t>
        </is>
      </c>
      <c r="G121" t="inlineStr">
        <is>
          <t>LUDVIKA</t>
        </is>
      </c>
      <c r="H121" t="inlineStr">
        <is>
          <t>Kommuner</t>
        </is>
      </c>
      <c r="I121" t="n">
        <v>3.2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HYPERLINK("https://klasma.github.io/Logging_2085/artfynd/A 1047-2023 artfynd.xlsx", "A 1047-2023")</f>
        <v/>
      </c>
      <c r="X121">
        <f>HYPERLINK("https://klasma.github.io/Logging_2085/kartor/A 1047-2023 karta.png", "A 1047-2023")</f>
        <v/>
      </c>
      <c r="Y121">
        <f>HYPERLINK("https://klasma.github.io/Logging_2085/kartor_geotiff/A 1047-2023 georefererad karta.tif", "A 1047-2023")</f>
        <v/>
      </c>
      <c r="AA121">
        <f>HYPERLINK("https://klasma.github.io/Logging_2085/klagomål/A 1047-2023 FSC-klagomål.docx", "A 1047-2023")</f>
        <v/>
      </c>
      <c r="AB121">
        <f>HYPERLINK("https://klasma.github.io/Logging_2085/klagomålsmail/A 1047-2023 FSC-klagomål mail.docx", "A 1047-2023")</f>
        <v/>
      </c>
      <c r="AC121">
        <f>HYPERLINK("https://klasma.github.io/Logging_2085/tillsyn/A 1047-2023 tillsynsbegäran.docx", "A 1047-2023")</f>
        <v/>
      </c>
      <c r="AD121">
        <f>HYPERLINK("https://klasma.github.io/Logging_2085/tillsynsmail/A 1047-2023 tillsynsbegäran mail.docx", "A 1047-2023")</f>
        <v/>
      </c>
    </row>
    <row r="122" ht="15" customHeight="1">
      <c r="A122" t="inlineStr">
        <is>
          <t>A 21880-2026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46265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3.2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21880-2026 artfynd.xlsx", "A 21880-2026")</f>
        <v/>
      </c>
      <c r="X122">
        <f>HYPERLINK("https://klasma.github.io/Logging_2085/kartor/A 21880-2026 karta.png", "A 21880-2026")</f>
        <v/>
      </c>
      <c r="Y122">
        <f>HYPERLINK("https://klasma.github.io/Logging_2085/kartor_geotiff/A 21880-2026 georefererad karta.tif", "A 21880-2026")</f>
        <v/>
      </c>
      <c r="AA122">
        <f>HYPERLINK("https://klasma.github.io/Logging_2085/klagomål/A 21880-2026 FSC-klagomål.docx", "A 21880-2026")</f>
        <v/>
      </c>
      <c r="AB122">
        <f>HYPERLINK("https://klasma.github.io/Logging_2085/klagomålsmail/A 21880-2026 FSC-klagomål mail.docx", "A 21880-2026")</f>
        <v/>
      </c>
      <c r="AC122">
        <f>HYPERLINK("https://klasma.github.io/Logging_2085/tillsyn/A 21880-2026 tillsynsbegäran.docx", "A 21880-2026")</f>
        <v/>
      </c>
      <c r="AD122">
        <f>HYPERLINK("https://klasma.github.io/Logging_2085/tillsynsmail/A 21880-2026 tillsynsbegäran mail.docx", "A 21880-2026")</f>
        <v/>
      </c>
      <c r="AE122">
        <f>HYPERLINK("https://klasma.github.io/Logging_2085/fåglar/A 21880-2026 prioriterade fågelarter.docx", "A 21880-2026")</f>
        <v/>
      </c>
    </row>
    <row r="123" ht="15" customHeight="1">
      <c r="A123" t="inlineStr">
        <is>
          <t>A 23720-2026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46265</v>
      </c>
      <c r="F123" t="inlineStr">
        <is>
          <t>DALARNAS LÄN</t>
        </is>
      </c>
      <c r="G123" t="inlineStr">
        <is>
          <t>LUDVIKA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HYPERLINK("https://klasma.github.io/Logging_2085/artfynd/A 23720-2026 artfynd.xlsx", "A 23720-2026")</f>
        <v/>
      </c>
      <c r="X123">
        <f>HYPERLINK("https://klasma.github.io/Logging_2085/kartor/A 23720-2026 karta.png", "A 23720-2026")</f>
        <v/>
      </c>
      <c r="Y123">
        <f>HYPERLINK("https://klasma.github.io/Logging_2085/kartor_geotiff/A 23720-2026 georefererad karta.tif", "A 23720-2026")</f>
        <v/>
      </c>
      <c r="AA123">
        <f>HYPERLINK("https://klasma.github.io/Logging_2085/klagomål/A 23720-2026 FSC-klagomål.docx", "A 23720-2026")</f>
        <v/>
      </c>
      <c r="AB123">
        <f>HYPERLINK("https://klasma.github.io/Logging_2085/klagomålsmail/A 23720-2026 FSC-klagomål mail.docx", "A 23720-2026")</f>
        <v/>
      </c>
      <c r="AC123">
        <f>HYPERLINK("https://klasma.github.io/Logging_2085/tillsyn/A 23720-2026 tillsynsbegäran.docx", "A 23720-2026")</f>
        <v/>
      </c>
      <c r="AD123">
        <f>HYPERLINK("https://klasma.github.io/Logging_2085/tillsynsmail/A 23720-2026 tillsynsbegäran mail.docx", "A 23720-2026")</f>
        <v/>
      </c>
      <c r="AE123">
        <f>HYPERLINK("https://klasma.github.io/Logging_2085/fåglar/A 23720-2026 prioriterade fågelarter.docx", "A 23720-2026")</f>
        <v/>
      </c>
    </row>
    <row r="124" ht="15" customHeight="1">
      <c r="A124" t="inlineStr">
        <is>
          <t>A 23778-2026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46164</v>
      </c>
      <c r="E124" s="1" t="n">
        <v>46265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23778-2026 artfynd.xlsx", "A 23778-2026")</f>
        <v/>
      </c>
      <c r="X124">
        <f>HYPERLINK("https://klasma.github.io/Logging_2085/kartor/A 23778-2026 karta.png", "A 23778-2026")</f>
        <v/>
      </c>
      <c r="Y124">
        <f>HYPERLINK("https://klasma.github.io/Logging_2085/kartor_geotiff/A 23778-2026 georefererad karta.tif", "A 23778-2026")</f>
        <v/>
      </c>
      <c r="AA124">
        <f>HYPERLINK("https://klasma.github.io/Logging_2085/klagomål/A 23778-2026 FSC-klagomål.docx", "A 23778-2026")</f>
        <v/>
      </c>
      <c r="AB124">
        <f>HYPERLINK("https://klasma.github.io/Logging_2085/klagomålsmail/A 23778-2026 FSC-klagomål mail.docx", "A 23778-2026")</f>
        <v/>
      </c>
      <c r="AC124">
        <f>HYPERLINK("https://klasma.github.io/Logging_2085/tillsyn/A 23778-2026 tillsynsbegäran.docx", "A 23778-2026")</f>
        <v/>
      </c>
      <c r="AD124">
        <f>HYPERLINK("https://klasma.github.io/Logging_2085/tillsynsmail/A 23778-2026 tillsynsbegäran mail.docx", "A 23778-2026")</f>
        <v/>
      </c>
      <c r="AE124">
        <f>HYPERLINK("https://klasma.github.io/Logging_2085/fåglar/A 23778-2026 prioriterade fågelarter.docx", "A 23778-2026")</f>
        <v/>
      </c>
    </row>
    <row r="125" ht="15" customHeight="1">
      <c r="A125" t="inlineStr">
        <is>
          <t>A 63005-2025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46265</v>
      </c>
      <c r="F125" t="inlineStr">
        <is>
          <t>DALARNAS LÄN</t>
        </is>
      </c>
      <c r="G125" t="inlineStr">
        <is>
          <t>LUDVIKA</t>
        </is>
      </c>
      <c r="I125" t="n">
        <v>4.4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63005-2025 artfynd.xlsx", "A 63005-2025")</f>
        <v/>
      </c>
      <c r="X125">
        <f>HYPERLINK("https://klasma.github.io/Logging_2085/kartor/A 63005-2025 karta.png", "A 63005-2025")</f>
        <v/>
      </c>
      <c r="Y125">
        <f>HYPERLINK("https://klasma.github.io/Logging_2085/kartor_geotiff/A 63005-2025 georefererad karta.tif", "A 63005-2025")</f>
        <v/>
      </c>
      <c r="AA125">
        <f>HYPERLINK("https://klasma.github.io/Logging_2085/klagomål/A 63005-2025 FSC-klagomål.docx", "A 63005-2025")</f>
        <v/>
      </c>
      <c r="AB125">
        <f>HYPERLINK("https://klasma.github.io/Logging_2085/klagomålsmail/A 63005-2025 FSC-klagomål mail.docx", "A 63005-2025")</f>
        <v/>
      </c>
      <c r="AC125">
        <f>HYPERLINK("https://klasma.github.io/Logging_2085/tillsyn/A 63005-2025 tillsynsbegäran.docx", "A 63005-2025")</f>
        <v/>
      </c>
      <c r="AD125">
        <f>HYPERLINK("https://klasma.github.io/Logging_2085/tillsynsmail/A 63005-2025 tillsynsbegäran mail.docx", "A 63005-2025")</f>
        <v/>
      </c>
      <c r="AE125">
        <f>HYPERLINK("https://klasma.github.io/Logging_2085/fåglar/A 63005-2025 prioriterade fågelarter.docx", "A 63005-2025")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46265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56655-2025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46265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8.5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56655-2025 artfynd.xlsx", "A 56655-2025")</f>
        <v/>
      </c>
      <c r="X127">
        <f>HYPERLINK("https://klasma.github.io/Logging_2085/kartor/A 56655-2025 karta.png", "A 56655-2025")</f>
        <v/>
      </c>
      <c r="Y127">
        <f>HYPERLINK("https://klasma.github.io/Logging_2085/kartor_geotiff/A 56655-2025 georefererad karta.tif", "A 56655-2025")</f>
        <v/>
      </c>
      <c r="AA127">
        <f>HYPERLINK("https://klasma.github.io/Logging_2085/klagomål/A 56655-2025 FSC-klagomål.docx", "A 56655-2025")</f>
        <v/>
      </c>
      <c r="AB127">
        <f>HYPERLINK("https://klasma.github.io/Logging_2085/klagomålsmail/A 56655-2025 FSC-klagomål mail.docx", "A 56655-2025")</f>
        <v/>
      </c>
      <c r="AC127">
        <f>HYPERLINK("https://klasma.github.io/Logging_2085/tillsyn/A 56655-2025 tillsynsbegäran.docx", "A 56655-2025")</f>
        <v/>
      </c>
      <c r="AD127">
        <f>HYPERLINK("https://klasma.github.io/Logging_2085/tillsynsmail/A 56655-2025 tillsynsbegäran mail.docx", "A 56655-2025")</f>
        <v/>
      </c>
      <c r="AE127">
        <f>HYPERLINK("https://klasma.github.io/Logging_2085/fåglar/A 56655-2025 prioriterade fågelarter.docx", "A 56655-2025")</f>
        <v/>
      </c>
    </row>
    <row r="128" ht="15" customHeight="1">
      <c r="A128" t="inlineStr">
        <is>
          <t>A 49660-2024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45596</v>
      </c>
      <c r="E128" s="1" t="n">
        <v>46265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husmossa</t>
        </is>
      </c>
      <c r="W128">
        <f>HYPERLINK("https://klasma.github.io/Logging_2085/artfynd/A 49660-2024 artfynd.xlsx", "A 49660-2024")</f>
        <v/>
      </c>
      <c r="X128">
        <f>HYPERLINK("https://klasma.github.io/Logging_2085/kartor/A 49660-2024 karta.png", "A 49660-2024")</f>
        <v/>
      </c>
      <c r="Y128">
        <f>HYPERLINK("https://klasma.github.io/Logging_2085/kartor_geotiff/A 49660-2024 georefererad karta.tif", "A 49660-2024")</f>
        <v/>
      </c>
      <c r="AA128">
        <f>HYPERLINK("https://klasma.github.io/Logging_2085/klagomål/A 49660-2024 FSC-klagomål.docx", "A 49660-2024")</f>
        <v/>
      </c>
      <c r="AB128">
        <f>HYPERLINK("https://klasma.github.io/Logging_2085/klagomålsmail/A 49660-2024 FSC-klagomål mail.docx", "A 49660-2024")</f>
        <v/>
      </c>
      <c r="AC128">
        <f>HYPERLINK("https://klasma.github.io/Logging_2085/tillsyn/A 49660-2024 tillsynsbegäran.docx", "A 49660-2024")</f>
        <v/>
      </c>
      <c r="AD128">
        <f>HYPERLINK("https://klasma.github.io/Logging_2085/tillsynsmail/A 49660-2024 tillsynsbegäran mail.docx", "A 49660-2024")</f>
        <v/>
      </c>
    </row>
    <row r="129" ht="15" customHeight="1">
      <c r="A129" t="inlineStr">
        <is>
          <t>A 60787-2024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45644</v>
      </c>
      <c r="E129" s="1" t="n">
        <v>46265</v>
      </c>
      <c r="F129" t="inlineStr">
        <is>
          <t>DALARNAS LÄN</t>
        </is>
      </c>
      <c r="G129" t="inlineStr">
        <is>
          <t>LUDVIKA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Järpe</t>
        </is>
      </c>
      <c r="W129">
        <f>HYPERLINK("https://klasma.github.io/Logging_2085/artfynd/A 60787-2024 artfynd.xlsx", "A 60787-2024")</f>
        <v/>
      </c>
      <c r="X129">
        <f>HYPERLINK("https://klasma.github.io/Logging_2085/kartor/A 60787-2024 karta.png", "A 60787-2024")</f>
        <v/>
      </c>
      <c r="Y129">
        <f>HYPERLINK("https://klasma.github.io/Logging_2085/kartor_geotiff/A 60787-2024 georefererad karta.tif", "A 60787-2024")</f>
        <v/>
      </c>
      <c r="AA129">
        <f>HYPERLINK("https://klasma.github.io/Logging_2085/klagomål/A 60787-2024 FSC-klagomål.docx", "A 60787-2024")</f>
        <v/>
      </c>
      <c r="AB129">
        <f>HYPERLINK("https://klasma.github.io/Logging_2085/klagomålsmail/A 60787-2024 FSC-klagomål mail.docx", "A 60787-2024")</f>
        <v/>
      </c>
      <c r="AC129">
        <f>HYPERLINK("https://klasma.github.io/Logging_2085/tillsyn/A 60787-2024 tillsynsbegäran.docx", "A 60787-2024")</f>
        <v/>
      </c>
      <c r="AD129">
        <f>HYPERLINK("https://klasma.github.io/Logging_2085/tillsynsmail/A 60787-2024 tillsynsbegäran mail.docx", "A 60787-2024")</f>
        <v/>
      </c>
      <c r="AE129">
        <f>HYPERLINK("https://klasma.github.io/Logging_2085/fåglar/A 60787-2024 prioriterade fågelarter.docx", "A 60787-2024")</f>
        <v/>
      </c>
    </row>
    <row r="130" ht="15" customHeight="1">
      <c r="A130" t="inlineStr">
        <is>
          <t>A 33399-2026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46265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HYPERLINK("https://klasma.github.io/Logging_2085/artfynd/A 33399-2026 artfynd.xlsx", "A 33399-2026")</f>
        <v/>
      </c>
      <c r="X130">
        <f>HYPERLINK("https://klasma.github.io/Logging_2085/kartor/A 33399-2026 karta.png", "A 33399-2026")</f>
        <v/>
      </c>
      <c r="Y130">
        <f>HYPERLINK("https://klasma.github.io/Logging_2085/kartor_geotiff/A 33399-2026 georefererad karta.tif", "A 33399-2026")</f>
        <v/>
      </c>
      <c r="AA130">
        <f>HYPERLINK("https://klasma.github.io/Logging_2085/klagomål/A 33399-2026 FSC-klagomål.docx", "A 33399-2026")</f>
        <v/>
      </c>
      <c r="AB130">
        <f>HYPERLINK("https://klasma.github.io/Logging_2085/klagomålsmail/A 33399-2026 FSC-klagomål mail.docx", "A 33399-2026")</f>
        <v/>
      </c>
      <c r="AC130">
        <f>HYPERLINK("https://klasma.github.io/Logging_2085/tillsyn/A 33399-2026 tillsynsbegäran.docx", "A 33399-2026")</f>
        <v/>
      </c>
      <c r="AD130">
        <f>HYPERLINK("https://klasma.github.io/Logging_2085/tillsynsmail/A 33399-2026 tillsynsbegäran mail.docx", "A 33399-2026")</f>
        <v/>
      </c>
      <c r="AE130">
        <f>HYPERLINK("https://klasma.github.io/Logging_2085/fåglar/A 33399-2026 prioriterade fågelarter.docx", "A 33399-2026")</f>
        <v/>
      </c>
    </row>
    <row r="131" ht="15" customHeight="1">
      <c r="A131" t="inlineStr">
        <is>
          <t>A 31352-2026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46219</v>
      </c>
      <c r="E131" s="1" t="n">
        <v>46265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HYPERLINK("https://klasma.github.io/Logging_2085/artfynd/A 31352-2026 artfynd.xlsx", "A 31352-2026")</f>
        <v/>
      </c>
      <c r="X131">
        <f>HYPERLINK("https://klasma.github.io/Logging_2085/kartor/A 31352-2026 karta.png", "A 31352-2026")</f>
        <v/>
      </c>
      <c r="Y131">
        <f>HYPERLINK("https://klasma.github.io/Logging_2085/kartor_geotiff/A 31352-2026 georefererad karta.tif", "A 31352-2026")</f>
        <v/>
      </c>
      <c r="AA131">
        <f>HYPERLINK("https://klasma.github.io/Logging_2085/klagomål/A 31352-2026 FSC-klagomål.docx", "A 31352-2026")</f>
        <v/>
      </c>
      <c r="AB131">
        <f>HYPERLINK("https://klasma.github.io/Logging_2085/klagomålsmail/A 31352-2026 FSC-klagomål mail.docx", "A 31352-2026")</f>
        <v/>
      </c>
      <c r="AC131">
        <f>HYPERLINK("https://klasma.github.io/Logging_2085/tillsyn/A 31352-2026 tillsynsbegäran.docx", "A 31352-2026")</f>
        <v/>
      </c>
      <c r="AD131">
        <f>HYPERLINK("https://klasma.github.io/Logging_2085/tillsynsmail/A 31352-2026 tillsynsbegäran mail.docx", "A 31352-2026")</f>
        <v/>
      </c>
    </row>
    <row r="132" ht="15" customHeight="1">
      <c r="A132" t="inlineStr">
        <is>
          <t>S 6285-2021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44447</v>
      </c>
      <c r="E132" s="1" t="n">
        <v>46265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28.7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Mattlummer</t>
        </is>
      </c>
      <c r="W132">
        <f>HYPERLINK("https://klasma.github.io/Logging_2085/artfynd/S 6285-2021 artfynd.xlsx", "S 6285-2021")</f>
        <v/>
      </c>
      <c r="X132">
        <f>HYPERLINK("https://klasma.github.io/Logging_2085/kartor/S 6285-2021 karta.png", "S 6285-2021")</f>
        <v/>
      </c>
      <c r="Y132">
        <f>HYPERLINK("https://klasma.github.io/Logging_2085/kartor_geotiff/S 6285-2021 georefererad karta.tif", "S 6285-2021")</f>
        <v/>
      </c>
      <c r="AA132">
        <f>HYPERLINK("https://klasma.github.io/Logging_2085/klagomål/S 6285-2021 FSC-klagomål.docx", "S 6285-2021")</f>
        <v/>
      </c>
      <c r="AB132">
        <f>HYPERLINK("https://klasma.github.io/Logging_2085/klagomålsmail/S 6285-2021 FSC-klagomål mail.docx", "S 6285-2021")</f>
        <v/>
      </c>
      <c r="AC132">
        <f>HYPERLINK("https://klasma.github.io/Logging_2085/tillsyn/S 6285-2021 tillsynsbegäran.docx", "S 6285-2021")</f>
        <v/>
      </c>
      <c r="AD132">
        <f>HYPERLINK("https://klasma.github.io/Logging_2085/tillsynsmail/S 6285-2021 tillsynsbegäran mail.docx", "S 6285-2021")</f>
        <v/>
      </c>
    </row>
    <row r="133" ht="15" customHeight="1">
      <c r="A133" t="inlineStr">
        <is>
          <t>A 47216-2021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44447</v>
      </c>
      <c r="E133" s="1" t="n">
        <v>46265</v>
      </c>
      <c r="F133" t="inlineStr">
        <is>
          <t>DALARNAS LÄN</t>
        </is>
      </c>
      <c r="G133" t="inlineStr">
        <is>
          <t>LUDVIKA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46265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46265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46265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46265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46265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46265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46265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46265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46265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46265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46265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46265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46265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46265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46265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44590</v>
      </c>
      <c r="E149" s="1" t="n">
        <v>46265</v>
      </c>
      <c r="F149" t="inlineStr">
        <is>
          <t>DALARNAS LÄN</t>
        </is>
      </c>
      <c r="G149" t="inlineStr">
        <is>
          <t>LUDVIKA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44706</v>
      </c>
      <c r="E150" s="1" t="n">
        <v>46265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46265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44785</v>
      </c>
      <c r="E152" s="1" t="n">
        <v>46265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46265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45313-2021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44439</v>
      </c>
      <c r="E154" s="1" t="n">
        <v>46265</v>
      </c>
      <c r="F154" t="inlineStr">
        <is>
          <t>DALARNAS LÄN</t>
        </is>
      </c>
      <c r="G154" t="inlineStr">
        <is>
          <t>LUDVIKA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46265</v>
      </c>
      <c r="F155" t="inlineStr">
        <is>
          <t>DALARNAS LÄN</t>
        </is>
      </c>
      <c r="G155" t="inlineStr">
        <is>
          <t>LUDVIKA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46265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46265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44715</v>
      </c>
      <c r="E158" s="1" t="n">
        <v>46265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44819</v>
      </c>
      <c r="E159" s="1" t="n">
        <v>46265</v>
      </c>
      <c r="F159" t="inlineStr">
        <is>
          <t>DALARNAS LÄN</t>
        </is>
      </c>
      <c r="G159" t="inlineStr">
        <is>
          <t>LUDVIKA</t>
        </is>
      </c>
      <c r="H159" t="inlineStr">
        <is>
          <t>Naturvårdsverket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45335</v>
      </c>
      <c r="E160" s="1" t="n">
        <v>46265</v>
      </c>
      <c r="F160" t="inlineStr">
        <is>
          <t>DALARNAS LÄN</t>
        </is>
      </c>
      <c r="G160" t="inlineStr">
        <is>
          <t>LUDVIKA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46265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46265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44826</v>
      </c>
      <c r="E163" s="1" t="n">
        <v>46265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45705</v>
      </c>
      <c r="E164" s="1" t="n">
        <v>46265</v>
      </c>
      <c r="F164" t="inlineStr">
        <is>
          <t>DALARNAS LÄN</t>
        </is>
      </c>
      <c r="G164" t="inlineStr">
        <is>
          <t>LUDVIKA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46265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34845-2024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45526</v>
      </c>
      <c r="E166" s="1" t="n">
        <v>46265</v>
      </c>
      <c r="F166" t="inlineStr">
        <is>
          <t>DALARNAS LÄN</t>
        </is>
      </c>
      <c r="G166" t="inlineStr">
        <is>
          <t>LUDVIKA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46265</v>
      </c>
      <c r="F167" t="inlineStr">
        <is>
          <t>DALARNAS LÄN</t>
        </is>
      </c>
      <c r="G167" t="inlineStr">
        <is>
          <t>LUDVIKA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46265</v>
      </c>
      <c r="F168" t="inlineStr">
        <is>
          <t>DALARNAS LÄN</t>
        </is>
      </c>
      <c r="G168" t="inlineStr">
        <is>
          <t>LUDVIKA</t>
        </is>
      </c>
      <c r="H168" t="inlineStr">
        <is>
          <t>Naturvårdsverket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46265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11436-2024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45372</v>
      </c>
      <c r="E170" s="1" t="n">
        <v>46265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52552-2025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45954</v>
      </c>
      <c r="E171" s="1" t="n">
        <v>46265</v>
      </c>
      <c r="F171" t="inlineStr">
        <is>
          <t>DALARNAS LÄN</t>
        </is>
      </c>
      <c r="G171" t="inlineStr">
        <is>
          <t>LUDVIKA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46265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46265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9.300000000000001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45784</v>
      </c>
      <c r="E174" s="1" t="n">
        <v>46265</v>
      </c>
      <c r="F174" t="inlineStr">
        <is>
          <t>DALARNAS LÄN</t>
        </is>
      </c>
      <c r="G174" t="inlineStr">
        <is>
          <t>LUDVIKA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52459-2025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45954</v>
      </c>
      <c r="E175" s="1" t="n">
        <v>46265</v>
      </c>
      <c r="F175" t="inlineStr">
        <is>
          <t>DALARNAS LÄN</t>
        </is>
      </c>
      <c r="G175" t="inlineStr">
        <is>
          <t>LUDVIKA</t>
        </is>
      </c>
      <c r="H175" t="inlineStr">
        <is>
          <t>Övriga Aktiebolag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46265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46265</v>
      </c>
      <c r="F177" t="inlineStr">
        <is>
          <t>DALARNAS LÄN</t>
        </is>
      </c>
      <c r="G177" t="inlineStr">
        <is>
          <t>LUDVIKA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46265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21893-2025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45784</v>
      </c>
      <c r="E179" s="1" t="n">
        <v>46265</v>
      </c>
      <c r="F179" t="inlineStr">
        <is>
          <t>DALARNAS LÄN</t>
        </is>
      </c>
      <c r="G179" t="inlineStr">
        <is>
          <t>LUDVIKA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45545</v>
      </c>
      <c r="E180" s="1" t="n">
        <v>46265</v>
      </c>
      <c r="F180" t="inlineStr">
        <is>
          <t>DALARNAS LÄN</t>
        </is>
      </c>
      <c r="G180" t="inlineStr">
        <is>
          <t>LUDVIKA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52427-2025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45954</v>
      </c>
      <c r="E181" s="1" t="n">
        <v>46265</v>
      </c>
      <c r="F181" t="inlineStr">
        <is>
          <t>DALARNAS LÄN</t>
        </is>
      </c>
      <c r="G181" t="inlineStr">
        <is>
          <t>LUDVIKA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48522-2023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45208</v>
      </c>
      <c r="E182" s="1" t="n">
        <v>46265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45957</v>
      </c>
      <c r="E183" s="1" t="n">
        <v>46265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52556-2025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45954</v>
      </c>
      <c r="E184" s="1" t="n">
        <v>46265</v>
      </c>
      <c r="F184" t="inlineStr">
        <is>
          <t>DALARNAS LÄN</t>
        </is>
      </c>
      <c r="G184" t="inlineStr">
        <is>
          <t>LUDVIKA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45450</v>
      </c>
      <c r="E185" s="1" t="n">
        <v>46265</v>
      </c>
      <c r="F185" t="inlineStr">
        <is>
          <t>DALARNAS LÄN</t>
        </is>
      </c>
      <c r="G185" t="inlineStr">
        <is>
          <t>LUDVIKA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45957</v>
      </c>
      <c r="E186" s="1" t="n">
        <v>46265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45957</v>
      </c>
      <c r="E187" s="1" t="n">
        <v>46265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42421-2024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46265</v>
      </c>
      <c r="F188" t="inlineStr">
        <is>
          <t>DALARNAS LÄN</t>
        </is>
      </c>
      <c r="G188" t="inlineStr">
        <is>
          <t>LUDVIKA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46265</v>
      </c>
      <c r="F189" t="inlineStr">
        <is>
          <t>DALARNAS LÄN</t>
        </is>
      </c>
      <c r="G189" t="inlineStr">
        <is>
          <t>LUDVIKA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46265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46265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46265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46265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45609</v>
      </c>
      <c r="E194" s="1" t="n">
        <v>46265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45963</v>
      </c>
      <c r="E195" s="1" t="n">
        <v>46265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46265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46265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47496-2022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44853</v>
      </c>
      <c r="E198" s="1" t="n">
        <v>46265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45904</v>
      </c>
      <c r="E199" s="1" t="n">
        <v>46265</v>
      </c>
      <c r="F199" t="inlineStr">
        <is>
          <t>DALARNAS LÄN</t>
        </is>
      </c>
      <c r="G199" t="inlineStr">
        <is>
          <t>LUDVIKA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31702-2023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45105</v>
      </c>
      <c r="E200" s="1" t="n">
        <v>46265</v>
      </c>
      <c r="F200" t="inlineStr">
        <is>
          <t>DALARNAS LÄN</t>
        </is>
      </c>
      <c r="G200" t="inlineStr">
        <is>
          <t>LUDVIKA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45134</v>
      </c>
      <c r="E201" s="1" t="n">
        <v>46265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32119-2023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46265</v>
      </c>
      <c r="F202" t="inlineStr">
        <is>
          <t>DALARNAS LÄN</t>
        </is>
      </c>
      <c r="G202" t="inlineStr">
        <is>
          <t>LUDVIKA</t>
        </is>
      </c>
      <c r="H202" t="inlineStr">
        <is>
          <t>Naturvårdsverket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22606-2025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45789</v>
      </c>
      <c r="E203" s="1" t="n">
        <v>46265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45789</v>
      </c>
      <c r="E204" s="1" t="n">
        <v>46265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46265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45600</v>
      </c>
      <c r="E206" s="1" t="n">
        <v>46265</v>
      </c>
      <c r="F206" t="inlineStr">
        <is>
          <t>DALARNAS LÄN</t>
        </is>
      </c>
      <c r="G206" t="inlineStr">
        <is>
          <t>LUDVIKA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46265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54341-2025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45965</v>
      </c>
      <c r="E208" s="1" t="n">
        <v>46265</v>
      </c>
      <c r="F208" t="inlineStr">
        <is>
          <t>DALARNAS LÄN</t>
        </is>
      </c>
      <c r="G208" t="inlineStr">
        <is>
          <t>LUDVIKA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46265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46265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46265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46265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46265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32277-2024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46265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45789</v>
      </c>
      <c r="E215" s="1" t="n">
        <v>46265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46265</v>
      </c>
      <c r="F216" t="inlineStr">
        <is>
          <t>DALARNAS LÄN</t>
        </is>
      </c>
      <c r="G216" t="inlineStr">
        <is>
          <t>LUDVIKA</t>
        </is>
      </c>
      <c r="H216" t="inlineStr">
        <is>
          <t>Övriga Aktiebolag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45789</v>
      </c>
      <c r="E217" s="1" t="n">
        <v>46265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45586</v>
      </c>
      <c r="E218" s="1" t="n">
        <v>46265</v>
      </c>
      <c r="F218" t="inlineStr">
        <is>
          <t>DALARNAS LÄN</t>
        </is>
      </c>
      <c r="G218" t="inlineStr">
        <is>
          <t>LUDVIKA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46265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46265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45560</v>
      </c>
      <c r="E221" s="1" t="n">
        <v>46265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46265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22686-2025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45786</v>
      </c>
      <c r="E223" s="1" t="n">
        <v>46265</v>
      </c>
      <c r="F223" t="inlineStr">
        <is>
          <t>DALARNAS LÄN</t>
        </is>
      </c>
      <c r="G223" t="inlineStr">
        <is>
          <t>LUDVIKA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46265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45968</v>
      </c>
      <c r="E225" s="1" t="n">
        <v>46265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46265</v>
      </c>
      <c r="F226" t="inlineStr">
        <is>
          <t>DALARNAS LÄN</t>
        </is>
      </c>
      <c r="G226" t="inlineStr">
        <is>
          <t>LUDVIKA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45524</v>
      </c>
      <c r="E227" s="1" t="n">
        <v>46265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44883</v>
      </c>
      <c r="E228" s="1" t="n">
        <v>46265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45972</v>
      </c>
      <c r="E229" s="1" t="n">
        <v>46265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46265</v>
      </c>
      <c r="F230" t="inlineStr">
        <is>
          <t>DALARNAS LÄN</t>
        </is>
      </c>
      <c r="G230" t="inlineStr">
        <is>
          <t>LUDVIKA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46265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46265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46265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46265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46265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46265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46265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46265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46265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46265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46265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46265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56030-2025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46265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46265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56316-2025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45974</v>
      </c>
      <c r="E245" s="1" t="n">
        <v>46265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8703-2023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44978</v>
      </c>
      <c r="E246" s="1" t="n">
        <v>46265</v>
      </c>
      <c r="F246" t="inlineStr">
        <is>
          <t>DALARNAS LÄN</t>
        </is>
      </c>
      <c r="G246" t="inlineStr">
        <is>
          <t>LUDVIKA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46265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46265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46265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41866-2025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46265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45903</v>
      </c>
      <c r="E251" s="1" t="n">
        <v>46265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46265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55034-2024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45621</v>
      </c>
      <c r="E253" s="1" t="n">
        <v>46265</v>
      </c>
      <c r="F253" t="inlineStr">
        <is>
          <t>DALARNAS LÄN</t>
        </is>
      </c>
      <c r="G253" t="inlineStr">
        <is>
          <t>LUDVIKA</t>
        </is>
      </c>
      <c r="H253" t="inlineStr">
        <is>
          <t>Naturvårdsverket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36338-2025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45868</v>
      </c>
      <c r="E254" s="1" t="n">
        <v>46265</v>
      </c>
      <c r="F254" t="inlineStr">
        <is>
          <t>DALARNAS LÄN</t>
        </is>
      </c>
      <c r="G254" t="inlineStr">
        <is>
          <t>LUDVIKA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46265</v>
      </c>
      <c r="F255" t="inlineStr">
        <is>
          <t>DALARNAS LÄN</t>
        </is>
      </c>
      <c r="G255" t="inlineStr">
        <is>
          <t>LUDVIKA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45502</v>
      </c>
      <c r="E256" s="1" t="n">
        <v>46265</v>
      </c>
      <c r="F256" t="inlineStr">
        <is>
          <t>DALARNAS LÄN</t>
        </is>
      </c>
      <c r="G256" t="inlineStr">
        <is>
          <t>LUDVIKA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46265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45796</v>
      </c>
      <c r="E258" s="1" t="n">
        <v>46265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43345-2025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46265</v>
      </c>
      <c r="F259" t="inlineStr">
        <is>
          <t>DALARNAS LÄN</t>
        </is>
      </c>
      <c r="G259" t="inlineStr">
        <is>
          <t>LUDVIKA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46265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45474</v>
      </c>
      <c r="E261" s="1" t="n">
        <v>46265</v>
      </c>
      <c r="F261" t="inlineStr">
        <is>
          <t>DALARNAS LÄN</t>
        </is>
      </c>
      <c r="G261" t="inlineStr">
        <is>
          <t>LUDVIKA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44844</v>
      </c>
      <c r="E262" s="1" t="n">
        <v>46265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46265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61278-2022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44915</v>
      </c>
      <c r="E264" s="1" t="n">
        <v>46265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45911</v>
      </c>
      <c r="E265" s="1" t="n">
        <v>46265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30977-2024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45499</v>
      </c>
      <c r="E266" s="1" t="n">
        <v>46265</v>
      </c>
      <c r="F266" t="inlineStr">
        <is>
          <t>DALARNAS LÄN</t>
        </is>
      </c>
      <c r="G266" t="inlineStr">
        <is>
          <t>LUDVIKA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45910</v>
      </c>
      <c r="E267" s="1" t="n">
        <v>46265</v>
      </c>
      <c r="F267" t="inlineStr">
        <is>
          <t>DALARNAS LÄN</t>
        </is>
      </c>
      <c r="G267" t="inlineStr">
        <is>
          <t>LUDVIKA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46265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46265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46265</v>
      </c>
      <c r="F270" t="inlineStr">
        <is>
          <t>DALARNAS LÄN</t>
        </is>
      </c>
      <c r="G270" t="inlineStr">
        <is>
          <t>LUDVIKA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44895</v>
      </c>
      <c r="E271" s="1" t="n">
        <v>46265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32305-2024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45512</v>
      </c>
      <c r="E272" s="1" t="n">
        <v>46265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45512</v>
      </c>
      <c r="E273" s="1" t="n">
        <v>46265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45791</v>
      </c>
      <c r="E274" s="1" t="n">
        <v>46265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46265</v>
      </c>
      <c r="F275" t="inlineStr">
        <is>
          <t>DALARNAS LÄN</t>
        </is>
      </c>
      <c r="G275" t="inlineStr">
        <is>
          <t>LUDVIKA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44994</v>
      </c>
      <c r="E276" s="1" t="n">
        <v>46265</v>
      </c>
      <c r="F276" t="inlineStr">
        <is>
          <t>DALARNAS LÄN</t>
        </is>
      </c>
      <c r="G276" t="inlineStr">
        <is>
          <t>LUDVIKA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45776</v>
      </c>
      <c r="E277" s="1" t="n">
        <v>46265</v>
      </c>
      <c r="F277" t="inlineStr">
        <is>
          <t>DALARNAS LÄN</t>
        </is>
      </c>
      <c r="G277" t="inlineStr">
        <is>
          <t>LUDVIKA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44515</v>
      </c>
      <c r="E278" s="1" t="n">
        <v>46265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45791</v>
      </c>
      <c r="E279" s="1" t="n">
        <v>46265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23139-2025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45791</v>
      </c>
      <c r="E280" s="1" t="n">
        <v>46265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45770</v>
      </c>
      <c r="E281" s="1" t="n">
        <v>46265</v>
      </c>
      <c r="F281" t="inlineStr">
        <is>
          <t>DALARNAS LÄN</t>
        </is>
      </c>
      <c r="G281" t="inlineStr">
        <is>
          <t>LUDVIKA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25235-2025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45800</v>
      </c>
      <c r="E282" s="1" t="n">
        <v>46265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46265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46265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46265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46265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46265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46265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46265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41737-2025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45902</v>
      </c>
      <c r="E290" s="1" t="n">
        <v>46265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45940-2025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46265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46265</v>
      </c>
      <c r="F292" t="inlineStr">
        <is>
          <t>DALARNAS LÄN</t>
        </is>
      </c>
      <c r="G292" t="inlineStr">
        <is>
          <t>LUDVIKA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46265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46265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46265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25113-2025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45800</v>
      </c>
      <c r="E296" s="1" t="n">
        <v>46265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45805</v>
      </c>
      <c r="E297" s="1" t="n">
        <v>46265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46265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26698-2025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45810</v>
      </c>
      <c r="E299" s="1" t="n">
        <v>46265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45519</v>
      </c>
      <c r="E300" s="1" t="n">
        <v>46265</v>
      </c>
      <c r="F300" t="inlineStr">
        <is>
          <t>DALARNAS LÄN</t>
        </is>
      </c>
      <c r="G300" t="inlineStr">
        <is>
          <t>LUDVIKA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46265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26628-2025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45810</v>
      </c>
      <c r="E302" s="1" t="n">
        <v>46265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26794-2025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45810</v>
      </c>
      <c r="E303" s="1" t="n">
        <v>46265</v>
      </c>
      <c r="F303" t="inlineStr">
        <is>
          <t>DALARNAS LÄN</t>
        </is>
      </c>
      <c r="G303" t="inlineStr">
        <is>
          <t>LUDVIKA</t>
        </is>
      </c>
      <c r="H303" t="inlineStr">
        <is>
          <t>Kommuner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46265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46265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47086-2025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45929</v>
      </c>
      <c r="E306" s="1" t="n">
        <v>46265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47032-2025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45929</v>
      </c>
      <c r="E307" s="1" t="n">
        <v>46265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56680-2022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46265</v>
      </c>
      <c r="F308" t="inlineStr">
        <is>
          <t>DALARNAS LÄN</t>
        </is>
      </c>
      <c r="G308" t="inlineStr">
        <is>
          <t>LUDVIKA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44893</v>
      </c>
      <c r="E309" s="1" t="n">
        <v>46265</v>
      </c>
      <c r="F309" t="inlineStr">
        <is>
          <t>DALARNAS LÄN</t>
        </is>
      </c>
      <c r="G309" t="inlineStr">
        <is>
          <t>LUDVIKA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46265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46265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45569</v>
      </c>
      <c r="E312" s="1" t="n">
        <v>46265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27525-2025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45813</v>
      </c>
      <c r="E313" s="1" t="n">
        <v>46265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46265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45813</v>
      </c>
      <c r="E315" s="1" t="n">
        <v>46265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27448-2025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45813</v>
      </c>
      <c r="E316" s="1" t="n">
        <v>46265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45909</v>
      </c>
      <c r="E317" s="1" t="n">
        <v>46265</v>
      </c>
      <c r="F317" t="inlineStr">
        <is>
          <t>DALARNAS LÄN</t>
        </is>
      </c>
      <c r="G317" t="inlineStr">
        <is>
          <t>LUDVIKA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46265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59435-2025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45989</v>
      </c>
      <c r="E319" s="1" t="n">
        <v>46265</v>
      </c>
      <c r="F319" t="inlineStr">
        <is>
          <t>DALARNAS LÄN</t>
        </is>
      </c>
      <c r="G319" t="inlineStr">
        <is>
          <t>LUDVIKA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59444-2025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46265</v>
      </c>
      <c r="F320" t="inlineStr">
        <is>
          <t>DALARNAS LÄN</t>
        </is>
      </c>
      <c r="G320" t="inlineStr">
        <is>
          <t>LUDVIKA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46265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45989</v>
      </c>
      <c r="E322" s="1" t="n">
        <v>46265</v>
      </c>
      <c r="F322" t="inlineStr">
        <is>
          <t>DALARNAS LÄN</t>
        </is>
      </c>
      <c r="G322" t="inlineStr">
        <is>
          <t>LUDVIKA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45940</v>
      </c>
      <c r="E323" s="1" t="n">
        <v>46265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49879-2025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45940</v>
      </c>
      <c r="E324" s="1" t="n">
        <v>46265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49893-2025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45940</v>
      </c>
      <c r="E325" s="1" t="n">
        <v>46265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45995</v>
      </c>
      <c r="E326" s="1" t="n">
        <v>46265</v>
      </c>
      <c r="F326" t="inlineStr">
        <is>
          <t>DALARNAS LÄN</t>
        </is>
      </c>
      <c r="G326" t="inlineStr">
        <is>
          <t>LUDVIKA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46265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46265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45944</v>
      </c>
      <c r="E329" s="1" t="n">
        <v>46265</v>
      </c>
      <c r="F329" t="inlineStr">
        <is>
          <t>DALARNAS LÄN</t>
        </is>
      </c>
      <c r="G329" t="inlineStr">
        <is>
          <t>LUDVIKA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56686-2022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44893</v>
      </c>
      <c r="E330" s="1" t="n">
        <v>46265</v>
      </c>
      <c r="F330" t="inlineStr">
        <is>
          <t>DALARNAS LÄN</t>
        </is>
      </c>
      <c r="G330" t="inlineStr">
        <is>
          <t>LUDVIKA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41616-2024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45560</v>
      </c>
      <c r="E331" s="1" t="n">
        <v>46265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45824</v>
      </c>
      <c r="E332" s="1" t="n">
        <v>46265</v>
      </c>
      <c r="F332" t="inlineStr">
        <is>
          <t>DALARNAS LÄN</t>
        </is>
      </c>
      <c r="G332" t="inlineStr">
        <is>
          <t>LUDVIKA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29966-2025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46265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46265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46265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45826</v>
      </c>
      <c r="E336" s="1" t="n">
        <v>46265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45952</v>
      </c>
      <c r="E337" s="1" t="n">
        <v>46265</v>
      </c>
      <c r="F337" t="inlineStr">
        <is>
          <t>DALARNAS LÄN</t>
        </is>
      </c>
      <c r="G337" t="inlineStr">
        <is>
          <t>LUDVIKA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46265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46265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46265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30748-2025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46265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46265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46265</v>
      </c>
      <c r="F343" t="inlineStr">
        <is>
          <t>DALARNAS LÄN</t>
        </is>
      </c>
      <c r="G343" t="inlineStr">
        <is>
          <t>LUDVIKA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45622</v>
      </c>
      <c r="E344" s="1" t="n">
        <v>46265</v>
      </c>
      <c r="F344" t="inlineStr">
        <is>
          <t>DALARNAS LÄN</t>
        </is>
      </c>
      <c r="G344" t="inlineStr">
        <is>
          <t>LUDVIKA</t>
        </is>
      </c>
      <c r="H344" t="inlineStr">
        <is>
          <t>Naturvårdsverket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55485-2024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45622</v>
      </c>
      <c r="E345" s="1" t="n">
        <v>46265</v>
      </c>
      <c r="F345" t="inlineStr">
        <is>
          <t>DALARNAS LÄN</t>
        </is>
      </c>
      <c r="G345" t="inlineStr">
        <is>
          <t>LUDVIKA</t>
        </is>
      </c>
      <c r="H345" t="inlineStr">
        <is>
          <t>Naturvårdsverket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45835</v>
      </c>
      <c r="E346" s="1" t="n">
        <v>46265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45761</v>
      </c>
      <c r="E347" s="1" t="n">
        <v>46265</v>
      </c>
      <c r="F347" t="inlineStr">
        <is>
          <t>DALARNAS LÄN</t>
        </is>
      </c>
      <c r="G347" t="inlineStr">
        <is>
          <t>LUDVIKA</t>
        </is>
      </c>
      <c r="H347" t="inlineStr">
        <is>
          <t>Naturvårdsverket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45840</v>
      </c>
      <c r="E348" s="1" t="n">
        <v>46265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33063-2025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46265</v>
      </c>
      <c r="F349" t="inlineStr">
        <is>
          <t>DALARNAS LÄN</t>
        </is>
      </c>
      <c r="G349" t="inlineStr">
        <is>
          <t>LUDVIKA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45559-2024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45579</v>
      </c>
      <c r="E350" s="1" t="n">
        <v>46265</v>
      </c>
      <c r="F350" t="inlineStr">
        <is>
          <t>DALARNAS LÄN</t>
        </is>
      </c>
      <c r="G350" t="inlineStr">
        <is>
          <t>LUDVIKA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34067-2025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45845</v>
      </c>
      <c r="E351" s="1" t="n">
        <v>46265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31043-2024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45502</v>
      </c>
      <c r="E352" s="1" t="n">
        <v>46265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45740</v>
      </c>
      <c r="E353" s="1" t="n">
        <v>46265</v>
      </c>
      <c r="F353" t="inlineStr">
        <is>
          <t>DALARNAS LÄN</t>
        </is>
      </c>
      <c r="G353" t="inlineStr">
        <is>
          <t>LUDVIKA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43839-2023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45187</v>
      </c>
      <c r="E354" s="1" t="n">
        <v>46265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34861-2025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45849</v>
      </c>
      <c r="E355" s="1" t="n">
        <v>46265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45623</v>
      </c>
      <c r="E356" s="1" t="n">
        <v>46265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34455-2024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46265</v>
      </c>
      <c r="F357" t="inlineStr">
        <is>
          <t>DALARNAS LÄN</t>
        </is>
      </c>
      <c r="G357" t="inlineStr">
        <is>
          <t>LUDVIKA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46265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44970</v>
      </c>
      <c r="E359" s="1" t="n">
        <v>46265</v>
      </c>
      <c r="F359" t="inlineStr">
        <is>
          <t>DALARNAS LÄN</t>
        </is>
      </c>
      <c r="G359" t="inlineStr">
        <is>
          <t>LUDVIKA</t>
        </is>
      </c>
      <c r="H359" t="inlineStr">
        <is>
          <t>Övriga Aktiebolag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22000-2022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44711</v>
      </c>
      <c r="E360" s="1" t="n">
        <v>46265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44960</v>
      </c>
      <c r="E361" s="1" t="n">
        <v>46265</v>
      </c>
      <c r="F361" t="inlineStr">
        <is>
          <t>DALARNAS LÄN</t>
        </is>
      </c>
      <c r="G361" t="inlineStr">
        <is>
          <t>LUDVIKA</t>
        </is>
      </c>
      <c r="H361" t="inlineStr">
        <is>
          <t>Naturvårdsverket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45512</v>
      </c>
      <c r="E362" s="1" t="n">
        <v>46265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45624</v>
      </c>
      <c r="E363" s="1" t="n">
        <v>46265</v>
      </c>
      <c r="F363" t="inlineStr">
        <is>
          <t>DALARNAS LÄN</t>
        </is>
      </c>
      <c r="G363" t="inlineStr">
        <is>
          <t>LUDVIKA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46265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46265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33001-2025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46265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45832</v>
      </c>
      <c r="E367" s="1" t="n">
        <v>46265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43055-2024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45567</v>
      </c>
      <c r="E368" s="1" t="n">
        <v>46265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44680</v>
      </c>
      <c r="E369" s="1" t="n">
        <v>46265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45869</v>
      </c>
      <c r="E370" s="1" t="n">
        <v>46265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45337</v>
      </c>
      <c r="E371" s="1" t="n">
        <v>46265</v>
      </c>
      <c r="F371" t="inlineStr">
        <is>
          <t>DALARNAS LÄN</t>
        </is>
      </c>
      <c r="G371" t="inlineStr">
        <is>
          <t>LUDVIKA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46265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17.9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46265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46007</v>
      </c>
      <c r="E374" s="1" t="n">
        <v>46265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62704-2025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46265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45761</v>
      </c>
      <c r="E376" s="1" t="n">
        <v>46265</v>
      </c>
      <c r="F376" t="inlineStr">
        <is>
          <t>DALARNAS LÄN</t>
        </is>
      </c>
      <c r="G376" t="inlineStr">
        <is>
          <t>LUDVIKA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46265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45625</v>
      </c>
      <c r="E378" s="1" t="n">
        <v>46265</v>
      </c>
      <c r="F378" t="inlineStr">
        <is>
          <t>DALARNAS LÄN</t>
        </is>
      </c>
      <c r="G378" t="inlineStr">
        <is>
          <t>LUDVIKA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37129-2025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45875</v>
      </c>
      <c r="E379" s="1" t="n">
        <v>46265</v>
      </c>
      <c r="F379" t="inlineStr">
        <is>
          <t>DALARNAS LÄN</t>
        </is>
      </c>
      <c r="G379" t="inlineStr">
        <is>
          <t>LUDVIKA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45301</v>
      </c>
      <c r="E380" s="1" t="n">
        <v>46265</v>
      </c>
      <c r="F380" t="inlineStr">
        <is>
          <t>DALARNAS LÄN</t>
        </is>
      </c>
      <c r="G380" t="inlineStr">
        <is>
          <t>LUDVIKA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46265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33345-2024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45519</v>
      </c>
      <c r="E382" s="1" t="n">
        <v>46265</v>
      </c>
      <c r="F382" t="inlineStr">
        <is>
          <t>DALARNAS LÄN</t>
        </is>
      </c>
      <c r="G382" t="inlineStr">
        <is>
          <t>LUDVIKA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48774-2024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45593</v>
      </c>
      <c r="E383" s="1" t="n">
        <v>46265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62824-2025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46265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45062</v>
      </c>
      <c r="E385" s="1" t="n">
        <v>46265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46008</v>
      </c>
      <c r="E386" s="1" t="n">
        <v>46265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62838-2025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46008</v>
      </c>
      <c r="E387" s="1" t="n">
        <v>46265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46008</v>
      </c>
      <c r="E388" s="1" t="n">
        <v>46265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62706-2025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46008</v>
      </c>
      <c r="E389" s="1" t="n">
        <v>46265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49060-2023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46265</v>
      </c>
      <c r="F390" t="inlineStr">
        <is>
          <t>DALARNAS LÄN</t>
        </is>
      </c>
      <c r="G390" t="inlineStr">
        <is>
          <t>LUDVIKA</t>
        </is>
      </c>
      <c r="H390" t="inlineStr">
        <is>
          <t>Naturvårdsverket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59347-2024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45638</v>
      </c>
      <c r="E391" s="1" t="n">
        <v>46265</v>
      </c>
      <c r="F391" t="inlineStr">
        <is>
          <t>DALARNAS LÄN</t>
        </is>
      </c>
      <c r="G391" t="inlineStr">
        <is>
          <t>LUDVIKA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60843-2024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45644</v>
      </c>
      <c r="E392" s="1" t="n">
        <v>46265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62845-2025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46265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43240-2024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45568</v>
      </c>
      <c r="E394" s="1" t="n">
        <v>46265</v>
      </c>
      <c r="F394" t="inlineStr">
        <is>
          <t>DALARNAS LÄN</t>
        </is>
      </c>
      <c r="G394" t="inlineStr">
        <is>
          <t>LUDVIKA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25273-2022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44729</v>
      </c>
      <c r="E395" s="1" t="n">
        <v>46265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63222-2025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46265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63215-2025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46265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2838-2022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44581</v>
      </c>
      <c r="E398" s="1" t="n">
        <v>46265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40142-2022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44820</v>
      </c>
      <c r="E399" s="1" t="n">
        <v>46265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40151-2022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44820</v>
      </c>
      <c r="E400" s="1" t="n">
        <v>46265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62930-2025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46009</v>
      </c>
      <c r="E401" s="1" t="n">
        <v>46265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62945-2025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46009</v>
      </c>
      <c r="E402" s="1" t="n">
        <v>46265</v>
      </c>
      <c r="F402" t="inlineStr">
        <is>
          <t>DALARNAS LÄN</t>
        </is>
      </c>
      <c r="G402" t="inlineStr">
        <is>
          <t>LUDVIKA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45687</v>
      </c>
      <c r="E403" s="1" t="n">
        <v>46265</v>
      </c>
      <c r="F403" t="inlineStr">
        <is>
          <t>DALARNAS LÄN</t>
        </is>
      </c>
      <c r="G403" t="inlineStr">
        <is>
          <t>LUDVIKA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45762</v>
      </c>
      <c r="E404" s="1" t="n">
        <v>46265</v>
      </c>
      <c r="F404" t="inlineStr">
        <is>
          <t>DALARNAS LÄN</t>
        </is>
      </c>
      <c r="G404" t="inlineStr">
        <is>
          <t>LUDVIKA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45765</v>
      </c>
      <c r="E405" s="1" t="n">
        <v>46265</v>
      </c>
      <c r="F405" t="inlineStr">
        <is>
          <t>DALARNAS LÄN</t>
        </is>
      </c>
      <c r="G405" t="inlineStr">
        <is>
          <t>LUDVIKA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61621-2022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44916</v>
      </c>
      <c r="E406" s="1" t="n">
        <v>46265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30844-2024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45497</v>
      </c>
      <c r="E407" s="1" t="n">
        <v>46265</v>
      </c>
      <c r="F407" t="inlineStr">
        <is>
          <t>DALARNAS LÄN</t>
        </is>
      </c>
      <c r="G407" t="inlineStr">
        <is>
          <t>LUDVIKA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46265</v>
      </c>
      <c r="F408" t="inlineStr">
        <is>
          <t>DALARNAS LÄN</t>
        </is>
      </c>
      <c r="G408" t="inlineStr">
        <is>
          <t>LUDVIKA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46265</v>
      </c>
      <c r="F409" t="inlineStr">
        <is>
          <t>DALARNAS LÄN</t>
        </is>
      </c>
      <c r="G409" t="inlineStr">
        <is>
          <t>LUDVIKA</t>
        </is>
      </c>
      <c r="H409" t="inlineStr">
        <is>
          <t>Övriga Aktiebolag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61799-2025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46002</v>
      </c>
      <c r="E410" s="1" t="n">
        <v>46265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16814-2024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45411</v>
      </c>
      <c r="E411" s="1" t="n">
        <v>46265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46265</v>
      </c>
      <c r="F412" t="inlineStr">
        <is>
          <t>DALARNAS LÄN</t>
        </is>
      </c>
      <c r="G412" t="inlineStr">
        <is>
          <t>LUDVIKA</t>
        </is>
      </c>
      <c r="I412" t="n">
        <v>13.1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46265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53979-2025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45961</v>
      </c>
      <c r="E414" s="1" t="n">
        <v>46265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46265</v>
      </c>
      <c r="F415" t="inlineStr">
        <is>
          <t>DALARNAS LÄN</t>
        </is>
      </c>
      <c r="G415" t="inlineStr">
        <is>
          <t>LUDVIKA</t>
        </is>
      </c>
      <c r="H415" t="inlineStr">
        <is>
          <t>Naturvårdsverket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25296-2022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44730</v>
      </c>
      <c r="E416" s="1" t="n">
        <v>46265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45637</v>
      </c>
      <c r="E417" s="1" t="n">
        <v>46265</v>
      </c>
      <c r="F417" t="inlineStr">
        <is>
          <t>DALARNAS LÄN</t>
        </is>
      </c>
      <c r="G417" t="inlineStr">
        <is>
          <t>LUDVIKA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45099</v>
      </c>
      <c r="E418" s="1" t="n">
        <v>46265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61507-2023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45265</v>
      </c>
      <c r="E419" s="1" t="n">
        <v>46265</v>
      </c>
      <c r="F419" t="inlineStr">
        <is>
          <t>DALARNAS LÄN</t>
        </is>
      </c>
      <c r="G419" t="inlineStr">
        <is>
          <t>LUDVIKA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17999-2025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45761</v>
      </c>
      <c r="E420" s="1" t="n">
        <v>46265</v>
      </c>
      <c r="F420" t="inlineStr">
        <is>
          <t>DALARNAS LÄN</t>
        </is>
      </c>
      <c r="G420" t="inlineStr">
        <is>
          <t>LUDVIKA</t>
        </is>
      </c>
      <c r="H420" t="inlineStr">
        <is>
          <t>Naturvårdsverket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65104-2023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45288</v>
      </c>
      <c r="E421" s="1" t="n">
        <v>46265</v>
      </c>
      <c r="F421" t="inlineStr">
        <is>
          <t>DALARNAS LÄN</t>
        </is>
      </c>
      <c r="G421" t="inlineStr">
        <is>
          <t>LUDVIKA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49951-2022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44865</v>
      </c>
      <c r="E422" s="1" t="n">
        <v>46265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45399</v>
      </c>
      <c r="E423" s="1" t="n">
        <v>46265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45569</v>
      </c>
      <c r="E424" s="1" t="n">
        <v>46265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55633-2021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44476</v>
      </c>
      <c r="E425" s="1" t="n">
        <v>46265</v>
      </c>
      <c r="F425" t="inlineStr">
        <is>
          <t>DALARNAS LÄN</t>
        </is>
      </c>
      <c r="G425" t="inlineStr">
        <is>
          <t>LUDVIKA</t>
        </is>
      </c>
      <c r="H425" t="inlineStr">
        <is>
          <t>Övriga Aktiebolag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45258</v>
      </c>
      <c r="E426" s="1" t="n">
        <v>46265</v>
      </c>
      <c r="F426" t="inlineStr">
        <is>
          <t>DALARNAS LÄN</t>
        </is>
      </c>
      <c r="G426" t="inlineStr">
        <is>
          <t>LUDVIKA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45404</v>
      </c>
      <c r="E427" s="1" t="n">
        <v>46265</v>
      </c>
      <c r="F427" t="inlineStr">
        <is>
          <t>DALARNAS LÄN</t>
        </is>
      </c>
      <c r="G427" t="inlineStr">
        <is>
          <t>LUDVIKA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56615-2025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45975</v>
      </c>
      <c r="E428" s="1" t="n">
        <v>46265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45110</v>
      </c>
      <c r="E429" s="1" t="n">
        <v>46265</v>
      </c>
      <c r="F429" t="inlineStr">
        <is>
          <t>DALARNAS LÄN</t>
        </is>
      </c>
      <c r="G429" t="inlineStr">
        <is>
          <t>LUDVIKA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45831</v>
      </c>
      <c r="E430" s="1" t="n">
        <v>46265</v>
      </c>
      <c r="F430" t="inlineStr">
        <is>
          <t>DALARNAS LÄN</t>
        </is>
      </c>
      <c r="G430" t="inlineStr">
        <is>
          <t>LUDVIKA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52230-2023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45224</v>
      </c>
      <c r="E431" s="1" t="n">
        <v>46265</v>
      </c>
      <c r="F431" t="inlineStr">
        <is>
          <t>DALARNAS LÄN</t>
        </is>
      </c>
      <c r="G431" t="inlineStr">
        <is>
          <t>LUDVIKA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46007</v>
      </c>
      <c r="E432" s="1" t="n">
        <v>46265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70046-2021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44533</v>
      </c>
      <c r="E433" s="1" t="n">
        <v>46265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45572</v>
      </c>
      <c r="E434" s="1" t="n">
        <v>46265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30039-2024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45488</v>
      </c>
      <c r="E435" s="1" t="n">
        <v>46265</v>
      </c>
      <c r="F435" t="inlineStr">
        <is>
          <t>DALARNAS LÄN</t>
        </is>
      </c>
      <c r="G435" t="inlineStr">
        <is>
          <t>LUDVIKA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32995-2023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46265</v>
      </c>
      <c r="F436" t="inlineStr">
        <is>
          <t>DALARNAS LÄN</t>
        </is>
      </c>
      <c r="G436" t="inlineStr">
        <is>
          <t>LUDVIKA</t>
        </is>
      </c>
      <c r="H436" t="inlineStr">
        <is>
          <t>Kommuner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50714-2024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45602</v>
      </c>
      <c r="E437" s="1" t="n">
        <v>46265</v>
      </c>
      <c r="F437" t="inlineStr">
        <is>
          <t>DALARNAS LÄN</t>
        </is>
      </c>
      <c r="G437" t="inlineStr">
        <is>
          <t>LUDVIKA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45112</v>
      </c>
      <c r="E438" s="1" t="n">
        <v>46265</v>
      </c>
      <c r="F438" t="inlineStr">
        <is>
          <t>DALARNAS LÄN</t>
        </is>
      </c>
      <c r="G438" t="inlineStr">
        <is>
          <t>LUDVIKA</t>
        </is>
      </c>
      <c r="H438" t="inlineStr">
        <is>
          <t>Kommuner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60788-2024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45644</v>
      </c>
      <c r="E439" s="1" t="n">
        <v>46265</v>
      </c>
      <c r="F439" t="inlineStr">
        <is>
          <t>DALARNAS LÄN</t>
        </is>
      </c>
      <c r="G439" t="inlineStr">
        <is>
          <t>LUDVIKA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59667-2024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45639</v>
      </c>
      <c r="E440" s="1" t="n">
        <v>46265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43704-2024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45569</v>
      </c>
      <c r="E441" s="1" t="n">
        <v>46265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45541</v>
      </c>
      <c r="E442" s="1" t="n">
        <v>46265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55551-2024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45622</v>
      </c>
      <c r="E443" s="1" t="n">
        <v>46265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44520-2023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46265</v>
      </c>
      <c r="F444" t="inlineStr">
        <is>
          <t>DALARNAS LÄN</t>
        </is>
      </c>
      <c r="G444" t="inlineStr">
        <is>
          <t>LUDVIKA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45191</v>
      </c>
      <c r="E445" s="1" t="n">
        <v>46265</v>
      </c>
      <c r="F445" t="inlineStr">
        <is>
          <t>DALARNAS LÄN</t>
        </is>
      </c>
      <c r="G445" t="inlineStr">
        <is>
          <t>LUDVIKA</t>
        </is>
      </c>
      <c r="H445" t="inlineStr">
        <is>
          <t>Sveaskog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55510-2024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46265</v>
      </c>
      <c r="F446" t="inlineStr">
        <is>
          <t>DALARNAS LÄN</t>
        </is>
      </c>
      <c r="G446" t="inlineStr">
        <is>
          <t>LUDVIKA</t>
        </is>
      </c>
      <c r="H446" t="inlineStr">
        <is>
          <t>Naturvårdsverket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49045-2024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45594</v>
      </c>
      <c r="E447" s="1" t="n">
        <v>46265</v>
      </c>
      <c r="F447" t="inlineStr">
        <is>
          <t>DALARNAS LÄN</t>
        </is>
      </c>
      <c r="G447" t="inlineStr">
        <is>
          <t>LUDVIKA</t>
        </is>
      </c>
      <c r="H447" t="inlineStr">
        <is>
          <t>Naturvårdsverket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46620-2023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45198</v>
      </c>
      <c r="E448" s="1" t="n">
        <v>46265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32301-2024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45512</v>
      </c>
      <c r="E449" s="1" t="n">
        <v>46265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55462-2024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46265</v>
      </c>
      <c r="F450" t="inlineStr">
        <is>
          <t>DALARNAS LÄN</t>
        </is>
      </c>
      <c r="G450" t="inlineStr">
        <is>
          <t>LUDVIKA</t>
        </is>
      </c>
      <c r="H450" t="inlineStr">
        <is>
          <t>Naturvårdsverket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55474-2024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46265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45099</v>
      </c>
      <c r="E452" s="1" t="n">
        <v>46265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45687</v>
      </c>
      <c r="E453" s="1" t="n">
        <v>46265</v>
      </c>
      <c r="F453" t="inlineStr">
        <is>
          <t>DALARNAS LÄN</t>
        </is>
      </c>
      <c r="G453" t="inlineStr">
        <is>
          <t>LUDVIKA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39849-2023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45168</v>
      </c>
      <c r="E454" s="1" t="n">
        <v>46265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48589-2023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45208</v>
      </c>
      <c r="E455" s="1" t="n">
        <v>46265</v>
      </c>
      <c r="F455" t="inlineStr">
        <is>
          <t>DALARNAS LÄN</t>
        </is>
      </c>
      <c r="G455" t="inlineStr">
        <is>
          <t>LUDVIKA</t>
        </is>
      </c>
      <c r="H455" t="inlineStr">
        <is>
          <t>Naturvårdsverket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17054-2026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46114</v>
      </c>
      <c r="E456" s="1" t="n">
        <v>46265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7.5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33673-2022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44789</v>
      </c>
      <c r="E457" s="1" t="n">
        <v>46265</v>
      </c>
      <c r="F457" t="inlineStr">
        <is>
          <t>DALARNAS LÄN</t>
        </is>
      </c>
      <c r="G457" t="inlineStr">
        <is>
          <t>LUDVIKA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46119</v>
      </c>
      <c r="E458" s="1" t="n">
        <v>46265</v>
      </c>
      <c r="F458" t="inlineStr">
        <is>
          <t>DALARNAS LÄN</t>
        </is>
      </c>
      <c r="G458" t="inlineStr">
        <is>
          <t>LUDVIKA</t>
        </is>
      </c>
      <c r="H458" t="inlineStr">
        <is>
          <t>Naturvårdsverket</t>
        </is>
      </c>
      <c r="I458" t="n">
        <v>19.8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39437-2023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46265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17879-2026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46122</v>
      </c>
      <c r="E460" s="1" t="n">
        <v>46265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7.2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17915-2026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46265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17913-2026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46122</v>
      </c>
      <c r="E462" s="1" t="n">
        <v>46265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21741-2022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44708</v>
      </c>
      <c r="E463" s="1" t="n">
        <v>46265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46122</v>
      </c>
      <c r="E464" s="1" t="n">
        <v>46265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17787-2026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46265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18724-2022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44687</v>
      </c>
      <c r="E466" s="1" t="n">
        <v>46265</v>
      </c>
      <c r="F466" t="inlineStr">
        <is>
          <t>DALARNAS LÄN</t>
        </is>
      </c>
      <c r="G466" t="inlineStr">
        <is>
          <t>LUDVIKA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49114-2023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45210</v>
      </c>
      <c r="E467" s="1" t="n">
        <v>46265</v>
      </c>
      <c r="F467" t="inlineStr">
        <is>
          <t>DALARNAS LÄN</t>
        </is>
      </c>
      <c r="G467" t="inlineStr">
        <is>
          <t>LUDVIKA</t>
        </is>
      </c>
      <c r="H467" t="inlineStr">
        <is>
          <t>Naturvårdsverket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45060-2022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44841</v>
      </c>
      <c r="E468" s="1" t="n">
        <v>46265</v>
      </c>
      <c r="F468" t="inlineStr">
        <is>
          <t>DALARNAS LÄN</t>
        </is>
      </c>
      <c r="G468" t="inlineStr">
        <is>
          <t>LUDVIKA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18357-2026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46126</v>
      </c>
      <c r="E469" s="1" t="n">
        <v>46265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18355-2026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46126</v>
      </c>
      <c r="E470" s="1" t="n">
        <v>46265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18362-2026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46126</v>
      </c>
      <c r="E471" s="1" t="n">
        <v>46265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46265</v>
      </c>
      <c r="F472" t="inlineStr">
        <is>
          <t>DALARNAS LÄN</t>
        </is>
      </c>
      <c r="G472" t="inlineStr">
        <is>
          <t>LUDVIKA</t>
        </is>
      </c>
      <c r="H472" t="inlineStr">
        <is>
          <t>Naturvårdsverket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61054-2024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46265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18829-2026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46128</v>
      </c>
      <c r="E474" s="1" t="n">
        <v>46265</v>
      </c>
      <c r="F474" t="inlineStr">
        <is>
          <t>DALARNAS LÄN</t>
        </is>
      </c>
      <c r="G474" t="inlineStr">
        <is>
          <t>LUDVIKA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46265</v>
      </c>
      <c r="F475" t="inlineStr">
        <is>
          <t>DALARNAS LÄN</t>
        </is>
      </c>
      <c r="G475" t="inlineStr">
        <is>
          <t>LUDVIKA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19610-2026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46134</v>
      </c>
      <c r="E476" s="1" t="n">
        <v>46265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50273-2021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44459</v>
      </c>
      <c r="E477" s="1" t="n">
        <v>46265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37392-2023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45156</v>
      </c>
      <c r="E478" s="1" t="n">
        <v>46265</v>
      </c>
      <c r="F478" t="inlineStr">
        <is>
          <t>DALARNAS LÄN</t>
        </is>
      </c>
      <c r="G478" t="inlineStr">
        <is>
          <t>LUDVIKA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51208-2023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45219</v>
      </c>
      <c r="E479" s="1" t="n">
        <v>46265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59206-2023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45253</v>
      </c>
      <c r="E480" s="1" t="n">
        <v>46265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59351-2023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45253</v>
      </c>
      <c r="E481" s="1" t="n">
        <v>46265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46135</v>
      </c>
      <c r="E482" s="1" t="n">
        <v>46265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45849</v>
      </c>
      <c r="E483" s="1" t="n">
        <v>46265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45960</v>
      </c>
      <c r="E484" s="1" t="n">
        <v>46265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46136</v>
      </c>
      <c r="E485" s="1" t="n">
        <v>46265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7714-2026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46265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20096-2026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46136</v>
      </c>
      <c r="E487" s="1" t="n">
        <v>46265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45198</v>
      </c>
      <c r="E488" s="1" t="n">
        <v>46265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48683-2023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45208</v>
      </c>
      <c r="E489" s="1" t="n">
        <v>46265</v>
      </c>
      <c r="F489" t="inlineStr">
        <is>
          <t>DALARNAS LÄN</t>
        </is>
      </c>
      <c r="G489" t="inlineStr">
        <is>
          <t>LUDVIKA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29578-2025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46265</v>
      </c>
      <c r="F490" t="inlineStr">
        <is>
          <t>DALARNAS LÄN</t>
        </is>
      </c>
      <c r="G490" t="inlineStr">
        <is>
          <t>LUDVIKA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34875-2025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45849</v>
      </c>
      <c r="E491" s="1" t="n">
        <v>46265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45246</v>
      </c>
      <c r="E492" s="1" t="n">
        <v>46265</v>
      </c>
      <c r="F492" t="inlineStr">
        <is>
          <t>DALARNAS LÄN</t>
        </is>
      </c>
      <c r="G492" t="inlineStr">
        <is>
          <t>LUDVIKA</t>
        </is>
      </c>
      <c r="I492" t="n">
        <v>12.7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16807-2025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45754</v>
      </c>
      <c r="E493" s="1" t="n">
        <v>46265</v>
      </c>
      <c r="F493" t="inlineStr">
        <is>
          <t>DALARNAS LÄN</t>
        </is>
      </c>
      <c r="G493" t="inlineStr">
        <is>
          <t>LUDVIKA</t>
        </is>
      </c>
      <c r="H493" t="inlineStr">
        <is>
          <t>Naturvårdsverket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15128-2025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45744</v>
      </c>
      <c r="E494" s="1" t="n">
        <v>46265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31270-2022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44771</v>
      </c>
      <c r="E495" s="1" t="n">
        <v>46265</v>
      </c>
      <c r="F495" t="inlineStr">
        <is>
          <t>DALARNAS LÄN</t>
        </is>
      </c>
      <c r="G495" t="inlineStr">
        <is>
          <t>LUDVIKA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61309-2022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44915</v>
      </c>
      <c r="E496" s="1" t="n">
        <v>46265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50347-2021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44459</v>
      </c>
      <c r="E497" s="1" t="n">
        <v>46265</v>
      </c>
      <c r="F497" t="inlineStr">
        <is>
          <t>DALARNAS LÄN</t>
        </is>
      </c>
      <c r="G497" t="inlineStr">
        <is>
          <t>LUDVIKA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45845</v>
      </c>
      <c r="E498" s="1" t="n">
        <v>46265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46265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48740-2022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44859</v>
      </c>
      <c r="E500" s="1" t="n">
        <v>46265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30399-2025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45827</v>
      </c>
      <c r="E501" s="1" t="n">
        <v>46265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55151-2025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45968</v>
      </c>
      <c r="E502" s="1" t="n">
        <v>46265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52466-2023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45225</v>
      </c>
      <c r="E503" s="1" t="n">
        <v>46265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45954</v>
      </c>
      <c r="E504" s="1" t="n">
        <v>46265</v>
      </c>
      <c r="F504" t="inlineStr">
        <is>
          <t>DALARNAS LÄN</t>
        </is>
      </c>
      <c r="G504" t="inlineStr">
        <is>
          <t>LUDVIKA</t>
        </is>
      </c>
      <c r="I504" t="n">
        <v>9.800000000000001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59186-2025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46265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20.5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55323-2025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46265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56621-2023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45243</v>
      </c>
      <c r="E507" s="1" t="n">
        <v>46265</v>
      </c>
      <c r="F507" t="inlineStr">
        <is>
          <t>DALARNAS LÄN</t>
        </is>
      </c>
      <c r="G507" t="inlineStr">
        <is>
          <t>LUDVIKA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32224-2025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45835</v>
      </c>
      <c r="E508" s="1" t="n">
        <v>46265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53996-2024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45616</v>
      </c>
      <c r="E509" s="1" t="n">
        <v>46265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64171-2023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45279</v>
      </c>
      <c r="E510" s="1" t="n">
        <v>46265</v>
      </c>
      <c r="F510" t="inlineStr">
        <is>
          <t>DALARNAS LÄN</t>
        </is>
      </c>
      <c r="G510" t="inlineStr">
        <is>
          <t>LUDVIKA</t>
        </is>
      </c>
      <c r="I510" t="n">
        <v>8.6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923-2024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45301</v>
      </c>
      <c r="E511" s="1" t="n">
        <v>46265</v>
      </c>
      <c r="F511" t="inlineStr">
        <is>
          <t>DALARNAS LÄN</t>
        </is>
      </c>
      <c r="G511" t="inlineStr">
        <is>
          <t>LUDVIKA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45775</v>
      </c>
      <c r="E512" s="1" t="n">
        <v>46265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53620-2022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44879</v>
      </c>
      <c r="E513" s="1" t="n">
        <v>46265</v>
      </c>
      <c r="F513" t="inlineStr">
        <is>
          <t>DALARNAS LÄN</t>
        </is>
      </c>
      <c r="G513" t="inlineStr">
        <is>
          <t>LUDVIKA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7238-2023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44970</v>
      </c>
      <c r="E514" s="1" t="n">
        <v>46265</v>
      </c>
      <c r="F514" t="inlineStr">
        <is>
          <t>DALARNAS LÄN</t>
        </is>
      </c>
      <c r="G514" t="inlineStr">
        <is>
          <t>LUDVIKA</t>
        </is>
      </c>
      <c r="H514" t="inlineStr">
        <is>
          <t>Övriga Aktiebolag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73703-2021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44552</v>
      </c>
      <c r="E515" s="1" t="n">
        <v>46265</v>
      </c>
      <c r="F515" t="inlineStr">
        <is>
          <t>DALARNAS LÄN</t>
        </is>
      </c>
      <c r="G515" t="inlineStr">
        <is>
          <t>LUDVIKA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25299-2022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44730</v>
      </c>
      <c r="E516" s="1" t="n">
        <v>46265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44599</v>
      </c>
      <c r="E517" s="1" t="n">
        <v>46265</v>
      </c>
      <c r="F517" t="inlineStr">
        <is>
          <t>DALARNAS LÄN</t>
        </is>
      </c>
      <c r="G517" t="inlineStr">
        <is>
          <t>LUDVIKA</t>
        </is>
      </c>
      <c r="I517" t="n">
        <v>8.4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46265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48642-2022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44859</v>
      </c>
      <c r="E519" s="1" t="n">
        <v>46265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46265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46074-2023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45196</v>
      </c>
      <c r="E521" s="1" t="n">
        <v>46265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48288-2023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45205</v>
      </c>
      <c r="E522" s="1" t="n">
        <v>46265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45309-2021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44439</v>
      </c>
      <c r="E523" s="1" t="n">
        <v>46265</v>
      </c>
      <c r="F523" t="inlineStr">
        <is>
          <t>DALARNAS LÄN</t>
        </is>
      </c>
      <c r="G523" t="inlineStr">
        <is>
          <t>LUDVIKA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49035-2024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45594</v>
      </c>
      <c r="E524" s="1" t="n">
        <v>46265</v>
      </c>
      <c r="F524" t="inlineStr">
        <is>
          <t>DALARNAS LÄN</t>
        </is>
      </c>
      <c r="G524" t="inlineStr">
        <is>
          <t>LUDVIKA</t>
        </is>
      </c>
      <c r="H524" t="inlineStr">
        <is>
          <t>Naturvårdsverket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49043-2024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45594</v>
      </c>
      <c r="E525" s="1" t="n">
        <v>46265</v>
      </c>
      <c r="F525" t="inlineStr">
        <is>
          <t>DALARNAS LÄN</t>
        </is>
      </c>
      <c r="G525" t="inlineStr">
        <is>
          <t>LUDVIKA</t>
        </is>
      </c>
      <c r="H525" t="inlineStr">
        <is>
          <t>Naturvårdsverket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18708-2023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45043</v>
      </c>
      <c r="E526" s="1" t="n">
        <v>46265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59050-2022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44903</v>
      </c>
      <c r="E527" s="1" t="n">
        <v>46265</v>
      </c>
      <c r="F527" t="inlineStr">
        <is>
          <t>DALARNAS LÄN</t>
        </is>
      </c>
      <c r="G527" t="inlineStr">
        <is>
          <t>LUDVIKA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42106-2024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45562</v>
      </c>
      <c r="E528" s="1" t="n">
        <v>46265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44970</v>
      </c>
      <c r="E529" s="1" t="n">
        <v>46265</v>
      </c>
      <c r="F529" t="inlineStr">
        <is>
          <t>DALARNAS LÄN</t>
        </is>
      </c>
      <c r="G529" t="inlineStr">
        <is>
          <t>LUDVIKA</t>
        </is>
      </c>
      <c r="H529" t="inlineStr">
        <is>
          <t>Övriga Aktiebolag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35708-2025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45860</v>
      </c>
      <c r="E530" s="1" t="n">
        <v>46265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38170-2023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45161</v>
      </c>
      <c r="E531" s="1" t="n">
        <v>46265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42128-2024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45562</v>
      </c>
      <c r="E532" s="1" t="n">
        <v>46265</v>
      </c>
      <c r="F532" t="inlineStr">
        <is>
          <t>DALARNAS LÄN</t>
        </is>
      </c>
      <c r="G532" t="inlineStr">
        <is>
          <t>LUDVIKA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44890</v>
      </c>
      <c r="E533" s="1" t="n">
        <v>46265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11237-2024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45371</v>
      </c>
      <c r="E534" s="1" t="n">
        <v>46265</v>
      </c>
      <c r="F534" t="inlineStr">
        <is>
          <t>DALARNAS LÄN</t>
        </is>
      </c>
      <c r="G534" t="inlineStr">
        <is>
          <t>LUDVIKA</t>
        </is>
      </c>
      <c r="I534" t="n">
        <v>20.8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46265</v>
      </c>
      <c r="F535" t="inlineStr">
        <is>
          <t>DALARNAS LÄN</t>
        </is>
      </c>
      <c r="G535" t="inlineStr">
        <is>
          <t>LUDVIKA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11632-2024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45373</v>
      </c>
      <c r="E536" s="1" t="n">
        <v>46265</v>
      </c>
      <c r="F536" t="inlineStr">
        <is>
          <t>DALARNAS LÄN</t>
        </is>
      </c>
      <c r="G536" t="inlineStr">
        <is>
          <t>LUDVIKA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45902</v>
      </c>
      <c r="E537" s="1" t="n">
        <v>46265</v>
      </c>
      <c r="F537" t="inlineStr">
        <is>
          <t>DALARNAS LÄN</t>
        </is>
      </c>
      <c r="G537" t="inlineStr">
        <is>
          <t>LUDVIKA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57969-2024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45631</v>
      </c>
      <c r="E538" s="1" t="n">
        <v>46265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41668-2023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45176</v>
      </c>
      <c r="E539" s="1" t="n">
        <v>46265</v>
      </c>
      <c r="F539" t="inlineStr">
        <is>
          <t>DALARNAS LÄN</t>
        </is>
      </c>
      <c r="G539" t="inlineStr">
        <is>
          <t>LUDVIKA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20411-2023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45056</v>
      </c>
      <c r="E540" s="1" t="n">
        <v>46265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39400-2023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45166</v>
      </c>
      <c r="E541" s="1" t="n">
        <v>46265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46265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46265</v>
      </c>
      <c r="F543" t="inlineStr">
        <is>
          <t>DALARNAS LÄN</t>
        </is>
      </c>
      <c r="G543" t="inlineStr">
        <is>
          <t>LUDVIKA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47671-2024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45588</v>
      </c>
      <c r="E544" s="1" t="n">
        <v>46265</v>
      </c>
      <c r="F544" t="inlineStr">
        <is>
          <t>DALARNAS LÄN</t>
        </is>
      </c>
      <c r="G544" t="inlineStr">
        <is>
          <t>LUDVIKA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46265</v>
      </c>
      <c r="F545" t="inlineStr">
        <is>
          <t>DALARNAS LÄN</t>
        </is>
      </c>
      <c r="G545" t="inlineStr">
        <is>
          <t>LUDVIKA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39519-2024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45551</v>
      </c>
      <c r="E546" s="1" t="n">
        <v>46265</v>
      </c>
      <c r="F546" t="inlineStr">
        <is>
          <t>DALARNAS LÄN</t>
        </is>
      </c>
      <c r="G546" t="inlineStr">
        <is>
          <t>LUDVIKA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46265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6975-2023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44967</v>
      </c>
      <c r="E548" s="1" t="n">
        <v>46265</v>
      </c>
      <c r="F548" t="inlineStr">
        <is>
          <t>DALARNAS LÄN</t>
        </is>
      </c>
      <c r="G548" t="inlineStr">
        <is>
          <t>LUDVIKA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46265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40125-2024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45554</v>
      </c>
      <c r="E550" s="1" t="n">
        <v>46265</v>
      </c>
      <c r="F550" t="inlineStr">
        <is>
          <t>DALARNAS LÄN</t>
        </is>
      </c>
      <c r="G550" t="inlineStr">
        <is>
          <t>LUDVIKA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46185-2024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45581</v>
      </c>
      <c r="E551" s="1" t="n">
        <v>46265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45520</v>
      </c>
      <c r="E552" s="1" t="n">
        <v>46265</v>
      </c>
      <c r="F552" t="inlineStr">
        <is>
          <t>DALARNAS LÄN</t>
        </is>
      </c>
      <c r="G552" t="inlineStr">
        <is>
          <t>LUDVIKA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45481</v>
      </c>
      <c r="E553" s="1" t="n">
        <v>46265</v>
      </c>
      <c r="F553" t="inlineStr">
        <is>
          <t>DALARNAS LÄN</t>
        </is>
      </c>
      <c r="G553" t="inlineStr">
        <is>
          <t>LUDVIKA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45297</v>
      </c>
      <c r="E554" s="1" t="n">
        <v>46265</v>
      </c>
      <c r="F554" t="inlineStr">
        <is>
          <t>DALARNAS LÄN</t>
        </is>
      </c>
      <c r="G554" t="inlineStr">
        <is>
          <t>LUDVIKA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51015-2023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45218</v>
      </c>
      <c r="E555" s="1" t="n">
        <v>46265</v>
      </c>
      <c r="F555" t="inlineStr">
        <is>
          <t>DALARNAS LÄN</t>
        </is>
      </c>
      <c r="G555" t="inlineStr">
        <is>
          <t>LUDVIKA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60660-2024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45644</v>
      </c>
      <c r="E556" s="1" t="n">
        <v>46265</v>
      </c>
      <c r="F556" t="inlineStr">
        <is>
          <t>DALARNAS LÄN</t>
        </is>
      </c>
      <c r="G556" t="inlineStr">
        <is>
          <t>LUDVIKA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20666-2026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46141</v>
      </c>
      <c r="E557" s="1" t="n">
        <v>46265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53048-2024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46265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50777-2024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45602</v>
      </c>
      <c r="E559" s="1" t="n">
        <v>46265</v>
      </c>
      <c r="F559" t="inlineStr">
        <is>
          <t>DALARNAS LÄN</t>
        </is>
      </c>
      <c r="G559" t="inlineStr">
        <is>
          <t>LUDVIKA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46142</v>
      </c>
      <c r="E560" s="1" t="n">
        <v>46265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28507-2023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45103</v>
      </c>
      <c r="E561" s="1" t="n">
        <v>46265</v>
      </c>
      <c r="F561" t="inlineStr">
        <is>
          <t>DALARNAS LÄN</t>
        </is>
      </c>
      <c r="G561" t="inlineStr">
        <is>
          <t>LUDVIKA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3470-2025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45680</v>
      </c>
      <c r="E562" s="1" t="n">
        <v>46265</v>
      </c>
      <c r="F562" t="inlineStr">
        <is>
          <t>DALARNAS LÄN</t>
        </is>
      </c>
      <c r="G562" t="inlineStr">
        <is>
          <t>LUDVIKA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20882-2026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46142</v>
      </c>
      <c r="E563" s="1" t="n">
        <v>46265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46265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46265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21345-2026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46265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45544-2024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45579</v>
      </c>
      <c r="E567" s="1" t="n">
        <v>46265</v>
      </c>
      <c r="F567" t="inlineStr">
        <is>
          <t>DALARNAS LÄN</t>
        </is>
      </c>
      <c r="G567" t="inlineStr">
        <is>
          <t>LUDVIKA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45547-2024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45579</v>
      </c>
      <c r="E568" s="1" t="n">
        <v>46265</v>
      </c>
      <c r="F568" t="inlineStr">
        <is>
          <t>DALARNAS LÄN</t>
        </is>
      </c>
      <c r="G568" t="inlineStr">
        <is>
          <t>LUDVIKA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21798-2026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46265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21872-2026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46150</v>
      </c>
      <c r="E570" s="1" t="n">
        <v>46265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21462-2026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46265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56996-2021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44482</v>
      </c>
      <c r="E572" s="1" t="n">
        <v>46265</v>
      </c>
      <c r="F572" t="inlineStr">
        <is>
          <t>DALARNAS LÄN</t>
        </is>
      </c>
      <c r="G572" t="inlineStr">
        <is>
          <t>LUDVIKA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55972-2025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45973</v>
      </c>
      <c r="E573" s="1" t="n">
        <v>46265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3277-2024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45317</v>
      </c>
      <c r="E574" s="1" t="n">
        <v>46265</v>
      </c>
      <c r="F574" t="inlineStr">
        <is>
          <t>DALARNAS LÄN</t>
        </is>
      </c>
      <c r="G574" t="inlineStr">
        <is>
          <t>LUDVIKA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38446-2025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45883</v>
      </c>
      <c r="E575" s="1" t="n">
        <v>46265</v>
      </c>
      <c r="F575" t="inlineStr">
        <is>
          <t>DALARNAS LÄN</t>
        </is>
      </c>
      <c r="G575" t="inlineStr">
        <is>
          <t>LUDVIKA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12497-2024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45379</v>
      </c>
      <c r="E576" s="1" t="n">
        <v>46265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21002-2026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46142</v>
      </c>
      <c r="E577" s="1" t="n">
        <v>46265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22580-2026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46155</v>
      </c>
      <c r="E578" s="1" t="n">
        <v>46265</v>
      </c>
      <c r="F578" t="inlineStr">
        <is>
          <t>DALARNAS LÄN</t>
        </is>
      </c>
      <c r="G578" t="inlineStr">
        <is>
          <t>LUDVIKA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45679</v>
      </c>
      <c r="E579" s="1" t="n">
        <v>46265</v>
      </c>
      <c r="F579" t="inlineStr">
        <is>
          <t>DALARNAS LÄN</t>
        </is>
      </c>
      <c r="G579" t="inlineStr">
        <is>
          <t>LUDVIKA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22558-2026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46155</v>
      </c>
      <c r="E580" s="1" t="n">
        <v>46265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46265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22464-2026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46265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22538-2026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46265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16843-2026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46113</v>
      </c>
      <c r="E584" s="1" t="n">
        <v>46265</v>
      </c>
      <c r="F584" t="inlineStr">
        <is>
          <t>DALARNAS LÄN</t>
        </is>
      </c>
      <c r="G584" t="inlineStr">
        <is>
          <t>LUDVIKA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49805-2023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45212</v>
      </c>
      <c r="E585" s="1" t="n">
        <v>46265</v>
      </c>
      <c r="F585" t="inlineStr">
        <is>
          <t>DALARNAS LÄN</t>
        </is>
      </c>
      <c r="G585" t="inlineStr">
        <is>
          <t>LUDVIKA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61384-2024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45646</v>
      </c>
      <c r="E586" s="1" t="n">
        <v>46265</v>
      </c>
      <c r="F586" t="inlineStr">
        <is>
          <t>DALARNAS LÄN</t>
        </is>
      </c>
      <c r="G586" t="inlineStr">
        <is>
          <t>LUDVIKA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45317</v>
      </c>
      <c r="E587" s="1" t="n">
        <v>46265</v>
      </c>
      <c r="F587" t="inlineStr">
        <is>
          <t>DALARNAS LÄN</t>
        </is>
      </c>
      <c r="G587" t="inlineStr">
        <is>
          <t>LUDVIKA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45485</v>
      </c>
      <c r="E588" s="1" t="n">
        <v>46265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14881-2025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45743</v>
      </c>
      <c r="E589" s="1" t="n">
        <v>46265</v>
      </c>
      <c r="F589" t="inlineStr">
        <is>
          <t>DALARNAS LÄN</t>
        </is>
      </c>
      <c r="G589" t="inlineStr">
        <is>
          <t>LUDVIKA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22813-2026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46160</v>
      </c>
      <c r="E590" s="1" t="n">
        <v>46265</v>
      </c>
      <c r="F590" t="inlineStr">
        <is>
          <t>DALARNAS LÄN</t>
        </is>
      </c>
      <c r="G590" t="inlineStr">
        <is>
          <t>LUDVIKA</t>
        </is>
      </c>
      <c r="H590" t="inlineStr">
        <is>
          <t>Naturvårdsverket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46160</v>
      </c>
      <c r="E591" s="1" t="n">
        <v>46265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23082-2026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46161</v>
      </c>
      <c r="E592" s="1" t="n">
        <v>46265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23097-2025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45791</v>
      </c>
      <c r="E593" s="1" t="n">
        <v>46265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46265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46265</v>
      </c>
      <c r="F595" t="inlineStr">
        <is>
          <t>DALARNAS LÄN</t>
        </is>
      </c>
      <c r="G595" t="inlineStr">
        <is>
          <t>LUDVIKA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31818-2025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46265</v>
      </c>
      <c r="F596" t="inlineStr">
        <is>
          <t>DALARNAS LÄN</t>
        </is>
      </c>
      <c r="G596" t="inlineStr">
        <is>
          <t>LUDVIKA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46038</v>
      </c>
      <c r="E597" s="1" t="n">
        <v>46265</v>
      </c>
      <c r="F597" t="inlineStr">
        <is>
          <t>DALARNAS LÄN</t>
        </is>
      </c>
      <c r="G597" t="inlineStr">
        <is>
          <t>LUDVIKA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24768-2026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46171</v>
      </c>
      <c r="E598" s="1" t="n">
        <v>46265</v>
      </c>
      <c r="F598" t="inlineStr">
        <is>
          <t>DALARNAS LÄN</t>
        </is>
      </c>
      <c r="G598" t="inlineStr">
        <is>
          <t>LUDVIKA</t>
        </is>
      </c>
      <c r="H598" t="inlineStr">
        <is>
          <t>Naturvårdsverket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24776-2026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46171</v>
      </c>
      <c r="E599" s="1" t="n">
        <v>46265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24682-2026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46265</v>
      </c>
      <c r="F600" t="inlineStr">
        <is>
          <t>DALARNAS LÄN</t>
        </is>
      </c>
      <c r="G600" t="inlineStr">
        <is>
          <t>LUDVIKA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25193-2026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46175</v>
      </c>
      <c r="E601" s="1" t="n">
        <v>46265</v>
      </c>
      <c r="F601" t="inlineStr">
        <is>
          <t>DALARNAS LÄN</t>
        </is>
      </c>
      <c r="G601" t="inlineStr">
        <is>
          <t>LUDVIKA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46171</v>
      </c>
      <c r="E602" s="1" t="n">
        <v>46265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46171</v>
      </c>
      <c r="E603" s="1" t="n">
        <v>46265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24609-2026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46171</v>
      </c>
      <c r="E604" s="1" t="n">
        <v>46265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46171</v>
      </c>
      <c r="E605" s="1" t="n">
        <v>46265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23515-2026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46265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46171</v>
      </c>
      <c r="E607" s="1" t="n">
        <v>46265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25320-2026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46176</v>
      </c>
      <c r="E608" s="1" t="n">
        <v>46265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23917-2026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46167</v>
      </c>
      <c r="E609" s="1" t="n">
        <v>46265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49166-2025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45938</v>
      </c>
      <c r="E610" s="1" t="n">
        <v>46265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20104-2026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46265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20969-2026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46142</v>
      </c>
      <c r="E612" s="1" t="n">
        <v>46265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26382-2026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46183</v>
      </c>
      <c r="E613" s="1" t="n">
        <v>46265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46163</v>
      </c>
      <c r="E614" s="1" t="n">
        <v>46265</v>
      </c>
      <c r="F614" t="inlineStr">
        <is>
          <t>DALARNAS LÄN</t>
        </is>
      </c>
      <c r="G614" t="inlineStr">
        <is>
          <t>LUDVIKA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46225</v>
      </c>
      <c r="E615" s="1" t="n">
        <v>46265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31776-2026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46230</v>
      </c>
      <c r="E616" s="1" t="n">
        <v>46265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46265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17.5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26902-2026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46265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46230</v>
      </c>
      <c r="E619" s="1" t="n">
        <v>46265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49669-2024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45596</v>
      </c>
      <c r="E620" s="1" t="n">
        <v>46265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26727-2026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46265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27609-2026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46190</v>
      </c>
      <c r="E622" s="1" t="n">
        <v>46265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46190</v>
      </c>
      <c r="E623" s="1" t="n">
        <v>46265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27613-2026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46265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26574-2026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46183</v>
      </c>
      <c r="E625" s="1" t="n">
        <v>46265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32016-2026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46265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27554-2026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46190</v>
      </c>
      <c r="E627" s="1" t="n">
        <v>46265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27853-2026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46191</v>
      </c>
      <c r="E628" s="1" t="n">
        <v>46265</v>
      </c>
      <c r="F628" t="inlineStr">
        <is>
          <t>DALARNAS LÄN</t>
        </is>
      </c>
      <c r="G628" t="inlineStr">
        <is>
          <t>LUDVIKA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46030</v>
      </c>
      <c r="E629" s="1" t="n">
        <v>46265</v>
      </c>
      <c r="F629" t="inlineStr">
        <is>
          <t>DALARNAS LÄN</t>
        </is>
      </c>
      <c r="G629" t="inlineStr">
        <is>
          <t>LUDVIKA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22817-2026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46160</v>
      </c>
      <c r="E630" s="1" t="n">
        <v>46265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21032-2026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46146</v>
      </c>
      <c r="E631" s="1" t="n">
        <v>46265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21034-2026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46146</v>
      </c>
      <c r="E632" s="1" t="n">
        <v>46265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46160</v>
      </c>
      <c r="E633" s="1" t="n">
        <v>46265</v>
      </c>
      <c r="F633" t="inlineStr">
        <is>
          <t>DALARNAS LÄN</t>
        </is>
      </c>
      <c r="G633" t="inlineStr">
        <is>
          <t>LUDVIKA</t>
        </is>
      </c>
      <c r="H633" t="inlineStr">
        <is>
          <t>Naturvårdsverket</t>
        </is>
      </c>
      <c r="I633" t="n">
        <v>9.9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22806-2026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46160</v>
      </c>
      <c r="E634" s="1" t="n">
        <v>46265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22821-2026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46160</v>
      </c>
      <c r="E635" s="1" t="n">
        <v>46265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46198</v>
      </c>
      <c r="E636" s="1" t="n">
        <v>46265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46241</v>
      </c>
      <c r="E637" s="1" t="n">
        <v>46265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32757-2026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46241</v>
      </c>
      <c r="E638" s="1" t="n">
        <v>46265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46241</v>
      </c>
      <c r="E639" s="1" t="n">
        <v>46265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46241</v>
      </c>
      <c r="E640" s="1" t="n">
        <v>46265</v>
      </c>
      <c r="F640" t="inlineStr">
        <is>
          <t>DALARNAS LÄN</t>
        </is>
      </c>
      <c r="G640" t="inlineStr">
        <is>
          <t>LUDVIKA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32752-2026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46241</v>
      </c>
      <c r="E641" s="1" t="n">
        <v>46265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46265</v>
      </c>
      <c r="F642" t="inlineStr">
        <is>
          <t>DALARNAS LÄN</t>
        </is>
      </c>
      <c r="G642" t="inlineStr">
        <is>
          <t>LUDVIKA</t>
        </is>
      </c>
      <c r="H642" t="inlineStr">
        <is>
          <t>Naturvårdsverket</t>
        </is>
      </c>
      <c r="I642" t="n">
        <v>10.4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46265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27608-2026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46190</v>
      </c>
      <c r="E644" s="1" t="n">
        <v>46265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46205</v>
      </c>
      <c r="E645" s="1" t="n">
        <v>46265</v>
      </c>
      <c r="F645" t="inlineStr">
        <is>
          <t>DALARNAS LÄN</t>
        </is>
      </c>
      <c r="G645" t="inlineStr">
        <is>
          <t>LUDVIKA</t>
        </is>
      </c>
      <c r="H645" t="inlineStr">
        <is>
          <t>Naturvårdsverket</t>
        </is>
      </c>
      <c r="I645" t="n">
        <v>8.300000000000001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33419-2026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46247</v>
      </c>
      <c r="E646" s="1" t="n">
        <v>46265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46265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33397-2026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46247</v>
      </c>
      <c r="E648" s="1" t="n">
        <v>46265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33373-2026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46247</v>
      </c>
      <c r="E649" s="1" t="n">
        <v>46265</v>
      </c>
      <c r="F649" t="inlineStr">
        <is>
          <t>DALARNAS LÄN</t>
        </is>
      </c>
      <c r="G649" t="inlineStr">
        <is>
          <t>LUDVIKA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33689-2026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46248</v>
      </c>
      <c r="E650" s="1" t="n">
        <v>46265</v>
      </c>
      <c r="F650" t="inlineStr">
        <is>
          <t>DALARNAS LÄN</t>
        </is>
      </c>
      <c r="G650" t="inlineStr">
        <is>
          <t>LUDVIKA</t>
        </is>
      </c>
      <c r="I650" t="n">
        <v>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20974-2026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46142</v>
      </c>
      <c r="E651" s="1" t="n">
        <v>46265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30210-2026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46206</v>
      </c>
      <c r="E652" s="1" t="n">
        <v>46265</v>
      </c>
      <c r="F652" t="inlineStr">
        <is>
          <t>DALARNAS LÄN</t>
        </is>
      </c>
      <c r="G652" t="inlineStr">
        <is>
          <t>LUDVIKA</t>
        </is>
      </c>
      <c r="H652" t="inlineStr">
        <is>
          <t>Naturvårdsverket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23871-2026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46167</v>
      </c>
      <c r="E653" s="1" t="n">
        <v>46265</v>
      </c>
      <c r="F653" t="inlineStr">
        <is>
          <t>DALARNAS LÄN</t>
        </is>
      </c>
      <c r="G653" t="inlineStr">
        <is>
          <t>LUDVIKA</t>
        </is>
      </c>
      <c r="H653" t="inlineStr">
        <is>
          <t>Kommuner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30106-2026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46265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30113-2026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46206</v>
      </c>
      <c r="E655" s="1" t="n">
        <v>46265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28062-2026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46195</v>
      </c>
      <c r="E656" s="1" t="n">
        <v>46265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34147-2026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46253</v>
      </c>
      <c r="E657" s="1" t="n">
        <v>46265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34558-2026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46265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46265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34550-2026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46255</v>
      </c>
      <c r="E660" s="1" t="n">
        <v>46265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34632-2026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46265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34584-2026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46265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34638-2026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46255</v>
      </c>
      <c r="E663" s="1" t="n">
        <v>46265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34631-2026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46255</v>
      </c>
      <c r="E664" s="1" t="n">
        <v>46265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28838-2026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46265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28792-2026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46265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28132-2026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46265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22276-2026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46154</v>
      </c>
      <c r="E668" s="1" t="n">
        <v>46265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28801-2026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46265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35101-2026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46260</v>
      </c>
      <c r="E670" s="1" t="n">
        <v>46265</v>
      </c>
      <c r="F670" t="inlineStr">
        <is>
          <t>DALARNAS LÄN</t>
        </is>
      </c>
      <c r="G670" t="inlineStr">
        <is>
          <t>LUDVIKA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46260</v>
      </c>
      <c r="E671" s="1" t="n">
        <v>46265</v>
      </c>
      <c r="F671" t="inlineStr">
        <is>
          <t>DALARNAS LÄN</t>
        </is>
      </c>
      <c r="G671" t="inlineStr">
        <is>
          <t>LUDVIKA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34780-2026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46258</v>
      </c>
      <c r="E672" s="1" t="n">
        <v>46265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27989-2026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46195</v>
      </c>
      <c r="E673" s="1" t="n">
        <v>46265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46265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46265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35099-2026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46260</v>
      </c>
      <c r="E676" s="1" t="n">
        <v>46265</v>
      </c>
      <c r="F676" t="inlineStr">
        <is>
          <t>DALARNAS LÄN</t>
        </is>
      </c>
      <c r="G676" t="inlineStr">
        <is>
          <t>LUDVIKA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46260</v>
      </c>
      <c r="E677" s="1" t="n">
        <v>46265</v>
      </c>
      <c r="F677" t="inlineStr">
        <is>
          <t>DALARNAS LÄN</t>
        </is>
      </c>
      <c r="G677" t="inlineStr">
        <is>
          <t>LUDVIKA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35179-2026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46260</v>
      </c>
      <c r="E678" s="1" t="n">
        <v>46265</v>
      </c>
      <c r="F678" t="inlineStr">
        <is>
          <t>DALARNAS LÄN</t>
        </is>
      </c>
      <c r="G678" t="inlineStr">
        <is>
          <t>LUDVIKA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35103-2026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46260</v>
      </c>
      <c r="E679" s="1" t="n">
        <v>46265</v>
      </c>
      <c r="F679" t="inlineStr">
        <is>
          <t>DALARNAS LÄN</t>
        </is>
      </c>
      <c r="G679" t="inlineStr">
        <is>
          <t>LUDVIKA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35104-2026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46260</v>
      </c>
      <c r="E680" s="1" t="n">
        <v>46265</v>
      </c>
      <c r="F680" t="inlineStr">
        <is>
          <t>DALARNAS LÄN</t>
        </is>
      </c>
      <c r="G680" t="inlineStr">
        <is>
          <t>LUDVIKA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28162-2026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46265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20973-2026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46142</v>
      </c>
      <c r="E682" s="1" t="n">
        <v>46265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34796-2026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46258</v>
      </c>
      <c r="E683" s="1" t="n">
        <v>46265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28067-2026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46265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28116-2026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46265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28158-2026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46265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4173-2025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45685</v>
      </c>
      <c r="E687" s="1" t="n">
        <v>46265</v>
      </c>
      <c r="F687" t="inlineStr">
        <is>
          <t>DALARNAS LÄN</t>
        </is>
      </c>
      <c r="G687" t="inlineStr">
        <is>
          <t>LUDVIKA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28045-2026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46265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28073-2026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46265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31227-2026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46217</v>
      </c>
      <c r="E690" s="1" t="n">
        <v>46265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31299-2026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46218</v>
      </c>
      <c r="E691" s="1" t="n">
        <v>46265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15.8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31393-2026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46220</v>
      </c>
      <c r="E692" s="1" t="n">
        <v>46265</v>
      </c>
      <c r="F692" t="inlineStr">
        <is>
          <t>DALARNAS LÄN</t>
        </is>
      </c>
      <c r="G692" t="inlineStr">
        <is>
          <t>LUDVIKA</t>
        </is>
      </c>
      <c r="H692" t="inlineStr">
        <is>
          <t>Naturvårdsverket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31350-2026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46219</v>
      </c>
      <c r="E693" s="1" t="n">
        <v>46265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35490-2026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46262</v>
      </c>
      <c r="E694" s="1" t="n">
        <v>46265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26719-2025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45810</v>
      </c>
      <c r="E695" s="1" t="n">
        <v>46265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2837-2023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45167</v>
      </c>
      <c r="E696" s="1" t="n">
        <v>46265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1122-2023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45015</v>
      </c>
      <c r="E697" s="1" t="n">
        <v>46265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115.7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3660-2023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45216</v>
      </c>
      <c r="E698" s="1" t="n">
        <v>46265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1246-2024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45400</v>
      </c>
      <c r="E699" s="1" t="n">
        <v>46265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1096-2024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45391</v>
      </c>
      <c r="E700" s="1" t="n">
        <v>46265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4863-2022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44805</v>
      </c>
      <c r="E701" s="1" t="n">
        <v>46265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1113-2023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45015</v>
      </c>
      <c r="E702" s="1" t="n">
        <v>46265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1815-2026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46190</v>
      </c>
      <c r="E703" s="1" t="n">
        <v>46265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2026-08-31T10:00:27Z</dcterms:created>
  <dcterms:modified xmlns:dcterms="http://purl.org/dc/terms/" xmlns:xsi="http://www.w3.org/2001/XMLSchema-instance" xsi:type="dcterms:W3CDTF">2026-08-31T10:00:28Z</dcterms:modified>
</cp:coreProperties>
</file>
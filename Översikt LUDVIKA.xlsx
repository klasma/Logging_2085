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46250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46250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46250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46250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46250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46250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46250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46250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46250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46250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46250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46250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46250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63299-2025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46010</v>
      </c>
      <c r="E28" s="1" t="n">
        <v>46250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1.4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8</v>
      </c>
      <c r="U28" t="n">
        <v>1</v>
      </c>
      <c r="V28" s="2" t="inlineStr">
        <is>
          <t>Garnlav
Skrovlig taggsvamp
Blå taggsvamp
Motaggsvamp
Talltaggsvamp
Tjäder</t>
        </is>
      </c>
      <c r="W28">
        <f>HYPERLINK("https://klasma.github.io/Logging_2085/artfynd/A 63299-2025 artfynd.xlsx", "A 63299-2025")</f>
        <v/>
      </c>
      <c r="X28">
        <f>HYPERLINK("https://klasma.github.io/Logging_2085/kartor/A 63299-2025 karta.png", "A 63299-2025")</f>
        <v/>
      </c>
      <c r="Y28">
        <f>HYPERLINK("https://klasma.github.io/Logging_2085/kartor_geotiff/A 63299-2025 georefererad karta.tif", "A 63299-2025")</f>
        <v/>
      </c>
      <c r="AA28">
        <f>HYPERLINK("https://klasma.github.io/Logging_2085/klagomål/A 63299-2025 FSC-klagomål.docx", "A 63299-2025")</f>
        <v/>
      </c>
      <c r="AB28">
        <f>HYPERLINK("https://klasma.github.io/Logging_2085/klagomålsmail/A 63299-2025 FSC-klagomål mail.docx", "A 63299-2025")</f>
        <v/>
      </c>
      <c r="AC28">
        <f>HYPERLINK("https://klasma.github.io/Logging_2085/tillsyn/A 63299-2025 tillsynsbegäran.docx", "A 63299-2025")</f>
        <v/>
      </c>
      <c r="AD28">
        <f>HYPERLINK("https://klasma.github.io/Logging_2085/tillsynsmail/A 63299-2025 tillsynsbegäran mail.docx", "A 63299-2025")</f>
        <v/>
      </c>
      <c r="AE28">
        <f>HYPERLINK("https://klasma.github.io/Logging_2085/fåglar/A 63299-2025 prioriterade fågelarter.docx", "A 63299-2025")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46250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46250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46250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46250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46250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46250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46250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46250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46250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46250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46250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4</v>
      </c>
      <c r="V43" s="2" t="inlineStr">
        <is>
          <t>Talltita
Tretåig hackspett
Vedskivlav
Järpe</t>
        </is>
      </c>
      <c r="W43">
        <f>HYPERLINK("https://klasma.github.io/Logging_2085/artfynd/A 46721-2025 artfynd.xlsx", "A 46721-2025")</f>
        <v/>
      </c>
      <c r="X43">
        <f>HYPERLINK("https://klasma.github.io/Logging_2085/kartor/A 46721-2025 karta.png", "A 46721-2025")</f>
        <v/>
      </c>
      <c r="Y43">
        <f>HYPERLINK("https://klasma.github.io/Logging_2085/kartor_geotiff/A 46721-2025 georefererad karta.tif", "A 46721-2025")</f>
        <v/>
      </c>
      <c r="AA43">
        <f>HYPERLINK("https://klasma.github.io/Logging_2085/klagomål/A 46721-2025 FSC-klagomål.docx", "A 46721-2025")</f>
        <v/>
      </c>
      <c r="AB43">
        <f>HYPERLINK("https://klasma.github.io/Logging_2085/klagomålsmail/A 46721-2025 FSC-klagomål mail.docx", "A 46721-2025")</f>
        <v/>
      </c>
      <c r="AC43">
        <f>HYPERLINK("https://klasma.github.io/Logging_2085/tillsyn/A 46721-2025 tillsynsbegäran.docx", "A 46721-2025")</f>
        <v/>
      </c>
      <c r="AD43">
        <f>HYPERLINK("https://klasma.github.io/Logging_2085/tillsynsmail/A 46721-2025 tillsynsbegäran mail.docx", "A 46721-2025")</f>
        <v/>
      </c>
      <c r="AE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46250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46250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46250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46250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46250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46250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46250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28738-2026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46250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12</v>
      </c>
      <c r="U52" t="n">
        <v>12</v>
      </c>
      <c r="V52" s="2" t="inlineStr">
        <is>
          <t>Garnlav
Violettgrå tagellav
Mindre märgborre
Spillkråka</t>
        </is>
      </c>
      <c r="W52">
        <f>HYPERLINK("https://klasma.github.io/Logging_2085/artfynd/A 28738-2026 artfynd.xlsx", "A 28738-2026")</f>
        <v/>
      </c>
      <c r="X52">
        <f>HYPERLINK("https://klasma.github.io/Logging_2085/kartor/A 28738-2026 karta.png", "A 28738-2026")</f>
        <v/>
      </c>
      <c r="Y52">
        <f>HYPERLINK("https://klasma.github.io/Logging_2085/kartor_geotiff/A 28738-2026 georefererad karta.tif", "A 28738-2026")</f>
        <v/>
      </c>
      <c r="AA52">
        <f>HYPERLINK("https://klasma.github.io/Logging_2085/klagomål/A 28738-2026 FSC-klagomål.docx", "A 28738-2026")</f>
        <v/>
      </c>
      <c r="AB52">
        <f>HYPERLINK("https://klasma.github.io/Logging_2085/klagomålsmail/A 28738-2026 FSC-klagomål mail.docx", "A 28738-2026")</f>
        <v/>
      </c>
      <c r="AC52">
        <f>HYPERLINK("https://klasma.github.io/Logging_2085/tillsyn/A 28738-2026 tillsynsbegäran.docx", "A 28738-2026")</f>
        <v/>
      </c>
      <c r="AD52">
        <f>HYPERLINK("https://klasma.github.io/Logging_2085/tillsynsmail/A 28738-2026 tillsynsbegäran mail.docx", "A 28738-2026")</f>
        <v/>
      </c>
      <c r="AE52">
        <f>HYPERLINK("https://klasma.github.io/Logging_2085/fåglar/A 28738-2026 prioriterade fågelarter.docx", "A 28738-2026")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46250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46250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Aspgelélav
Lunglav
Järpe</t>
        </is>
      </c>
      <c r="W54">
        <f>HYPERLINK("https://klasma.github.io/Logging_2085/artfynd/A 41456-2025 artfynd.xlsx", "A 41456-2025")</f>
        <v/>
      </c>
      <c r="X54">
        <f>HYPERLINK("https://klasma.github.io/Logging_2085/kartor/A 41456-2025 karta.png", "A 41456-2025")</f>
        <v/>
      </c>
      <c r="Y54">
        <f>HYPERLINK("https://klasma.github.io/Logging_2085/kartor_geotiff/A 41456-2025 georefererad karta.tif", "A 41456-2025")</f>
        <v/>
      </c>
      <c r="AA54">
        <f>HYPERLINK("https://klasma.github.io/Logging_2085/klagomål/A 41456-2025 FSC-klagomål.docx", "A 41456-2025")</f>
        <v/>
      </c>
      <c r="AB54">
        <f>HYPERLINK("https://klasma.github.io/Logging_2085/klagomålsmail/A 41456-2025 FSC-klagomål mail.docx", "A 41456-2025")</f>
        <v/>
      </c>
      <c r="AC54">
        <f>HYPERLINK("https://klasma.github.io/Logging_2085/tillsyn/A 41456-2025 tillsynsbegäran.docx", "A 41456-2025")</f>
        <v/>
      </c>
      <c r="AD54">
        <f>HYPERLINK("https://klasma.github.io/Logging_2085/tillsynsmail/A 41456-2025 tillsynsbegäran mail.docx", "A 41456-2025")</f>
        <v/>
      </c>
      <c r="AE54">
        <f>HYPERLINK("https://klasma.github.io/Logging_2085/fåglar/A 41456-2025 prioriterade fågelarter.docx", "A 41456-2025")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46250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Spillkråka
Gröngöling
Kungsfågel</t>
        </is>
      </c>
      <c r="W55">
        <f>HYPERLINK("https://klasma.github.io/Logging_2085/artfynd/A 74432-2021 artfynd.xlsx", "A 74432-2021")</f>
        <v/>
      </c>
      <c r="X55">
        <f>HYPERLINK("https://klasma.github.io/Logging_2085/kartor/A 74432-2021 karta.png", "A 74432-2021")</f>
        <v/>
      </c>
      <c r="Y55">
        <f>HYPERLINK("https://klasma.github.io/Logging_2085/kartor_geotiff/A 74432-2021 georefererad karta.tif", "A 74432-2021")</f>
        <v/>
      </c>
      <c r="AA55">
        <f>HYPERLINK("https://klasma.github.io/Logging_2085/klagomål/A 74432-2021 FSC-klagomål.docx", "A 74432-2021")</f>
        <v/>
      </c>
      <c r="AB55">
        <f>HYPERLINK("https://klasma.github.io/Logging_2085/klagomålsmail/A 74432-2021 FSC-klagomål mail.docx", "A 74432-2021")</f>
        <v/>
      </c>
      <c r="AC55">
        <f>HYPERLINK("https://klasma.github.io/Logging_2085/tillsyn/A 74432-2021 tillsynsbegäran.docx", "A 74432-2021")</f>
        <v/>
      </c>
      <c r="AD55">
        <f>HYPERLINK("https://klasma.github.io/Logging_2085/tillsynsmail/A 74432-2021 tillsynsbegäran mail.docx", "A 74432-2021")</f>
        <v/>
      </c>
      <c r="AE55">
        <f>HYPERLINK("https://klasma.github.io/Logging_2085/fåglar/A 74432-2021 prioriterade fågelarter.docx", "A 74432-2021")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46250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46250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46250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4</v>
      </c>
      <c r="V58" s="2" t="inlineStr">
        <is>
          <t>Tretåig hackspett
Rävticka
Rödgul trumpetsvamp</t>
        </is>
      </c>
      <c r="W58">
        <f>HYPERLINK("https://klasma.github.io/Logging_2085/artfynd/A 43226-2025 artfynd.xlsx", "A 43226-2025")</f>
        <v/>
      </c>
      <c r="X58">
        <f>HYPERLINK("https://klasma.github.io/Logging_2085/kartor/A 43226-2025 karta.png", "A 43226-2025")</f>
        <v/>
      </c>
      <c r="Y58">
        <f>HYPERLINK("https://klasma.github.io/Logging_2085/kartor_geotiff/A 43226-2025 georefererad karta.tif", "A 43226-2025")</f>
        <v/>
      </c>
      <c r="AA58">
        <f>HYPERLINK("https://klasma.github.io/Logging_2085/klagomål/A 43226-2025 FSC-klagomål.docx", "A 43226-2025")</f>
        <v/>
      </c>
      <c r="AB58">
        <f>HYPERLINK("https://klasma.github.io/Logging_2085/klagomålsmail/A 43226-2025 FSC-klagomål mail.docx", "A 43226-2025")</f>
        <v/>
      </c>
      <c r="AC58">
        <f>HYPERLINK("https://klasma.github.io/Logging_2085/tillsyn/A 43226-2025 tillsynsbegäran.docx", "A 43226-2025")</f>
        <v/>
      </c>
      <c r="AD58">
        <f>HYPERLINK("https://klasma.github.io/Logging_2085/tillsynsmail/A 43226-2025 tillsynsbegäran mail.docx", "A 43226-2025")</f>
        <v/>
      </c>
      <c r="AE58">
        <f>HYPERLINK("https://klasma.github.io/Logging_2085/fåglar/A 43226-2025 prioriterade fågelarter.docx", "A 43226-2025")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46250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46250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46250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21369-2023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46250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0.4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Skogsalm
Tibast</t>
        </is>
      </c>
      <c r="W62">
        <f>HYPERLINK("https://klasma.github.io/Logging_2085/artfynd/A 21369-2023 artfynd.xlsx", "A 21369-2023")</f>
        <v/>
      </c>
      <c r="X62">
        <f>HYPERLINK("https://klasma.github.io/Logging_2085/kartor/A 21369-2023 karta.png", "A 21369-2023")</f>
        <v/>
      </c>
      <c r="Y62">
        <f>HYPERLINK("https://klasma.github.io/Logging_2085/kartor_geotiff/A 21369-2023 georefererad karta.tif", "A 21369-2023")</f>
        <v/>
      </c>
      <c r="AA62">
        <f>HYPERLINK("https://klasma.github.io/Logging_2085/klagomål/A 21369-2023 FSC-klagomål.docx", "A 21369-2023")</f>
        <v/>
      </c>
      <c r="AB62">
        <f>HYPERLINK("https://klasma.github.io/Logging_2085/klagomålsmail/A 21369-2023 FSC-klagomål mail.docx", "A 21369-2023")</f>
        <v/>
      </c>
      <c r="AC62">
        <f>HYPERLINK("https://klasma.github.io/Logging_2085/tillsyn/A 21369-2023 tillsynsbegäran.docx", "A 21369-2023")</f>
        <v/>
      </c>
      <c r="AD62">
        <f>HYPERLINK("https://klasma.github.io/Logging_2085/tillsynsmail/A 21369-2023 tillsynsbegäran mail.docx", "A 21369-2023")</f>
        <v/>
      </c>
    </row>
    <row r="63" ht="15" customHeight="1">
      <c r="A63" t="inlineStr">
        <is>
          <t>A 11755-2023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46250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Spillkråka</t>
        </is>
      </c>
      <c r="W63">
        <f>HYPERLINK("https://klasma.github.io/Logging_2085/artfynd/A 11755-2023 artfynd.xlsx", "A 11755-2023")</f>
        <v/>
      </c>
      <c r="X63">
        <f>HYPERLINK("https://klasma.github.io/Logging_2085/kartor/A 11755-2023 karta.png", "A 11755-2023")</f>
        <v/>
      </c>
      <c r="Y63">
        <f>HYPERLINK("https://klasma.github.io/Logging_2085/kartor_geotiff/A 11755-2023 georefererad karta.tif", "A 11755-2023")</f>
        <v/>
      </c>
      <c r="AA63">
        <f>HYPERLINK("https://klasma.github.io/Logging_2085/klagomål/A 11755-2023 FSC-klagomål.docx", "A 11755-2023")</f>
        <v/>
      </c>
      <c r="AB63">
        <f>HYPERLINK("https://klasma.github.io/Logging_2085/klagomålsmail/A 11755-2023 FSC-klagomål mail.docx", "A 11755-2023")</f>
        <v/>
      </c>
      <c r="AC63">
        <f>HYPERLINK("https://klasma.github.io/Logging_2085/tillsyn/A 11755-2023 tillsynsbegäran.docx", "A 11755-2023")</f>
        <v/>
      </c>
      <c r="AD63">
        <f>HYPERLINK("https://klasma.github.io/Logging_2085/tillsynsmail/A 11755-2023 tillsynsbegäran mail.docx", "A 11755-2023")</f>
        <v/>
      </c>
      <c r="AE63">
        <f>HYPERLINK("https://klasma.github.io/Logging_2085/fåglar/A 11755-2023 prioriterade fågelarter.docx", "A 11755-2023")</f>
        <v/>
      </c>
    </row>
    <row r="64" ht="15" customHeight="1">
      <c r="A64" t="inlineStr">
        <is>
          <t>A 44262-2025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46250</v>
      </c>
      <c r="F64" t="inlineStr">
        <is>
          <t>DALARNAS LÄN</t>
        </is>
      </c>
      <c r="G64" t="inlineStr">
        <is>
          <t>LUDVIKA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Nordfladdermus
Fläcknycklar</t>
        </is>
      </c>
      <c r="W64">
        <f>HYPERLINK("https://klasma.github.io/Logging_2085/artfynd/A 44262-2025 artfynd.xlsx", "A 44262-2025")</f>
        <v/>
      </c>
      <c r="X64">
        <f>HYPERLINK("https://klasma.github.io/Logging_2085/kartor/A 44262-2025 karta.png", "A 44262-2025")</f>
        <v/>
      </c>
      <c r="Y64">
        <f>HYPERLINK("https://klasma.github.io/Logging_2085/kartor_geotiff/A 44262-2025 georefererad karta.tif", "A 44262-2025")</f>
        <v/>
      </c>
      <c r="AA64">
        <f>HYPERLINK("https://klasma.github.io/Logging_2085/klagomål/A 44262-2025 FSC-klagomål.docx", "A 44262-2025")</f>
        <v/>
      </c>
      <c r="AB64">
        <f>HYPERLINK("https://klasma.github.io/Logging_2085/klagomålsmail/A 44262-2025 FSC-klagomål mail.docx", "A 44262-2025")</f>
        <v/>
      </c>
      <c r="AC64">
        <f>HYPERLINK("https://klasma.github.io/Logging_2085/tillsyn/A 44262-2025 tillsynsbegäran.docx", "A 44262-2025")</f>
        <v/>
      </c>
      <c r="AD64">
        <f>HYPERLINK("https://klasma.github.io/Logging_2085/tillsynsmail/A 44262-2025 tillsynsbegäran mail.docx", "A 44262-2025")</f>
        <v/>
      </c>
    </row>
    <row r="65" ht="15" customHeight="1">
      <c r="A65" t="inlineStr">
        <is>
          <t>A 45225-2024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45575</v>
      </c>
      <c r="E65" s="1" t="n">
        <v>46250</v>
      </c>
      <c r="F65" t="inlineStr">
        <is>
          <t>DALARNAS LÄN</t>
        </is>
      </c>
      <c r="G65" t="inlineStr">
        <is>
          <t>LUDVIKA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Ärtsångare</t>
        </is>
      </c>
      <c r="W65">
        <f>HYPERLINK("https://klasma.github.io/Logging_2085/artfynd/A 45225-2024 artfynd.xlsx", "A 45225-2024")</f>
        <v/>
      </c>
      <c r="X65">
        <f>HYPERLINK("https://klasma.github.io/Logging_2085/kartor/A 45225-2024 karta.png", "A 45225-2024")</f>
        <v/>
      </c>
      <c r="Y65">
        <f>HYPERLINK("https://klasma.github.io/Logging_2085/kartor_geotiff/A 45225-2024 georefererad karta.tif", "A 45225-2024")</f>
        <v/>
      </c>
      <c r="AA65">
        <f>HYPERLINK("https://klasma.github.io/Logging_2085/klagomål/A 45225-2024 FSC-klagomål.docx", "A 45225-2024")</f>
        <v/>
      </c>
      <c r="AB65">
        <f>HYPERLINK("https://klasma.github.io/Logging_2085/klagomålsmail/A 45225-2024 FSC-klagomål mail.docx", "A 45225-2024")</f>
        <v/>
      </c>
      <c r="AC65">
        <f>HYPERLINK("https://klasma.github.io/Logging_2085/tillsyn/A 45225-2024 tillsynsbegäran.docx", "A 45225-2024")</f>
        <v/>
      </c>
      <c r="AD65">
        <f>HYPERLINK("https://klasma.github.io/Logging_2085/tillsynsmail/A 45225-2024 tillsynsbegäran mail.docx", "A 45225-2024")</f>
        <v/>
      </c>
    </row>
    <row r="66" ht="15" customHeight="1">
      <c r="A66" t="inlineStr">
        <is>
          <t>A 3809-2024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46250</v>
      </c>
      <c r="F66" t="inlineStr">
        <is>
          <t>DALARNAS LÄN</t>
        </is>
      </c>
      <c r="G66" t="inlineStr">
        <is>
          <t>LUDVIKA</t>
        </is>
      </c>
      <c r="I66" t="n">
        <v>0.5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8</v>
      </c>
      <c r="U66" t="n">
        <v>8</v>
      </c>
      <c r="V66" s="2" t="inlineStr">
        <is>
          <t>Nordfladdermus
Fläcknycklar</t>
        </is>
      </c>
      <c r="W66">
        <f>HYPERLINK("https://klasma.github.io/Logging_2085/artfynd/A 3809-2024 artfynd.xlsx", "A 3809-2024")</f>
        <v/>
      </c>
      <c r="X66">
        <f>HYPERLINK("https://klasma.github.io/Logging_2085/kartor/A 3809-2024 karta.png", "A 3809-2024")</f>
        <v/>
      </c>
      <c r="Y66">
        <f>HYPERLINK("https://klasma.github.io/Logging_2085/kartor_geotiff/A 3809-2024 georefererad karta.tif", "A 3809-2024")</f>
        <v/>
      </c>
      <c r="AA66">
        <f>HYPERLINK("https://klasma.github.io/Logging_2085/klagomål/A 3809-2024 FSC-klagomål.docx", "A 3809-2024")</f>
        <v/>
      </c>
      <c r="AB66">
        <f>HYPERLINK("https://klasma.github.io/Logging_2085/klagomålsmail/A 3809-2024 FSC-klagomål mail.docx", "A 3809-2024")</f>
        <v/>
      </c>
      <c r="AC66">
        <f>HYPERLINK("https://klasma.github.io/Logging_2085/tillsyn/A 3809-2024 tillsynsbegäran.docx", "A 3809-2024")</f>
        <v/>
      </c>
      <c r="AD66">
        <f>HYPERLINK("https://klasma.github.io/Logging_2085/tillsynsmail/A 3809-2024 tillsynsbegäran mail.docx", "A 3809-2024")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46250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46250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46250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63116-2025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46250</v>
      </c>
      <c r="F72" t="inlineStr">
        <is>
          <t>DALARNAS LÄN</t>
        </is>
      </c>
      <c r="G72" t="inlineStr">
        <is>
          <t>LUDVIKA</t>
        </is>
      </c>
      <c r="I72" t="n">
        <v>4.8</v>
      </c>
      <c r="J72" t="n">
        <v>0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Björksplintborre</t>
        </is>
      </c>
      <c r="W72">
        <f>HYPERLINK("https://klasma.github.io/Logging_2085/artfynd/A 63116-2025 artfynd.xlsx", "A 63116-2025")</f>
        <v/>
      </c>
      <c r="X72">
        <f>HYPERLINK("https://klasma.github.io/Logging_2085/kartor/A 63116-2025 karta.png", "A 63116-2025")</f>
        <v/>
      </c>
      <c r="Y72">
        <f>HYPERLINK("https://klasma.github.io/Logging_2085/kartor_geotiff/A 63116-2025 georefererad karta.tif", "A 63116-2025")</f>
        <v/>
      </c>
      <c r="AA72">
        <f>HYPERLINK("https://klasma.github.io/Logging_2085/klagomål/A 63116-2025 FSC-klagomål.docx", "A 63116-2025")</f>
        <v/>
      </c>
      <c r="AB72">
        <f>HYPERLINK("https://klasma.github.io/Logging_2085/klagomålsmail/A 63116-2025 FSC-klagomål mail.docx", "A 63116-2025")</f>
        <v/>
      </c>
      <c r="AC72">
        <f>HYPERLINK("https://klasma.github.io/Logging_2085/tillsyn/A 63116-2025 tillsynsbegäran.docx", "A 63116-2025")</f>
        <v/>
      </c>
      <c r="AD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46250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19512-2022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46250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Tretåig hackspett
Nästlav</t>
        </is>
      </c>
      <c r="W74">
        <f>HYPERLINK("https://klasma.github.io/Logging_2085/artfynd/A 19512-2022 artfynd.xlsx", "A 19512-2022")</f>
        <v/>
      </c>
      <c r="X74">
        <f>HYPERLINK("https://klasma.github.io/Logging_2085/kartor/A 19512-2022 karta.png", "A 19512-2022")</f>
        <v/>
      </c>
      <c r="Y74">
        <f>HYPERLINK("https://klasma.github.io/Logging_2085/kartor_geotiff/A 19512-2022 georefererad karta.tif", "A 19512-2022")</f>
        <v/>
      </c>
      <c r="AA74">
        <f>HYPERLINK("https://klasma.github.io/Logging_2085/klagomål/A 19512-2022 FSC-klagomål.docx", "A 19512-2022")</f>
        <v/>
      </c>
      <c r="AB74">
        <f>HYPERLINK("https://klasma.github.io/Logging_2085/klagomålsmail/A 19512-2022 FSC-klagomål mail.docx", "A 19512-2022")</f>
        <v/>
      </c>
      <c r="AC74">
        <f>HYPERLINK("https://klasma.github.io/Logging_2085/tillsyn/A 19512-2022 tillsynsbegäran.docx", "A 19512-2022")</f>
        <v/>
      </c>
      <c r="AD74">
        <f>HYPERLINK("https://klasma.github.io/Logging_2085/tillsynsmail/A 19512-2022 tillsynsbegäran mail.docx", "A 19512-2022")</f>
        <v/>
      </c>
      <c r="AE74">
        <f>HYPERLINK("https://klasma.github.io/Logging_2085/fåglar/A 19512-2022 prioriterade fågelarter.docx", "A 19512-2022")</f>
        <v/>
      </c>
    </row>
    <row r="75" ht="15" customHeight="1">
      <c r="A75" t="inlineStr">
        <is>
          <t>A 31070-2026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46216</v>
      </c>
      <c r="E75" s="1" t="n">
        <v>46250</v>
      </c>
      <c r="F75" t="inlineStr">
        <is>
          <t>DALARNAS LÄN</t>
        </is>
      </c>
      <c r="G75" t="inlineStr">
        <is>
          <t>LUDVIKA</t>
        </is>
      </c>
      <c r="I75" t="n">
        <v>8.9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Blåsippa</t>
        </is>
      </c>
      <c r="W75">
        <f>HYPERLINK("https://klasma.github.io/Logging_2085/artfynd/A 31070-2026 artfynd.xlsx", "A 31070-2026")</f>
        <v/>
      </c>
      <c r="X75">
        <f>HYPERLINK("https://klasma.github.io/Logging_2085/kartor/A 31070-2026 karta.png", "A 31070-2026")</f>
        <v/>
      </c>
      <c r="Y75">
        <f>HYPERLINK("https://klasma.github.io/Logging_2085/kartor_geotiff/A 31070-2026 georefererad karta.tif", "A 31070-2026")</f>
        <v/>
      </c>
      <c r="Z75">
        <f>HYPERLINK("https://klasma.github.io/Logging_2085/knärot/A 31070-2026 karta knärot.png", "A 31070-2026")</f>
        <v/>
      </c>
      <c r="AA75">
        <f>HYPERLINK("https://klasma.github.io/Logging_2085/klagomål/A 31070-2026 FSC-klagomål.docx", "A 31070-2026")</f>
        <v/>
      </c>
      <c r="AB75">
        <f>HYPERLINK("https://klasma.github.io/Logging_2085/klagomålsmail/A 31070-2026 FSC-klagomål mail.docx", "A 31070-2026")</f>
        <v/>
      </c>
      <c r="AC75">
        <f>HYPERLINK("https://klasma.github.io/Logging_2085/tillsyn/A 31070-2026 tillsynsbegäran.docx", "A 31070-2026")</f>
        <v/>
      </c>
      <c r="AD75">
        <f>HYPERLINK("https://klasma.github.io/Logging_2085/tillsynsmail/A 31070-2026 tillsynsbegäran mail.docx", "A 31070-2026")</f>
        <v/>
      </c>
    </row>
    <row r="76" ht="15" customHeight="1">
      <c r="A76" t="inlineStr">
        <is>
          <t>A 42558-2022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46250</v>
      </c>
      <c r="F76" t="inlineStr">
        <is>
          <t>DALARNAS LÄN</t>
        </is>
      </c>
      <c r="G76" t="inlineStr">
        <is>
          <t>LUDVIKA</t>
        </is>
      </c>
      <c r="H76" t="inlineStr">
        <is>
          <t>Naturvårdsverket</t>
        </is>
      </c>
      <c r="I76" t="n">
        <v>4.9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Gräddporing
Lopplummer (aggregat)</t>
        </is>
      </c>
      <c r="W76">
        <f>HYPERLINK("https://klasma.github.io/Logging_2085/artfynd/A 42558-2022 artfynd.xlsx", "A 42558-2022")</f>
        <v/>
      </c>
      <c r="X76">
        <f>HYPERLINK("https://klasma.github.io/Logging_2085/kartor/A 42558-2022 karta.png", "A 42558-2022")</f>
        <v/>
      </c>
      <c r="Y76">
        <f>HYPERLINK("https://klasma.github.io/Logging_2085/kartor_geotiff/A 42558-2022 georefererad karta.tif", "A 42558-2022")</f>
        <v/>
      </c>
      <c r="AA76">
        <f>HYPERLINK("https://klasma.github.io/Logging_2085/klagomål/A 42558-2022 FSC-klagomål.docx", "A 42558-2022")</f>
        <v/>
      </c>
      <c r="AB76">
        <f>HYPERLINK("https://klasma.github.io/Logging_2085/klagomålsmail/A 42558-2022 FSC-klagomål mail.docx", "A 42558-2022")</f>
        <v/>
      </c>
      <c r="AC76">
        <f>HYPERLINK("https://klasma.github.io/Logging_2085/tillsyn/A 42558-2022 tillsynsbegäran.docx", "A 42558-2022")</f>
        <v/>
      </c>
      <c r="AD76">
        <f>HYPERLINK("https://klasma.github.io/Logging_2085/tillsynsmail/A 42558-2022 tillsynsbegäran mail.docx", "A 42558-2022")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46250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46250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46250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Skinnlav
Svavelriska</t>
        </is>
      </c>
      <c r="W79">
        <f>HYPERLINK("https://klasma.github.io/Logging_2085/artfynd/A 18024-2026 artfynd.xlsx", "A 18024-2026")</f>
        <v/>
      </c>
      <c r="X79">
        <f>HYPERLINK("https://klasma.github.io/Logging_2085/kartor/A 18024-2026 karta.png", "A 18024-2026")</f>
        <v/>
      </c>
      <c r="Y79">
        <f>HYPERLINK("https://klasma.github.io/Logging_2085/kartor_geotiff/A 18024-2026 georefererad karta.tif", "A 18024-2026")</f>
        <v/>
      </c>
      <c r="AA79">
        <f>HYPERLINK("https://klasma.github.io/Logging_2085/klagomål/A 18024-2026 FSC-klagomål.docx", "A 18024-2026")</f>
        <v/>
      </c>
      <c r="AB79">
        <f>HYPERLINK("https://klasma.github.io/Logging_2085/klagomålsmail/A 18024-2026 FSC-klagomål mail.docx", "A 18024-2026")</f>
        <v/>
      </c>
      <c r="AC79">
        <f>HYPERLINK("https://klasma.github.io/Logging_2085/tillsyn/A 18024-2026 tillsynsbegäran.docx", "A 18024-2026")</f>
        <v/>
      </c>
      <c r="AD79">
        <f>HYPERLINK("https://klasma.github.io/Logging_2085/tillsynsmail/A 18024-2026 tillsynsbegäran mail.docx", "A 18024-2026")</f>
        <v/>
      </c>
    </row>
    <row r="80" ht="15" customHeight="1">
      <c r="A80" t="inlineStr">
        <is>
          <t>A 23919-2026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46250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Korallblylav
Skinnlav</t>
        </is>
      </c>
      <c r="W80">
        <f>HYPERLINK("https://klasma.github.io/Logging_2085/artfynd/A 23919-2026 artfynd.xlsx", "A 23919-2026")</f>
        <v/>
      </c>
      <c r="X80">
        <f>HYPERLINK("https://klasma.github.io/Logging_2085/kartor/A 23919-2026 karta.png", "A 23919-2026")</f>
        <v/>
      </c>
      <c r="Y80">
        <f>HYPERLINK("https://klasma.github.io/Logging_2085/kartor_geotiff/A 23919-2026 georefererad karta.tif", "A 23919-2026")</f>
        <v/>
      </c>
      <c r="AA80">
        <f>HYPERLINK("https://klasma.github.io/Logging_2085/klagomål/A 23919-2026 FSC-klagomål.docx", "A 23919-2026")</f>
        <v/>
      </c>
      <c r="AB80">
        <f>HYPERLINK("https://klasma.github.io/Logging_2085/klagomålsmail/A 23919-2026 FSC-klagomål mail.docx", "A 23919-2026")</f>
        <v/>
      </c>
      <c r="AC80">
        <f>HYPERLINK("https://klasma.github.io/Logging_2085/tillsyn/A 23919-2026 tillsynsbegäran.docx", "A 23919-2026")</f>
        <v/>
      </c>
      <c r="AD80">
        <f>HYPERLINK("https://klasma.github.io/Logging_2085/tillsynsmail/A 23919-2026 tillsynsbegäran mail.docx", "A 23919-2026")</f>
        <v/>
      </c>
    </row>
    <row r="81" ht="15" customHeight="1">
      <c r="A81" t="inlineStr">
        <is>
          <t>A 56826-2025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46250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4.5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8</v>
      </c>
      <c r="U81" t="n">
        <v>8</v>
      </c>
      <c r="V81" s="2" t="inlineStr">
        <is>
          <t>Garnlav
Tretåig hackspett</t>
        </is>
      </c>
      <c r="W81">
        <f>HYPERLINK("https://klasma.github.io/Logging_2085/artfynd/A 56826-2025 artfynd.xlsx", "A 56826-2025")</f>
        <v/>
      </c>
      <c r="X81">
        <f>HYPERLINK("https://klasma.github.io/Logging_2085/kartor/A 56826-2025 karta.png", "A 56826-2025")</f>
        <v/>
      </c>
      <c r="Y81">
        <f>HYPERLINK("https://klasma.github.io/Logging_2085/kartor_geotiff/A 56826-2025 georefererad karta.tif", "A 56826-2025")</f>
        <v/>
      </c>
      <c r="AA81">
        <f>HYPERLINK("https://klasma.github.io/Logging_2085/klagomål/A 56826-2025 FSC-klagomål.docx", "A 56826-2025")</f>
        <v/>
      </c>
      <c r="AB81">
        <f>HYPERLINK("https://klasma.github.io/Logging_2085/klagomålsmail/A 56826-2025 FSC-klagomål mail.docx", "A 56826-2025")</f>
        <v/>
      </c>
      <c r="AC81">
        <f>HYPERLINK("https://klasma.github.io/Logging_2085/tillsyn/A 56826-2025 tillsynsbegäran.docx", "A 56826-2025")</f>
        <v/>
      </c>
      <c r="AD81">
        <f>HYPERLINK("https://klasma.github.io/Logging_2085/tillsynsmail/A 56826-2025 tillsynsbegäran mail.docx", "A 56826-2025")</f>
        <v/>
      </c>
      <c r="AE81">
        <f>HYPERLINK("https://klasma.github.io/Logging_2085/fåglar/A 56826-2025 prioriterade fågelarter.docx", "A 56826-2025")</f>
        <v/>
      </c>
    </row>
    <row r="82" ht="15" customHeight="1">
      <c r="A82" t="inlineStr">
        <is>
          <t>A 8202-2025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46250</v>
      </c>
      <c r="F82" t="inlineStr">
        <is>
          <t>DALARNAS LÄN</t>
        </is>
      </c>
      <c r="G82" t="inlineStr">
        <is>
          <t>LUDVIKA</t>
        </is>
      </c>
      <c r="I82" t="n">
        <v>6.4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7</v>
      </c>
      <c r="U82" t="n">
        <v>7</v>
      </c>
      <c r="V82" s="2" t="inlineStr">
        <is>
          <t>Tretåig hackspett
Spillkråka</t>
        </is>
      </c>
      <c r="W82">
        <f>HYPERLINK("https://klasma.github.io/Logging_2085/artfynd/A 8202-2025 artfynd.xlsx", "A 8202-2025")</f>
        <v/>
      </c>
      <c r="X82">
        <f>HYPERLINK("https://klasma.github.io/Logging_2085/kartor/A 8202-2025 karta.png", "A 8202-2025")</f>
        <v/>
      </c>
      <c r="Y82">
        <f>HYPERLINK("https://klasma.github.io/Logging_2085/kartor_geotiff/A 8202-2025 georefererad karta.tif", "A 8202-2025")</f>
        <v/>
      </c>
      <c r="AA82">
        <f>HYPERLINK("https://klasma.github.io/Logging_2085/klagomål/A 8202-2025 FSC-klagomål.docx", "A 8202-2025")</f>
        <v/>
      </c>
      <c r="AB82">
        <f>HYPERLINK("https://klasma.github.io/Logging_2085/klagomålsmail/A 8202-2025 FSC-klagomål mail.docx", "A 8202-2025")</f>
        <v/>
      </c>
      <c r="AC82">
        <f>HYPERLINK("https://klasma.github.io/Logging_2085/tillsyn/A 8202-2025 tillsynsbegäran.docx", "A 8202-2025")</f>
        <v/>
      </c>
      <c r="AD82">
        <f>HYPERLINK("https://klasma.github.io/Logging_2085/tillsynsmail/A 8202-2025 tillsynsbegäran mail.docx", "A 8202-2025")</f>
        <v/>
      </c>
      <c r="AE82">
        <f>HYPERLINK("https://klasma.github.io/Logging_2085/fåglar/A 8202-2025 prioriterade fågelarter.docx", "A 8202-2025")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46250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46250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46250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46250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46250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46250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46250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46250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46250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46250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46250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46250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46250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Blåsippa</t>
        </is>
      </c>
      <c r="W95">
        <f>HYPERLINK("https://klasma.github.io/Logging_2085/artfynd/A 25448-2024 artfynd.xlsx", "A 25448-2024")</f>
        <v/>
      </c>
      <c r="X95">
        <f>HYPERLINK("https://klasma.github.io/Logging_2085/kartor/A 25448-2024 karta.png", "A 25448-2024")</f>
        <v/>
      </c>
      <c r="Y95">
        <f>HYPERLINK("https://klasma.github.io/Logging_2085/kartor_geotiff/A 25448-2024 georefererad karta.tif", "A 25448-2024")</f>
        <v/>
      </c>
      <c r="AA95">
        <f>HYPERLINK("https://klasma.github.io/Logging_2085/klagomål/A 25448-2024 FSC-klagomål.docx", "A 25448-2024")</f>
        <v/>
      </c>
      <c r="AB95">
        <f>HYPERLINK("https://klasma.github.io/Logging_2085/klagomålsmail/A 25448-2024 FSC-klagomål mail.docx", "A 25448-2024")</f>
        <v/>
      </c>
      <c r="AC95">
        <f>HYPERLINK("https://klasma.github.io/Logging_2085/tillsyn/A 25448-2024 tillsynsbegäran.docx", "A 25448-2024")</f>
        <v/>
      </c>
      <c r="AD95">
        <f>HYPERLINK("https://klasma.github.io/Logging_2085/tillsynsmail/A 25448-2024 tillsynsbegäran mail.docx", "A 25448-2024")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46250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46250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18189-2025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46250</v>
      </c>
      <c r="F98" t="inlineStr">
        <is>
          <t>DALARNAS LÄN</t>
        </is>
      </c>
      <c r="G98" t="inlineStr">
        <is>
          <t>LUDVIKA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HYPERLINK("https://klasma.github.io/Logging_2085/artfynd/A 18189-2025 artfynd.xlsx", "A 18189-2025")</f>
        <v/>
      </c>
      <c r="X98">
        <f>HYPERLINK("https://klasma.github.io/Logging_2085/kartor/A 18189-2025 karta.png", "A 18189-2025")</f>
        <v/>
      </c>
      <c r="Y98">
        <f>HYPERLINK("https://klasma.github.io/Logging_2085/kartor_geotiff/A 18189-2025 georefererad karta.tif", "A 18189-2025")</f>
        <v/>
      </c>
      <c r="AA98">
        <f>HYPERLINK("https://klasma.github.io/Logging_2085/klagomål/A 18189-2025 FSC-klagomål.docx", "A 18189-2025")</f>
        <v/>
      </c>
      <c r="AB98">
        <f>HYPERLINK("https://klasma.github.io/Logging_2085/klagomålsmail/A 18189-2025 FSC-klagomål mail.docx", "A 18189-2025")</f>
        <v/>
      </c>
      <c r="AC98">
        <f>HYPERLINK("https://klasma.github.io/Logging_2085/tillsyn/A 18189-2025 tillsynsbegäran.docx", "A 18189-2025")</f>
        <v/>
      </c>
      <c r="AD98">
        <f>HYPERLINK("https://klasma.github.io/Logging_2085/tillsynsmail/A 18189-2025 tillsynsbegäran mail.docx", "A 18189-2025")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46250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36050-2025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45866</v>
      </c>
      <c r="E100" s="1" t="n">
        <v>46250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HYPERLINK("https://klasma.github.io/Logging_2085/artfynd/A 36050-2025 artfynd.xlsx", "A 36050-2025")</f>
        <v/>
      </c>
      <c r="X100">
        <f>HYPERLINK("https://klasma.github.io/Logging_2085/kartor/A 36050-2025 karta.png", "A 36050-2025")</f>
        <v/>
      </c>
      <c r="Y100">
        <f>HYPERLINK("https://klasma.github.io/Logging_2085/kartor_geotiff/A 36050-2025 georefererad karta.tif", "A 36050-2025")</f>
        <v/>
      </c>
      <c r="AA100">
        <f>HYPERLINK("https://klasma.github.io/Logging_2085/klagomål/A 36050-2025 FSC-klagomål.docx", "A 36050-2025")</f>
        <v/>
      </c>
      <c r="AB100">
        <f>HYPERLINK("https://klasma.github.io/Logging_2085/klagomålsmail/A 36050-2025 FSC-klagomål mail.docx", "A 36050-2025")</f>
        <v/>
      </c>
      <c r="AC100">
        <f>HYPERLINK("https://klasma.github.io/Logging_2085/tillsyn/A 36050-2025 tillsynsbegäran.docx", "A 36050-2025")</f>
        <v/>
      </c>
      <c r="AD100">
        <f>HYPERLINK("https://klasma.github.io/Logging_2085/tillsynsmail/A 36050-2025 tillsynsbegäran mail.docx", "A 36050-2025")</f>
        <v/>
      </c>
      <c r="AE100">
        <f>HYPERLINK("https://klasma.github.io/Logging_2085/fåglar/A 36050-2025 prioriterade fågelarter.docx", "A 36050-2025")</f>
        <v/>
      </c>
    </row>
    <row r="101" ht="15" customHeight="1">
      <c r="A101" t="inlineStr">
        <is>
          <t>A 26850-2023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46250</v>
      </c>
      <c r="F101" t="inlineStr">
        <is>
          <t>DALARNAS LÄN</t>
        </is>
      </c>
      <c r="G101" t="inlineStr">
        <is>
          <t>LUDVIKA</t>
        </is>
      </c>
      <c r="H101" t="inlineStr">
        <is>
          <t>Naturvårdsverket</t>
        </is>
      </c>
      <c r="I101" t="n">
        <v>2.7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HYPERLINK("https://klasma.github.io/Logging_2085/artfynd/A 26850-2023 artfynd.xlsx", "A 26850-2023")</f>
        <v/>
      </c>
      <c r="X101">
        <f>HYPERLINK("https://klasma.github.io/Logging_2085/kartor/A 26850-2023 karta.png", "A 26850-2023")</f>
        <v/>
      </c>
      <c r="Y101">
        <f>HYPERLINK("https://klasma.github.io/Logging_2085/kartor_geotiff/A 26850-2023 georefererad karta.tif", "A 26850-2023")</f>
        <v/>
      </c>
      <c r="AA101">
        <f>HYPERLINK("https://klasma.github.io/Logging_2085/klagomål/A 26850-2023 FSC-klagomål.docx", "A 26850-2023")</f>
        <v/>
      </c>
      <c r="AB101">
        <f>HYPERLINK("https://klasma.github.io/Logging_2085/klagomålsmail/A 26850-2023 FSC-klagomål mail.docx", "A 26850-2023")</f>
        <v/>
      </c>
      <c r="AC101">
        <f>HYPERLINK("https://klasma.github.io/Logging_2085/tillsyn/A 26850-2023 tillsynsbegäran.docx", "A 26850-2023")</f>
        <v/>
      </c>
      <c r="AD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17338-2026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46250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HYPERLINK("https://klasma.github.io/Logging_2085/artfynd/A 17338-2026 artfynd.xlsx", "A 17338-2026")</f>
        <v/>
      </c>
      <c r="X102">
        <f>HYPERLINK("https://klasma.github.io/Logging_2085/kartor/A 17338-2026 karta.png", "A 17338-2026")</f>
        <v/>
      </c>
      <c r="Y102">
        <f>HYPERLINK("https://klasma.github.io/Logging_2085/kartor_geotiff/A 17338-2026 georefererad karta.tif", "A 17338-2026")</f>
        <v/>
      </c>
      <c r="Z102">
        <f>HYPERLINK("https://klasma.github.io/Logging_2085/knärot/A 17338-2026 karta knärot.png", "A 17338-2026")</f>
        <v/>
      </c>
      <c r="AA102">
        <f>HYPERLINK("https://klasma.github.io/Logging_2085/klagomål/A 17338-2026 FSC-klagomål.docx", "A 17338-2026")</f>
        <v/>
      </c>
      <c r="AB102">
        <f>HYPERLINK("https://klasma.github.io/Logging_2085/klagomålsmail/A 17338-2026 FSC-klagomål mail.docx", "A 17338-2026")</f>
        <v/>
      </c>
      <c r="AC102">
        <f>HYPERLINK("https://klasma.github.io/Logging_2085/tillsyn/A 17338-2026 tillsynsbegäran.docx", "A 17338-2026")</f>
        <v/>
      </c>
      <c r="AD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400-2023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46250</v>
      </c>
      <c r="F103" t="inlineStr">
        <is>
          <t>DALARNAS LÄN</t>
        </is>
      </c>
      <c r="G103" t="inlineStr">
        <is>
          <t>LUDVIKA</t>
        </is>
      </c>
      <c r="I103" t="n">
        <v>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400-2023 artfynd.xlsx", "A 400-2023")</f>
        <v/>
      </c>
      <c r="X103">
        <f>HYPERLINK("https://klasma.github.io/Logging_2085/kartor/A 400-2023 karta.png", "A 400-2023")</f>
        <v/>
      </c>
      <c r="Y103">
        <f>HYPERLINK("https://klasma.github.io/Logging_2085/kartor_geotiff/A 400-2023 georefererad karta.tif", "A 400-2023")</f>
        <v/>
      </c>
      <c r="AA103">
        <f>HYPERLINK("https://klasma.github.io/Logging_2085/klagomål/A 400-2023 FSC-klagomål.docx", "A 400-2023")</f>
        <v/>
      </c>
      <c r="AB103">
        <f>HYPERLINK("https://klasma.github.io/Logging_2085/klagomålsmail/A 400-2023 FSC-klagomål mail.docx", "A 400-2023")</f>
        <v/>
      </c>
      <c r="AC103">
        <f>HYPERLINK("https://klasma.github.io/Logging_2085/tillsyn/A 400-2023 tillsynsbegäran.docx", "A 400-2023")</f>
        <v/>
      </c>
      <c r="AD103">
        <f>HYPERLINK("https://klasma.github.io/Logging_2085/tillsynsmail/A 400-2023 tillsynsbegäran mail.docx", "A 400-2023")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46250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59873-2025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45992</v>
      </c>
      <c r="E105" s="1" t="n">
        <v>46250</v>
      </c>
      <c r="F105" t="inlineStr">
        <is>
          <t>DALARNAS LÄN</t>
        </is>
      </c>
      <c r="G105" t="inlineStr">
        <is>
          <t>LUDVIKA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Lateritticka</t>
        </is>
      </c>
      <c r="W105">
        <f>HYPERLINK("https://klasma.github.io/Logging_2085/artfynd/A 59873-2025 artfynd.xlsx", "A 59873-2025")</f>
        <v/>
      </c>
      <c r="X105">
        <f>HYPERLINK("https://klasma.github.io/Logging_2085/kartor/A 59873-2025 karta.png", "A 59873-2025")</f>
        <v/>
      </c>
      <c r="Y105">
        <f>HYPERLINK("https://klasma.github.io/Logging_2085/kartor_geotiff/A 59873-2025 georefererad karta.tif", "A 59873-2025")</f>
        <v/>
      </c>
      <c r="AA105">
        <f>HYPERLINK("https://klasma.github.io/Logging_2085/klagomål/A 59873-2025 FSC-klagomål.docx", "A 59873-2025")</f>
        <v/>
      </c>
      <c r="AB105">
        <f>HYPERLINK("https://klasma.github.io/Logging_2085/klagomålsmail/A 59873-2025 FSC-klagomål mail.docx", "A 59873-2025")</f>
        <v/>
      </c>
      <c r="AC105">
        <f>HYPERLINK("https://klasma.github.io/Logging_2085/tillsyn/A 59873-2025 tillsynsbegäran.docx", "A 59873-2025")</f>
        <v/>
      </c>
      <c r="AD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46250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46250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46250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Dofttaggsvamp</t>
        </is>
      </c>
      <c r="W108">
        <f>HYPERLINK("https://klasma.github.io/Logging_2085/artfynd/A 44578-2023 artfynd.xlsx", "A 44578-2023")</f>
        <v/>
      </c>
      <c r="X108">
        <f>HYPERLINK("https://klasma.github.io/Logging_2085/kartor/A 44578-2023 karta.png", "A 44578-2023")</f>
        <v/>
      </c>
      <c r="Y108">
        <f>HYPERLINK("https://klasma.github.io/Logging_2085/kartor_geotiff/A 44578-2023 georefererad karta.tif", "A 44578-2023")</f>
        <v/>
      </c>
      <c r="AA108">
        <f>HYPERLINK("https://klasma.github.io/Logging_2085/klagomål/A 44578-2023 FSC-klagomål.docx", "A 44578-2023")</f>
        <v/>
      </c>
      <c r="AB108">
        <f>HYPERLINK("https://klasma.github.io/Logging_2085/klagomålsmail/A 44578-2023 FSC-klagomål mail.docx", "A 44578-2023")</f>
        <v/>
      </c>
      <c r="AC108">
        <f>HYPERLINK("https://klasma.github.io/Logging_2085/tillsyn/A 44578-2023 tillsynsbegäran.docx", "A 44578-2023")</f>
        <v/>
      </c>
      <c r="AD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1237-2026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46250</v>
      </c>
      <c r="F109" t="inlineStr">
        <is>
          <t>DALARNAS LÄN</t>
        </is>
      </c>
      <c r="G109" t="inlineStr">
        <is>
          <t>LUDVIKA</t>
        </is>
      </c>
      <c r="I109" t="n">
        <v>5.9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Fläcknycklar</t>
        </is>
      </c>
      <c r="W109">
        <f>HYPERLINK("https://klasma.github.io/Logging_2085/artfynd/A 1237-2026 artfynd.xlsx", "A 1237-2026")</f>
        <v/>
      </c>
      <c r="X109">
        <f>HYPERLINK("https://klasma.github.io/Logging_2085/kartor/A 1237-2026 karta.png", "A 1237-2026")</f>
        <v/>
      </c>
      <c r="Y109">
        <f>HYPERLINK("https://klasma.github.io/Logging_2085/kartor_geotiff/A 1237-2026 georefererad karta.tif", "A 1237-2026")</f>
        <v/>
      </c>
      <c r="AA109">
        <f>HYPERLINK("https://klasma.github.io/Logging_2085/klagomål/A 1237-2026 FSC-klagomål.docx", "A 1237-2026")</f>
        <v/>
      </c>
      <c r="AB109">
        <f>HYPERLINK("https://klasma.github.io/Logging_2085/klagomålsmail/A 1237-2026 FSC-klagomål mail.docx", "A 1237-2026")</f>
        <v/>
      </c>
      <c r="AC109">
        <f>HYPERLINK("https://klasma.github.io/Logging_2085/tillsyn/A 1237-2026 tillsynsbegäran.docx", "A 1237-2026")</f>
        <v/>
      </c>
      <c r="AD109">
        <f>HYPERLINK("https://klasma.github.io/Logging_2085/tillsynsmail/A 1237-2026 tillsynsbegäran mail.docx", "A 1237-2026")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46250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51886-2022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46250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Brun gräsfjäril</t>
        </is>
      </c>
      <c r="W111">
        <f>HYPERLINK("https://klasma.github.io/Logging_2085/artfynd/A 51886-2022 artfynd.xlsx", "A 51886-2022")</f>
        <v/>
      </c>
      <c r="X111">
        <f>HYPERLINK("https://klasma.github.io/Logging_2085/kartor/A 51886-2022 karta.png", "A 51886-2022")</f>
        <v/>
      </c>
      <c r="Y111">
        <f>HYPERLINK("https://klasma.github.io/Logging_2085/kartor_geotiff/A 51886-2022 georefererad karta.tif", "A 51886-2022")</f>
        <v/>
      </c>
      <c r="AA111">
        <f>HYPERLINK("https://klasma.github.io/Logging_2085/klagomål/A 51886-2022 FSC-klagomål.docx", "A 51886-2022")</f>
        <v/>
      </c>
      <c r="AB111">
        <f>HYPERLINK("https://klasma.github.io/Logging_2085/klagomålsmail/A 51886-2022 FSC-klagomål mail.docx", "A 51886-2022")</f>
        <v/>
      </c>
      <c r="AC111">
        <f>HYPERLINK("https://klasma.github.io/Logging_2085/tillsyn/A 51886-2022 tillsynsbegäran.docx", "A 51886-2022")</f>
        <v/>
      </c>
      <c r="AD111">
        <f>HYPERLINK("https://klasma.github.io/Logging_2085/tillsynsmail/A 51886-2022 tillsynsbegäran mail.docx", "A 51886-2022")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46250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HYPERLINK("https://klasma.github.io/Logging_2085/artfynd/A 62275-2022 artfynd.xlsx", "A 62275-2022")</f>
        <v/>
      </c>
      <c r="X112">
        <f>HYPERLINK("https://klasma.github.io/Logging_2085/kartor/A 62275-2022 karta.png", "A 62275-2022")</f>
        <v/>
      </c>
      <c r="Y112">
        <f>HYPERLINK("https://klasma.github.io/Logging_2085/kartor_geotiff/A 62275-2022 georefererad karta.tif", "A 62275-2022")</f>
        <v/>
      </c>
      <c r="Z112">
        <f>HYPERLINK("https://klasma.github.io/Logging_2085/knärot/A 62275-2022 karta knärot.png", "A 62275-2022")</f>
        <v/>
      </c>
      <c r="AA112">
        <f>HYPERLINK("https://klasma.github.io/Logging_2085/klagomål/A 62275-2022 FSC-klagomål.docx", "A 62275-2022")</f>
        <v/>
      </c>
      <c r="AB112">
        <f>HYPERLINK("https://klasma.github.io/Logging_2085/klagomålsmail/A 62275-2022 FSC-klagomål mail.docx", "A 62275-2022")</f>
        <v/>
      </c>
      <c r="AC112">
        <f>HYPERLINK("https://klasma.github.io/Logging_2085/tillsyn/A 62275-2022 tillsynsbegäran.docx", "A 62275-2022")</f>
        <v/>
      </c>
      <c r="AD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46250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25588-2023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46250</v>
      </c>
      <c r="F114" t="inlineStr">
        <is>
          <t>DALARNAS LÄN</t>
        </is>
      </c>
      <c r="G114" t="inlineStr">
        <is>
          <t>LUDVIKA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Garnlav</t>
        </is>
      </c>
      <c r="W114">
        <f>HYPERLINK("https://klasma.github.io/Logging_2085/artfynd/A 25588-2023 artfynd.xlsx", "A 25588-2023")</f>
        <v/>
      </c>
      <c r="X114">
        <f>HYPERLINK("https://klasma.github.io/Logging_2085/kartor/A 25588-2023 karta.png", "A 25588-2023")</f>
        <v/>
      </c>
      <c r="Y114">
        <f>HYPERLINK("https://klasma.github.io/Logging_2085/kartor_geotiff/A 25588-2023 georefererad karta.tif", "A 25588-2023")</f>
        <v/>
      </c>
      <c r="AA114">
        <f>HYPERLINK("https://klasma.github.io/Logging_2085/klagomål/A 25588-2023 FSC-klagomål.docx", "A 25588-2023")</f>
        <v/>
      </c>
      <c r="AB114">
        <f>HYPERLINK("https://klasma.github.io/Logging_2085/klagomålsmail/A 25588-2023 FSC-klagomål mail.docx", "A 25588-2023")</f>
        <v/>
      </c>
      <c r="AC114">
        <f>HYPERLINK("https://klasma.github.io/Logging_2085/tillsyn/A 25588-2023 tillsynsbegäran.docx", "A 25588-2023")</f>
        <v/>
      </c>
      <c r="AD114">
        <f>HYPERLINK("https://klasma.github.io/Logging_2085/tillsynsmail/A 25588-2023 tillsynsbegäran mail.docx", "A 25588-2023")</f>
        <v/>
      </c>
    </row>
    <row r="115" ht="15" customHeight="1">
      <c r="A115" t="inlineStr">
        <is>
          <t>A 1047-2023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46250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3.2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HYPERLINK("https://klasma.github.io/Logging_2085/artfynd/A 1047-2023 artfynd.xlsx", "A 1047-2023")</f>
        <v/>
      </c>
      <c r="X115">
        <f>HYPERLINK("https://klasma.github.io/Logging_2085/kartor/A 1047-2023 karta.png", "A 1047-2023")</f>
        <v/>
      </c>
      <c r="Y115">
        <f>HYPERLINK("https://klasma.github.io/Logging_2085/kartor_geotiff/A 1047-2023 georefererad karta.tif", "A 1047-2023")</f>
        <v/>
      </c>
      <c r="AA115">
        <f>HYPERLINK("https://klasma.github.io/Logging_2085/klagomål/A 1047-2023 FSC-klagomål.docx", "A 1047-2023")</f>
        <v/>
      </c>
      <c r="AB115">
        <f>HYPERLINK("https://klasma.github.io/Logging_2085/klagomålsmail/A 1047-2023 FSC-klagomål mail.docx", "A 1047-2023")</f>
        <v/>
      </c>
      <c r="AC115">
        <f>HYPERLINK("https://klasma.github.io/Logging_2085/tillsyn/A 1047-2023 tillsynsbegäran.docx", "A 1047-2023")</f>
        <v/>
      </c>
      <c r="AD115">
        <f>HYPERLINK("https://klasma.github.io/Logging_2085/tillsynsmail/A 1047-2023 tillsynsbegäran mail.docx", "A 1047-2023")</f>
        <v/>
      </c>
    </row>
    <row r="116" ht="15" customHeight="1">
      <c r="A116" t="inlineStr">
        <is>
          <t>A 21880-2026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46250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21880-2026 artfynd.xlsx", "A 21880-2026")</f>
        <v/>
      </c>
      <c r="X116">
        <f>HYPERLINK("https://klasma.github.io/Logging_2085/kartor/A 21880-2026 karta.png", "A 21880-2026")</f>
        <v/>
      </c>
      <c r="Y116">
        <f>HYPERLINK("https://klasma.github.io/Logging_2085/kartor_geotiff/A 21880-2026 georefererad karta.tif", "A 21880-2026")</f>
        <v/>
      </c>
      <c r="AA116">
        <f>HYPERLINK("https://klasma.github.io/Logging_2085/klagomål/A 21880-2026 FSC-klagomål.docx", "A 21880-2026")</f>
        <v/>
      </c>
      <c r="AB116">
        <f>HYPERLINK("https://klasma.github.io/Logging_2085/klagomålsmail/A 21880-2026 FSC-klagomål mail.docx", "A 21880-2026")</f>
        <v/>
      </c>
      <c r="AC116">
        <f>HYPERLINK("https://klasma.github.io/Logging_2085/tillsyn/A 21880-2026 tillsynsbegäran.docx", "A 21880-2026")</f>
        <v/>
      </c>
      <c r="AD116">
        <f>HYPERLINK("https://klasma.github.io/Logging_2085/tillsynsmail/A 21880-2026 tillsynsbegäran mail.docx", "A 21880-2026")</f>
        <v/>
      </c>
      <c r="AE116">
        <f>HYPERLINK("https://klasma.github.io/Logging_2085/fåglar/A 21880-2026 prioriterade fågelarter.docx", "A 21880-2026")</f>
        <v/>
      </c>
    </row>
    <row r="117" ht="15" customHeight="1">
      <c r="A117" t="inlineStr">
        <is>
          <t>A 12093-2023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46250</v>
      </c>
      <c r="F117" t="inlineStr">
        <is>
          <t>DALARNAS LÄN</t>
        </is>
      </c>
      <c r="G117" t="inlineStr">
        <is>
          <t>LUDVIKA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Bitter taggsvamp</t>
        </is>
      </c>
      <c r="W117">
        <f>HYPERLINK("https://klasma.github.io/Logging_2085/artfynd/A 12093-2023 artfynd.xlsx", "A 12093-2023")</f>
        <v/>
      </c>
      <c r="X117">
        <f>HYPERLINK("https://klasma.github.io/Logging_2085/kartor/A 12093-2023 karta.png", "A 12093-2023")</f>
        <v/>
      </c>
      <c r="Y117">
        <f>HYPERLINK("https://klasma.github.io/Logging_2085/kartor_geotiff/A 12093-2023 georefererad karta.tif", "A 12093-2023")</f>
        <v/>
      </c>
      <c r="AA117">
        <f>HYPERLINK("https://klasma.github.io/Logging_2085/klagomål/A 12093-2023 FSC-klagomål.docx", "A 12093-2023")</f>
        <v/>
      </c>
      <c r="AB117">
        <f>HYPERLINK("https://klasma.github.io/Logging_2085/klagomålsmail/A 12093-2023 FSC-klagomål mail.docx", "A 12093-2023")</f>
        <v/>
      </c>
      <c r="AC117">
        <f>HYPERLINK("https://klasma.github.io/Logging_2085/tillsyn/A 12093-2023 tillsynsbegäran.docx", "A 12093-2023")</f>
        <v/>
      </c>
      <c r="AD117">
        <f>HYPERLINK("https://klasma.github.io/Logging_2085/tillsynsmail/A 12093-2023 tillsynsbegäran mail.docx", "A 12093-2023")</f>
        <v/>
      </c>
    </row>
    <row r="118" ht="15" customHeight="1">
      <c r="A118" t="inlineStr">
        <is>
          <t>A 33560-2023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45131</v>
      </c>
      <c r="E118" s="1" t="n">
        <v>46250</v>
      </c>
      <c r="F118" t="inlineStr">
        <is>
          <t>DALARNAS LÄN</t>
        </is>
      </c>
      <c r="G118" t="inlineStr">
        <is>
          <t>LUDVIKA</t>
        </is>
      </c>
      <c r="I118" t="n">
        <v>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vattensalamander</t>
        </is>
      </c>
      <c r="W118">
        <f>HYPERLINK("https://klasma.github.io/Logging_2085/artfynd/A 33560-2023 artfynd.xlsx", "A 33560-2023")</f>
        <v/>
      </c>
      <c r="X118">
        <f>HYPERLINK("https://klasma.github.io/Logging_2085/kartor/A 33560-2023 karta.png", "A 33560-2023")</f>
        <v/>
      </c>
      <c r="Y118">
        <f>HYPERLINK("https://klasma.github.io/Logging_2085/kartor_geotiff/A 33560-2023 georefererad karta.tif", "A 33560-2023")</f>
        <v/>
      </c>
      <c r="AA118">
        <f>HYPERLINK("https://klasma.github.io/Logging_2085/klagomål/A 33560-2023 FSC-klagomål.docx", "A 33560-2023")</f>
        <v/>
      </c>
      <c r="AB118">
        <f>HYPERLINK("https://klasma.github.io/Logging_2085/klagomålsmail/A 33560-2023 FSC-klagomål mail.docx", "A 33560-2023")</f>
        <v/>
      </c>
      <c r="AC118">
        <f>HYPERLINK("https://klasma.github.io/Logging_2085/tillsyn/A 33560-2023 tillsynsbegäran.docx", "A 33560-2023")</f>
        <v/>
      </c>
      <c r="AD118">
        <f>HYPERLINK("https://klasma.github.io/Logging_2085/tillsynsmail/A 33560-2023 tillsynsbegäran mail.docx", "A 33560-2023")</f>
        <v/>
      </c>
    </row>
    <row r="119" ht="15" customHeight="1">
      <c r="A119" t="inlineStr">
        <is>
          <t>A 3687-2024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46250</v>
      </c>
      <c r="F119" t="inlineStr">
        <is>
          <t>DALARNAS LÄN</t>
        </is>
      </c>
      <c r="G119" t="inlineStr">
        <is>
          <t>LUDVIKA</t>
        </is>
      </c>
      <c r="I119" t="n">
        <v>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3687-2024 artfynd.xlsx", "A 3687-2024")</f>
        <v/>
      </c>
      <c r="X119">
        <f>HYPERLINK("https://klasma.github.io/Logging_2085/kartor/A 3687-2024 karta.png", "A 3687-2024")</f>
        <v/>
      </c>
      <c r="Y119">
        <f>HYPERLINK("https://klasma.github.io/Logging_2085/kartor_geotiff/A 3687-2024 georefererad karta.tif", "A 3687-2024")</f>
        <v/>
      </c>
      <c r="AA119">
        <f>HYPERLINK("https://klasma.github.io/Logging_2085/klagomål/A 3687-2024 FSC-klagomål.docx", "A 3687-2024")</f>
        <v/>
      </c>
      <c r="AB119">
        <f>HYPERLINK("https://klasma.github.io/Logging_2085/klagomålsmail/A 3687-2024 FSC-klagomål mail.docx", "A 3687-2024")</f>
        <v/>
      </c>
      <c r="AC119">
        <f>HYPERLINK("https://klasma.github.io/Logging_2085/tillsyn/A 3687-2024 tillsynsbegäran.docx", "A 3687-2024")</f>
        <v/>
      </c>
      <c r="AD119">
        <f>HYPERLINK("https://klasma.github.io/Logging_2085/tillsynsmail/A 3687-2024 tillsynsbegäran mail.docx", "A 3687-2024")</f>
        <v/>
      </c>
    </row>
    <row r="120" ht="15" customHeight="1">
      <c r="A120" t="inlineStr">
        <is>
          <t>A 56119-2021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44477</v>
      </c>
      <c r="E120" s="1" t="n">
        <v>46250</v>
      </c>
      <c r="F120" t="inlineStr">
        <is>
          <t>DALARNAS LÄN</t>
        </is>
      </c>
      <c r="G120" t="inlineStr">
        <is>
          <t>LUDVIKA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56119-2021 artfynd.xlsx", "A 56119-2021")</f>
        <v/>
      </c>
      <c r="X120">
        <f>HYPERLINK("https://klasma.github.io/Logging_2085/kartor/A 56119-2021 karta.png", "A 56119-2021")</f>
        <v/>
      </c>
      <c r="Y120">
        <f>HYPERLINK("https://klasma.github.io/Logging_2085/kartor_geotiff/A 56119-2021 georefererad karta.tif", "A 56119-2021")</f>
        <v/>
      </c>
      <c r="AA120">
        <f>HYPERLINK("https://klasma.github.io/Logging_2085/klagomål/A 56119-2021 FSC-klagomål.docx", "A 56119-2021")</f>
        <v/>
      </c>
      <c r="AB120">
        <f>HYPERLINK("https://klasma.github.io/Logging_2085/klagomålsmail/A 56119-2021 FSC-klagomål mail.docx", "A 56119-2021")</f>
        <v/>
      </c>
      <c r="AC120">
        <f>HYPERLINK("https://klasma.github.io/Logging_2085/tillsyn/A 56119-2021 tillsynsbegäran.docx", "A 56119-2021")</f>
        <v/>
      </c>
      <c r="AD120">
        <f>HYPERLINK("https://klasma.github.io/Logging_2085/tillsynsmail/A 56119-2021 tillsynsbegäran mail.docx", "A 56119-2021")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46250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46250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46250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29882-2024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45486</v>
      </c>
      <c r="E124" s="1" t="n">
        <v>46250</v>
      </c>
      <c r="F124" t="inlineStr">
        <is>
          <t>DALARNAS LÄN</t>
        </is>
      </c>
      <c r="G124" t="inlineStr">
        <is>
          <t>LUDVIKA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29882-2024 artfynd.xlsx", "A 29882-2024")</f>
        <v/>
      </c>
      <c r="X124">
        <f>HYPERLINK("https://klasma.github.io/Logging_2085/kartor/A 29882-2024 karta.png", "A 29882-2024")</f>
        <v/>
      </c>
      <c r="Y124">
        <f>HYPERLINK("https://klasma.github.io/Logging_2085/kartor_geotiff/A 29882-2024 georefererad karta.tif", "A 29882-2024")</f>
        <v/>
      </c>
      <c r="AA124">
        <f>HYPERLINK("https://klasma.github.io/Logging_2085/klagomål/A 29882-2024 FSC-klagomål.docx", "A 29882-2024")</f>
        <v/>
      </c>
      <c r="AB124">
        <f>HYPERLINK("https://klasma.github.io/Logging_2085/klagomålsmail/A 29882-2024 FSC-klagomål mail.docx", "A 29882-2024")</f>
        <v/>
      </c>
      <c r="AC124">
        <f>HYPERLINK("https://klasma.github.io/Logging_2085/tillsyn/A 29882-2024 tillsynsbegäran.docx", "A 29882-2024")</f>
        <v/>
      </c>
      <c r="AD124">
        <f>HYPERLINK("https://klasma.github.io/Logging_2085/tillsynsmail/A 29882-2024 tillsynsbegäran mail.docx", "A 29882-2024")</f>
        <v/>
      </c>
      <c r="AE124">
        <f>HYPERLINK("https://klasma.github.io/Logging_2085/fåglar/A 29882-2024 prioriterade fågelarter.docx", "A 29882-2024")</f>
        <v/>
      </c>
    </row>
    <row r="125" ht="15" customHeight="1">
      <c r="A125" t="inlineStr">
        <is>
          <t>A 23102-2025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46250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groda</t>
        </is>
      </c>
      <c r="W125">
        <f>HYPERLINK("https://klasma.github.io/Logging_2085/artfynd/A 23102-2025 artfynd.xlsx", "A 23102-2025")</f>
        <v/>
      </c>
      <c r="X125">
        <f>HYPERLINK("https://klasma.github.io/Logging_2085/kartor/A 23102-2025 karta.png", "A 23102-2025")</f>
        <v/>
      </c>
      <c r="Y125">
        <f>HYPERLINK("https://klasma.github.io/Logging_2085/kartor_geotiff/A 23102-2025 georefererad karta.tif", "A 23102-2025")</f>
        <v/>
      </c>
      <c r="AA125">
        <f>HYPERLINK("https://klasma.github.io/Logging_2085/klagomål/A 23102-2025 FSC-klagomål.docx", "A 23102-2025")</f>
        <v/>
      </c>
      <c r="AB125">
        <f>HYPERLINK("https://klasma.github.io/Logging_2085/klagomålsmail/A 23102-2025 FSC-klagomål mail.docx", "A 23102-2025")</f>
        <v/>
      </c>
      <c r="AC125">
        <f>HYPERLINK("https://klasma.github.io/Logging_2085/tillsyn/A 23102-2025 tillsynsbegäran.docx", "A 23102-2025")</f>
        <v/>
      </c>
      <c r="AD125">
        <f>HYPERLINK("https://klasma.github.io/Logging_2085/tillsynsmail/A 23102-2025 tillsynsbegäran mail.docx", "A 23102-2025")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46250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46250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46250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46250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46250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21499-2022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46250</v>
      </c>
      <c r="F131" t="inlineStr">
        <is>
          <t>DALARNAS LÄN</t>
        </is>
      </c>
      <c r="G131" t="inlineStr">
        <is>
          <t>LUDVIKA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Strimspindling</t>
        </is>
      </c>
      <c r="W131">
        <f>HYPERLINK("https://klasma.github.io/Logging_2085/artfynd/A 21499-2022 artfynd.xlsx", "A 21499-2022")</f>
        <v/>
      </c>
      <c r="X131">
        <f>HYPERLINK("https://klasma.github.io/Logging_2085/kartor/A 21499-2022 karta.png", "A 21499-2022")</f>
        <v/>
      </c>
      <c r="Y131">
        <f>HYPERLINK("https://klasma.github.io/Logging_2085/kartor_geotiff/A 21499-2022 georefererad karta.tif", "A 21499-2022")</f>
        <v/>
      </c>
      <c r="AA131">
        <f>HYPERLINK("https://klasma.github.io/Logging_2085/klagomål/A 21499-2022 FSC-klagomål.docx", "A 21499-2022")</f>
        <v/>
      </c>
      <c r="AB131">
        <f>HYPERLINK("https://klasma.github.io/Logging_2085/klagomålsmail/A 21499-2022 FSC-klagomål mail.docx", "A 21499-2022")</f>
        <v/>
      </c>
      <c r="AC131">
        <f>HYPERLINK("https://klasma.github.io/Logging_2085/tillsyn/A 21499-2022 tillsynsbegäran.docx", "A 21499-2022")</f>
        <v/>
      </c>
      <c r="AD131">
        <f>HYPERLINK("https://klasma.github.io/Logging_2085/tillsynsmail/A 21499-2022 tillsynsbegäran mail.docx", "A 21499-2022")</f>
        <v/>
      </c>
    </row>
    <row r="132" ht="15" customHeight="1">
      <c r="A132" t="inlineStr">
        <is>
          <t>A 29733-2025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46250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Stuplav</t>
        </is>
      </c>
      <c r="W132">
        <f>HYPERLINK("https://klasma.github.io/Logging_2085/artfynd/A 29733-2025 artfynd.xlsx", "A 29733-2025")</f>
        <v/>
      </c>
      <c r="X132">
        <f>HYPERLINK("https://klasma.github.io/Logging_2085/kartor/A 29733-2025 karta.png", "A 29733-2025")</f>
        <v/>
      </c>
      <c r="Y132">
        <f>HYPERLINK("https://klasma.github.io/Logging_2085/kartor_geotiff/A 29733-2025 georefererad karta.tif", "A 29733-2025")</f>
        <v/>
      </c>
      <c r="AA132">
        <f>HYPERLINK("https://klasma.github.io/Logging_2085/klagomål/A 29733-2025 FSC-klagomål.docx", "A 29733-2025")</f>
        <v/>
      </c>
      <c r="AB132">
        <f>HYPERLINK("https://klasma.github.io/Logging_2085/klagomålsmail/A 29733-2025 FSC-klagomål mail.docx", "A 29733-2025")</f>
        <v/>
      </c>
      <c r="AC132">
        <f>HYPERLINK("https://klasma.github.io/Logging_2085/tillsyn/A 29733-2025 tillsynsbegäran.docx", "A 29733-2025")</f>
        <v/>
      </c>
      <c r="AD132">
        <f>HYPERLINK("https://klasma.github.io/Logging_2085/tillsynsmail/A 29733-2025 tillsynsbegäran mail.docx", "A 29733-2025")</f>
        <v/>
      </c>
    </row>
    <row r="133" ht="15" customHeight="1">
      <c r="A133" t="inlineStr">
        <is>
          <t>A 74401-2021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46250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HYPERLINK("https://klasma.github.io/Logging_2085/artfynd/A 74401-2021 artfynd.xlsx", "A 74401-2021")</f>
        <v/>
      </c>
      <c r="X133">
        <f>HYPERLINK("https://klasma.github.io/Logging_2085/kartor/A 74401-2021 karta.png", "A 74401-2021")</f>
        <v/>
      </c>
      <c r="Y133">
        <f>HYPERLINK("https://klasma.github.io/Logging_2085/kartor_geotiff/A 74401-2021 georefererad karta.tif", "A 74401-2021")</f>
        <v/>
      </c>
      <c r="AA133">
        <f>HYPERLINK("https://klasma.github.io/Logging_2085/klagomål/A 74401-2021 FSC-klagomål.docx", "A 74401-2021")</f>
        <v/>
      </c>
      <c r="AB133">
        <f>HYPERLINK("https://klasma.github.io/Logging_2085/klagomålsmail/A 74401-2021 FSC-klagomål mail.docx", "A 74401-2021")</f>
        <v/>
      </c>
      <c r="AC133">
        <f>HYPERLINK("https://klasma.github.io/Logging_2085/tillsyn/A 74401-2021 tillsynsbegäran.docx", "A 74401-2021")</f>
        <v/>
      </c>
      <c r="AD133">
        <f>HYPERLINK("https://klasma.github.io/Logging_2085/tillsynsmail/A 74401-2021 tillsynsbegäran mail.docx", "A 74401-2021")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46250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46250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HYPERLINK("https://klasma.github.io/Logging_2085/artfynd/S 6285-2021 artfynd.xlsx", "S 6285-2021")</f>
        <v/>
      </c>
      <c r="X135">
        <f>HYPERLINK("https://klasma.github.io/Logging_2085/kartor/S 6285-2021 karta.png", "S 6285-2021")</f>
        <v/>
      </c>
      <c r="Y135">
        <f>HYPERLINK("https://klasma.github.io/Logging_2085/kartor_geotiff/S 6285-2021 georefererad karta.tif", "S 6285-2021")</f>
        <v/>
      </c>
      <c r="AA135">
        <f>HYPERLINK("https://klasma.github.io/Logging_2085/klagomål/S 6285-2021 FSC-klagomål.docx", "S 6285-2021")</f>
        <v/>
      </c>
      <c r="AB135">
        <f>HYPERLINK("https://klasma.github.io/Logging_2085/klagomålsmail/S 6285-2021 FSC-klagomål mail.docx", "S 6285-2021")</f>
        <v/>
      </c>
      <c r="AC135">
        <f>HYPERLINK("https://klasma.github.io/Logging_2085/tillsyn/S 6285-2021 tillsynsbegäran.docx", "S 6285-2021")</f>
        <v/>
      </c>
      <c r="AD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46250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46250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46250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46250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46250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46250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46250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46250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46250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46250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46250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46250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46250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46250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46250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46250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46250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46250</v>
      </c>
      <c r="F153" t="inlineStr">
        <is>
          <t>DALARNAS LÄN</t>
        </is>
      </c>
      <c r="G153" t="inlineStr">
        <is>
          <t>LUDVIKA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46250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11436-2024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45372</v>
      </c>
      <c r="E155" s="1" t="n">
        <v>46250</v>
      </c>
      <c r="F155" t="inlineStr">
        <is>
          <t>DALARNAS LÄN</t>
        </is>
      </c>
      <c r="G155" t="inlineStr">
        <is>
          <t>LUDVIKA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46250</v>
      </c>
      <c r="F156" t="inlineStr">
        <is>
          <t>DALARNAS LÄN</t>
        </is>
      </c>
      <c r="G156" t="inlineStr">
        <is>
          <t>LUDVIKA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46250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44590</v>
      </c>
      <c r="E158" s="1" t="n">
        <v>46250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46250</v>
      </c>
      <c r="F159" t="inlineStr">
        <is>
          <t>DALARNAS LÄN</t>
        </is>
      </c>
      <c r="G159" t="inlineStr">
        <is>
          <t>LUDVIKA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44706</v>
      </c>
      <c r="E160" s="1" t="n">
        <v>46250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33108-2022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44785</v>
      </c>
      <c r="E161" s="1" t="n">
        <v>46250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46250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46250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46250</v>
      </c>
      <c r="F164" t="inlineStr">
        <is>
          <t>DALARNAS LÄN</t>
        </is>
      </c>
      <c r="G164" t="inlineStr">
        <is>
          <t>LUDVIKA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46250</v>
      </c>
      <c r="F165" t="inlineStr">
        <is>
          <t>DALARNAS LÄN</t>
        </is>
      </c>
      <c r="G165" t="inlineStr">
        <is>
          <t>LUDVIKA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46250</v>
      </c>
      <c r="F166" t="inlineStr">
        <is>
          <t>DALARNAS LÄN</t>
        </is>
      </c>
      <c r="G166" t="inlineStr">
        <is>
          <t>LUDVIKA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63267-2021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44508</v>
      </c>
      <c r="E167" s="1" t="n">
        <v>46250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46250</v>
      </c>
      <c r="F168" t="inlineStr">
        <is>
          <t>DALARNAS LÄN</t>
        </is>
      </c>
      <c r="G168" t="inlineStr">
        <is>
          <t>LUDVIKA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44715</v>
      </c>
      <c r="E169" s="1" t="n">
        <v>46250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47496-2022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44853</v>
      </c>
      <c r="E170" s="1" t="n">
        <v>46250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46250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46250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46250</v>
      </c>
      <c r="F174" t="inlineStr">
        <is>
          <t>DALARNAS LÄN</t>
        </is>
      </c>
      <c r="G174" t="inlineStr">
        <is>
          <t>LUDVIKA</t>
        </is>
      </c>
      <c r="I174" t="n">
        <v>12.7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46250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46250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46250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46250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46250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46250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46250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46250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46250</v>
      </c>
      <c r="F183" t="inlineStr">
        <is>
          <t>DALARNAS LÄN</t>
        </is>
      </c>
      <c r="G183" t="inlineStr">
        <is>
          <t>LUDVIKA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46250</v>
      </c>
      <c r="F184" t="inlineStr">
        <is>
          <t>DALARNAS LÄN</t>
        </is>
      </c>
      <c r="G184" t="inlineStr">
        <is>
          <t>LUDVIKA</t>
        </is>
      </c>
      <c r="H184" t="inlineStr">
        <is>
          <t>Övriga Aktiebolag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46250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46250</v>
      </c>
      <c r="F186" t="inlineStr">
        <is>
          <t>DALARNAS LÄN</t>
        </is>
      </c>
      <c r="G186" t="inlineStr">
        <is>
          <t>LUDVIKA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46250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46250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46250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46250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46250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46250</v>
      </c>
      <c r="F192" t="inlineStr">
        <is>
          <t>DALARNAS LÄN</t>
        </is>
      </c>
      <c r="G192" t="inlineStr">
        <is>
          <t>LUDVIKA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46250</v>
      </c>
      <c r="F193" t="inlineStr">
        <is>
          <t>DALARNAS LÄN</t>
        </is>
      </c>
      <c r="G193" t="inlineStr">
        <is>
          <t>LUDVIKA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46250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46250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44826</v>
      </c>
      <c r="E196" s="1" t="n">
        <v>46250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46250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46250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44978</v>
      </c>
      <c r="E200" s="1" t="n">
        <v>46250</v>
      </c>
      <c r="F200" t="inlineStr">
        <is>
          <t>DALARNAS LÄN</t>
        </is>
      </c>
      <c r="G200" t="inlineStr">
        <is>
          <t>LUDVIKA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46250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46250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46250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46250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46250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34845-2024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45526</v>
      </c>
      <c r="E208" s="1" t="n">
        <v>46250</v>
      </c>
      <c r="F208" t="inlineStr">
        <is>
          <t>DALARNAS LÄN</t>
        </is>
      </c>
      <c r="G208" t="inlineStr">
        <is>
          <t>LUDVIKA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36338-2025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45868</v>
      </c>
      <c r="E209" s="1" t="n">
        <v>46250</v>
      </c>
      <c r="F209" t="inlineStr">
        <is>
          <t>DALARNAS LÄN</t>
        </is>
      </c>
      <c r="G209" t="inlineStr">
        <is>
          <t>LUDVIKA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46250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46250</v>
      </c>
      <c r="F211" t="inlineStr">
        <is>
          <t>DALARNAS LÄN</t>
        </is>
      </c>
      <c r="G211" t="inlineStr">
        <is>
          <t>LUDVIKA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46250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46250</v>
      </c>
      <c r="F213" t="inlineStr">
        <is>
          <t>DALARNAS LÄN</t>
        </is>
      </c>
      <c r="G213" t="inlineStr">
        <is>
          <t>LUDVIKA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46250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46250</v>
      </c>
      <c r="F215" t="inlineStr">
        <is>
          <t>DALARNAS LÄN</t>
        </is>
      </c>
      <c r="G215" t="inlineStr">
        <is>
          <t>LUDVIKA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46250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46250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46250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46250</v>
      </c>
      <c r="F219" t="inlineStr">
        <is>
          <t>DALARNAS LÄN</t>
        </is>
      </c>
      <c r="G219" t="inlineStr">
        <is>
          <t>LUDVIKA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65195-2021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46250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46250</v>
      </c>
      <c r="F221" t="inlineStr">
        <is>
          <t>DALARNAS LÄN</t>
        </is>
      </c>
      <c r="G221" t="inlineStr">
        <is>
          <t>LUDVIKA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46250</v>
      </c>
      <c r="F222" t="inlineStr">
        <is>
          <t>DALARNAS LÄN</t>
        </is>
      </c>
      <c r="G222" t="inlineStr">
        <is>
          <t>LUDVIKA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46250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46250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46250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46250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46250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46250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46250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46250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46250</v>
      </c>
      <c r="F233" t="inlineStr">
        <is>
          <t>DALARNAS LÄN</t>
        </is>
      </c>
      <c r="G233" t="inlineStr">
        <is>
          <t>LUDVIKA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46250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46250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46250</v>
      </c>
      <c r="F236" t="inlineStr">
        <is>
          <t>DALARNAS LÄN</t>
        </is>
      </c>
      <c r="G236" t="inlineStr">
        <is>
          <t>LUDVIKA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46250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46250</v>
      </c>
      <c r="F238" t="inlineStr">
        <is>
          <t>DALARNAS LÄN</t>
        </is>
      </c>
      <c r="G238" t="inlineStr">
        <is>
          <t>LUDVIKA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46250</v>
      </c>
      <c r="F239" t="inlineStr">
        <is>
          <t>DALARNAS LÄN</t>
        </is>
      </c>
      <c r="G239" t="inlineStr">
        <is>
          <t>LUDVIKA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44771</v>
      </c>
      <c r="E240" s="1" t="n">
        <v>46250</v>
      </c>
      <c r="F240" t="inlineStr">
        <is>
          <t>DALARNAS LÄN</t>
        </is>
      </c>
      <c r="G240" t="inlineStr">
        <is>
          <t>LUDVIKA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46250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44459</v>
      </c>
      <c r="E242" s="1" t="n">
        <v>46250</v>
      </c>
      <c r="F242" t="inlineStr">
        <is>
          <t>DALARNAS LÄN</t>
        </is>
      </c>
      <c r="G242" t="inlineStr">
        <is>
          <t>LUDVIKA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46250</v>
      </c>
      <c r="F243" t="inlineStr">
        <is>
          <t>DALARNAS LÄN</t>
        </is>
      </c>
      <c r="G243" t="inlineStr">
        <is>
          <t>LUDVIKA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48740-2022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44859</v>
      </c>
      <c r="E244" s="1" t="n">
        <v>46250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46250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45940</v>
      </c>
      <c r="E247" s="1" t="n">
        <v>46250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46250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46250</v>
      </c>
      <c r="F249" t="inlineStr">
        <is>
          <t>DALARNAS LÄN</t>
        </is>
      </c>
      <c r="G249" t="inlineStr">
        <is>
          <t>LUDVIKA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46250</v>
      </c>
      <c r="F250" t="inlineStr">
        <is>
          <t>DALARNAS LÄN</t>
        </is>
      </c>
      <c r="G250" t="inlineStr">
        <is>
          <t>LUDVIKA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46250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46250</v>
      </c>
      <c r="F252" t="inlineStr">
        <is>
          <t>DALARNAS LÄN</t>
        </is>
      </c>
      <c r="G252" t="inlineStr">
        <is>
          <t>LUDVIKA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46250</v>
      </c>
      <c r="F253" t="inlineStr">
        <is>
          <t>DALARNAS LÄN</t>
        </is>
      </c>
      <c r="G253" t="inlineStr">
        <is>
          <t>LUDVIKA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46250</v>
      </c>
      <c r="F254" t="inlineStr">
        <is>
          <t>DALARNAS LÄN</t>
        </is>
      </c>
      <c r="G254" t="inlineStr">
        <is>
          <t>LUDVIKA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45301</v>
      </c>
      <c r="E255" s="1" t="n">
        <v>46250</v>
      </c>
      <c r="F255" t="inlineStr">
        <is>
          <t>DALARNAS LÄN</t>
        </is>
      </c>
      <c r="G255" t="inlineStr">
        <is>
          <t>LUDVIKA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46250</v>
      </c>
      <c r="F256" t="inlineStr">
        <is>
          <t>DALARNAS LÄN</t>
        </is>
      </c>
      <c r="G256" t="inlineStr">
        <is>
          <t>LUDVIKA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52552-2025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46250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46250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46250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52459-2025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45954</v>
      </c>
      <c r="E260" s="1" t="n">
        <v>46250</v>
      </c>
      <c r="F260" t="inlineStr">
        <is>
          <t>DALARNAS LÄN</t>
        </is>
      </c>
      <c r="G260" t="inlineStr">
        <is>
          <t>LUDVIKA</t>
        </is>
      </c>
      <c r="H260" t="inlineStr">
        <is>
          <t>Övriga Aktiebolag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46250</v>
      </c>
      <c r="F262" t="inlineStr">
        <is>
          <t>DALARNAS LÄN</t>
        </is>
      </c>
      <c r="G262" t="inlineStr">
        <is>
          <t>LUDVIKA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46250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52427-2025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45954</v>
      </c>
      <c r="E264" s="1" t="n">
        <v>46250</v>
      </c>
      <c r="F264" t="inlineStr">
        <is>
          <t>DALARNAS LÄN</t>
        </is>
      </c>
      <c r="G264" t="inlineStr">
        <is>
          <t>LUDVIKA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46250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46250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46250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44879</v>
      </c>
      <c r="E268" s="1" t="n">
        <v>46250</v>
      </c>
      <c r="F268" t="inlineStr">
        <is>
          <t>DALARNAS LÄN</t>
        </is>
      </c>
      <c r="G268" t="inlineStr">
        <is>
          <t>LUDVIKA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52556-2025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45954</v>
      </c>
      <c r="E269" s="1" t="n">
        <v>46250</v>
      </c>
      <c r="F269" t="inlineStr">
        <is>
          <t>DALARNAS LÄN</t>
        </is>
      </c>
      <c r="G269" t="inlineStr">
        <is>
          <t>LUDVIKA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45062</v>
      </c>
      <c r="E270" s="1" t="n">
        <v>46250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46250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46250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46250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46250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46250</v>
      </c>
      <c r="F275" t="inlineStr">
        <is>
          <t>DALARNAS LÄN</t>
        </is>
      </c>
      <c r="G275" t="inlineStr">
        <is>
          <t>LUDVIKA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45963</v>
      </c>
      <c r="E276" s="1" t="n">
        <v>46250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46250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46250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46250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46250</v>
      </c>
      <c r="F281" t="inlineStr">
        <is>
          <t>DALARNAS LÄN</t>
        </is>
      </c>
      <c r="G281" t="inlineStr">
        <is>
          <t>LUDVIKA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46250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46250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54341-2025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45965</v>
      </c>
      <c r="E284" s="1" t="n">
        <v>46250</v>
      </c>
      <c r="F284" t="inlineStr">
        <is>
          <t>DALARNAS LÄN</t>
        </is>
      </c>
      <c r="G284" t="inlineStr">
        <is>
          <t>LUDVIKA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46250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46250</v>
      </c>
      <c r="F286" t="inlineStr">
        <is>
          <t>DALARNAS LÄN</t>
        </is>
      </c>
      <c r="G286" t="inlineStr">
        <is>
          <t>LUDVIKA</t>
        </is>
      </c>
      <c r="H286" t="inlineStr">
        <is>
          <t>Övriga Aktiebolag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46250</v>
      </c>
      <c r="F287" t="inlineStr">
        <is>
          <t>DALARNAS LÄN</t>
        </is>
      </c>
      <c r="G287" t="inlineStr">
        <is>
          <t>LUDVIKA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46250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46250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46250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73703-2021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46250</v>
      </c>
      <c r="F293" t="inlineStr">
        <is>
          <t>DALARNAS LÄN</t>
        </is>
      </c>
      <c r="G293" t="inlineStr">
        <is>
          <t>LUDVIKA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46250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46250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46250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46250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46250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46250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46250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46250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46250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46250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46250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46250</v>
      </c>
      <c r="F305" t="inlineStr">
        <is>
          <t>DALARNAS LÄN</t>
        </is>
      </c>
      <c r="G305" t="inlineStr">
        <is>
          <t>LUDVIKA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46250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46250</v>
      </c>
      <c r="F307" t="inlineStr">
        <is>
          <t>DALARNAS LÄN</t>
        </is>
      </c>
      <c r="G307" t="inlineStr">
        <is>
          <t>LUDVIKA</t>
        </is>
      </c>
      <c r="H307" t="inlineStr">
        <is>
          <t>Naturvårdsverket</t>
        </is>
      </c>
      <c r="I307" t="n">
        <v>19.8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46250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44730</v>
      </c>
      <c r="E309" s="1" t="n">
        <v>46250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46250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46250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46250</v>
      </c>
      <c r="F312" t="inlineStr">
        <is>
          <t>DALARNAS LÄN</t>
        </is>
      </c>
      <c r="G312" t="inlineStr">
        <is>
          <t>LUDVIKA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46250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46250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46250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46250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46250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44859</v>
      </c>
      <c r="E318" s="1" t="n">
        <v>46250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46250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46250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46250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46250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46250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46250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46250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46250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46250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45909</v>
      </c>
      <c r="E328" s="1" t="n">
        <v>46250</v>
      </c>
      <c r="F328" t="inlineStr">
        <is>
          <t>DALARNAS LÄN</t>
        </is>
      </c>
      <c r="G328" t="inlineStr">
        <is>
          <t>LUDVIKA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46250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46250</v>
      </c>
      <c r="F330" t="inlineStr">
        <is>
          <t>DALARNAS LÄN</t>
        </is>
      </c>
      <c r="G330" t="inlineStr">
        <is>
          <t>LUDVIKA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46250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46250</v>
      </c>
      <c r="F332" t="inlineStr">
        <is>
          <t>DALARNAS LÄN</t>
        </is>
      </c>
      <c r="G332" t="inlineStr">
        <is>
          <t>LUDVIKA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46250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45989</v>
      </c>
      <c r="E334" s="1" t="n">
        <v>46250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59530-2025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46250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46250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46250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46250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46250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46250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46250</v>
      </c>
      <c r="F342" t="inlineStr">
        <is>
          <t>DALARNAS LÄN</t>
        </is>
      </c>
      <c r="G342" t="inlineStr">
        <is>
          <t>LUDVIKA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46250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46250</v>
      </c>
      <c r="F344" t="inlineStr">
        <is>
          <t>DALARNAS LÄN</t>
        </is>
      </c>
      <c r="G344" t="inlineStr">
        <is>
          <t>LUDVIKA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46250</v>
      </c>
      <c r="F345" t="inlineStr">
        <is>
          <t>DALARNAS LÄN</t>
        </is>
      </c>
      <c r="G345" t="inlineStr">
        <is>
          <t>LUDVIKA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46250</v>
      </c>
      <c r="F346" t="inlineStr">
        <is>
          <t>DALARNAS LÄN</t>
        </is>
      </c>
      <c r="G346" t="inlineStr">
        <is>
          <t>LUDVIKA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46250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46250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46250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46250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46250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46250</v>
      </c>
      <c r="F352" t="inlineStr">
        <is>
          <t>DALARNAS LÄN</t>
        </is>
      </c>
      <c r="G352" t="inlineStr">
        <is>
          <t>LUDVIKA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46250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46250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46250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46250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46250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46250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46250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46250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46250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46250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46250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62824-2025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46008</v>
      </c>
      <c r="E364" s="1" t="n">
        <v>46250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46250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46250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46250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46250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46250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49035-2024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45594</v>
      </c>
      <c r="E370" s="1" t="n">
        <v>46250</v>
      </c>
      <c r="F370" t="inlineStr">
        <is>
          <t>DALARNAS LÄN</t>
        </is>
      </c>
      <c r="G370" t="inlineStr">
        <is>
          <t>LUDVIKA</t>
        </is>
      </c>
      <c r="H370" t="inlineStr">
        <is>
          <t>Naturvårdsverket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45594</v>
      </c>
      <c r="E371" s="1" t="n">
        <v>46250</v>
      </c>
      <c r="F371" t="inlineStr">
        <is>
          <t>DALARNAS LÄN</t>
        </is>
      </c>
      <c r="G371" t="inlineStr">
        <is>
          <t>LUDVIKA</t>
        </is>
      </c>
      <c r="H371" t="inlineStr">
        <is>
          <t>Naturvårdsverket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46250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46250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46010</v>
      </c>
      <c r="E374" s="1" t="n">
        <v>46250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45644</v>
      </c>
      <c r="E375" s="1" t="n">
        <v>46250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46250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46250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62945-2025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46009</v>
      </c>
      <c r="E378" s="1" t="n">
        <v>46250</v>
      </c>
      <c r="F378" t="inlineStr">
        <is>
          <t>DALARNAS LÄN</t>
        </is>
      </c>
      <c r="G378" t="inlineStr">
        <is>
          <t>LUDVIKA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46250</v>
      </c>
      <c r="F379" t="inlineStr">
        <is>
          <t>DALARNAS LÄN</t>
        </is>
      </c>
      <c r="G379" t="inlineStr">
        <is>
          <t>LUDVIKA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46250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46250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59050-2022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44903</v>
      </c>
      <c r="E382" s="1" t="n">
        <v>46250</v>
      </c>
      <c r="F382" t="inlineStr">
        <is>
          <t>DALARNAS LÄN</t>
        </is>
      </c>
      <c r="G382" t="inlineStr">
        <is>
          <t>LUDVIKA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46250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44970</v>
      </c>
      <c r="E384" s="1" t="n">
        <v>46250</v>
      </c>
      <c r="F384" t="inlineStr">
        <is>
          <t>DALARNAS LÄN</t>
        </is>
      </c>
      <c r="G384" t="inlineStr">
        <is>
          <t>LUDVIKA</t>
        </is>
      </c>
      <c r="H384" t="inlineStr">
        <is>
          <t>Övriga Aktiebolag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46250</v>
      </c>
      <c r="F385" t="inlineStr">
        <is>
          <t>DALARNAS LÄN</t>
        </is>
      </c>
      <c r="G385" t="inlineStr">
        <is>
          <t>LUDVIKA</t>
        </is>
      </c>
      <c r="H385" t="inlineStr">
        <is>
          <t>Övriga Aktiebolag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46250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46250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46250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44581</v>
      </c>
      <c r="E390" s="1" t="n">
        <v>46250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45825</v>
      </c>
      <c r="E391" s="1" t="n">
        <v>46250</v>
      </c>
      <c r="F391" t="inlineStr">
        <is>
          <t>DALARNAS LÄN</t>
        </is>
      </c>
      <c r="G391" t="inlineStr">
        <is>
          <t>LUDVIKA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46250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46250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44820</v>
      </c>
      <c r="E394" s="1" t="n">
        <v>46250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46250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46250</v>
      </c>
      <c r="F396" t="inlineStr">
        <is>
          <t>DALARNAS LÄN</t>
        </is>
      </c>
      <c r="G396" t="inlineStr">
        <is>
          <t>LUDVIKA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44890</v>
      </c>
      <c r="E397" s="1" t="n">
        <v>46250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46250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46250</v>
      </c>
      <c r="F399" t="inlineStr">
        <is>
          <t>DALARNAS LÄN</t>
        </is>
      </c>
      <c r="G399" t="inlineStr">
        <is>
          <t>LUDVIKA</t>
        </is>
      </c>
      <c r="I399" t="n">
        <v>20.8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46250</v>
      </c>
      <c r="F401" t="inlineStr">
        <is>
          <t>DALARNAS LÄN</t>
        </is>
      </c>
      <c r="G401" t="inlineStr">
        <is>
          <t>LUDVIKA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46250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46250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46250</v>
      </c>
      <c r="F404" t="inlineStr">
        <is>
          <t>DALARNAS LÄN</t>
        </is>
      </c>
      <c r="G404" t="inlineStr">
        <is>
          <t>LUDVIKA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46250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46250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46250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46250</v>
      </c>
      <c r="F408" t="inlineStr">
        <is>
          <t>DALARNAS LÄN</t>
        </is>
      </c>
      <c r="G408" t="inlineStr">
        <is>
          <t>LUDVIKA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45687</v>
      </c>
      <c r="E409" s="1" t="n">
        <v>46250</v>
      </c>
      <c r="F409" t="inlineStr">
        <is>
          <t>DALARNAS LÄN</t>
        </is>
      </c>
      <c r="G409" t="inlineStr">
        <is>
          <t>LUDVIKA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46250</v>
      </c>
      <c r="F410" t="inlineStr">
        <is>
          <t>DALARNAS LÄN</t>
        </is>
      </c>
      <c r="G410" t="inlineStr">
        <is>
          <t>LUDVIKA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45961</v>
      </c>
      <c r="E411" s="1" t="n">
        <v>46250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46250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46250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45961</v>
      </c>
      <c r="E414" s="1" t="n">
        <v>46250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46250</v>
      </c>
      <c r="F415" t="inlineStr">
        <is>
          <t>DALARNAS LÄN</t>
        </is>
      </c>
      <c r="G415" t="inlineStr">
        <is>
          <t>LUDVIKA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45110</v>
      </c>
      <c r="E416" s="1" t="n">
        <v>46250</v>
      </c>
      <c r="F416" t="inlineStr">
        <is>
          <t>DALARNAS LÄN</t>
        </is>
      </c>
      <c r="G416" t="inlineStr">
        <is>
          <t>LUDVIKA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46250</v>
      </c>
      <c r="F417" t="inlineStr">
        <is>
          <t>DALARNAS LÄN</t>
        </is>
      </c>
      <c r="G417" t="inlineStr">
        <is>
          <t>LUDVIKA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46250</v>
      </c>
      <c r="F418" t="inlineStr">
        <is>
          <t>DALARNAS LÄN</t>
        </is>
      </c>
      <c r="G418" t="inlineStr">
        <is>
          <t>LUDVIKA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46250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46250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45551</v>
      </c>
      <c r="E421" s="1" t="n">
        <v>46250</v>
      </c>
      <c r="F421" t="inlineStr">
        <is>
          <t>DALARNAS LÄN</t>
        </is>
      </c>
      <c r="G421" t="inlineStr">
        <is>
          <t>LUDVIKA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46250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46250</v>
      </c>
      <c r="F423" t="inlineStr">
        <is>
          <t>DALARNAS LÄN</t>
        </is>
      </c>
      <c r="G423" t="inlineStr">
        <is>
          <t>LUDVIKA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40125-2024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45554</v>
      </c>
      <c r="E424" s="1" t="n">
        <v>46250</v>
      </c>
      <c r="F424" t="inlineStr">
        <is>
          <t>DALARNAS LÄN</t>
        </is>
      </c>
      <c r="G424" t="inlineStr">
        <is>
          <t>LUDVIKA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44916</v>
      </c>
      <c r="E425" s="1" t="n">
        <v>46250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46250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45520</v>
      </c>
      <c r="E427" s="1" t="n">
        <v>46250</v>
      </c>
      <c r="F427" t="inlineStr">
        <is>
          <t>DALARNAS LÄN</t>
        </is>
      </c>
      <c r="G427" t="inlineStr">
        <is>
          <t>LUDVIKA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30844-2024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45497</v>
      </c>
      <c r="E428" s="1" t="n">
        <v>46250</v>
      </c>
      <c r="F428" t="inlineStr">
        <is>
          <t>DALARNAS LÄN</t>
        </is>
      </c>
      <c r="G428" t="inlineStr">
        <is>
          <t>LUDVIKA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43115-2021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44431</v>
      </c>
      <c r="E429" s="1" t="n">
        <v>46250</v>
      </c>
      <c r="F429" t="inlineStr">
        <is>
          <t>DALARNAS LÄN</t>
        </is>
      </c>
      <c r="G429" t="inlineStr">
        <is>
          <t>LUDVIKA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45481</v>
      </c>
      <c r="E430" s="1" t="n">
        <v>46250</v>
      </c>
      <c r="F430" t="inlineStr">
        <is>
          <t>DALARNAS LÄN</t>
        </is>
      </c>
      <c r="G430" t="inlineStr">
        <is>
          <t>LUDVIKA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46250</v>
      </c>
      <c r="F431" t="inlineStr">
        <is>
          <t>DALARNAS LÄN</t>
        </is>
      </c>
      <c r="G431" t="inlineStr">
        <is>
          <t>LUDVIKA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45297</v>
      </c>
      <c r="E432" s="1" t="n">
        <v>46250</v>
      </c>
      <c r="F432" t="inlineStr">
        <is>
          <t>DALARNAS LÄN</t>
        </is>
      </c>
      <c r="G432" t="inlineStr">
        <is>
          <t>LUDVIKA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45860</v>
      </c>
      <c r="E434" s="1" t="n">
        <v>46250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46250</v>
      </c>
      <c r="F435" t="inlineStr">
        <is>
          <t>DALARNAS LÄN</t>
        </is>
      </c>
      <c r="G435" t="inlineStr">
        <is>
          <t>LUDVIKA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41828-2025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46250</v>
      </c>
      <c r="F436" t="inlineStr">
        <is>
          <t>DALARNAS LÄN</t>
        </is>
      </c>
      <c r="G436" t="inlineStr">
        <is>
          <t>LUDVIKA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56615-2025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45975</v>
      </c>
      <c r="E437" s="1" t="n">
        <v>46250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46250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46250</v>
      </c>
      <c r="F439" t="inlineStr">
        <is>
          <t>DALARNAS LÄN</t>
        </is>
      </c>
      <c r="G439" t="inlineStr">
        <is>
          <t>LUDVIKA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45224</v>
      </c>
      <c r="E440" s="1" t="n">
        <v>46250</v>
      </c>
      <c r="F440" t="inlineStr">
        <is>
          <t>DALARNAS LÄN</t>
        </is>
      </c>
      <c r="G440" t="inlineStr">
        <is>
          <t>LUDVIKA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46250</v>
      </c>
      <c r="F441" t="inlineStr">
        <is>
          <t>DALARNAS LÄN</t>
        </is>
      </c>
      <c r="G441" t="inlineStr">
        <is>
          <t>LUDVIKA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46250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46250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46250</v>
      </c>
      <c r="F444" t="inlineStr">
        <is>
          <t>DALARNAS LÄN</t>
        </is>
      </c>
      <c r="G444" t="inlineStr">
        <is>
          <t>LUDVIKA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20789-2026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46250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46250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46250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46250</v>
      </c>
      <c r="F448" t="inlineStr">
        <is>
          <t>DALARNAS LÄN</t>
        </is>
      </c>
      <c r="G448" t="inlineStr">
        <is>
          <t>LUDVIKA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46250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46250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46250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44942</v>
      </c>
      <c r="E452" s="1" t="n">
        <v>46250</v>
      </c>
      <c r="F452" t="inlineStr">
        <is>
          <t>DALARNAS LÄN</t>
        </is>
      </c>
      <c r="G452" t="inlineStr">
        <is>
          <t>LUDVIKA</t>
        </is>
      </c>
      <c r="I452" t="n">
        <v>13.1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46250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46250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46250</v>
      </c>
      <c r="F455" t="inlineStr">
        <is>
          <t>DALARNAS LÄN</t>
        </is>
      </c>
      <c r="G455" t="inlineStr">
        <is>
          <t>LUDVIKA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46250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25296-2022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44730</v>
      </c>
      <c r="E457" s="1" t="n">
        <v>46250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46250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46250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45637</v>
      </c>
      <c r="E460" s="1" t="n">
        <v>46250</v>
      </c>
      <c r="F460" t="inlineStr">
        <is>
          <t>DALARNAS LÄN</t>
        </is>
      </c>
      <c r="G460" t="inlineStr">
        <is>
          <t>LUDVIKA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46250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3470-2025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45680</v>
      </c>
      <c r="E462" s="1" t="n">
        <v>46250</v>
      </c>
      <c r="F462" t="inlineStr">
        <is>
          <t>DALARNAS LÄN</t>
        </is>
      </c>
      <c r="G462" t="inlineStr">
        <is>
          <t>LUDVIKA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46250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45265</v>
      </c>
      <c r="E464" s="1" t="n">
        <v>46250</v>
      </c>
      <c r="F464" t="inlineStr">
        <is>
          <t>DALARNAS LÄN</t>
        </is>
      </c>
      <c r="G464" t="inlineStr">
        <is>
          <t>LUDVIKA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46250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46147</v>
      </c>
      <c r="E466" s="1" t="n">
        <v>46250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46250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46250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46250</v>
      </c>
      <c r="F469" t="inlineStr">
        <is>
          <t>DALARNAS LÄN</t>
        </is>
      </c>
      <c r="G469" t="inlineStr">
        <is>
          <t>LUDVIKA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46250</v>
      </c>
      <c r="F470" t="inlineStr">
        <is>
          <t>DALARNAS LÄN</t>
        </is>
      </c>
      <c r="G470" t="inlineStr">
        <is>
          <t>LUDVIKA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56996-2021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44482</v>
      </c>
      <c r="E471" s="1" t="n">
        <v>46250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46250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46250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46154</v>
      </c>
      <c r="E474" s="1" t="n">
        <v>46250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46250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46250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46250</v>
      </c>
      <c r="F477" t="inlineStr">
        <is>
          <t>DALARNAS LÄN</t>
        </is>
      </c>
      <c r="G477" t="inlineStr">
        <is>
          <t>LUDVIKA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45317</v>
      </c>
      <c r="E478" s="1" t="n">
        <v>46250</v>
      </c>
      <c r="F478" t="inlineStr">
        <is>
          <t>DALARNAS LÄN</t>
        </is>
      </c>
      <c r="G478" t="inlineStr">
        <is>
          <t>LUDVIKA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46250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46250</v>
      </c>
      <c r="F480" t="inlineStr">
        <is>
          <t>DALARNAS LÄN</t>
        </is>
      </c>
      <c r="G480" t="inlineStr">
        <is>
          <t>LUDVIKA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46250</v>
      </c>
      <c r="F481" t="inlineStr">
        <is>
          <t>DALARNAS LÄN</t>
        </is>
      </c>
      <c r="G481" t="inlineStr">
        <is>
          <t>LUDVIKA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46250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12497-2024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45379</v>
      </c>
      <c r="E483" s="1" t="n">
        <v>46250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46250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45288</v>
      </c>
      <c r="E485" s="1" t="n">
        <v>46250</v>
      </c>
      <c r="F485" t="inlineStr">
        <is>
          <t>DALARNAS LÄN</t>
        </is>
      </c>
      <c r="G485" t="inlineStr">
        <is>
          <t>LUDVIKA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22464-2026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46250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46250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46250</v>
      </c>
      <c r="F488" t="inlineStr">
        <is>
          <t>DALARNAS LÄN</t>
        </is>
      </c>
      <c r="G488" t="inlineStr">
        <is>
          <t>LUDVIKA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46250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46250</v>
      </c>
      <c r="F490" t="inlineStr">
        <is>
          <t>DALARNAS LÄN</t>
        </is>
      </c>
      <c r="G490" t="inlineStr">
        <is>
          <t>LUDVIKA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44865</v>
      </c>
      <c r="E491" s="1" t="n">
        <v>46250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46250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45399</v>
      </c>
      <c r="E493" s="1" t="n">
        <v>46250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46250</v>
      </c>
      <c r="F494" t="inlineStr">
        <is>
          <t>DALARNAS LÄN</t>
        </is>
      </c>
      <c r="G494" t="inlineStr">
        <is>
          <t>LUDVIKA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45317</v>
      </c>
      <c r="E495" s="1" t="n">
        <v>46250</v>
      </c>
      <c r="F495" t="inlineStr">
        <is>
          <t>DALARNAS LÄN</t>
        </is>
      </c>
      <c r="G495" t="inlineStr">
        <is>
          <t>LUDVIKA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46250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45485</v>
      </c>
      <c r="E497" s="1" t="n">
        <v>46250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46250</v>
      </c>
      <c r="F498" t="inlineStr">
        <is>
          <t>DALARNAS LÄN</t>
        </is>
      </c>
      <c r="G498" t="inlineStr">
        <is>
          <t>LUDVIKA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46250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21891-2025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46250</v>
      </c>
      <c r="F500" t="inlineStr">
        <is>
          <t>DALARNAS LÄN</t>
        </is>
      </c>
      <c r="G500" t="inlineStr">
        <is>
          <t>LUDVIKA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45784</v>
      </c>
      <c r="E501" s="1" t="n">
        <v>46250</v>
      </c>
      <c r="F501" t="inlineStr">
        <is>
          <t>DALARNAS LÄN</t>
        </is>
      </c>
      <c r="G501" t="inlineStr">
        <is>
          <t>LUDVIKA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46250</v>
      </c>
      <c r="F502" t="inlineStr">
        <is>
          <t>DALARNAS LÄN</t>
        </is>
      </c>
      <c r="G502" t="inlineStr">
        <is>
          <t>LUDVIKA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44476</v>
      </c>
      <c r="E503" s="1" t="n">
        <v>46250</v>
      </c>
      <c r="F503" t="inlineStr">
        <is>
          <t>DALARNAS LÄN</t>
        </is>
      </c>
      <c r="G503" t="inlineStr">
        <is>
          <t>LUDVIKA</t>
        </is>
      </c>
      <c r="H503" t="inlineStr">
        <is>
          <t>Övriga Aktiebolag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46250</v>
      </c>
      <c r="F504" t="inlineStr">
        <is>
          <t>DALARNAS LÄN</t>
        </is>
      </c>
      <c r="G504" t="inlineStr">
        <is>
          <t>LUDVIKA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46250</v>
      </c>
      <c r="F505" t="inlineStr">
        <is>
          <t>DALARNAS LÄN</t>
        </is>
      </c>
      <c r="G505" t="inlineStr">
        <is>
          <t>LUDVIKA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46250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46250</v>
      </c>
      <c r="F507" t="inlineStr">
        <is>
          <t>DALARNAS LÄN</t>
        </is>
      </c>
      <c r="G507" t="inlineStr">
        <is>
          <t>LUDVIKA</t>
        </is>
      </c>
      <c r="H507" t="inlineStr">
        <is>
          <t>Kommuner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46250</v>
      </c>
      <c r="F508" t="inlineStr">
        <is>
          <t>DALARNAS LÄN</t>
        </is>
      </c>
      <c r="G508" t="inlineStr">
        <is>
          <t>LUDVIKA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45404</v>
      </c>
      <c r="E509" s="1" t="n">
        <v>46250</v>
      </c>
      <c r="F509" t="inlineStr">
        <is>
          <t>DALARNAS LÄN</t>
        </is>
      </c>
      <c r="G509" t="inlineStr">
        <is>
          <t>LUDVIKA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46250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46250</v>
      </c>
      <c r="F511" t="inlineStr">
        <is>
          <t>DALARNAS LÄN</t>
        </is>
      </c>
      <c r="G511" t="inlineStr">
        <is>
          <t>LUDVIKA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45581</v>
      </c>
      <c r="E512" s="1" t="n">
        <v>46250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46250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46250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70046-2021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44533</v>
      </c>
      <c r="E515" s="1" t="n">
        <v>46250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45833</v>
      </c>
      <c r="E516" s="1" t="n">
        <v>46250</v>
      </c>
      <c r="F516" t="inlineStr">
        <is>
          <t>DALARNAS LÄN</t>
        </is>
      </c>
      <c r="G516" t="inlineStr">
        <is>
          <t>LUDVIKA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45581</v>
      </c>
      <c r="E517" s="1" t="n">
        <v>46250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45134</v>
      </c>
      <c r="E518" s="1" t="n">
        <v>46250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46250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22610-2025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45789</v>
      </c>
      <c r="E520" s="1" t="n">
        <v>46250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46250</v>
      </c>
      <c r="F521" t="inlineStr">
        <is>
          <t>DALARNAS LÄN</t>
        </is>
      </c>
      <c r="G521" t="inlineStr">
        <is>
          <t>LUDVIKA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45600</v>
      </c>
      <c r="E522" s="1" t="n">
        <v>46250</v>
      </c>
      <c r="F522" t="inlineStr">
        <is>
          <t>DALARNAS LÄN</t>
        </is>
      </c>
      <c r="G522" t="inlineStr">
        <is>
          <t>LUDVIKA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45533</v>
      </c>
      <c r="E523" s="1" t="n">
        <v>46250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46250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46250</v>
      </c>
      <c r="F525" t="inlineStr">
        <is>
          <t>DALARNAS LÄN</t>
        </is>
      </c>
      <c r="G525" t="inlineStr">
        <is>
          <t>LUDVIKA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45789</v>
      </c>
      <c r="E526" s="1" t="n">
        <v>46250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46250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46250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46250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46250</v>
      </c>
      <c r="F530" t="inlineStr">
        <is>
          <t>DALARNAS LÄN</t>
        </is>
      </c>
      <c r="G530" t="inlineStr">
        <is>
          <t>LUDVIKA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46107-2024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45581</v>
      </c>
      <c r="E531" s="1" t="n">
        <v>46250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46250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46250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46250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45524</v>
      </c>
      <c r="E535" s="1" t="n">
        <v>46250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45791</v>
      </c>
      <c r="E536" s="1" t="n">
        <v>46250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46250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46250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46250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46250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8.199999999999999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46250</v>
      </c>
      <c r="F541" t="inlineStr">
        <is>
          <t>DALARNAS LÄN</t>
        </is>
      </c>
      <c r="G541" t="inlineStr">
        <is>
          <t>LUDVIKA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30039-2024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45488</v>
      </c>
      <c r="E542" s="1" t="n">
        <v>46250</v>
      </c>
      <c r="F542" t="inlineStr">
        <is>
          <t>DALARNAS LÄN</t>
        </is>
      </c>
      <c r="G542" t="inlineStr">
        <is>
          <t>LUDVIKA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46218</v>
      </c>
      <c r="E543" s="1" t="n">
        <v>46250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45796</v>
      </c>
      <c r="E544" s="1" t="n">
        <v>46250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61278-2022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44915</v>
      </c>
      <c r="E545" s="1" t="n">
        <v>46250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30977-2024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45499</v>
      </c>
      <c r="E546" s="1" t="n">
        <v>46250</v>
      </c>
      <c r="F546" t="inlineStr">
        <is>
          <t>DALARNAS LÄN</t>
        </is>
      </c>
      <c r="G546" t="inlineStr">
        <is>
          <t>LUDVIKA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46250</v>
      </c>
      <c r="F547" t="inlineStr">
        <is>
          <t>DALARNAS LÄN</t>
        </is>
      </c>
      <c r="G547" t="inlineStr">
        <is>
          <t>LUDVIKA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46217</v>
      </c>
      <c r="E548" s="1" t="n">
        <v>46250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46250</v>
      </c>
      <c r="F549" t="inlineStr">
        <is>
          <t>DALARNAS LÄN</t>
        </is>
      </c>
      <c r="G549" t="inlineStr">
        <is>
          <t>LUDVIKA</t>
        </is>
      </c>
      <c r="H549" t="inlineStr">
        <is>
          <t>Kommuner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46250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46250</v>
      </c>
      <c r="F551" t="inlineStr">
        <is>
          <t>DALARNAS LÄN</t>
        </is>
      </c>
      <c r="G551" t="inlineStr">
        <is>
          <t>LUDVIKA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46250</v>
      </c>
      <c r="F552" t="inlineStr">
        <is>
          <t>DALARNAS LÄN</t>
        </is>
      </c>
      <c r="G552" t="inlineStr">
        <is>
          <t>LUDVIKA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46250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46250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46250</v>
      </c>
      <c r="F555" t="inlineStr">
        <is>
          <t>DALARNAS LÄN</t>
        </is>
      </c>
      <c r="G555" t="inlineStr">
        <is>
          <t>LUDVIKA</t>
        </is>
      </c>
      <c r="H555" t="inlineStr">
        <is>
          <t>Kommuner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46250</v>
      </c>
      <c r="F556" t="inlineStr">
        <is>
          <t>DALARNAS LÄN</t>
        </is>
      </c>
      <c r="G556" t="inlineStr">
        <is>
          <t>LUDVIKA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25235-2025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45800</v>
      </c>
      <c r="E557" s="1" t="n">
        <v>46250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45644</v>
      </c>
      <c r="E558" s="1" t="n">
        <v>46250</v>
      </c>
      <c r="F558" t="inlineStr">
        <is>
          <t>DALARNAS LÄN</t>
        </is>
      </c>
      <c r="G558" t="inlineStr">
        <is>
          <t>LUDVIKA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46250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45639</v>
      </c>
      <c r="E560" s="1" t="n">
        <v>46250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46250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25113-2025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46250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46250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46171</v>
      </c>
      <c r="E564" s="1" t="n">
        <v>46250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43704-2024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45569</v>
      </c>
      <c r="E565" s="1" t="n">
        <v>46250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46250</v>
      </c>
      <c r="F566" t="inlineStr">
        <is>
          <t>DALARNAS LÄN</t>
        </is>
      </c>
      <c r="G566" t="inlineStr">
        <is>
          <t>LUDVIKA</t>
        </is>
      </c>
      <c r="H566" t="inlineStr">
        <is>
          <t>Naturvårdsverket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46250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46250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46163</v>
      </c>
      <c r="E569" s="1" t="n">
        <v>46250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46250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46250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8.1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46250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45805</v>
      </c>
      <c r="E573" s="1" t="n">
        <v>46250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45541</v>
      </c>
      <c r="E574" s="1" t="n">
        <v>46250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46139</v>
      </c>
      <c r="E575" s="1" t="n">
        <v>46250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46250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46250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46136</v>
      </c>
      <c r="E578" s="1" t="n">
        <v>46250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26698-2025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45810</v>
      </c>
      <c r="E579" s="1" t="n">
        <v>46250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46250</v>
      </c>
      <c r="F580" t="inlineStr">
        <is>
          <t>DALARNAS LÄN</t>
        </is>
      </c>
      <c r="G580" t="inlineStr">
        <is>
          <t>LUDVIKA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45045-2023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46250</v>
      </c>
      <c r="F581" t="inlineStr">
        <is>
          <t>DALARNAS LÄN</t>
        </is>
      </c>
      <c r="G581" t="inlineStr">
        <is>
          <t>LUDVIKA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26628-2025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45810</v>
      </c>
      <c r="E582" s="1" t="n">
        <v>46250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55510-2024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45622</v>
      </c>
      <c r="E583" s="1" t="n">
        <v>46250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49045-2024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45594</v>
      </c>
      <c r="E584" s="1" t="n">
        <v>46250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46250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26794-2025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45810</v>
      </c>
      <c r="E586" s="1" t="n">
        <v>46250</v>
      </c>
      <c r="F586" t="inlineStr">
        <is>
          <t>DALARNAS LÄN</t>
        </is>
      </c>
      <c r="G586" t="inlineStr">
        <is>
          <t>LUDVIKA</t>
        </is>
      </c>
      <c r="H586" t="inlineStr">
        <is>
          <t>Kommuner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46250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46250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45569</v>
      </c>
      <c r="E589" s="1" t="n">
        <v>46250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45813</v>
      </c>
      <c r="E590" s="1" t="n">
        <v>46250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27532-2025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45813</v>
      </c>
      <c r="E591" s="1" t="n">
        <v>46250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46250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46250</v>
      </c>
      <c r="F593" t="inlineStr">
        <is>
          <t>DALARNAS LÄN</t>
        </is>
      </c>
      <c r="G593" t="inlineStr">
        <is>
          <t>LUDVIKA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46250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45813</v>
      </c>
      <c r="E595" s="1" t="n">
        <v>46250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46225</v>
      </c>
      <c r="E596" s="1" t="n">
        <v>46250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45512</v>
      </c>
      <c r="E597" s="1" t="n">
        <v>46250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46230</v>
      </c>
      <c r="E598" s="1" t="n">
        <v>46250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46250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45622</v>
      </c>
      <c r="E600" s="1" t="n">
        <v>46250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28134-2023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45099</v>
      </c>
      <c r="E601" s="1" t="n">
        <v>46250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46250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46250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46250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46250</v>
      </c>
      <c r="F605" t="inlineStr">
        <is>
          <t>DALARNAS LÄN</t>
        </is>
      </c>
      <c r="G605" t="inlineStr">
        <is>
          <t>LUDVIKA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29966-2025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46250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45687</v>
      </c>
      <c r="E607" s="1" t="n">
        <v>46250</v>
      </c>
      <c r="F607" t="inlineStr">
        <is>
          <t>DALARNAS LÄN</t>
        </is>
      </c>
      <c r="G607" t="inlineStr">
        <is>
          <t>LUDVIKA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39849-2023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45168</v>
      </c>
      <c r="E608" s="1" t="n">
        <v>46250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46250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48589-2023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45208</v>
      </c>
      <c r="E610" s="1" t="n">
        <v>46250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46250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44789</v>
      </c>
      <c r="E612" s="1" t="n">
        <v>46250</v>
      </c>
      <c r="F612" t="inlineStr">
        <is>
          <t>DALARNAS LÄN</t>
        </is>
      </c>
      <c r="G612" t="inlineStr">
        <is>
          <t>LUDVIKA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39437-2023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46250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49669-2024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46250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31001-2025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46250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46250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46250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44708</v>
      </c>
      <c r="E618" s="1" t="n">
        <v>46250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46250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46250</v>
      </c>
      <c r="F620" t="inlineStr">
        <is>
          <t>DALARNAS LÄN</t>
        </is>
      </c>
      <c r="G620" t="inlineStr">
        <is>
          <t>LUDVIKA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49114-2023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46250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45060-2022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44841</v>
      </c>
      <c r="E622" s="1" t="n">
        <v>46250</v>
      </c>
      <c r="F622" t="inlineStr">
        <is>
          <t>DALARNAS LÄN</t>
        </is>
      </c>
      <c r="G622" t="inlineStr">
        <is>
          <t>LUDVIKA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45835</v>
      </c>
      <c r="E623" s="1" t="n">
        <v>46250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46250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46190</v>
      </c>
      <c r="E625" s="1" t="n">
        <v>46250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46250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45754</v>
      </c>
      <c r="E627" s="1" t="n">
        <v>46250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26574-2026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46183</v>
      </c>
      <c r="E628" s="1" t="n">
        <v>46250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46250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46250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61054-2024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46250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46250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46250</v>
      </c>
      <c r="F633" t="inlineStr">
        <is>
          <t>DALARNAS LÄN</t>
        </is>
      </c>
      <c r="G633" t="inlineStr">
        <is>
          <t>LUDVIKA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33063-2025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46250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28062-2026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46195</v>
      </c>
      <c r="E635" s="1" t="n">
        <v>46250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46250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46250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46250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45244</v>
      </c>
      <c r="E639" s="1" t="n">
        <v>46250</v>
      </c>
      <c r="F639" t="inlineStr">
        <is>
          <t>DALARNAS LÄN</t>
        </is>
      </c>
      <c r="G639" t="inlineStr">
        <is>
          <t>LUDVIKA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46250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46250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46250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46250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46250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37392-2023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45156</v>
      </c>
      <c r="E645" s="1" t="n">
        <v>46250</v>
      </c>
      <c r="F645" t="inlineStr">
        <is>
          <t>DALARNAS LÄN</t>
        </is>
      </c>
      <c r="G645" t="inlineStr">
        <is>
          <t>LUDVIKA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46250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46250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34067-2025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45845</v>
      </c>
      <c r="E648" s="1" t="n">
        <v>46250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45502</v>
      </c>
      <c r="E649" s="1" t="n">
        <v>46250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46250</v>
      </c>
      <c r="F650" t="inlineStr">
        <is>
          <t>DALARNAS LÄN</t>
        </is>
      </c>
      <c r="G650" t="inlineStr">
        <is>
          <t>LUDVIKA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46250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46160</v>
      </c>
      <c r="E652" s="1" t="n">
        <v>46250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34861-2025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45849</v>
      </c>
      <c r="E653" s="1" t="n">
        <v>46250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46250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34455-2024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46250</v>
      </c>
      <c r="F655" t="inlineStr">
        <is>
          <t>DALARNAS LÄN</t>
        </is>
      </c>
      <c r="G655" t="inlineStr">
        <is>
          <t>LUDVIKA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46250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46250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46250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9.9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46250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46250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26823-2025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46250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46160</v>
      </c>
      <c r="E662" s="1" t="n">
        <v>46250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46250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32329-2024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46250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46250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45832</v>
      </c>
      <c r="E666" s="1" t="n">
        <v>46250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33001-2025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45840</v>
      </c>
      <c r="E667" s="1" t="n">
        <v>46250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45832</v>
      </c>
      <c r="E668" s="1" t="n">
        <v>46250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46250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43055-2024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45567</v>
      </c>
      <c r="E670" s="1" t="n">
        <v>46250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44680</v>
      </c>
      <c r="E671" s="1" t="n">
        <v>46250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45869</v>
      </c>
      <c r="E672" s="1" t="n">
        <v>46250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46250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46250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46250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45337</v>
      </c>
      <c r="E676" s="1" t="n">
        <v>46250</v>
      </c>
      <c r="F676" t="inlineStr">
        <is>
          <t>DALARNAS LÄN</t>
        </is>
      </c>
      <c r="G676" t="inlineStr">
        <is>
          <t>LUDVIKA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45761</v>
      </c>
      <c r="E677" s="1" t="n">
        <v>46250</v>
      </c>
      <c r="F677" t="inlineStr">
        <is>
          <t>DALARNAS LÄN</t>
        </is>
      </c>
      <c r="G677" t="inlineStr">
        <is>
          <t>LUDVIKA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46241</v>
      </c>
      <c r="E678" s="1" t="n">
        <v>46250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46250</v>
      </c>
      <c r="F679" t="inlineStr">
        <is>
          <t>DALARNAS LÄN</t>
        </is>
      </c>
      <c r="G679" t="inlineStr">
        <is>
          <t>LUDVIKA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46241</v>
      </c>
      <c r="E680" s="1" t="n">
        <v>46250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46250</v>
      </c>
      <c r="F681" t="inlineStr">
        <is>
          <t>DALARNAS LÄN</t>
        </is>
      </c>
      <c r="G681" t="inlineStr">
        <is>
          <t>LUDVIKA</t>
        </is>
      </c>
      <c r="H681" t="inlineStr">
        <is>
          <t>Naturvårdsverket</t>
        </is>
      </c>
      <c r="I681" t="n">
        <v>10.4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46250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46250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46250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33419-2026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46247</v>
      </c>
      <c r="E685" s="1" t="n">
        <v>46250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46250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46250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46250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46247</v>
      </c>
      <c r="E689" s="1" t="n">
        <v>46250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46250</v>
      </c>
      <c r="F690" t="inlineStr">
        <is>
          <t>DALARNAS LÄN</t>
        </is>
      </c>
      <c r="G690" t="inlineStr">
        <is>
          <t>LUDVIKA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46250</v>
      </c>
      <c r="F691" t="inlineStr">
        <is>
          <t>DALARNAS LÄN</t>
        </is>
      </c>
      <c r="G691" t="inlineStr">
        <is>
          <t>LUDVIKA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46250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46250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46250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46250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46250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46250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46250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46250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46250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2026-08-16T01:45:31Z</dcterms:created>
  <dcterms:modified xmlns:dcterms="http://purl.org/dc/terms/" xmlns:xsi="http://www.w3.org/2001/XMLSchema-instance" xsi:type="dcterms:W3CDTF">2026-08-16T01:45:32Z</dcterms:modified>
</cp:coreProperties>
</file>
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46256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46256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46256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46256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46256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46256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46256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46256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46256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46256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46256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46256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46256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46256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46256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46256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46256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9</v>
      </c>
      <c r="U41" t="n">
        <v>7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46256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46256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46256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57803-2023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46256</v>
      </c>
      <c r="F46" t="inlineStr">
        <is>
          <t>DALARNAS LÄN</t>
        </is>
      </c>
      <c r="G46" t="inlineStr">
        <is>
          <t>LUDVIKA</t>
        </is>
      </c>
      <c r="I46" t="n">
        <v>3.3</v>
      </c>
      <c r="J46" t="n">
        <v>3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Spillkråka
Tjäder
Gröngöling</t>
        </is>
      </c>
      <c r="W46">
        <f>HYPERLINK("https://klasma.github.io/Logging_2085/artfynd/A 57803-2023 artfynd.xlsx", "A 57803-2023")</f>
        <v/>
      </c>
      <c r="X46">
        <f>HYPERLINK("https://klasma.github.io/Logging_2085/kartor/A 57803-2023 karta.png", "A 57803-2023")</f>
        <v/>
      </c>
      <c r="Y46">
        <f>HYPERLINK("https://klasma.github.io/Logging_2085/kartor_geotiff/A 57803-2023 georefererad karta.tif", "A 57803-2023")</f>
        <v/>
      </c>
      <c r="AA46">
        <f>HYPERLINK("https://klasma.github.io/Logging_2085/klagomål/A 57803-2023 FSC-klagomål.docx", "A 57803-2023")</f>
        <v/>
      </c>
      <c r="AB46">
        <f>HYPERLINK("https://klasma.github.io/Logging_2085/klagomålsmail/A 57803-2023 FSC-klagomål mail.docx", "A 57803-2023")</f>
        <v/>
      </c>
      <c r="AC46">
        <f>HYPERLINK("https://klasma.github.io/Logging_2085/tillsyn/A 57803-2023 tillsynsbegäran.docx", "A 57803-2023")</f>
        <v/>
      </c>
      <c r="AD46">
        <f>HYPERLINK("https://klasma.github.io/Logging_2085/tillsynsmail/A 57803-2023 tillsynsbegäran mail.docx", "A 57803-2023")</f>
        <v/>
      </c>
      <c r="AE46">
        <f>HYPERLINK("https://klasma.github.io/Logging_2085/fåglar/A 57803-2023 prioriterade fågelarter.docx", "A 57803-2023")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46256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46256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46256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46256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46256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51928-2024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46256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27.9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Brunpudrad nållav
Gulnål
Kornig nållav
Vedticka</t>
        </is>
      </c>
      <c r="W53">
        <f>HYPERLINK("https://klasma.github.io/Logging_2085/artfynd/A 51928-2024 artfynd.xlsx", "A 51928-2024")</f>
        <v/>
      </c>
      <c r="X53">
        <f>HYPERLINK("https://klasma.github.io/Logging_2085/kartor/A 51928-2024 karta.png", "A 51928-2024")</f>
        <v/>
      </c>
      <c r="Y53">
        <f>HYPERLINK("https://klasma.github.io/Logging_2085/kartor_geotiff/A 51928-2024 georefererad karta.tif", "A 51928-2024")</f>
        <v/>
      </c>
      <c r="AA53">
        <f>HYPERLINK("https://klasma.github.io/Logging_2085/klagomål/A 51928-2024 FSC-klagomål.docx", "A 51928-2024")</f>
        <v/>
      </c>
      <c r="AB53">
        <f>HYPERLINK("https://klasma.github.io/Logging_2085/klagomålsmail/A 51928-2024 FSC-klagomål mail.docx", "A 51928-2024")</f>
        <v/>
      </c>
      <c r="AC53">
        <f>HYPERLINK("https://klasma.github.io/Logging_2085/tillsyn/A 51928-2024 tillsynsbegäran.docx", "A 51928-2024")</f>
        <v/>
      </c>
      <c r="AD53">
        <f>HYPERLINK("https://klasma.github.io/Logging_2085/tillsynsmail/A 51928-2024 tillsynsbegäran mail.docx", "A 51928-2024")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46256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46256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46256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46256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46256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46256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43226-2025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46256</v>
      </c>
      <c r="F60" t="inlineStr">
        <is>
          <t>DALARNAS LÄN</t>
        </is>
      </c>
      <c r="G60" t="inlineStr">
        <is>
          <t>LUDVIKA</t>
        </is>
      </c>
      <c r="I60" t="n">
        <v>1.1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4</v>
      </c>
      <c r="V60" s="2" t="inlineStr">
        <is>
          <t>Tretåig hackspett
Rävticka
Rödgul trumpetsvamp</t>
        </is>
      </c>
      <c r="W60">
        <f>HYPERLINK("https://klasma.github.io/Logging_2085/artfynd/A 43226-2025 artfynd.xlsx", "A 43226-2025")</f>
        <v/>
      </c>
      <c r="X60">
        <f>HYPERLINK("https://klasma.github.io/Logging_2085/kartor/A 43226-2025 karta.png", "A 43226-2025")</f>
        <v/>
      </c>
      <c r="Y60">
        <f>HYPERLINK("https://klasma.github.io/Logging_2085/kartor_geotiff/A 43226-2025 georefererad karta.tif", "A 43226-2025")</f>
        <v/>
      </c>
      <c r="AA60">
        <f>HYPERLINK("https://klasma.github.io/Logging_2085/klagomål/A 43226-2025 FSC-klagomål.docx", "A 43226-2025")</f>
        <v/>
      </c>
      <c r="AB60">
        <f>HYPERLINK("https://klasma.github.io/Logging_2085/klagomålsmail/A 43226-2025 FSC-klagomål mail.docx", "A 43226-2025")</f>
        <v/>
      </c>
      <c r="AC60">
        <f>HYPERLINK("https://klasma.github.io/Logging_2085/tillsyn/A 43226-2025 tillsynsbegäran.docx", "A 43226-2025")</f>
        <v/>
      </c>
      <c r="AD60">
        <f>HYPERLINK("https://klasma.github.io/Logging_2085/tillsynsmail/A 43226-2025 tillsynsbegäran mail.docx", "A 43226-2025")</f>
        <v/>
      </c>
      <c r="AE60">
        <f>HYPERLINK("https://klasma.github.io/Logging_2085/fåglar/A 43226-2025 prioriterade fågelarter.docx", "A 43226-2025")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46256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46256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46256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46256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Ärtsångare</t>
        </is>
      </c>
      <c r="W64">
        <f>HYPERLINK("https://klasma.github.io/Logging_2085/artfynd/A 45225-2024 artfynd.xlsx", "A 45225-2024")</f>
        <v/>
      </c>
      <c r="X64">
        <f>HYPERLINK("https://klasma.github.io/Logging_2085/kartor/A 45225-2024 karta.png", "A 45225-2024")</f>
        <v/>
      </c>
      <c r="Y64">
        <f>HYPERLINK("https://klasma.github.io/Logging_2085/kartor_geotiff/A 45225-2024 georefererad karta.tif", "A 45225-2024")</f>
        <v/>
      </c>
      <c r="AA64">
        <f>HYPERLINK("https://klasma.github.io/Logging_2085/klagomål/A 45225-2024 FSC-klagomål.docx", "A 45225-2024")</f>
        <v/>
      </c>
      <c r="AB64">
        <f>HYPERLINK("https://klasma.github.io/Logging_2085/klagomålsmail/A 45225-2024 FSC-klagomål mail.docx", "A 45225-2024")</f>
        <v/>
      </c>
      <c r="AC64">
        <f>HYPERLINK("https://klasma.github.io/Logging_2085/tillsyn/A 45225-2024 tillsynsbegäran.docx", "A 45225-2024")</f>
        <v/>
      </c>
      <c r="AD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46256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46256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46256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3809-2024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46256</v>
      </c>
      <c r="F68" t="inlineStr">
        <is>
          <t>DALARNAS LÄN</t>
        </is>
      </c>
      <c r="G68" t="inlineStr">
        <is>
          <t>LUDVIKA</t>
        </is>
      </c>
      <c r="I68" t="n">
        <v>0.5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8</v>
      </c>
      <c r="U68" t="n">
        <v>8</v>
      </c>
      <c r="V68" s="2" t="inlineStr">
        <is>
          <t>Nordfladdermus
Fläcknycklar</t>
        </is>
      </c>
      <c r="W68">
        <f>HYPERLINK("https://klasma.github.io/Logging_2085/artfynd/A 3809-2024 artfynd.xlsx", "A 3809-2024")</f>
        <v/>
      </c>
      <c r="X68">
        <f>HYPERLINK("https://klasma.github.io/Logging_2085/kartor/A 3809-2024 karta.png", "A 3809-2024")</f>
        <v/>
      </c>
      <c r="Y68">
        <f>HYPERLINK("https://klasma.github.io/Logging_2085/kartor_geotiff/A 3809-2024 georefererad karta.tif", "A 3809-2024")</f>
        <v/>
      </c>
      <c r="AA68">
        <f>HYPERLINK("https://klasma.github.io/Logging_2085/klagomål/A 3809-2024 FSC-klagomål.docx", "A 3809-2024")</f>
        <v/>
      </c>
      <c r="AB68">
        <f>HYPERLINK("https://klasma.github.io/Logging_2085/klagomålsmail/A 3809-2024 FSC-klagomål mail.docx", "A 3809-2024")</f>
        <v/>
      </c>
      <c r="AC68">
        <f>HYPERLINK("https://klasma.github.io/Logging_2085/tillsyn/A 3809-2024 tillsynsbegäran.docx", "A 3809-2024")</f>
        <v/>
      </c>
      <c r="AD68">
        <f>HYPERLINK("https://klasma.github.io/Logging_2085/tillsynsmail/A 3809-2024 tillsynsbegäran mail.docx", "A 3809-2024")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33155-2024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45518</v>
      </c>
      <c r="E70" s="1" t="n">
        <v>46256</v>
      </c>
      <c r="F70" t="inlineStr">
        <is>
          <t>DALARNAS LÄN</t>
        </is>
      </c>
      <c r="G70" t="inlineStr">
        <is>
          <t>LUDVIKA</t>
        </is>
      </c>
      <c r="I70" t="n">
        <v>2.9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Brunpudrad nållav
Tretåig hackspett</t>
        </is>
      </c>
      <c r="W70">
        <f>HYPERLINK("https://klasma.github.io/Logging_2085/artfynd/A 33155-2024 artfynd.xlsx", "A 33155-2024")</f>
        <v/>
      </c>
      <c r="X70">
        <f>HYPERLINK("https://klasma.github.io/Logging_2085/kartor/A 33155-2024 karta.png", "A 33155-2024")</f>
        <v/>
      </c>
      <c r="Y70">
        <f>HYPERLINK("https://klasma.github.io/Logging_2085/kartor_geotiff/A 33155-2024 georefererad karta.tif", "A 33155-2024")</f>
        <v/>
      </c>
      <c r="AA70">
        <f>HYPERLINK("https://klasma.github.io/Logging_2085/klagomål/A 33155-2024 FSC-klagomål.docx", "A 33155-2024")</f>
        <v/>
      </c>
      <c r="AB70">
        <f>HYPERLINK("https://klasma.github.io/Logging_2085/klagomålsmail/A 33155-2024 FSC-klagomål mail.docx", "A 33155-2024")</f>
        <v/>
      </c>
      <c r="AC70">
        <f>HYPERLINK("https://klasma.github.io/Logging_2085/tillsyn/A 33155-2024 tillsynsbegäran.docx", "A 33155-2024")</f>
        <v/>
      </c>
      <c r="AD70">
        <f>HYPERLINK("https://klasma.github.io/Logging_2085/tillsynsmail/A 33155-2024 tillsynsbegäran mail.docx", "A 33155-2024")</f>
        <v/>
      </c>
      <c r="AE70">
        <f>HYPERLINK("https://klasma.github.io/Logging_2085/fåglar/A 33155-2024 prioriterade fågelarter.docx", "A 33155-2024")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46256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46256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46256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46256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46256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46256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28727-2026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14</v>
      </c>
      <c r="J77" t="n">
        <v>0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Mindre märgborre</t>
        </is>
      </c>
      <c r="W77">
        <f>HYPERLINK("https://klasma.github.io/Logging_2085/artfynd/A 28727-2026 artfynd.xlsx", "A 28727-2026")</f>
        <v/>
      </c>
      <c r="X77">
        <f>HYPERLINK("https://klasma.github.io/Logging_2085/kartor/A 28727-2026 karta.png", "A 28727-2026")</f>
        <v/>
      </c>
      <c r="Y77">
        <f>HYPERLINK("https://klasma.github.io/Logging_2085/kartor_geotiff/A 28727-2026 georefererad karta.tif", "A 28727-2026")</f>
        <v/>
      </c>
      <c r="AA77">
        <f>HYPERLINK("https://klasma.github.io/Logging_2085/klagomål/A 28727-2026 FSC-klagomål.docx", "A 28727-2026")</f>
        <v/>
      </c>
      <c r="AB77">
        <f>HYPERLINK("https://klasma.github.io/Logging_2085/klagomålsmail/A 28727-2026 FSC-klagomål mail.docx", "A 28727-2026")</f>
        <v/>
      </c>
      <c r="AC77">
        <f>HYPERLINK("https://klasma.github.io/Logging_2085/tillsyn/A 28727-2026 tillsynsbegäran.docx", "A 28727-2026")</f>
        <v/>
      </c>
      <c r="AD77">
        <f>HYPERLINK("https://klasma.github.io/Logging_2085/tillsynsmail/A 28727-2026 tillsynsbegäran mail.docx", "A 28727-2026")</f>
        <v/>
      </c>
    </row>
    <row r="78" ht="15" customHeight="1">
      <c r="A78" t="inlineStr">
        <is>
          <t>A 55399-2025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46256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11.5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HYPERLINK("https://klasma.github.io/Logging_2085/artfynd/A 55399-2025 artfynd.xlsx", "A 55399-2025")</f>
        <v/>
      </c>
      <c r="X78">
        <f>HYPERLINK("https://klasma.github.io/Logging_2085/kartor/A 55399-2025 karta.png", "A 55399-2025")</f>
        <v/>
      </c>
      <c r="Y78">
        <f>HYPERLINK("https://klasma.github.io/Logging_2085/kartor_geotiff/A 55399-2025 georefererad karta.tif", "A 55399-2025")</f>
        <v/>
      </c>
      <c r="AA78">
        <f>HYPERLINK("https://klasma.github.io/Logging_2085/klagomål/A 55399-2025 FSC-klagomål.docx", "A 55399-2025")</f>
        <v/>
      </c>
      <c r="AB78">
        <f>HYPERLINK("https://klasma.github.io/Logging_2085/klagomålsmail/A 55399-2025 FSC-klagomål mail.docx", "A 55399-2025")</f>
        <v/>
      </c>
      <c r="AC78">
        <f>HYPERLINK("https://klasma.github.io/Logging_2085/tillsyn/A 55399-2025 tillsynsbegäran.docx", "A 55399-2025")</f>
        <v/>
      </c>
      <c r="AD78">
        <f>HYPERLINK("https://klasma.github.io/Logging_2085/tillsynsmail/A 55399-2025 tillsynsbegäran mail.docx", "A 55399-2025")</f>
        <v/>
      </c>
      <c r="AE78">
        <f>HYPERLINK("https://klasma.github.io/Logging_2085/fåglar/A 55399-2025 prioriterade fågelarter.docx", "A 55399-2025")</f>
        <v/>
      </c>
    </row>
    <row r="79" ht="15" customHeight="1">
      <c r="A79" t="inlineStr">
        <is>
          <t>A 28639-2026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Blå taggsvamp
Motaggsvamp</t>
        </is>
      </c>
      <c r="W79">
        <f>HYPERLINK("https://klasma.github.io/Logging_2085/artfynd/A 28639-2026 artfynd.xlsx", "A 28639-2026")</f>
        <v/>
      </c>
      <c r="X79">
        <f>HYPERLINK("https://klasma.github.io/Logging_2085/kartor/A 28639-2026 karta.png", "A 28639-2026")</f>
        <v/>
      </c>
      <c r="Y79">
        <f>HYPERLINK("https://klasma.github.io/Logging_2085/kartor_geotiff/A 28639-2026 georefererad karta.tif", "A 28639-2026")</f>
        <v/>
      </c>
      <c r="AA79">
        <f>HYPERLINK("https://klasma.github.io/Logging_2085/klagomål/A 28639-2026 FSC-klagomål.docx", "A 28639-2026")</f>
        <v/>
      </c>
      <c r="AB79">
        <f>HYPERLINK("https://klasma.github.io/Logging_2085/klagomålsmail/A 28639-2026 FSC-klagomål mail.docx", "A 28639-2026")</f>
        <v/>
      </c>
      <c r="AC79">
        <f>HYPERLINK("https://klasma.github.io/Logging_2085/tillsyn/A 28639-2026 tillsynsbegäran.docx", "A 28639-2026")</f>
        <v/>
      </c>
      <c r="AD79">
        <f>HYPERLINK("https://klasma.github.io/Logging_2085/tillsynsmail/A 28639-2026 tillsynsbegäran mail.docx", "A 28639-2026")</f>
        <v/>
      </c>
    </row>
    <row r="80" ht="15" customHeight="1">
      <c r="A80" t="inlineStr">
        <is>
          <t>A 19538-2026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46256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Mörk husmossa
Tibast</t>
        </is>
      </c>
      <c r="W80">
        <f>HYPERLINK("https://klasma.github.io/Logging_2085/artfynd/A 19538-2026 artfynd.xlsx", "A 19538-2026")</f>
        <v/>
      </c>
      <c r="X80">
        <f>HYPERLINK("https://klasma.github.io/Logging_2085/kartor/A 19538-2026 karta.png", "A 19538-2026")</f>
        <v/>
      </c>
      <c r="Y80">
        <f>HYPERLINK("https://klasma.github.io/Logging_2085/kartor_geotiff/A 19538-2026 georefererad karta.tif", "A 19538-2026")</f>
        <v/>
      </c>
      <c r="AA80">
        <f>HYPERLINK("https://klasma.github.io/Logging_2085/klagomål/A 19538-2026 FSC-klagomål.docx", "A 19538-2026")</f>
        <v/>
      </c>
      <c r="AB80">
        <f>HYPERLINK("https://klasma.github.io/Logging_2085/klagomålsmail/A 19538-2026 FSC-klagomål mail.docx", "A 19538-2026")</f>
        <v/>
      </c>
      <c r="AC80">
        <f>HYPERLINK("https://klasma.github.io/Logging_2085/tillsyn/A 19538-2026 tillsynsbegäran.docx", "A 19538-2026")</f>
        <v/>
      </c>
      <c r="AD80">
        <f>HYPERLINK("https://klasma.github.io/Logging_2085/tillsynsmail/A 19538-2026 tillsynsbegäran mail.docx", "A 19538-2026")</f>
        <v/>
      </c>
    </row>
    <row r="81" ht="15" customHeight="1">
      <c r="A81" t="inlineStr">
        <is>
          <t>A 49763-2025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46256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Dvärgbägarlav
Vedticka</t>
        </is>
      </c>
      <c r="W81">
        <f>HYPERLINK("https://klasma.github.io/Logging_2085/artfynd/A 49763-2025 artfynd.xlsx", "A 49763-2025")</f>
        <v/>
      </c>
      <c r="X81">
        <f>HYPERLINK("https://klasma.github.io/Logging_2085/kartor/A 49763-2025 karta.png", "A 49763-2025")</f>
        <v/>
      </c>
      <c r="Y81">
        <f>HYPERLINK("https://klasma.github.io/Logging_2085/kartor_geotiff/A 49763-2025 georefererad karta.tif", "A 49763-2025")</f>
        <v/>
      </c>
      <c r="AA81">
        <f>HYPERLINK("https://klasma.github.io/Logging_2085/klagomål/A 49763-2025 FSC-klagomål.docx", "A 49763-2025")</f>
        <v/>
      </c>
      <c r="AB81">
        <f>HYPERLINK("https://klasma.github.io/Logging_2085/klagomålsmail/A 49763-2025 FSC-klagomål mail.docx", "A 49763-2025")</f>
        <v/>
      </c>
      <c r="AC81">
        <f>HYPERLINK("https://klasma.github.io/Logging_2085/tillsyn/A 49763-2025 tillsynsbegäran.docx", "A 49763-2025")</f>
        <v/>
      </c>
      <c r="AD81">
        <f>HYPERLINK("https://klasma.github.io/Logging_2085/tillsynsmail/A 49763-2025 tillsynsbegäran mail.docx", "A 49763-2025")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46256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46256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21876-2026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46256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Tretåig hackspett</t>
        </is>
      </c>
      <c r="W84">
        <f>HYPERLINK("https://klasma.github.io/Logging_2085/artfynd/A 21876-2026 artfynd.xlsx", "A 21876-2026")</f>
        <v/>
      </c>
      <c r="X84">
        <f>HYPERLINK("https://klasma.github.io/Logging_2085/kartor/A 21876-2026 karta.png", "A 21876-2026")</f>
        <v/>
      </c>
      <c r="Y84">
        <f>HYPERLINK("https://klasma.github.io/Logging_2085/kartor_geotiff/A 21876-2026 georefererad karta.tif", "A 21876-2026")</f>
        <v/>
      </c>
      <c r="AA84">
        <f>HYPERLINK("https://klasma.github.io/Logging_2085/klagomål/A 21876-2026 FSC-klagomål.docx", "A 21876-2026")</f>
        <v/>
      </c>
      <c r="AB84">
        <f>HYPERLINK("https://klasma.github.io/Logging_2085/klagomålsmail/A 21876-2026 FSC-klagomål mail.docx", "A 21876-2026")</f>
        <v/>
      </c>
      <c r="AC84">
        <f>HYPERLINK("https://klasma.github.io/Logging_2085/tillsyn/A 21876-2026 tillsynsbegäran.docx", "A 21876-2026")</f>
        <v/>
      </c>
      <c r="AD84">
        <f>HYPERLINK("https://klasma.github.io/Logging_2085/tillsynsmail/A 21876-2026 tillsynsbegäran mail.docx", "A 21876-2026")</f>
        <v/>
      </c>
      <c r="AE84">
        <f>HYPERLINK("https://klasma.github.io/Logging_2085/fåglar/A 21876-2026 prioriterade fågelarter.docx", "A 21876-2026")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46256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46256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46256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46256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46256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26850-2023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46256</v>
      </c>
      <c r="F94" t="inlineStr">
        <is>
          <t>DALARNAS LÄN</t>
        </is>
      </c>
      <c r="G94" t="inlineStr">
        <is>
          <t>LUDVIKA</t>
        </is>
      </c>
      <c r="H94" t="inlineStr">
        <is>
          <t>Naturvårdsverket</t>
        </is>
      </c>
      <c r="I94" t="n">
        <v>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HYPERLINK("https://klasma.github.io/Logging_2085/artfynd/A 26850-2023 artfynd.xlsx", "A 26850-2023")</f>
        <v/>
      </c>
      <c r="X94">
        <f>HYPERLINK("https://klasma.github.io/Logging_2085/kartor/A 26850-2023 karta.png", "A 26850-2023")</f>
        <v/>
      </c>
      <c r="Y94">
        <f>HYPERLINK("https://klasma.github.io/Logging_2085/kartor_geotiff/A 26850-2023 georefererad karta.tif", "A 26850-2023")</f>
        <v/>
      </c>
      <c r="AA94">
        <f>HYPERLINK("https://klasma.github.io/Logging_2085/klagomål/A 26850-2023 FSC-klagomål.docx", "A 26850-2023")</f>
        <v/>
      </c>
      <c r="AB94">
        <f>HYPERLINK("https://klasma.github.io/Logging_2085/klagomålsmail/A 26850-2023 FSC-klagomål mail.docx", "A 26850-2023")</f>
        <v/>
      </c>
      <c r="AC94">
        <f>HYPERLINK("https://klasma.github.io/Logging_2085/tillsyn/A 26850-2023 tillsynsbegäran.docx", "A 26850-2023")</f>
        <v/>
      </c>
      <c r="AD94">
        <f>HYPERLINK("https://klasma.github.io/Logging_2085/tillsynsmail/A 26850-2023 tillsynsbegäran mail.docx", "A 26850-2023")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46256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46256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62275-2022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46256</v>
      </c>
      <c r="F97" t="inlineStr">
        <is>
          <t>DALARNAS LÄN</t>
        </is>
      </c>
      <c r="G97" t="inlineStr">
        <is>
          <t>LUDVIKA</t>
        </is>
      </c>
      <c r="I97" t="n">
        <v>4.6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Knärot</t>
        </is>
      </c>
      <c r="W97">
        <f>HYPERLINK("https://klasma.github.io/Logging_2085/artfynd/A 62275-2022 artfynd.xlsx", "A 62275-2022")</f>
        <v/>
      </c>
      <c r="X97">
        <f>HYPERLINK("https://klasma.github.io/Logging_2085/kartor/A 62275-2022 karta.png", "A 62275-2022")</f>
        <v/>
      </c>
      <c r="Y97">
        <f>HYPERLINK("https://klasma.github.io/Logging_2085/kartor_geotiff/A 62275-2022 georefererad karta.tif", "A 62275-2022")</f>
        <v/>
      </c>
      <c r="Z97">
        <f>HYPERLINK("https://klasma.github.io/Logging_2085/knärot/A 62275-2022 karta knärot.png", "A 62275-2022")</f>
        <v/>
      </c>
      <c r="AA97">
        <f>HYPERLINK("https://klasma.github.io/Logging_2085/klagomål/A 62275-2022 FSC-klagomål.docx", "A 62275-2022")</f>
        <v/>
      </c>
      <c r="AB97">
        <f>HYPERLINK("https://klasma.github.io/Logging_2085/klagomålsmail/A 62275-2022 FSC-klagomål mail.docx", "A 62275-2022")</f>
        <v/>
      </c>
      <c r="AC97">
        <f>HYPERLINK("https://klasma.github.io/Logging_2085/tillsyn/A 62275-2022 tillsynsbegäran.docx", "A 62275-2022")</f>
        <v/>
      </c>
      <c r="AD97">
        <f>HYPERLINK("https://klasma.github.io/Logging_2085/tillsynsmail/A 62275-2022 tillsynsbegäran mail.docx", "A 62275-2022")</f>
        <v/>
      </c>
    </row>
    <row r="98" ht="15" customHeight="1">
      <c r="A98" t="inlineStr">
        <is>
          <t>A 25588-2023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46256</v>
      </c>
      <c r="F98" t="inlineStr">
        <is>
          <t>DALARNAS LÄN</t>
        </is>
      </c>
      <c r="G98" t="inlineStr">
        <is>
          <t>LUDVIKA</t>
        </is>
      </c>
      <c r="I98" t="n">
        <v>9.4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Garnlav</t>
        </is>
      </c>
      <c r="W98">
        <f>HYPERLINK("https://klasma.github.io/Logging_2085/artfynd/A 25588-2023 artfynd.xlsx", "A 25588-2023")</f>
        <v/>
      </c>
      <c r="X98">
        <f>HYPERLINK("https://klasma.github.io/Logging_2085/kartor/A 25588-2023 karta.png", "A 25588-2023")</f>
        <v/>
      </c>
      <c r="Y98">
        <f>HYPERLINK("https://klasma.github.io/Logging_2085/kartor_geotiff/A 25588-2023 georefererad karta.tif", "A 25588-2023")</f>
        <v/>
      </c>
      <c r="AA98">
        <f>HYPERLINK("https://klasma.github.io/Logging_2085/klagomål/A 25588-2023 FSC-klagomål.docx", "A 25588-2023")</f>
        <v/>
      </c>
      <c r="AB98">
        <f>HYPERLINK("https://klasma.github.io/Logging_2085/klagomålsmail/A 25588-2023 FSC-klagomål mail.docx", "A 25588-2023")</f>
        <v/>
      </c>
      <c r="AC98">
        <f>HYPERLINK("https://klasma.github.io/Logging_2085/tillsyn/A 25588-2023 tillsynsbegäran.docx", "A 25588-2023")</f>
        <v/>
      </c>
      <c r="AD98">
        <f>HYPERLINK("https://klasma.github.io/Logging_2085/tillsynsmail/A 25588-2023 tillsynsbegäran mail.docx", "A 25588-2023")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46256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Vitfläckig guldvinge</t>
        </is>
      </c>
      <c r="W99">
        <f>HYPERLINK("https://klasma.github.io/Logging_2085/artfynd/A 45791-2025 artfynd.xlsx", "A 45791-2025")</f>
        <v/>
      </c>
      <c r="X99">
        <f>HYPERLINK("https://klasma.github.io/Logging_2085/kartor/A 45791-2025 karta.png", "A 45791-2025")</f>
        <v/>
      </c>
      <c r="Y99">
        <f>HYPERLINK("https://klasma.github.io/Logging_2085/kartor_geotiff/A 45791-2025 georefererad karta.tif", "A 45791-2025")</f>
        <v/>
      </c>
      <c r="AA99">
        <f>HYPERLINK("https://klasma.github.io/Logging_2085/klagomål/A 45791-2025 FSC-klagomål.docx", "A 45791-2025")</f>
        <v/>
      </c>
      <c r="AB99">
        <f>HYPERLINK("https://klasma.github.io/Logging_2085/klagomålsmail/A 45791-2025 FSC-klagomål mail.docx", "A 45791-2025")</f>
        <v/>
      </c>
      <c r="AC99">
        <f>HYPERLINK("https://klasma.github.io/Logging_2085/tillsyn/A 45791-2025 tillsynsbegäran.docx", "A 45791-2025")</f>
        <v/>
      </c>
      <c r="AD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46256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Granbarkgnagare</t>
        </is>
      </c>
      <c r="W100">
        <f>HYPERLINK("https://klasma.github.io/Logging_2085/artfynd/A 45858-2025 artfynd.xlsx", "A 45858-2025")</f>
        <v/>
      </c>
      <c r="X100">
        <f>HYPERLINK("https://klasma.github.io/Logging_2085/kartor/A 45858-2025 karta.png", "A 45858-2025")</f>
        <v/>
      </c>
      <c r="Y100">
        <f>HYPERLINK("https://klasma.github.io/Logging_2085/kartor_geotiff/A 45858-2025 georefererad karta.tif", "A 45858-2025")</f>
        <v/>
      </c>
      <c r="AA100">
        <f>HYPERLINK("https://klasma.github.io/Logging_2085/klagomål/A 45858-2025 FSC-klagomål.docx", "A 45858-2025")</f>
        <v/>
      </c>
      <c r="AB100">
        <f>HYPERLINK("https://klasma.github.io/Logging_2085/klagomålsmail/A 45858-2025 FSC-klagomål mail.docx", "A 45858-2025")</f>
        <v/>
      </c>
      <c r="AC100">
        <f>HYPERLINK("https://klasma.github.io/Logging_2085/tillsyn/A 45858-2025 tillsynsbegäran.docx", "A 45858-2025")</f>
        <v/>
      </c>
      <c r="AD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46256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46256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46256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46256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36050-2025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45866</v>
      </c>
      <c r="E105" s="1" t="n">
        <v>46256</v>
      </c>
      <c r="F105" t="inlineStr">
        <is>
          <t>DALARNAS LÄN</t>
        </is>
      </c>
      <c r="G105" t="inlineStr">
        <is>
          <t>LUDVIKA</t>
        </is>
      </c>
      <c r="I105" t="n">
        <v>1.4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HYPERLINK("https://klasma.github.io/Logging_2085/artfynd/A 36050-2025 artfynd.xlsx", "A 36050-2025")</f>
        <v/>
      </c>
      <c r="X105">
        <f>HYPERLINK("https://klasma.github.io/Logging_2085/kartor/A 36050-2025 karta.png", "A 36050-2025")</f>
        <v/>
      </c>
      <c r="Y105">
        <f>HYPERLINK("https://klasma.github.io/Logging_2085/kartor_geotiff/A 36050-2025 georefererad karta.tif", "A 36050-2025")</f>
        <v/>
      </c>
      <c r="AA105">
        <f>HYPERLINK("https://klasma.github.io/Logging_2085/klagomål/A 36050-2025 FSC-klagomål.docx", "A 36050-2025")</f>
        <v/>
      </c>
      <c r="AB105">
        <f>HYPERLINK("https://klasma.github.io/Logging_2085/klagomålsmail/A 36050-2025 FSC-klagomål mail.docx", "A 36050-2025")</f>
        <v/>
      </c>
      <c r="AC105">
        <f>HYPERLINK("https://klasma.github.io/Logging_2085/tillsyn/A 36050-2025 tillsynsbegäran.docx", "A 36050-2025")</f>
        <v/>
      </c>
      <c r="AD105">
        <f>HYPERLINK("https://klasma.github.io/Logging_2085/tillsynsmail/A 36050-2025 tillsynsbegäran mail.docx", "A 36050-2025")</f>
        <v/>
      </c>
      <c r="AE105">
        <f>HYPERLINK("https://klasma.github.io/Logging_2085/fåglar/A 36050-2025 prioriterade fågelarter.docx", "A 36050-2025")</f>
        <v/>
      </c>
    </row>
    <row r="106" ht="15" customHeight="1">
      <c r="A106" t="inlineStr">
        <is>
          <t>A 17987-2025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46256</v>
      </c>
      <c r="F106" t="inlineStr">
        <is>
          <t>DALARNAS LÄN</t>
        </is>
      </c>
      <c r="G106" t="inlineStr">
        <is>
          <t>LUDVIKA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HYPERLINK("https://klasma.github.io/Logging_2085/artfynd/A 17987-2025 artfynd.xlsx", "A 17987-2025")</f>
        <v/>
      </c>
      <c r="X106">
        <f>HYPERLINK("https://klasma.github.io/Logging_2085/kartor/A 17987-2025 karta.png", "A 17987-2025")</f>
        <v/>
      </c>
      <c r="Y106">
        <f>HYPERLINK("https://klasma.github.io/Logging_2085/kartor_geotiff/A 17987-2025 georefererad karta.tif", "A 17987-2025")</f>
        <v/>
      </c>
      <c r="AA106">
        <f>HYPERLINK("https://klasma.github.io/Logging_2085/klagomål/A 17987-2025 FSC-klagomål.docx", "A 17987-2025")</f>
        <v/>
      </c>
      <c r="AB106">
        <f>HYPERLINK("https://klasma.github.io/Logging_2085/klagomålsmail/A 17987-2025 FSC-klagomål mail.docx", "A 17987-2025")</f>
        <v/>
      </c>
      <c r="AC106">
        <f>HYPERLINK("https://klasma.github.io/Logging_2085/tillsyn/A 17987-2025 tillsynsbegäran.docx", "A 17987-2025")</f>
        <v/>
      </c>
      <c r="AD106">
        <f>HYPERLINK("https://klasma.github.io/Logging_2085/tillsynsmail/A 17987-2025 tillsynsbegäran mail.docx", "A 17987-2025")</f>
        <v/>
      </c>
      <c r="AE106">
        <f>HYPERLINK("https://klasma.github.io/Logging_2085/fåglar/A 17987-2025 prioriterade fågelarter.docx", "A 17987-2025")</f>
        <v/>
      </c>
    </row>
    <row r="107" ht="15" customHeight="1">
      <c r="A107" t="inlineStr">
        <is>
          <t>A 21499-2022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46256</v>
      </c>
      <c r="F107" t="inlineStr">
        <is>
          <t>DALARNAS LÄN</t>
        </is>
      </c>
      <c r="G107" t="inlineStr">
        <is>
          <t>LUDVIKA</t>
        </is>
      </c>
      <c r="I107" t="n">
        <v>4.3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Strimspindling</t>
        </is>
      </c>
      <c r="W107">
        <f>HYPERLINK("https://klasma.github.io/Logging_2085/artfynd/A 21499-2022 artfynd.xlsx", "A 21499-2022")</f>
        <v/>
      </c>
      <c r="X107">
        <f>HYPERLINK("https://klasma.github.io/Logging_2085/kartor/A 21499-2022 karta.png", "A 21499-2022")</f>
        <v/>
      </c>
      <c r="Y107">
        <f>HYPERLINK("https://klasma.github.io/Logging_2085/kartor_geotiff/A 21499-2022 georefererad karta.tif", "A 21499-2022")</f>
        <v/>
      </c>
      <c r="AA107">
        <f>HYPERLINK("https://klasma.github.io/Logging_2085/klagomål/A 21499-2022 FSC-klagomål.docx", "A 21499-2022")</f>
        <v/>
      </c>
      <c r="AB107">
        <f>HYPERLINK("https://klasma.github.io/Logging_2085/klagomålsmail/A 21499-2022 FSC-klagomål mail.docx", "A 21499-2022")</f>
        <v/>
      </c>
      <c r="AC107">
        <f>HYPERLINK("https://klasma.github.io/Logging_2085/tillsyn/A 21499-2022 tillsynsbegäran.docx", "A 21499-2022")</f>
        <v/>
      </c>
      <c r="AD107">
        <f>HYPERLINK("https://klasma.github.io/Logging_2085/tillsynsmail/A 21499-2022 tillsynsbegäran mail.docx", "A 21499-2022")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46256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29733-2025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46256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10.4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HYPERLINK("https://klasma.github.io/Logging_2085/artfynd/A 29733-2025 artfynd.xlsx", "A 29733-2025")</f>
        <v/>
      </c>
      <c r="X109">
        <f>HYPERLINK("https://klasma.github.io/Logging_2085/kartor/A 29733-2025 karta.png", "A 29733-2025")</f>
        <v/>
      </c>
      <c r="Y109">
        <f>HYPERLINK("https://klasma.github.io/Logging_2085/kartor_geotiff/A 29733-2025 georefererad karta.tif", "A 29733-2025")</f>
        <v/>
      </c>
      <c r="AA109">
        <f>HYPERLINK("https://klasma.github.io/Logging_2085/klagomål/A 29733-2025 FSC-klagomål.docx", "A 29733-2025")</f>
        <v/>
      </c>
      <c r="AB109">
        <f>HYPERLINK("https://klasma.github.io/Logging_2085/klagomålsmail/A 29733-2025 FSC-klagomål mail.docx", "A 29733-2025")</f>
        <v/>
      </c>
      <c r="AC109">
        <f>HYPERLINK("https://klasma.github.io/Logging_2085/tillsyn/A 29733-2025 tillsynsbegäran.docx", "A 29733-2025")</f>
        <v/>
      </c>
      <c r="AD109">
        <f>HYPERLINK("https://klasma.github.io/Logging_2085/tillsynsmail/A 29733-2025 tillsynsbegäran mail.docx", "A 29733-2025")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46256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46256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400-2023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46256</v>
      </c>
      <c r="F112" t="inlineStr">
        <is>
          <t>DALARNAS LÄN</t>
        </is>
      </c>
      <c r="G112" t="inlineStr">
        <is>
          <t>LUDVIKA</t>
        </is>
      </c>
      <c r="I112" t="n">
        <v>3.6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400-2023 artfynd.xlsx", "A 400-2023")</f>
        <v/>
      </c>
      <c r="X112">
        <f>HYPERLINK("https://klasma.github.io/Logging_2085/kartor/A 400-2023 karta.png", "A 400-2023")</f>
        <v/>
      </c>
      <c r="Y112">
        <f>HYPERLINK("https://klasma.github.io/Logging_2085/kartor_geotiff/A 400-2023 georefererad karta.tif", "A 400-2023")</f>
        <v/>
      </c>
      <c r="AA112">
        <f>HYPERLINK("https://klasma.github.io/Logging_2085/klagomål/A 400-2023 FSC-klagomål.docx", "A 400-2023")</f>
        <v/>
      </c>
      <c r="AB112">
        <f>HYPERLINK("https://klasma.github.io/Logging_2085/klagomålsmail/A 400-2023 FSC-klagomål mail.docx", "A 400-2023")</f>
        <v/>
      </c>
      <c r="AC112">
        <f>HYPERLINK("https://klasma.github.io/Logging_2085/tillsyn/A 400-2023 tillsynsbegäran.docx", "A 400-2023")</f>
        <v/>
      </c>
      <c r="AD112">
        <f>HYPERLINK("https://klasma.github.io/Logging_2085/tillsynsmail/A 400-2023 tillsynsbegäran mail.docx", "A 400-2023")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46256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46256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vattensalamander</t>
        </is>
      </c>
      <c r="W114">
        <f>HYPERLINK("https://klasma.github.io/Logging_2085/artfynd/A 33560-2023 artfynd.xlsx", "A 33560-2023")</f>
        <v/>
      </c>
      <c r="X114">
        <f>HYPERLINK("https://klasma.github.io/Logging_2085/kartor/A 33560-2023 karta.png", "A 33560-2023")</f>
        <v/>
      </c>
      <c r="Y114">
        <f>HYPERLINK("https://klasma.github.io/Logging_2085/kartor_geotiff/A 33560-2023 georefererad karta.tif", "A 33560-2023")</f>
        <v/>
      </c>
      <c r="AA114">
        <f>HYPERLINK("https://klasma.github.io/Logging_2085/klagomål/A 33560-2023 FSC-klagomål.docx", "A 33560-2023")</f>
        <v/>
      </c>
      <c r="AB114">
        <f>HYPERLINK("https://klasma.github.io/Logging_2085/klagomålsmail/A 33560-2023 FSC-klagomål mail.docx", "A 33560-2023")</f>
        <v/>
      </c>
      <c r="AC114">
        <f>HYPERLINK("https://klasma.github.io/Logging_2085/tillsyn/A 33560-2023 tillsynsbegäran.docx", "A 33560-2023")</f>
        <v/>
      </c>
      <c r="AD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31478-2023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45114</v>
      </c>
      <c r="E115" s="1" t="n">
        <v>46256</v>
      </c>
      <c r="F115" t="inlineStr">
        <is>
          <t>DALARNAS LÄN</t>
        </is>
      </c>
      <c r="G115" t="inlineStr">
        <is>
          <t>LUDVIKA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HYPERLINK("https://klasma.github.io/Logging_2085/artfynd/A 31478-2023 artfynd.xlsx", "A 31478-2023")</f>
        <v/>
      </c>
      <c r="X115">
        <f>HYPERLINK("https://klasma.github.io/Logging_2085/kartor/A 31478-2023 karta.png", "A 31478-2023")</f>
        <v/>
      </c>
      <c r="Y115">
        <f>HYPERLINK("https://klasma.github.io/Logging_2085/kartor_geotiff/A 31478-2023 georefererad karta.tif", "A 31478-2023")</f>
        <v/>
      </c>
      <c r="AA115">
        <f>HYPERLINK("https://klasma.github.io/Logging_2085/klagomål/A 31478-2023 FSC-klagomål.docx", "A 31478-2023")</f>
        <v/>
      </c>
      <c r="AB115">
        <f>HYPERLINK("https://klasma.github.io/Logging_2085/klagomålsmail/A 31478-2023 FSC-klagomål mail.docx", "A 31478-2023")</f>
        <v/>
      </c>
      <c r="AC115">
        <f>HYPERLINK("https://klasma.github.io/Logging_2085/tillsyn/A 31478-2023 tillsynsbegäran.docx", "A 31478-2023")</f>
        <v/>
      </c>
      <c r="AD115">
        <f>HYPERLINK("https://klasma.github.io/Logging_2085/tillsynsmail/A 31478-2023 tillsynsbegäran mail.docx", "A 31478-2023")</f>
        <v/>
      </c>
    </row>
    <row r="116" ht="15" customHeight="1">
      <c r="A116" t="inlineStr">
        <is>
          <t>A 1237-2026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46256</v>
      </c>
      <c r="F116" t="inlineStr">
        <is>
          <t>DALARNAS LÄN</t>
        </is>
      </c>
      <c r="G116" t="inlineStr">
        <is>
          <t>LUDVIKA</t>
        </is>
      </c>
      <c r="I116" t="n">
        <v>5.9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Fläcknycklar</t>
        </is>
      </c>
      <c r="W116">
        <f>HYPERLINK("https://klasma.github.io/Logging_2085/artfynd/A 1237-2026 artfynd.xlsx", "A 1237-2026")</f>
        <v/>
      </c>
      <c r="X116">
        <f>HYPERLINK("https://klasma.github.io/Logging_2085/kartor/A 1237-2026 karta.png", "A 1237-2026")</f>
        <v/>
      </c>
      <c r="Y116">
        <f>HYPERLINK("https://klasma.github.io/Logging_2085/kartor_geotiff/A 1237-2026 georefererad karta.tif", "A 1237-2026")</f>
        <v/>
      </c>
      <c r="AA116">
        <f>HYPERLINK("https://klasma.github.io/Logging_2085/klagomål/A 1237-2026 FSC-klagomål.docx", "A 1237-2026")</f>
        <v/>
      </c>
      <c r="AB116">
        <f>HYPERLINK("https://klasma.github.io/Logging_2085/klagomålsmail/A 1237-2026 FSC-klagomål mail.docx", "A 1237-2026")</f>
        <v/>
      </c>
      <c r="AC116">
        <f>HYPERLINK("https://klasma.github.io/Logging_2085/tillsyn/A 1237-2026 tillsynsbegäran.docx", "A 1237-2026")</f>
        <v/>
      </c>
      <c r="AD116">
        <f>HYPERLINK("https://klasma.github.io/Logging_2085/tillsynsmail/A 1237-2026 tillsynsbegäran mail.docx", "A 1237-2026")</f>
        <v/>
      </c>
    </row>
    <row r="117" ht="15" customHeight="1">
      <c r="A117" t="inlineStr">
        <is>
          <t>A 25448-2024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45463</v>
      </c>
      <c r="E117" s="1" t="n">
        <v>46256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24.7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Blåsippa</t>
        </is>
      </c>
      <c r="W117">
        <f>HYPERLINK("https://klasma.github.io/Logging_2085/artfynd/A 25448-2024 artfynd.xlsx", "A 25448-2024")</f>
        <v/>
      </c>
      <c r="X117">
        <f>HYPERLINK("https://klasma.github.io/Logging_2085/kartor/A 25448-2024 karta.png", "A 25448-2024")</f>
        <v/>
      </c>
      <c r="Y117">
        <f>HYPERLINK("https://klasma.github.io/Logging_2085/kartor_geotiff/A 25448-2024 georefererad karta.tif", "A 25448-2024")</f>
        <v/>
      </c>
      <c r="AA117">
        <f>HYPERLINK("https://klasma.github.io/Logging_2085/klagomål/A 25448-2024 FSC-klagomål.docx", "A 25448-2024")</f>
        <v/>
      </c>
      <c r="AB117">
        <f>HYPERLINK("https://klasma.github.io/Logging_2085/klagomålsmail/A 25448-2024 FSC-klagomål mail.docx", "A 25448-2024")</f>
        <v/>
      </c>
      <c r="AC117">
        <f>HYPERLINK("https://klasma.github.io/Logging_2085/tillsyn/A 25448-2024 tillsynsbegäran.docx", "A 25448-2024")</f>
        <v/>
      </c>
      <c r="AD117">
        <f>HYPERLINK("https://klasma.github.io/Logging_2085/tillsynsmail/A 25448-2024 tillsynsbegäran mail.docx", "A 25448-2024")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46256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HYPERLINK("https://klasma.github.io/Logging_2085/artfynd/A 59947-2025 artfynd.xlsx", "A 59947-2025")</f>
        <v/>
      </c>
      <c r="X118">
        <f>HYPERLINK("https://klasma.github.io/Logging_2085/kartor/A 59947-2025 karta.png", "A 59947-2025")</f>
        <v/>
      </c>
      <c r="Y118">
        <f>HYPERLINK("https://klasma.github.io/Logging_2085/kartor_geotiff/A 59947-2025 georefererad karta.tif", "A 59947-2025")</f>
        <v/>
      </c>
      <c r="AA118">
        <f>HYPERLINK("https://klasma.github.io/Logging_2085/klagomål/A 59947-2025 FSC-klagomål.docx", "A 59947-2025")</f>
        <v/>
      </c>
      <c r="AB118">
        <f>HYPERLINK("https://klasma.github.io/Logging_2085/klagomålsmail/A 59947-2025 FSC-klagomål mail.docx", "A 59947-2025")</f>
        <v/>
      </c>
      <c r="AC118">
        <f>HYPERLINK("https://klasma.github.io/Logging_2085/tillsyn/A 59947-2025 tillsynsbegäran.docx", "A 59947-2025")</f>
        <v/>
      </c>
      <c r="AD118">
        <f>HYPERLINK("https://klasma.github.io/Logging_2085/tillsynsmail/A 59947-2025 tillsynsbegäran mail.docx", "A 59947-2025")</f>
        <v/>
      </c>
      <c r="AE118">
        <f>HYPERLINK("https://klasma.github.io/Logging_2085/fåglar/A 59947-2025 prioriterade fågelarter.docx", "A 59947-2025")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46256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46256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46256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46256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46256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46256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46256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46256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46256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46256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21880-2026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46256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3.2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21880-2026 artfynd.xlsx", "A 21880-2026")</f>
        <v/>
      </c>
      <c r="X129">
        <f>HYPERLINK("https://klasma.github.io/Logging_2085/kartor/A 21880-2026 karta.png", "A 21880-2026")</f>
        <v/>
      </c>
      <c r="Y129">
        <f>HYPERLINK("https://klasma.github.io/Logging_2085/kartor_geotiff/A 21880-2026 georefererad karta.tif", "A 21880-2026")</f>
        <v/>
      </c>
      <c r="AA129">
        <f>HYPERLINK("https://klasma.github.io/Logging_2085/klagomål/A 21880-2026 FSC-klagomål.docx", "A 21880-2026")</f>
        <v/>
      </c>
      <c r="AB129">
        <f>HYPERLINK("https://klasma.github.io/Logging_2085/klagomålsmail/A 21880-2026 FSC-klagomål mail.docx", "A 21880-2026")</f>
        <v/>
      </c>
      <c r="AC129">
        <f>HYPERLINK("https://klasma.github.io/Logging_2085/tillsyn/A 21880-2026 tillsynsbegäran.docx", "A 21880-2026")</f>
        <v/>
      </c>
      <c r="AD129">
        <f>HYPERLINK("https://klasma.github.io/Logging_2085/tillsynsmail/A 21880-2026 tillsynsbegäran mail.docx", "A 21880-2026")</f>
        <v/>
      </c>
      <c r="AE129">
        <f>HYPERLINK("https://klasma.github.io/Logging_2085/fåglar/A 21880-2026 prioriterade fågelarter.docx", "A 21880-2026")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46256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46256</v>
      </c>
      <c r="F131" t="inlineStr">
        <is>
          <t>DALARNAS LÄN</t>
        </is>
      </c>
      <c r="G131" t="inlineStr">
        <is>
          <t>LUDVIKA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HYPERLINK("https://klasma.github.io/Logging_2085/artfynd/A 23720-2026 artfynd.xlsx", "A 23720-2026")</f>
        <v/>
      </c>
      <c r="X131">
        <f>HYPERLINK("https://klasma.github.io/Logging_2085/kartor/A 23720-2026 karta.png", "A 23720-2026")</f>
        <v/>
      </c>
      <c r="Y131">
        <f>HYPERLINK("https://klasma.github.io/Logging_2085/kartor_geotiff/A 23720-2026 georefererad karta.tif", "A 23720-2026")</f>
        <v/>
      </c>
      <c r="AA131">
        <f>HYPERLINK("https://klasma.github.io/Logging_2085/klagomål/A 23720-2026 FSC-klagomål.docx", "A 23720-2026")</f>
        <v/>
      </c>
      <c r="AB131">
        <f>HYPERLINK("https://klasma.github.io/Logging_2085/klagomålsmail/A 23720-2026 FSC-klagomål mail.docx", "A 23720-2026")</f>
        <v/>
      </c>
      <c r="AC131">
        <f>HYPERLINK("https://klasma.github.io/Logging_2085/tillsyn/A 23720-2026 tillsynsbegäran.docx", "A 23720-2026")</f>
        <v/>
      </c>
      <c r="AD131">
        <f>HYPERLINK("https://klasma.github.io/Logging_2085/tillsynsmail/A 23720-2026 tillsynsbegäran mail.docx", "A 23720-2026")</f>
        <v/>
      </c>
      <c r="AE131">
        <f>HYPERLINK("https://klasma.github.io/Logging_2085/fåglar/A 23720-2026 prioriterade fågelarter.docx", "A 23720-2026")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46256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46256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46256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46256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46256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46256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46256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46256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46256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46256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46256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46256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46256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46256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46256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46256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46256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46256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46256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46256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46256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45800</v>
      </c>
      <c r="E159" s="1" t="n">
        <v>46256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46256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46256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46256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46256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44715</v>
      </c>
      <c r="E164" s="1" t="n">
        <v>46256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46256</v>
      </c>
      <c r="F165" t="inlineStr">
        <is>
          <t>DALARNAS LÄN</t>
        </is>
      </c>
      <c r="G165" t="inlineStr">
        <is>
          <t>LUDVIKA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46256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46256</v>
      </c>
      <c r="F167" t="inlineStr">
        <is>
          <t>DALARNAS LÄN</t>
        </is>
      </c>
      <c r="G167" t="inlineStr">
        <is>
          <t>LUDVIKA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46256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26698-2025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45810</v>
      </c>
      <c r="E169" s="1" t="n">
        <v>46256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46256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46256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44687</v>
      </c>
      <c r="E172" s="1" t="n">
        <v>46256</v>
      </c>
      <c r="F172" t="inlineStr">
        <is>
          <t>DALARNAS LÄN</t>
        </is>
      </c>
      <c r="G172" t="inlineStr">
        <is>
          <t>LUDVIKA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26794-2025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45810</v>
      </c>
      <c r="E173" s="1" t="n">
        <v>46256</v>
      </c>
      <c r="F173" t="inlineStr">
        <is>
          <t>DALARNAS LÄN</t>
        </is>
      </c>
      <c r="G173" t="inlineStr">
        <is>
          <t>LUDVIKA</t>
        </is>
      </c>
      <c r="H173" t="inlineStr">
        <is>
          <t>Kommuner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45810</v>
      </c>
      <c r="E174" s="1" t="n">
        <v>46256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46256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46256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46256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46256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46256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46256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46256</v>
      </c>
      <c r="F181" t="inlineStr">
        <is>
          <t>DALARNAS LÄN</t>
        </is>
      </c>
      <c r="G181" t="inlineStr">
        <is>
          <t>LUDVIKA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46256</v>
      </c>
      <c r="F182" t="inlineStr">
        <is>
          <t>DALARNAS LÄN</t>
        </is>
      </c>
      <c r="G182" t="inlineStr">
        <is>
          <t>LUDVIKA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46256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44789</v>
      </c>
      <c r="E184" s="1" t="n">
        <v>46256</v>
      </c>
      <c r="F184" t="inlineStr">
        <is>
          <t>DALARNAS LÄN</t>
        </is>
      </c>
      <c r="G184" t="inlineStr">
        <is>
          <t>LUDVIKA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46256</v>
      </c>
      <c r="F185" t="inlineStr">
        <is>
          <t>DALARNAS LÄN</t>
        </is>
      </c>
      <c r="G185" t="inlineStr">
        <is>
          <t>LUDVIKA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46256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46256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46256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46256</v>
      </c>
      <c r="F189" t="inlineStr">
        <is>
          <t>DALARNAS LÄN</t>
        </is>
      </c>
      <c r="G189" t="inlineStr">
        <is>
          <t>LUDVIKA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46256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46256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46256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46256</v>
      </c>
      <c r="F193" t="inlineStr">
        <is>
          <t>DALARNAS LÄN</t>
        </is>
      </c>
      <c r="G193" t="inlineStr">
        <is>
          <t>LUDVIKA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46256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46256</v>
      </c>
      <c r="F195" t="inlineStr">
        <is>
          <t>DALARNAS LÄN</t>
        </is>
      </c>
      <c r="G195" t="inlineStr">
        <is>
          <t>LUDVIKA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46256</v>
      </c>
      <c r="F196" t="inlineStr">
        <is>
          <t>DALARNAS LÄN</t>
        </is>
      </c>
      <c r="G196" t="inlineStr">
        <is>
          <t>LUDVIKA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8703-2023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44978</v>
      </c>
      <c r="E197" s="1" t="n">
        <v>46256</v>
      </c>
      <c r="F197" t="inlineStr">
        <is>
          <t>DALARNAS LÄN</t>
        </is>
      </c>
      <c r="G197" t="inlineStr">
        <is>
          <t>LUDVIKA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46256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46256</v>
      </c>
      <c r="F199" t="inlineStr">
        <is>
          <t>DALARNAS LÄN</t>
        </is>
      </c>
      <c r="G199" t="inlineStr">
        <is>
          <t>LUDVIKA</t>
        </is>
      </c>
      <c r="H199" t="inlineStr">
        <is>
          <t>Naturvårdsverket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46256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46256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46256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46256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46256</v>
      </c>
      <c r="F206" t="inlineStr">
        <is>
          <t>DALARNAS LÄN</t>
        </is>
      </c>
      <c r="G206" t="inlineStr">
        <is>
          <t>LUDVIKA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36338-2025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45868</v>
      </c>
      <c r="E207" s="1" t="n">
        <v>46256</v>
      </c>
      <c r="F207" t="inlineStr">
        <is>
          <t>DALARNAS LÄN</t>
        </is>
      </c>
      <c r="G207" t="inlineStr">
        <is>
          <t>LUDVIKA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46256</v>
      </c>
      <c r="F208" t="inlineStr">
        <is>
          <t>DALARNAS LÄN</t>
        </is>
      </c>
      <c r="G208" t="inlineStr">
        <is>
          <t>LUDVIKA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45301</v>
      </c>
      <c r="E209" s="1" t="n">
        <v>46256</v>
      </c>
      <c r="F209" t="inlineStr">
        <is>
          <t>DALARNAS LÄN</t>
        </is>
      </c>
      <c r="G209" t="inlineStr">
        <is>
          <t>LUDVIKA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46256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45297</v>
      </c>
      <c r="E211" s="1" t="n">
        <v>46256</v>
      </c>
      <c r="F211" t="inlineStr">
        <is>
          <t>DALARNAS LÄN</t>
        </is>
      </c>
      <c r="G211" t="inlineStr">
        <is>
          <t>LUDVIKA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44711</v>
      </c>
      <c r="E212" s="1" t="n">
        <v>46256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46256</v>
      </c>
      <c r="F213" t="inlineStr">
        <is>
          <t>DALARNAS LÄN</t>
        </is>
      </c>
      <c r="G213" t="inlineStr">
        <is>
          <t>LUDVIKA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46256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46256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46256</v>
      </c>
      <c r="F217" t="inlineStr">
        <is>
          <t>DALARNAS LÄN</t>
        </is>
      </c>
      <c r="G217" t="inlineStr">
        <is>
          <t>LUDVIKA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46256</v>
      </c>
      <c r="F218" t="inlineStr">
        <is>
          <t>DALARNAS LÄN</t>
        </is>
      </c>
      <c r="G218" t="inlineStr">
        <is>
          <t>LUDVIKA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46256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46256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46256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46256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46256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46256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46256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46256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46256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46256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32277-2024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46256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46256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3277-2024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46256</v>
      </c>
      <c r="F231" t="inlineStr">
        <is>
          <t>DALARNAS LÄN</t>
        </is>
      </c>
      <c r="G231" t="inlineStr">
        <is>
          <t>LUDVIKA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46256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46256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46256</v>
      </c>
      <c r="F234" t="inlineStr">
        <is>
          <t>DALARNAS LÄN</t>
        </is>
      </c>
      <c r="G234" t="inlineStr">
        <is>
          <t>LUDVIKA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46256</v>
      </c>
      <c r="F235" t="inlineStr">
        <is>
          <t>DALARNAS LÄN</t>
        </is>
      </c>
      <c r="G235" t="inlineStr">
        <is>
          <t>LUDVIKA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46256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46256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46256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46256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46256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12497-2024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45379</v>
      </c>
      <c r="E241" s="1" t="n">
        <v>46256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46256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46256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46256</v>
      </c>
      <c r="F244" t="inlineStr">
        <is>
          <t>DALARNAS LÄN</t>
        </is>
      </c>
      <c r="G244" t="inlineStr">
        <is>
          <t>LUDVIKA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45687</v>
      </c>
      <c r="E245" s="1" t="n">
        <v>46256</v>
      </c>
      <c r="F245" t="inlineStr">
        <is>
          <t>DALARNAS LÄN</t>
        </is>
      </c>
      <c r="G245" t="inlineStr">
        <is>
          <t>LUDVIKA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46256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46256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46256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46256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46256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46256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46256</v>
      </c>
      <c r="F252" t="inlineStr">
        <is>
          <t>DALARNAS LÄN</t>
        </is>
      </c>
      <c r="G252" t="inlineStr">
        <is>
          <t>LUDVIKA</t>
        </is>
      </c>
      <c r="H252" t="inlineStr">
        <is>
          <t>Kommuner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46256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46256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46256</v>
      </c>
      <c r="F255" t="inlineStr">
        <is>
          <t>DALARNAS LÄN</t>
        </is>
      </c>
      <c r="G255" t="inlineStr">
        <is>
          <t>LUDVIKA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46256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44844</v>
      </c>
      <c r="E257" s="1" t="n">
        <v>46256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46256</v>
      </c>
      <c r="F258" t="inlineStr">
        <is>
          <t>DALARNAS LÄN</t>
        </is>
      </c>
      <c r="G258" t="inlineStr">
        <is>
          <t>LUDVIKA</t>
        </is>
      </c>
      <c r="H258" t="inlineStr">
        <is>
          <t>Övriga Aktiebolag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46256</v>
      </c>
      <c r="F259" t="inlineStr">
        <is>
          <t>DALARNAS LÄN</t>
        </is>
      </c>
      <c r="G259" t="inlineStr">
        <is>
          <t>LUDVIKA</t>
        </is>
      </c>
      <c r="H259" t="inlineStr">
        <is>
          <t>Övriga Aktiebolag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46256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46256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44852</v>
      </c>
      <c r="E262" s="1" t="n">
        <v>46256</v>
      </c>
      <c r="F262" t="inlineStr">
        <is>
          <t>DALARNAS LÄN</t>
        </is>
      </c>
      <c r="G262" t="inlineStr">
        <is>
          <t>LUDVIKA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46256</v>
      </c>
      <c r="F263" t="inlineStr">
        <is>
          <t>DALARNAS LÄN</t>
        </is>
      </c>
      <c r="G263" t="inlineStr">
        <is>
          <t>LUDVIKA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46256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47496-2022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44853</v>
      </c>
      <c r="E265" s="1" t="n">
        <v>46256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46256</v>
      </c>
      <c r="F266" t="inlineStr">
        <is>
          <t>DALARNAS LÄN</t>
        </is>
      </c>
      <c r="G266" t="inlineStr">
        <is>
          <t>LUDVIKA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46256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46256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46256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46256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46256</v>
      </c>
      <c r="F271" t="inlineStr">
        <is>
          <t>DALARNAS LÄN</t>
        </is>
      </c>
      <c r="G271" t="inlineStr">
        <is>
          <t>LUDVIKA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45568</v>
      </c>
      <c r="E272" s="1" t="n">
        <v>46256</v>
      </c>
      <c r="F272" t="inlineStr">
        <is>
          <t>DALARNAS LÄN</t>
        </is>
      </c>
      <c r="G272" t="inlineStr">
        <is>
          <t>LUDVIKA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46256</v>
      </c>
      <c r="F273" t="inlineStr">
        <is>
          <t>DALARNAS LÄN</t>
        </is>
      </c>
      <c r="G273" t="inlineStr">
        <is>
          <t>LUDVIKA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46256</v>
      </c>
      <c r="F274" t="inlineStr">
        <is>
          <t>DALARNAS LÄN</t>
        </is>
      </c>
      <c r="G274" t="inlineStr">
        <is>
          <t>LUDVIKA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44730</v>
      </c>
      <c r="E275" s="1" t="n">
        <v>46256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45450</v>
      </c>
      <c r="E276" s="1" t="n">
        <v>46256</v>
      </c>
      <c r="F276" t="inlineStr">
        <is>
          <t>DALARNAS LÄN</t>
        </is>
      </c>
      <c r="G276" t="inlineStr">
        <is>
          <t>LUDVIKA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31702-2023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45105</v>
      </c>
      <c r="E277" s="1" t="n">
        <v>46256</v>
      </c>
      <c r="F277" t="inlineStr">
        <is>
          <t>DALARNAS LÄN</t>
        </is>
      </c>
      <c r="G277" t="inlineStr">
        <is>
          <t>LUDVIKA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45043</v>
      </c>
      <c r="E278" s="1" t="n">
        <v>46256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46256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46256</v>
      </c>
      <c r="F280" t="inlineStr">
        <is>
          <t>DALARNAS LÄN</t>
        </is>
      </c>
      <c r="G280" t="inlineStr">
        <is>
          <t>LUDVIKA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46256</v>
      </c>
      <c r="F281" t="inlineStr">
        <is>
          <t>DALARNAS LÄN</t>
        </is>
      </c>
      <c r="G281" t="inlineStr">
        <is>
          <t>LUDVIKA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45399</v>
      </c>
      <c r="E282" s="1" t="n">
        <v>46256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48740-2022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44859</v>
      </c>
      <c r="E283" s="1" t="n">
        <v>46256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46256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46256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46256</v>
      </c>
      <c r="F286" t="inlineStr">
        <is>
          <t>DALARNAS LÄN</t>
        </is>
      </c>
      <c r="G286" t="inlineStr">
        <is>
          <t>LUDVIKA</t>
        </is>
      </c>
      <c r="I286" t="n">
        <v>20.8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46256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46256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52552-2025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45954</v>
      </c>
      <c r="E289" s="1" t="n">
        <v>46256</v>
      </c>
      <c r="F289" t="inlineStr">
        <is>
          <t>DALARNAS LÄN</t>
        </is>
      </c>
      <c r="G289" t="inlineStr">
        <is>
          <t>LUDVIKA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46256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52556-2025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46256</v>
      </c>
      <c r="F292" t="inlineStr">
        <is>
          <t>DALARNAS LÄN</t>
        </is>
      </c>
      <c r="G292" t="inlineStr">
        <is>
          <t>LUDVIKA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46256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46256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52427-2025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46256</v>
      </c>
      <c r="F295" t="inlineStr">
        <is>
          <t>DALARNAS LÄN</t>
        </is>
      </c>
      <c r="G295" t="inlineStr">
        <is>
          <t>LUDVIKA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46256</v>
      </c>
      <c r="F296" t="inlineStr">
        <is>
          <t>DALARNAS LÄN</t>
        </is>
      </c>
      <c r="G296" t="inlineStr">
        <is>
          <t>LUDVIKA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46256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46256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46256</v>
      </c>
      <c r="F299" t="inlineStr">
        <is>
          <t>DALARNAS LÄN</t>
        </is>
      </c>
      <c r="G299" t="inlineStr">
        <is>
          <t>LUDVIKA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46256</v>
      </c>
      <c r="F300" t="inlineStr">
        <is>
          <t>DALARNAS LÄN</t>
        </is>
      </c>
      <c r="G300" t="inlineStr">
        <is>
          <t>LUDVIKA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46256</v>
      </c>
      <c r="F301" t="inlineStr">
        <is>
          <t>DALARNAS LÄN</t>
        </is>
      </c>
      <c r="G301" t="inlineStr">
        <is>
          <t>LUDVIKA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34067-2025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45845</v>
      </c>
      <c r="E302" s="1" t="n">
        <v>46256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45754</v>
      </c>
      <c r="E303" s="1" t="n">
        <v>46256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46256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59050-2022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44903</v>
      </c>
      <c r="E305" s="1" t="n">
        <v>46256</v>
      </c>
      <c r="F305" t="inlineStr">
        <is>
          <t>DALARNAS LÄN</t>
        </is>
      </c>
      <c r="G305" t="inlineStr">
        <is>
          <t>LUDVIKA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45579</v>
      </c>
      <c r="E306" s="1" t="n">
        <v>46256</v>
      </c>
      <c r="F306" t="inlineStr">
        <is>
          <t>DALARNAS LÄN</t>
        </is>
      </c>
      <c r="G306" t="inlineStr">
        <is>
          <t>LUDVIKA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45579</v>
      </c>
      <c r="E307" s="1" t="n">
        <v>46256</v>
      </c>
      <c r="F307" t="inlineStr">
        <is>
          <t>DALARNAS LÄN</t>
        </is>
      </c>
      <c r="G307" t="inlineStr">
        <is>
          <t>LUDVIKA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45502</v>
      </c>
      <c r="E308" s="1" t="n">
        <v>46256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46256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45965</v>
      </c>
      <c r="E310" s="1" t="n">
        <v>46256</v>
      </c>
      <c r="F310" t="inlineStr">
        <is>
          <t>DALARNAS LÄN</t>
        </is>
      </c>
      <c r="G310" t="inlineStr">
        <is>
          <t>LUDVIKA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46256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46256</v>
      </c>
      <c r="F312" t="inlineStr">
        <is>
          <t>DALARNAS LÄN</t>
        </is>
      </c>
      <c r="G312" t="inlineStr">
        <is>
          <t>LUDVIKA</t>
        </is>
      </c>
      <c r="H312" t="inlineStr">
        <is>
          <t>Naturvårdsverket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46256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45963</v>
      </c>
      <c r="E314" s="1" t="n">
        <v>46256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46256</v>
      </c>
      <c r="F315" t="inlineStr">
        <is>
          <t>DALARNAS LÄN</t>
        </is>
      </c>
      <c r="G315" t="inlineStr">
        <is>
          <t>LUDVIKA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46256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46256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46256</v>
      </c>
      <c r="F318" t="inlineStr">
        <is>
          <t>DALARNAS LÄN</t>
        </is>
      </c>
      <c r="G318" t="inlineStr">
        <is>
          <t>LUDVIKA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46256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46256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46256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46256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46256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46256</v>
      </c>
      <c r="F325" t="inlineStr">
        <is>
          <t>DALARNAS LÄN</t>
        </is>
      </c>
      <c r="G325" t="inlineStr">
        <is>
          <t>LUDVIKA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46256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46256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46256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46256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46256</v>
      </c>
      <c r="F331" t="inlineStr">
        <is>
          <t>DALARNAS LÄN</t>
        </is>
      </c>
      <c r="G331" t="inlineStr">
        <is>
          <t>LUDVIKA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46256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46256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46256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44859</v>
      </c>
      <c r="E336" s="1" t="n">
        <v>46256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46256</v>
      </c>
      <c r="F337" t="inlineStr">
        <is>
          <t>DALARNAS LÄN</t>
        </is>
      </c>
      <c r="G337" t="inlineStr">
        <is>
          <t>LUDVIKA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46256</v>
      </c>
      <c r="F338" t="inlineStr">
        <is>
          <t>DALARNAS LÄN</t>
        </is>
      </c>
      <c r="G338" t="inlineStr">
        <is>
          <t>LUDVIKA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46256</v>
      </c>
      <c r="F339" t="inlineStr">
        <is>
          <t>DALARNAS LÄN</t>
        </is>
      </c>
      <c r="G339" t="inlineStr">
        <is>
          <t>LUDVIKA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46256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46256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46256</v>
      </c>
      <c r="F343" t="inlineStr">
        <is>
          <t>DALARNAS LÄN</t>
        </is>
      </c>
      <c r="G343" t="inlineStr">
        <is>
          <t>LUDVIKA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46256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45849</v>
      </c>
      <c r="E345" s="1" t="n">
        <v>46256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46256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46256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46256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46256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45481</v>
      </c>
      <c r="E350" s="1" t="n">
        <v>46256</v>
      </c>
      <c r="F350" t="inlineStr">
        <is>
          <t>DALARNAS LÄN</t>
        </is>
      </c>
      <c r="G350" t="inlineStr">
        <is>
          <t>LUDVIKA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45411</v>
      </c>
      <c r="E351" s="1" t="n">
        <v>46256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46256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46256</v>
      </c>
      <c r="F353" t="inlineStr">
        <is>
          <t>DALARNAS LÄN</t>
        </is>
      </c>
      <c r="G353" t="inlineStr">
        <is>
          <t>LUDVIKA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46256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46256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46256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46256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46256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46256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44771</v>
      </c>
      <c r="E361" s="1" t="n">
        <v>46256</v>
      </c>
      <c r="F361" t="inlineStr">
        <is>
          <t>DALARNAS LÄN</t>
        </is>
      </c>
      <c r="G361" t="inlineStr">
        <is>
          <t>LUDVIKA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46256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46256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46256</v>
      </c>
      <c r="F364" t="inlineStr">
        <is>
          <t>DALARNAS LÄN</t>
        </is>
      </c>
      <c r="G364" t="inlineStr">
        <is>
          <t>LUDVIKA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46256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46256</v>
      </c>
      <c r="F366" t="inlineStr">
        <is>
          <t>DALARNAS LÄN</t>
        </is>
      </c>
      <c r="G366" t="inlineStr">
        <is>
          <t>LUDVIKA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46256</v>
      </c>
      <c r="F367" t="inlineStr">
        <is>
          <t>DALARNAS LÄN</t>
        </is>
      </c>
      <c r="G367" t="inlineStr">
        <is>
          <t>LUDVIKA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44890</v>
      </c>
      <c r="E368" s="1" t="n">
        <v>46256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46256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46256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46256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46256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46256</v>
      </c>
      <c r="F373" t="inlineStr">
        <is>
          <t>DALARNAS LÄN</t>
        </is>
      </c>
      <c r="G373" t="inlineStr">
        <is>
          <t>LUDVIKA</t>
        </is>
      </c>
      <c r="H373" t="inlineStr">
        <is>
          <t>Sveaskog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46256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46256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46256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46256</v>
      </c>
      <c r="F377" t="inlineStr">
        <is>
          <t>DALARNAS LÄN</t>
        </is>
      </c>
      <c r="G377" t="inlineStr">
        <is>
          <t>LUDVIKA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46256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46256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46256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46256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65195-2021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46256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46256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46256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46256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45765</v>
      </c>
      <c r="E390" s="1" t="n">
        <v>46256</v>
      </c>
      <c r="F390" t="inlineStr">
        <is>
          <t>DALARNAS LÄN</t>
        </is>
      </c>
      <c r="G390" t="inlineStr">
        <is>
          <t>LUDVIKA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46256</v>
      </c>
      <c r="F391" t="inlineStr">
        <is>
          <t>DALARNAS LÄN</t>
        </is>
      </c>
      <c r="G391" t="inlineStr">
        <is>
          <t>LUDVIKA</t>
        </is>
      </c>
      <c r="H391" t="inlineStr">
        <is>
          <t>Naturvårdsverket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46256</v>
      </c>
      <c r="F392" t="inlineStr">
        <is>
          <t>DALARNAS LÄN</t>
        </is>
      </c>
      <c r="G392" t="inlineStr">
        <is>
          <t>LUDVIKA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46256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46256</v>
      </c>
      <c r="F394" t="inlineStr">
        <is>
          <t>DALARNAS LÄN</t>
        </is>
      </c>
      <c r="G394" t="inlineStr">
        <is>
          <t>LUDVIKA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46256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46256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45502</v>
      </c>
      <c r="E397" s="1" t="n">
        <v>46256</v>
      </c>
      <c r="F397" t="inlineStr">
        <is>
          <t>DALARNAS LÄN</t>
        </is>
      </c>
      <c r="G397" t="inlineStr">
        <is>
          <t>LUDVIKA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46256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46009</v>
      </c>
      <c r="E399" s="1" t="n">
        <v>46256</v>
      </c>
      <c r="F399" t="inlineStr">
        <is>
          <t>DALARNAS LÄN</t>
        </is>
      </c>
      <c r="G399" t="inlineStr">
        <is>
          <t>LUDVIKA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62845-2025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46256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46256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62838-2025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46256</v>
      </c>
      <c r="F403" t="inlineStr">
        <is>
          <t>DALARNAS LÄN</t>
        </is>
      </c>
      <c r="G403" t="inlineStr">
        <is>
          <t>LUDVIKA</t>
        </is>
      </c>
      <c r="H403" t="inlineStr">
        <is>
          <t>Övriga Aktiebolag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46256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46256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46256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46256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45832</v>
      </c>
      <c r="E409" s="1" t="n">
        <v>46256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45840</v>
      </c>
      <c r="E410" s="1" t="n">
        <v>46256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46256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44476</v>
      </c>
      <c r="E413" s="1" t="n">
        <v>46256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44680</v>
      </c>
      <c r="E414" s="1" t="n">
        <v>46256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46256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46256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46256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45761</v>
      </c>
      <c r="E419" s="1" t="n">
        <v>46256</v>
      </c>
      <c r="F419" t="inlineStr">
        <is>
          <t>DALARNAS LÄN</t>
        </is>
      </c>
      <c r="G419" t="inlineStr">
        <is>
          <t>LUDVIKA</t>
        </is>
      </c>
      <c r="H419" t="inlineStr">
        <is>
          <t>Naturvårdsverket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46256</v>
      </c>
      <c r="F420" t="inlineStr">
        <is>
          <t>DALARNAS LÄN</t>
        </is>
      </c>
      <c r="G420" t="inlineStr">
        <is>
          <t>LUDVIKA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46256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46256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46256</v>
      </c>
      <c r="F423" t="inlineStr">
        <is>
          <t>DALARNAS LÄN</t>
        </is>
      </c>
      <c r="G423" t="inlineStr">
        <is>
          <t>LUDVIKA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45208</v>
      </c>
      <c r="E424" s="1" t="n">
        <v>46256</v>
      </c>
      <c r="F424" t="inlineStr">
        <is>
          <t>DALARNAS LÄN</t>
        </is>
      </c>
      <c r="G424" t="inlineStr">
        <is>
          <t>LUDVIKA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46256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46256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46256</v>
      </c>
      <c r="F427" t="inlineStr">
        <is>
          <t>DALARNAS LÄN</t>
        </is>
      </c>
      <c r="G427" t="inlineStr">
        <is>
          <t>LUDVIKA</t>
        </is>
      </c>
      <c r="I427" t="n">
        <v>12.7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45119</v>
      </c>
      <c r="E428" s="1" t="n">
        <v>46256</v>
      </c>
      <c r="F428" t="inlineStr">
        <is>
          <t>DALARNAS LÄN</t>
        </is>
      </c>
      <c r="G428" t="inlineStr">
        <is>
          <t>LUDVIKA</t>
        </is>
      </c>
      <c r="H428" t="inlineStr">
        <is>
          <t>Naturvårdsverket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46256</v>
      </c>
      <c r="F429" t="inlineStr">
        <is>
          <t>DALARNAS LÄN</t>
        </is>
      </c>
      <c r="G429" t="inlineStr">
        <is>
          <t>LUDVIKA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46256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34845-2024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45526</v>
      </c>
      <c r="E431" s="1" t="n">
        <v>46256</v>
      </c>
      <c r="F431" t="inlineStr">
        <is>
          <t>DALARNAS LÄN</t>
        </is>
      </c>
      <c r="G431" t="inlineStr">
        <is>
          <t>LUDVIKA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44730</v>
      </c>
      <c r="E432" s="1" t="n">
        <v>46256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49035-2024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45594</v>
      </c>
      <c r="E434" s="1" t="n">
        <v>46256</v>
      </c>
      <c r="F434" t="inlineStr">
        <is>
          <t>DALARNAS LÄN</t>
        </is>
      </c>
      <c r="G434" t="inlineStr">
        <is>
          <t>LUDVIKA</t>
        </is>
      </c>
      <c r="H434" t="inlineStr">
        <is>
          <t>Naturvårdsverket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44916</v>
      </c>
      <c r="E435" s="1" t="n">
        <v>46256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45373</v>
      </c>
      <c r="E436" s="1" t="n">
        <v>46256</v>
      </c>
      <c r="F436" t="inlineStr">
        <is>
          <t>DALARNAS LÄN</t>
        </is>
      </c>
      <c r="G436" t="inlineStr">
        <is>
          <t>LUDVIKA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46256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49114-2023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46256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46256</v>
      </c>
      <c r="F439" t="inlineStr">
        <is>
          <t>DALARNAS LÄN</t>
        </is>
      </c>
      <c r="G439" t="inlineStr">
        <is>
          <t>LUDVIKA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18187-2025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45761</v>
      </c>
      <c r="E440" s="1" t="n">
        <v>46256</v>
      </c>
      <c r="F440" t="inlineStr">
        <is>
          <t>DALARNAS LÄN</t>
        </is>
      </c>
      <c r="G440" t="inlineStr">
        <is>
          <t>LUDVIKA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45512</v>
      </c>
      <c r="E441" s="1" t="n">
        <v>46256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46256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46256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46256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46256</v>
      </c>
      <c r="F445" t="inlineStr">
        <is>
          <t>DALARNAS LÄN</t>
        </is>
      </c>
      <c r="G445" t="inlineStr">
        <is>
          <t>LUDVIKA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46256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44915</v>
      </c>
      <c r="E447" s="1" t="n">
        <v>46256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45485</v>
      </c>
      <c r="E448" s="1" t="n">
        <v>46256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46256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43115-2021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46256</v>
      </c>
      <c r="F450" t="inlineStr">
        <is>
          <t>DALARNAS LÄN</t>
        </is>
      </c>
      <c r="G450" t="inlineStr">
        <is>
          <t>LUDVIKA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46256</v>
      </c>
      <c r="F452" t="inlineStr">
        <is>
          <t>DALARNAS LÄN</t>
        </is>
      </c>
      <c r="G452" t="inlineStr">
        <is>
          <t>LUDVIKA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46256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46256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45621</v>
      </c>
      <c r="E455" s="1" t="n">
        <v>46256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44942</v>
      </c>
      <c r="E456" s="1" t="n">
        <v>46256</v>
      </c>
      <c r="F456" t="inlineStr">
        <is>
          <t>DALARNAS LÄN</t>
        </is>
      </c>
      <c r="G456" t="inlineStr">
        <is>
          <t>LUDVIKA</t>
        </is>
      </c>
      <c r="I456" t="n">
        <v>13.1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46256</v>
      </c>
      <c r="F457" t="inlineStr">
        <is>
          <t>DALARNAS LÄN</t>
        </is>
      </c>
      <c r="G457" t="inlineStr">
        <is>
          <t>LUDVIKA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46217</v>
      </c>
      <c r="E458" s="1" t="n">
        <v>46256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46256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45537</v>
      </c>
      <c r="E460" s="1" t="n">
        <v>46256</v>
      </c>
      <c r="F460" t="inlineStr">
        <is>
          <t>DALARNAS LÄN</t>
        </is>
      </c>
      <c r="G460" t="inlineStr">
        <is>
          <t>LUDVIKA</t>
        </is>
      </c>
      <c r="H460" t="inlineStr">
        <is>
          <t>Övriga Aktiebolag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46171</v>
      </c>
      <c r="E461" s="1" t="n">
        <v>46256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56615-2025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45975</v>
      </c>
      <c r="E462" s="1" t="n">
        <v>46256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46256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46256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46256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25320-2026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46256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46218</v>
      </c>
      <c r="E468" s="1" t="n">
        <v>46256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46256</v>
      </c>
      <c r="F469" t="inlineStr">
        <is>
          <t>DALARNAS LÄN</t>
        </is>
      </c>
      <c r="G469" t="inlineStr">
        <is>
          <t>LUDVIKA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46256</v>
      </c>
      <c r="F470" t="inlineStr">
        <is>
          <t>DALARNAS LÄN</t>
        </is>
      </c>
      <c r="G470" t="inlineStr">
        <is>
          <t>LUDVIKA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46256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46256</v>
      </c>
      <c r="F472" t="inlineStr">
        <is>
          <t>DALARNAS LÄN</t>
        </is>
      </c>
      <c r="G472" t="inlineStr">
        <is>
          <t>LUDVIKA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46256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46256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46256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46256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46256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46256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46256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44599</v>
      </c>
      <c r="E480" s="1" t="n">
        <v>46256</v>
      </c>
      <c r="F480" t="inlineStr">
        <is>
          <t>DALARNAS LÄN</t>
        </is>
      </c>
      <c r="G480" t="inlineStr">
        <is>
          <t>LUDVIKA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46220</v>
      </c>
      <c r="E481" s="1" t="n">
        <v>46256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45938</v>
      </c>
      <c r="E482" s="1" t="n">
        <v>46256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46256</v>
      </c>
      <c r="F483" t="inlineStr">
        <is>
          <t>DALARNAS LÄN</t>
        </is>
      </c>
      <c r="G483" t="inlineStr">
        <is>
          <t>LUDVIKA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46256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46256</v>
      </c>
      <c r="F485" t="inlineStr">
        <is>
          <t>DALARNAS LÄN</t>
        </is>
      </c>
      <c r="G485" t="inlineStr">
        <is>
          <t>LUDVIKA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46256</v>
      </c>
      <c r="F486" t="inlineStr">
        <is>
          <t>DALARNAS LÄN</t>
        </is>
      </c>
      <c r="G486" t="inlineStr">
        <is>
          <t>LUDVIKA</t>
        </is>
      </c>
      <c r="H486" t="inlineStr">
        <is>
          <t>Övriga Aktiebolag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46256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46183</v>
      </c>
      <c r="E488" s="1" t="n">
        <v>46256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46230</v>
      </c>
      <c r="E489" s="1" t="n">
        <v>46256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46256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46256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53620-2022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44879</v>
      </c>
      <c r="E492" s="1" t="n">
        <v>46256</v>
      </c>
      <c r="F492" t="inlineStr">
        <is>
          <t>DALARNAS LÄN</t>
        </is>
      </c>
      <c r="G492" t="inlineStr">
        <is>
          <t>LUDVIKA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46230</v>
      </c>
      <c r="E493" s="1" t="n">
        <v>46256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46256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46256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46256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46233</v>
      </c>
      <c r="E497" s="1" t="n">
        <v>46256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46256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46256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46256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46256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46256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46256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46256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46256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46256</v>
      </c>
      <c r="F509" t="inlineStr">
        <is>
          <t>DALARNAS LÄN</t>
        </is>
      </c>
      <c r="G509" t="inlineStr">
        <is>
          <t>LUDVIKA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46256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46256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45062</v>
      </c>
      <c r="E513" s="1" t="n">
        <v>46256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46256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46256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45404</v>
      </c>
      <c r="E516" s="1" t="n">
        <v>46256</v>
      </c>
      <c r="F516" t="inlineStr">
        <is>
          <t>DALARNAS LÄN</t>
        </is>
      </c>
      <c r="G516" t="inlineStr">
        <is>
          <t>LUDVIKA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41400-2022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44826</v>
      </c>
      <c r="E517" s="1" t="n">
        <v>46256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46256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46241</v>
      </c>
      <c r="E520" s="1" t="n">
        <v>46256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46256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46256</v>
      </c>
      <c r="F522" t="inlineStr">
        <is>
          <t>DALARNAS LÄN</t>
        </is>
      </c>
      <c r="G522" t="inlineStr">
        <is>
          <t>LUDVIKA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46256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46256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46119</v>
      </c>
      <c r="E525" s="1" t="n">
        <v>46256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19.8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46256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46256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46256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46256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46256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46256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45156</v>
      </c>
      <c r="E532" s="1" t="n">
        <v>46256</v>
      </c>
      <c r="F532" t="inlineStr">
        <is>
          <t>DALARNAS LÄN</t>
        </is>
      </c>
      <c r="G532" t="inlineStr">
        <is>
          <t>LUDVIKA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46256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46256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46256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46256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9.9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46256</v>
      </c>
      <c r="F539" t="inlineStr">
        <is>
          <t>DALARNAS LÄN</t>
        </is>
      </c>
      <c r="G539" t="inlineStr">
        <is>
          <t>LUDVIKA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46256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46256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46256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46256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46256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11436-2024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45372</v>
      </c>
      <c r="E546" s="1" t="n">
        <v>46256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46256</v>
      </c>
      <c r="F547" t="inlineStr">
        <is>
          <t>DALARNAS LÄN</t>
        </is>
      </c>
      <c r="G547" t="inlineStr">
        <is>
          <t>LUDVIKA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44820</v>
      </c>
      <c r="E548" s="1" t="n">
        <v>46256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40151-2022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46256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21741-2022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44708</v>
      </c>
      <c r="E550" s="1" t="n">
        <v>46256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46256</v>
      </c>
      <c r="F551" t="inlineStr">
        <is>
          <t>DALARNAS LÄN</t>
        </is>
      </c>
      <c r="G551" t="inlineStr">
        <is>
          <t>LUDVIKA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46256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46256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44459</v>
      </c>
      <c r="E554" s="1" t="n">
        <v>46256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45960</v>
      </c>
      <c r="E555" s="1" t="n">
        <v>46256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46256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46256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46256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46256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46256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46256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46256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46256</v>
      </c>
      <c r="F564" t="inlineStr">
        <is>
          <t>DALARNAS LÄN</t>
        </is>
      </c>
      <c r="G564" t="inlineStr">
        <is>
          <t>LUDVIKA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46256</v>
      </c>
      <c r="F565" t="inlineStr">
        <is>
          <t>DALARNAS LÄN</t>
        </is>
      </c>
      <c r="G565" t="inlineStr">
        <is>
          <t>LUDVIKA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46256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45519</v>
      </c>
      <c r="E568" s="1" t="n">
        <v>46256</v>
      </c>
      <c r="F568" t="inlineStr">
        <is>
          <t>DALARNAS LÄN</t>
        </is>
      </c>
      <c r="G568" t="inlineStr">
        <is>
          <t>LUDVIKA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46256</v>
      </c>
      <c r="F569" t="inlineStr">
        <is>
          <t>DALARNAS LÄN</t>
        </is>
      </c>
      <c r="G569" t="inlineStr">
        <is>
          <t>LUDVIKA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46256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55151-2025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46256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46256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46256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45531</v>
      </c>
      <c r="E574" s="1" t="n">
        <v>46256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46256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45317</v>
      </c>
      <c r="E576" s="1" t="n">
        <v>46256</v>
      </c>
      <c r="F576" t="inlineStr">
        <is>
          <t>DALARNAS LÄN</t>
        </is>
      </c>
      <c r="G576" t="inlineStr">
        <is>
          <t>LUDVIKA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46256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3470-2025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45680</v>
      </c>
      <c r="E578" s="1" t="n">
        <v>46256</v>
      </c>
      <c r="F578" t="inlineStr">
        <is>
          <t>DALARNAS LÄN</t>
        </is>
      </c>
      <c r="G578" t="inlineStr">
        <is>
          <t>LUDVIKA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46256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48288-2023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46256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46256</v>
      </c>
      <c r="F581" t="inlineStr">
        <is>
          <t>DALARNAS LÄN</t>
        </is>
      </c>
      <c r="G581" t="inlineStr">
        <is>
          <t>LUDVIKA</t>
        </is>
      </c>
      <c r="I581" t="n">
        <v>9.800000000000001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46256</v>
      </c>
      <c r="F582" t="inlineStr">
        <is>
          <t>DALARNAS LÄN</t>
        </is>
      </c>
      <c r="G582" t="inlineStr">
        <is>
          <t>LUDVIKA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2838-2022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44581</v>
      </c>
      <c r="E583" s="1" t="n">
        <v>46256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46256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46256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40125-2024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45554</v>
      </c>
      <c r="E587" s="1" t="n">
        <v>46256</v>
      </c>
      <c r="F587" t="inlineStr">
        <is>
          <t>DALARNAS LÄN</t>
        </is>
      </c>
      <c r="G587" t="inlineStr">
        <is>
          <t>LUDVIKA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45253</v>
      </c>
      <c r="E588" s="1" t="n">
        <v>46256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46256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46253</v>
      </c>
      <c r="E590" s="1" t="n">
        <v>46256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46256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46256</v>
      </c>
      <c r="F592" t="inlineStr">
        <is>
          <t>DALARNAS LÄN</t>
        </is>
      </c>
      <c r="G592" t="inlineStr">
        <is>
          <t>LUDVIKA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46256</v>
      </c>
      <c r="F593" t="inlineStr">
        <is>
          <t>DALARNAS LÄN</t>
        </is>
      </c>
      <c r="G593" t="inlineStr">
        <is>
          <t>LUDVIKA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45860</v>
      </c>
      <c r="E594" s="1" t="n">
        <v>46256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46256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46256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46256</v>
      </c>
      <c r="F597" t="inlineStr">
        <is>
          <t>DALARNAS LÄN</t>
        </is>
      </c>
      <c r="G597" t="inlineStr">
        <is>
          <t>LUDVIKA</t>
        </is>
      </c>
      <c r="H597" t="inlineStr">
        <is>
          <t>Kommuner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46195</v>
      </c>
      <c r="E598" s="1" t="n">
        <v>46256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46256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46256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46256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46256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46256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46256</v>
      </c>
      <c r="F605" t="inlineStr">
        <is>
          <t>DALARNAS LÄN</t>
        </is>
      </c>
      <c r="G605" t="inlineStr">
        <is>
          <t>LUDVIKA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46256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46256</v>
      </c>
      <c r="F607" t="inlineStr">
        <is>
          <t>DALARNAS LÄN</t>
        </is>
      </c>
      <c r="G607" t="inlineStr">
        <is>
          <t>LUDVIKA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6975-2023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44967</v>
      </c>
      <c r="E608" s="1" t="n">
        <v>46256</v>
      </c>
      <c r="F608" t="inlineStr">
        <is>
          <t>DALARNAS LÄN</t>
        </is>
      </c>
      <c r="G608" t="inlineStr">
        <is>
          <t>LUDVIKA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46256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46256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34550-2026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46256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52466-2023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45225</v>
      </c>
      <c r="E612" s="1" t="n">
        <v>46256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46256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34638-2026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46256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46256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46256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46256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46256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46256</v>
      </c>
      <c r="F619" t="inlineStr">
        <is>
          <t>DALARNAS LÄN</t>
        </is>
      </c>
      <c r="G619" t="inlineStr">
        <is>
          <t>LUDVIKA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46256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46185-2024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45581</v>
      </c>
      <c r="E621" s="1" t="n">
        <v>46256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37586-2024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45541</v>
      </c>
      <c r="E622" s="1" t="n">
        <v>46256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46256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46256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30844-2024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45497</v>
      </c>
      <c r="E625" s="1" t="n">
        <v>46256</v>
      </c>
      <c r="F625" t="inlineStr">
        <is>
          <t>DALARNAS LÄN</t>
        </is>
      </c>
      <c r="G625" t="inlineStr">
        <is>
          <t>LUDVIKA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20411-2023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45056</v>
      </c>
      <c r="E626" s="1" t="n">
        <v>46256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8728-2026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46256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59347-2024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45638</v>
      </c>
      <c r="E628" s="1" t="n">
        <v>46256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46256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46256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46147</v>
      </c>
      <c r="E632" s="1" t="n">
        <v>46256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50777-2024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46256</v>
      </c>
      <c r="F633" t="inlineStr">
        <is>
          <t>DALARNAS LÄN</t>
        </is>
      </c>
      <c r="G633" t="inlineStr">
        <is>
          <t>LUDVIKA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46256</v>
      </c>
      <c r="F634" t="inlineStr">
        <is>
          <t>DALARNAS LÄN</t>
        </is>
      </c>
      <c r="G634" t="inlineStr">
        <is>
          <t>LUDVIKA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45622</v>
      </c>
      <c r="E635" s="1" t="n">
        <v>46256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55474-2024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46256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55510-2024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45622</v>
      </c>
      <c r="E637" s="1" t="n">
        <v>46256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46256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46256</v>
      </c>
      <c r="F639" t="inlineStr">
        <is>
          <t>DALARNAS LÄN</t>
        </is>
      </c>
      <c r="G639" t="inlineStr">
        <is>
          <t>LUDVIKA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46256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45687</v>
      </c>
      <c r="E641" s="1" t="n">
        <v>46256</v>
      </c>
      <c r="F641" t="inlineStr">
        <is>
          <t>DALARNAS LÄN</t>
        </is>
      </c>
      <c r="G641" t="inlineStr">
        <is>
          <t>LUDVIKA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46256</v>
      </c>
      <c r="F642" t="inlineStr">
        <is>
          <t>DALARNAS LÄN</t>
        </is>
      </c>
      <c r="G642" t="inlineStr">
        <is>
          <t>LUDVIKA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50714-2024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46256</v>
      </c>
      <c r="F643" t="inlineStr">
        <is>
          <t>DALARNAS LÄN</t>
        </is>
      </c>
      <c r="G643" t="inlineStr">
        <is>
          <t>LUDVIKA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46256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21798-2026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46256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22276-2026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46256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46256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46256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45973</v>
      </c>
      <c r="E650" s="1" t="n">
        <v>46256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46256</v>
      </c>
      <c r="F651" t="inlineStr">
        <is>
          <t>DALARNAS LÄN</t>
        </is>
      </c>
      <c r="G651" t="inlineStr">
        <is>
          <t>LUDVIKA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9.800000000000001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46256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46256</v>
      </c>
      <c r="F654" t="inlineStr">
        <is>
          <t>DALARNAS LÄN</t>
        </is>
      </c>
      <c r="G654" t="inlineStr">
        <is>
          <t>LUDVIKA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16843-2026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46113</v>
      </c>
      <c r="E655" s="1" t="n">
        <v>46256</v>
      </c>
      <c r="F655" t="inlineStr">
        <is>
          <t>DALARNAS LÄN</t>
        </is>
      </c>
      <c r="G655" t="inlineStr">
        <is>
          <t>LUDVIKA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46256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46256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46256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46256</v>
      </c>
      <c r="F660" t="inlineStr">
        <is>
          <t>DALARNAS LÄN</t>
        </is>
      </c>
      <c r="G660" t="inlineStr">
        <is>
          <t>LUDVIKA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46256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42421-2024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45565</v>
      </c>
      <c r="E662" s="1" t="n">
        <v>46256</v>
      </c>
      <c r="F662" t="inlineStr">
        <is>
          <t>DALARNAS LÄN</t>
        </is>
      </c>
      <c r="G662" t="inlineStr">
        <is>
          <t>LUDVIKA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53602-2023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45230</v>
      </c>
      <c r="E663" s="1" t="n">
        <v>46256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52359-2024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46256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46256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45134</v>
      </c>
      <c r="E666" s="1" t="n">
        <v>46256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46095-2024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46256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46256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46256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46256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46093-2024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45581</v>
      </c>
      <c r="E672" s="1" t="n">
        <v>46256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45581</v>
      </c>
      <c r="E673" s="1" t="n">
        <v>46256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50240-2024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45600</v>
      </c>
      <c r="E674" s="1" t="n">
        <v>46256</v>
      </c>
      <c r="F674" t="inlineStr">
        <is>
          <t>DALARNAS LÄN</t>
        </is>
      </c>
      <c r="G674" t="inlineStr">
        <is>
          <t>LUDVIKA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46256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45460</v>
      </c>
      <c r="E676" s="1" t="n">
        <v>46256</v>
      </c>
      <c r="F676" t="inlineStr">
        <is>
          <t>DALARNAS LÄN</t>
        </is>
      </c>
      <c r="G676" t="inlineStr">
        <is>
          <t>LUDVIKA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46256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23088-2025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46256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46256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45524</v>
      </c>
      <c r="E680" s="1" t="n">
        <v>46256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45533</v>
      </c>
      <c r="E681" s="1" t="n">
        <v>46256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22850-2025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46256</v>
      </c>
      <c r="F682" t="inlineStr">
        <is>
          <t>DALARNAS LÄN</t>
        </is>
      </c>
      <c r="G682" t="inlineStr">
        <is>
          <t>LUDVIKA</t>
        </is>
      </c>
      <c r="H682" t="inlineStr">
        <is>
          <t>Övriga Aktiebolag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46256</v>
      </c>
      <c r="F683" t="inlineStr">
        <is>
          <t>DALARNAS LÄN</t>
        </is>
      </c>
      <c r="G683" t="inlineStr">
        <is>
          <t>LUDVIKA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46256</v>
      </c>
      <c r="F684" t="inlineStr">
        <is>
          <t>DALARNAS LÄN</t>
        </is>
      </c>
      <c r="G684" t="inlineStr">
        <is>
          <t>LUDVIKA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61278-2022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46256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46256</v>
      </c>
      <c r="F686" t="inlineStr">
        <is>
          <t>DALARNAS LÄN</t>
        </is>
      </c>
      <c r="G686" t="inlineStr">
        <is>
          <t>LUDVIKA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46256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45453</v>
      </c>
      <c r="E688" s="1" t="n">
        <v>46256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37549-2024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46256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46256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46256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46256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46256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45499</v>
      </c>
      <c r="E694" s="1" t="n">
        <v>46256</v>
      </c>
      <c r="F694" t="inlineStr">
        <is>
          <t>DALARNAS LÄN</t>
        </is>
      </c>
      <c r="G694" t="inlineStr">
        <is>
          <t>LUDVIKA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46256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46256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46256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46256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46256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46256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46256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46256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2026-08-22T01:46:07Z</dcterms:created>
  <dcterms:modified xmlns:dcterms="http://purl.org/dc/terms/" xmlns:xsi="http://www.w3.org/2001/XMLSchema-instance" xsi:type="dcterms:W3CDTF">2026-08-22T01:46:07Z</dcterms:modified>
</cp:coreProperties>
</file>
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45934</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45934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45934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45934</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45934</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45934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45934</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45934</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45934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45934</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45934</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45934</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49783-2024</t>
        </is>
      </c>
      <c r="B19" s="1" t="n">
        <v>45597.35666666667</v>
      </c>
      <c r="C19" s="1" t="n">
        <v>45934</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22195-2025</t>
        </is>
      </c>
      <c r="B20" s="1" t="n">
        <v>45785</v>
      </c>
      <c r="C20" s="1" t="n">
        <v>45934</v>
      </c>
      <c r="D20" t="inlineStr">
        <is>
          <t>DALARNAS LÄN</t>
        </is>
      </c>
      <c r="E20" t="inlineStr">
        <is>
          <t>LUDVIKA</t>
        </is>
      </c>
      <c r="G20" t="n">
        <v>7.4</v>
      </c>
      <c r="H20" t="n">
        <v>4</v>
      </c>
      <c r="I20" t="n">
        <v>0</v>
      </c>
      <c r="J20" t="n">
        <v>3</v>
      </c>
      <c r="K20" t="n">
        <v>0</v>
      </c>
      <c r="L20" t="n">
        <v>0</v>
      </c>
      <c r="M20" t="n">
        <v>0</v>
      </c>
      <c r="N20" t="n">
        <v>0</v>
      </c>
      <c r="O20" t="n">
        <v>3</v>
      </c>
      <c r="P20" t="n">
        <v>0</v>
      </c>
      <c r="Q20" t="n">
        <v>4</v>
      </c>
      <c r="R20" s="2" t="inlineStr">
        <is>
          <t>Entita
Spillkråka
Talltita
Tjäder</t>
        </is>
      </c>
      <c r="S20">
        <f>HYPERLINK("https://klasma.github.io/Logging_2085/artfynd/A 22195-2025 artfynd.xlsx", "A 22195-2025")</f>
        <v/>
      </c>
      <c r="T20">
        <f>HYPERLINK("https://klasma.github.io/Logging_2085/kartor/A 22195-2025 karta.png", "A 22195-2025")</f>
        <v/>
      </c>
      <c r="V20">
        <f>HYPERLINK("https://klasma.github.io/Logging_2085/klagomål/A 22195-2025 FSC-klagomål.docx", "A 22195-2025")</f>
        <v/>
      </c>
      <c r="W20">
        <f>HYPERLINK("https://klasma.github.io/Logging_2085/klagomålsmail/A 22195-2025 FSC-klagomål mail.docx", "A 22195-2025")</f>
        <v/>
      </c>
      <c r="X20">
        <f>HYPERLINK("https://klasma.github.io/Logging_2085/tillsyn/A 22195-2025 tillsynsbegäran.docx", "A 22195-2025")</f>
        <v/>
      </c>
      <c r="Y20">
        <f>HYPERLINK("https://klasma.github.io/Logging_2085/tillsynsmail/A 22195-2025 tillsynsbegäran mail.docx", "A 22195-2025")</f>
        <v/>
      </c>
      <c r="Z20">
        <f>HYPERLINK("https://klasma.github.io/Logging_2085/fåglar/A 22195-2025 prioriterade fågelarter.docx", "A 22195-2025")</f>
        <v/>
      </c>
    </row>
    <row r="21" ht="15" customHeight="1">
      <c r="A21" t="inlineStr">
        <is>
          <t>A 23099-2025</t>
        </is>
      </c>
      <c r="B21" s="1" t="n">
        <v>45791.35133101852</v>
      </c>
      <c r="C21" s="1" t="n">
        <v>45934</v>
      </c>
      <c r="D21" t="inlineStr">
        <is>
          <t>DALARNAS LÄN</t>
        </is>
      </c>
      <c r="E21" t="inlineStr">
        <is>
          <t>LUDVIKA</t>
        </is>
      </c>
      <c r="F21" t="inlineStr">
        <is>
          <t>Bergvik skog väst AB</t>
        </is>
      </c>
      <c r="G21" t="n">
        <v>1.5</v>
      </c>
      <c r="H21" t="n">
        <v>0</v>
      </c>
      <c r="I21" t="n">
        <v>3</v>
      </c>
      <c r="J21" t="n">
        <v>1</v>
      </c>
      <c r="K21" t="n">
        <v>0</v>
      </c>
      <c r="L21" t="n">
        <v>0</v>
      </c>
      <c r="M21" t="n">
        <v>0</v>
      </c>
      <c r="N21" t="n">
        <v>0</v>
      </c>
      <c r="O21" t="n">
        <v>1</v>
      </c>
      <c r="P21" t="n">
        <v>0</v>
      </c>
      <c r="Q21" t="n">
        <v>4</v>
      </c>
      <c r="R21" s="2" t="inlineStr">
        <is>
          <t>Vedtrappmossa
Blek stjärnmossa
Guldlockmossa
Platt fjädermossa</t>
        </is>
      </c>
      <c r="S21">
        <f>HYPERLINK("https://klasma.github.io/Logging_2085/artfynd/A 23099-2025 artfynd.xlsx", "A 23099-2025")</f>
        <v/>
      </c>
      <c r="T21">
        <f>HYPERLINK("https://klasma.github.io/Logging_2085/kartor/A 23099-2025 karta.png", "A 23099-2025")</f>
        <v/>
      </c>
      <c r="V21">
        <f>HYPERLINK("https://klasma.github.io/Logging_2085/klagomål/A 23099-2025 FSC-klagomål.docx", "A 23099-2025")</f>
        <v/>
      </c>
      <c r="W21">
        <f>HYPERLINK("https://klasma.github.io/Logging_2085/klagomålsmail/A 23099-2025 FSC-klagomål mail.docx", "A 23099-2025")</f>
        <v/>
      </c>
      <c r="X21">
        <f>HYPERLINK("https://klasma.github.io/Logging_2085/tillsyn/A 23099-2025 tillsynsbegäran.docx", "A 23099-2025")</f>
        <v/>
      </c>
      <c r="Y21">
        <f>HYPERLINK("https://klasma.github.io/Logging_2085/tillsynsmail/A 23099-2025 tillsynsbegäran mail.docx", "A 23099-2025")</f>
        <v/>
      </c>
    </row>
    <row r="22" ht="15" customHeight="1">
      <c r="A22" t="inlineStr">
        <is>
          <t>A 25287-2025</t>
        </is>
      </c>
      <c r="B22" s="1" t="n">
        <v>45800</v>
      </c>
      <c r="C22" s="1" t="n">
        <v>45934</v>
      </c>
      <c r="D22" t="inlineStr">
        <is>
          <t>DALARNAS LÄN</t>
        </is>
      </c>
      <c r="E22" t="inlineStr">
        <is>
          <t>LUDVIKA</t>
        </is>
      </c>
      <c r="F22" t="inlineStr">
        <is>
          <t>Bergvik skog väst AB</t>
        </is>
      </c>
      <c r="G22" t="n">
        <v>8.6</v>
      </c>
      <c r="H22" t="n">
        <v>0</v>
      </c>
      <c r="I22" t="n">
        <v>1</v>
      </c>
      <c r="J22" t="n">
        <v>3</v>
      </c>
      <c r="K22" t="n">
        <v>0</v>
      </c>
      <c r="L22" t="n">
        <v>0</v>
      </c>
      <c r="M22" t="n">
        <v>0</v>
      </c>
      <c r="N22" t="n">
        <v>0</v>
      </c>
      <c r="O22" t="n">
        <v>3</v>
      </c>
      <c r="P22" t="n">
        <v>0</v>
      </c>
      <c r="Q22" t="n">
        <v>4</v>
      </c>
      <c r="R22" s="2" t="inlineStr">
        <is>
          <t>Garnlav
Kolflarnlav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row>
    <row r="23" ht="15" customHeight="1">
      <c r="A23" t="inlineStr">
        <is>
          <t>A 51928-2024</t>
        </is>
      </c>
      <c r="B23" s="1" t="n">
        <v>45607.62311342593</v>
      </c>
      <c r="C23" s="1" t="n">
        <v>45934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42712-2025</t>
        </is>
      </c>
      <c r="B24" s="1" t="n">
        <v>45908</v>
      </c>
      <c r="C24" s="1" t="n">
        <v>45934</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45934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45934</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45934</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45934</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25293-2025</t>
        </is>
      </c>
      <c r="B29" s="1" t="n">
        <v>45800</v>
      </c>
      <c r="C29" s="1" t="n">
        <v>45934</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25448-2024</t>
        </is>
      </c>
      <c r="B30" s="1" t="n">
        <v>45463</v>
      </c>
      <c r="C30" s="1" t="n">
        <v>45934</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33908-2025</t>
        </is>
      </c>
      <c r="B31" s="1" t="n">
        <v>45842</v>
      </c>
      <c r="C31" s="1" t="n">
        <v>45934</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12093-2023</t>
        </is>
      </c>
      <c r="B32" s="1" t="n">
        <v>44998.36106481482</v>
      </c>
      <c r="C32" s="1" t="n">
        <v>45934</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64068-2020</t>
        </is>
      </c>
      <c r="B33" s="1" t="n">
        <v>44167</v>
      </c>
      <c r="C33" s="1" t="n">
        <v>45934</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45934</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45934</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45934</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45934</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11705-2024</t>
        </is>
      </c>
      <c r="B38" s="1" t="n">
        <v>45373.61137731482</v>
      </c>
      <c r="C38" s="1" t="n">
        <v>45934</v>
      </c>
      <c r="D38" t="inlineStr">
        <is>
          <t>DALARNAS LÄN</t>
        </is>
      </c>
      <c r="E38" t="inlineStr">
        <is>
          <t>LUDVIKA</t>
        </is>
      </c>
      <c r="G38" t="n">
        <v>35.4</v>
      </c>
      <c r="H38" t="n">
        <v>0</v>
      </c>
      <c r="I38" t="n">
        <v>0</v>
      </c>
      <c r="J38" t="n">
        <v>1</v>
      </c>
      <c r="K38" t="n">
        <v>0</v>
      </c>
      <c r="L38" t="n">
        <v>0</v>
      </c>
      <c r="M38" t="n">
        <v>0</v>
      </c>
      <c r="N38" t="n">
        <v>0</v>
      </c>
      <c r="O38" t="n">
        <v>1</v>
      </c>
      <c r="P38" t="n">
        <v>0</v>
      </c>
      <c r="Q38" t="n">
        <v>1</v>
      </c>
      <c r="R38" s="2" t="inlineStr">
        <is>
          <t>Brunpudrad nållav</t>
        </is>
      </c>
      <c r="S38">
        <f>HYPERLINK("https://klasma.github.io/Logging_2085/artfynd/A 11705-2024 artfynd.xlsx", "A 11705-2024")</f>
        <v/>
      </c>
      <c r="T38">
        <f>HYPERLINK("https://klasma.github.io/Logging_2085/kartor/A 11705-2024 karta.png", "A 11705-2024")</f>
        <v/>
      </c>
      <c r="V38">
        <f>HYPERLINK("https://klasma.github.io/Logging_2085/klagomål/A 11705-2024 FSC-klagomål.docx", "A 11705-2024")</f>
        <v/>
      </c>
      <c r="W38">
        <f>HYPERLINK("https://klasma.github.io/Logging_2085/klagomålsmail/A 11705-2024 FSC-klagomål mail.docx", "A 11705-2024")</f>
        <v/>
      </c>
      <c r="X38">
        <f>HYPERLINK("https://klasma.github.io/Logging_2085/tillsyn/A 11705-2024 tillsynsbegäran.docx", "A 11705-2024")</f>
        <v/>
      </c>
      <c r="Y38">
        <f>HYPERLINK("https://klasma.github.io/Logging_2085/tillsynsmail/A 11705-2024 tillsynsbegäran mail.docx", "A 11705-2024")</f>
        <v/>
      </c>
    </row>
    <row r="39" ht="15" customHeight="1">
      <c r="A39" t="inlineStr">
        <is>
          <t>A 19717-2022</t>
        </is>
      </c>
      <c r="B39" s="1" t="n">
        <v>44694</v>
      </c>
      <c r="C39" s="1" t="n">
        <v>45934</v>
      </c>
      <c r="D39" t="inlineStr">
        <is>
          <t>DALARNAS LÄN</t>
        </is>
      </c>
      <c r="E39" t="inlineStr">
        <is>
          <t>LUDVIKA</t>
        </is>
      </c>
      <c r="F39" t="inlineStr">
        <is>
          <t>Bergvik skog väst AB</t>
        </is>
      </c>
      <c r="G39" t="n">
        <v>1.1</v>
      </c>
      <c r="H39" t="n">
        <v>0</v>
      </c>
      <c r="I39" t="n">
        <v>1</v>
      </c>
      <c r="J39" t="n">
        <v>0</v>
      </c>
      <c r="K39" t="n">
        <v>0</v>
      </c>
      <c r="L39" t="n">
        <v>0</v>
      </c>
      <c r="M39" t="n">
        <v>0</v>
      </c>
      <c r="N39" t="n">
        <v>0</v>
      </c>
      <c r="O39" t="n">
        <v>0</v>
      </c>
      <c r="P39" t="n">
        <v>0</v>
      </c>
      <c r="Q39" t="n">
        <v>1</v>
      </c>
      <c r="R39" s="2" t="inlineStr">
        <is>
          <t>Vedticka</t>
        </is>
      </c>
      <c r="S39">
        <f>HYPERLINK("https://klasma.github.io/Logging_2085/artfynd/A 19717-2022 artfynd.xlsx", "A 19717-2022")</f>
        <v/>
      </c>
      <c r="T39">
        <f>HYPERLINK("https://klasma.github.io/Logging_2085/kartor/A 19717-2022 karta.png", "A 19717-2022")</f>
        <v/>
      </c>
      <c r="V39">
        <f>HYPERLINK("https://klasma.github.io/Logging_2085/klagomål/A 19717-2022 FSC-klagomål.docx", "A 19717-2022")</f>
        <v/>
      </c>
      <c r="W39">
        <f>HYPERLINK("https://klasma.github.io/Logging_2085/klagomålsmail/A 19717-2022 FSC-klagomål mail.docx", "A 19717-2022")</f>
        <v/>
      </c>
      <c r="X39">
        <f>HYPERLINK("https://klasma.github.io/Logging_2085/tillsyn/A 19717-2022 tillsynsbegäran.docx", "A 19717-2022")</f>
        <v/>
      </c>
      <c r="Y39">
        <f>HYPERLINK("https://klasma.github.io/Logging_2085/tillsynsmail/A 19717-2022 tillsynsbegäran mail.docx", "A 19717-2022")</f>
        <v/>
      </c>
    </row>
    <row r="40" ht="15" customHeight="1">
      <c r="A40" t="inlineStr">
        <is>
          <t>A 43501-2025</t>
        </is>
      </c>
      <c r="B40" s="1" t="n">
        <v>45911</v>
      </c>
      <c r="C40" s="1" t="n">
        <v>45934</v>
      </c>
      <c r="D40" t="inlineStr">
        <is>
          <t>DALARNAS LÄN</t>
        </is>
      </c>
      <c r="E40" t="inlineStr">
        <is>
          <t>LUDVIKA</t>
        </is>
      </c>
      <c r="F40" t="inlineStr">
        <is>
          <t>Bergvik skog väst AB</t>
        </is>
      </c>
      <c r="G40" t="n">
        <v>4.9</v>
      </c>
      <c r="H40" t="n">
        <v>0</v>
      </c>
      <c r="I40" t="n">
        <v>0</v>
      </c>
      <c r="J40" t="n">
        <v>1</v>
      </c>
      <c r="K40" t="n">
        <v>0</v>
      </c>
      <c r="L40" t="n">
        <v>0</v>
      </c>
      <c r="M40" t="n">
        <v>0</v>
      </c>
      <c r="N40" t="n">
        <v>0</v>
      </c>
      <c r="O40" t="n">
        <v>1</v>
      </c>
      <c r="P40" t="n">
        <v>0</v>
      </c>
      <c r="Q40" t="n">
        <v>1</v>
      </c>
      <c r="R40" s="2" t="inlineStr">
        <is>
          <t>Vedskivlav</t>
        </is>
      </c>
      <c r="S40">
        <f>HYPERLINK("https://klasma.github.io/Logging_2085/artfynd/A 43501-2025 artfynd.xlsx", "A 43501-2025")</f>
        <v/>
      </c>
      <c r="T40">
        <f>HYPERLINK("https://klasma.github.io/Logging_2085/kartor/A 43501-2025 karta.png", "A 43501-2025")</f>
        <v/>
      </c>
      <c r="V40">
        <f>HYPERLINK("https://klasma.github.io/Logging_2085/klagomål/A 43501-2025 FSC-klagomål.docx", "A 43501-2025")</f>
        <v/>
      </c>
      <c r="W40">
        <f>HYPERLINK("https://klasma.github.io/Logging_2085/klagomålsmail/A 43501-2025 FSC-klagomål mail.docx", "A 43501-2025")</f>
        <v/>
      </c>
      <c r="X40">
        <f>HYPERLINK("https://klasma.github.io/Logging_2085/tillsyn/A 43501-2025 tillsynsbegäran.docx", "A 43501-2025")</f>
        <v/>
      </c>
      <c r="Y40">
        <f>HYPERLINK("https://klasma.github.io/Logging_2085/tillsynsmail/A 43501-2025 tillsynsbegäran mail.docx", "A 43501-2025")</f>
        <v/>
      </c>
    </row>
    <row r="41" ht="15" customHeight="1">
      <c r="A41" t="inlineStr">
        <is>
          <t>A 17959-2025</t>
        </is>
      </c>
      <c r="B41" s="1" t="n">
        <v>45761</v>
      </c>
      <c r="C41" s="1" t="n">
        <v>45934</v>
      </c>
      <c r="D41" t="inlineStr">
        <is>
          <t>DALARNAS LÄN</t>
        </is>
      </c>
      <c r="E41" t="inlineStr">
        <is>
          <t>LUDVIKA</t>
        </is>
      </c>
      <c r="F41" t="inlineStr">
        <is>
          <t>Bergvik skog väst AB</t>
        </is>
      </c>
      <c r="G41" t="n">
        <v>2.9</v>
      </c>
      <c r="H41" t="n">
        <v>0</v>
      </c>
      <c r="I41" t="n">
        <v>1</v>
      </c>
      <c r="J41" t="n">
        <v>0</v>
      </c>
      <c r="K41" t="n">
        <v>0</v>
      </c>
      <c r="L41" t="n">
        <v>0</v>
      </c>
      <c r="M41" t="n">
        <v>0</v>
      </c>
      <c r="N41" t="n">
        <v>0</v>
      </c>
      <c r="O41" t="n">
        <v>0</v>
      </c>
      <c r="P41" t="n">
        <v>0</v>
      </c>
      <c r="Q41" t="n">
        <v>1</v>
      </c>
      <c r="R41" s="2" t="inlineStr">
        <is>
          <t>Rödgul trumpetsvamp</t>
        </is>
      </c>
      <c r="S41">
        <f>HYPERLINK("https://klasma.github.io/Logging_2085/artfynd/A 17959-2025 artfynd.xlsx", "A 17959-2025")</f>
        <v/>
      </c>
      <c r="T41">
        <f>HYPERLINK("https://klasma.github.io/Logging_2085/kartor/A 17959-2025 karta.png", "A 17959-2025")</f>
        <v/>
      </c>
      <c r="V41">
        <f>HYPERLINK("https://klasma.github.io/Logging_2085/klagomål/A 17959-2025 FSC-klagomål.docx", "A 17959-2025")</f>
        <v/>
      </c>
      <c r="W41">
        <f>HYPERLINK("https://klasma.github.io/Logging_2085/klagomålsmail/A 17959-2025 FSC-klagomål mail.docx", "A 17959-2025")</f>
        <v/>
      </c>
      <c r="X41">
        <f>HYPERLINK("https://klasma.github.io/Logging_2085/tillsyn/A 17959-2025 tillsynsbegäran.docx", "A 17959-2025")</f>
        <v/>
      </c>
      <c r="Y41">
        <f>HYPERLINK("https://klasma.github.io/Logging_2085/tillsynsmail/A 17959-2025 tillsynsbegäran mail.docx", "A 17959-2025")</f>
        <v/>
      </c>
    </row>
    <row r="42" ht="15" customHeight="1">
      <c r="A42" t="inlineStr">
        <is>
          <t>A 26850-2023</t>
        </is>
      </c>
      <c r="B42" s="1" t="n">
        <v>45093</v>
      </c>
      <c r="C42" s="1" t="n">
        <v>45934</v>
      </c>
      <c r="D42" t="inlineStr">
        <is>
          <t>DALARNAS LÄN</t>
        </is>
      </c>
      <c r="E42" t="inlineStr">
        <is>
          <t>LUDVIKA</t>
        </is>
      </c>
      <c r="F42" t="inlineStr">
        <is>
          <t>Naturvårdsverket</t>
        </is>
      </c>
      <c r="G42" t="n">
        <v>2.7</v>
      </c>
      <c r="H42" t="n">
        <v>0</v>
      </c>
      <c r="I42" t="n">
        <v>0</v>
      </c>
      <c r="J42" t="n">
        <v>1</v>
      </c>
      <c r="K42" t="n">
        <v>0</v>
      </c>
      <c r="L42" t="n">
        <v>0</v>
      </c>
      <c r="M42" t="n">
        <v>0</v>
      </c>
      <c r="N42" t="n">
        <v>0</v>
      </c>
      <c r="O42" t="n">
        <v>1</v>
      </c>
      <c r="P42" t="n">
        <v>0</v>
      </c>
      <c r="Q42" t="n">
        <v>1</v>
      </c>
      <c r="R42" s="2" t="inlineStr">
        <is>
          <t>Motaggsvamp</t>
        </is>
      </c>
      <c r="S42">
        <f>HYPERLINK("https://klasma.github.io/Logging_2085/artfynd/A 26850-2023 artfynd.xlsx", "A 26850-2023")</f>
        <v/>
      </c>
      <c r="T42">
        <f>HYPERLINK("https://klasma.github.io/Logging_2085/kartor/A 26850-2023 karta.png", "A 26850-2023")</f>
        <v/>
      </c>
      <c r="V42">
        <f>HYPERLINK("https://klasma.github.io/Logging_2085/klagomål/A 26850-2023 FSC-klagomål.docx", "A 26850-2023")</f>
        <v/>
      </c>
      <c r="W42">
        <f>HYPERLINK("https://klasma.github.io/Logging_2085/klagomålsmail/A 26850-2023 FSC-klagomål mail.docx", "A 26850-2023")</f>
        <v/>
      </c>
      <c r="X42">
        <f>HYPERLINK("https://klasma.github.io/Logging_2085/tillsyn/A 26850-2023 tillsynsbegäran.docx", "A 26850-2023")</f>
        <v/>
      </c>
      <c r="Y42">
        <f>HYPERLINK("https://klasma.github.io/Logging_2085/tillsynsmail/A 26850-2023 tillsynsbegäran mail.docx", "A 26850-2023")</f>
        <v/>
      </c>
    </row>
    <row r="43" ht="15" customHeight="1">
      <c r="A43" t="inlineStr">
        <is>
          <t>A 36050-2025</t>
        </is>
      </c>
      <c r="B43" s="1" t="n">
        <v>45866</v>
      </c>
      <c r="C43" s="1" t="n">
        <v>45934</v>
      </c>
      <c r="D43" t="inlineStr">
        <is>
          <t>DALARNAS LÄN</t>
        </is>
      </c>
      <c r="E43" t="inlineStr">
        <is>
          <t>LUDVIKA</t>
        </is>
      </c>
      <c r="G43" t="n">
        <v>1.4</v>
      </c>
      <c r="H43" t="n">
        <v>1</v>
      </c>
      <c r="I43" t="n">
        <v>0</v>
      </c>
      <c r="J43" t="n">
        <v>1</v>
      </c>
      <c r="K43" t="n">
        <v>0</v>
      </c>
      <c r="L43" t="n">
        <v>0</v>
      </c>
      <c r="M43" t="n">
        <v>0</v>
      </c>
      <c r="N43" t="n">
        <v>0</v>
      </c>
      <c r="O43" t="n">
        <v>1</v>
      </c>
      <c r="P43" t="n">
        <v>0</v>
      </c>
      <c r="Q43" t="n">
        <v>1</v>
      </c>
      <c r="R43" s="2" t="inlineStr">
        <is>
          <t>Mindre hackspett</t>
        </is>
      </c>
      <c r="S43">
        <f>HYPERLINK("https://klasma.github.io/Logging_2085/artfynd/A 36050-2025 artfynd.xlsx", "A 36050-2025")</f>
        <v/>
      </c>
      <c r="T43">
        <f>HYPERLINK("https://klasma.github.io/Logging_2085/kartor/A 36050-2025 karta.png", "A 36050-2025")</f>
        <v/>
      </c>
      <c r="V43">
        <f>HYPERLINK("https://klasma.github.io/Logging_2085/klagomål/A 36050-2025 FSC-klagomål.docx", "A 36050-2025")</f>
        <v/>
      </c>
      <c r="W43">
        <f>HYPERLINK("https://klasma.github.io/Logging_2085/klagomålsmail/A 36050-2025 FSC-klagomål mail.docx", "A 36050-2025")</f>
        <v/>
      </c>
      <c r="X43">
        <f>HYPERLINK("https://klasma.github.io/Logging_2085/tillsyn/A 36050-2025 tillsynsbegäran.docx", "A 36050-2025")</f>
        <v/>
      </c>
      <c r="Y43">
        <f>HYPERLINK("https://klasma.github.io/Logging_2085/tillsynsmail/A 36050-2025 tillsynsbegäran mail.docx", "A 36050-2025")</f>
        <v/>
      </c>
      <c r="Z43">
        <f>HYPERLINK("https://klasma.github.io/Logging_2085/fåglar/A 36050-2025 prioriterade fågelarter.docx", "A 36050-2025")</f>
        <v/>
      </c>
    </row>
    <row r="44" ht="15" customHeight="1">
      <c r="A44" t="inlineStr">
        <is>
          <t>A 74401-2021</t>
        </is>
      </c>
      <c r="B44" s="1" t="n">
        <v>44560</v>
      </c>
      <c r="C44" s="1" t="n">
        <v>45934</v>
      </c>
      <c r="D44" t="inlineStr">
        <is>
          <t>DALARNAS LÄN</t>
        </is>
      </c>
      <c r="E44" t="inlineStr">
        <is>
          <t>LUDVIKA</t>
        </is>
      </c>
      <c r="F44" t="inlineStr">
        <is>
          <t>Kommuner</t>
        </is>
      </c>
      <c r="G44" t="n">
        <v>0.6</v>
      </c>
      <c r="H44" t="n">
        <v>0</v>
      </c>
      <c r="I44" t="n">
        <v>1</v>
      </c>
      <c r="J44" t="n">
        <v>0</v>
      </c>
      <c r="K44" t="n">
        <v>0</v>
      </c>
      <c r="L44" t="n">
        <v>0</v>
      </c>
      <c r="M44" t="n">
        <v>0</v>
      </c>
      <c r="N44" t="n">
        <v>0</v>
      </c>
      <c r="O44" t="n">
        <v>0</v>
      </c>
      <c r="P44" t="n">
        <v>0</v>
      </c>
      <c r="Q44" t="n">
        <v>1</v>
      </c>
      <c r="R44" s="2" t="inlineStr">
        <is>
          <t>Gullgröppa</t>
        </is>
      </c>
      <c r="S44">
        <f>HYPERLINK("https://klasma.github.io/Logging_2085/artfynd/A 74401-2021 artfynd.xlsx", "A 74401-2021")</f>
        <v/>
      </c>
      <c r="T44">
        <f>HYPERLINK("https://klasma.github.io/Logging_2085/kartor/A 74401-2021 karta.png", "A 74401-2021")</f>
        <v/>
      </c>
      <c r="V44">
        <f>HYPERLINK("https://klasma.github.io/Logging_2085/klagomål/A 74401-2021 FSC-klagomål.docx", "A 74401-2021")</f>
        <v/>
      </c>
      <c r="W44">
        <f>HYPERLINK("https://klasma.github.io/Logging_2085/klagomålsmail/A 74401-2021 FSC-klagomål mail.docx", "A 74401-2021")</f>
        <v/>
      </c>
      <c r="X44">
        <f>HYPERLINK("https://klasma.github.io/Logging_2085/tillsyn/A 74401-2021 tillsynsbegäran.docx", "A 74401-2021")</f>
        <v/>
      </c>
      <c r="Y44">
        <f>HYPERLINK("https://klasma.github.io/Logging_2085/tillsynsmail/A 74401-2021 tillsynsbegäran mail.docx", "A 74401-2021")</f>
        <v/>
      </c>
    </row>
    <row r="45" ht="15" customHeight="1">
      <c r="A45" t="inlineStr">
        <is>
          <t>A 49660-2024</t>
        </is>
      </c>
      <c r="B45" s="1" t="n">
        <v>45596.63347222222</v>
      </c>
      <c r="C45" s="1" t="n">
        <v>45934</v>
      </c>
      <c r="D45" t="inlineStr">
        <is>
          <t>DALARNAS LÄN</t>
        </is>
      </c>
      <c r="E45" t="inlineStr">
        <is>
          <t>LUDVIKA</t>
        </is>
      </c>
      <c r="F45" t="inlineStr">
        <is>
          <t>Bergvik skog väst AB</t>
        </is>
      </c>
      <c r="G45" t="n">
        <v>0.9</v>
      </c>
      <c r="H45" t="n">
        <v>0</v>
      </c>
      <c r="I45" t="n">
        <v>1</v>
      </c>
      <c r="J45" t="n">
        <v>0</v>
      </c>
      <c r="K45" t="n">
        <v>0</v>
      </c>
      <c r="L45" t="n">
        <v>0</v>
      </c>
      <c r="M45" t="n">
        <v>0</v>
      </c>
      <c r="N45" t="n">
        <v>0</v>
      </c>
      <c r="O45" t="n">
        <v>0</v>
      </c>
      <c r="P45" t="n">
        <v>0</v>
      </c>
      <c r="Q45" t="n">
        <v>1</v>
      </c>
      <c r="R45" s="2" t="inlineStr">
        <is>
          <t>Mörk husmossa</t>
        </is>
      </c>
      <c r="S45">
        <f>HYPERLINK("https://klasma.github.io/Logging_2085/artfynd/A 49660-2024 artfynd.xlsx", "A 49660-2024")</f>
        <v/>
      </c>
      <c r="T45">
        <f>HYPERLINK("https://klasma.github.io/Logging_2085/kartor/A 49660-2024 karta.png", "A 49660-2024")</f>
        <v/>
      </c>
      <c r="V45">
        <f>HYPERLINK("https://klasma.github.io/Logging_2085/klagomål/A 49660-2024 FSC-klagomål.docx", "A 49660-2024")</f>
        <v/>
      </c>
      <c r="W45">
        <f>HYPERLINK("https://klasma.github.io/Logging_2085/klagomålsmail/A 49660-2024 FSC-klagomål mail.docx", "A 49660-2024")</f>
        <v/>
      </c>
      <c r="X45">
        <f>HYPERLINK("https://klasma.github.io/Logging_2085/tillsyn/A 49660-2024 tillsynsbegäran.docx", "A 49660-2024")</f>
        <v/>
      </c>
      <c r="Y45">
        <f>HYPERLINK("https://klasma.github.io/Logging_2085/tillsynsmail/A 49660-2024 tillsynsbegäran mail.docx", "A 49660-2024")</f>
        <v/>
      </c>
    </row>
    <row r="46" ht="15" customHeight="1">
      <c r="A46" t="inlineStr">
        <is>
          <t>A 44578-2023</t>
        </is>
      </c>
      <c r="B46" s="1" t="n">
        <v>45189</v>
      </c>
      <c r="C46" s="1" t="n">
        <v>45934</v>
      </c>
      <c r="D46" t="inlineStr">
        <is>
          <t>DALARNAS LÄN</t>
        </is>
      </c>
      <c r="E46" t="inlineStr">
        <is>
          <t>LUDVIKA</t>
        </is>
      </c>
      <c r="F46" t="inlineStr">
        <is>
          <t>Övriga Aktiebolag</t>
        </is>
      </c>
      <c r="G46" t="n">
        <v>12</v>
      </c>
      <c r="H46" t="n">
        <v>0</v>
      </c>
      <c r="I46" t="n">
        <v>0</v>
      </c>
      <c r="J46" t="n">
        <v>1</v>
      </c>
      <c r="K46" t="n">
        <v>0</v>
      </c>
      <c r="L46" t="n">
        <v>0</v>
      </c>
      <c r="M46" t="n">
        <v>0</v>
      </c>
      <c r="N46" t="n">
        <v>0</v>
      </c>
      <c r="O46" t="n">
        <v>1</v>
      </c>
      <c r="P46" t="n">
        <v>0</v>
      </c>
      <c r="Q46" t="n">
        <v>1</v>
      </c>
      <c r="R46" s="2" t="inlineStr">
        <is>
          <t>Dofttaggsvamp</t>
        </is>
      </c>
      <c r="S46">
        <f>HYPERLINK("https://klasma.github.io/Logging_2085/artfynd/A 44578-2023 artfynd.xlsx", "A 44578-2023")</f>
        <v/>
      </c>
      <c r="T46">
        <f>HYPERLINK("https://klasma.github.io/Logging_2085/kartor/A 44578-2023 karta.png", "A 44578-2023")</f>
        <v/>
      </c>
      <c r="V46">
        <f>HYPERLINK("https://klasma.github.io/Logging_2085/klagomål/A 44578-2023 FSC-klagomål.docx", "A 44578-2023")</f>
        <v/>
      </c>
      <c r="W46">
        <f>HYPERLINK("https://klasma.github.io/Logging_2085/klagomålsmail/A 44578-2023 FSC-klagomål mail.docx", "A 44578-2023")</f>
        <v/>
      </c>
      <c r="X46">
        <f>HYPERLINK("https://klasma.github.io/Logging_2085/tillsyn/A 44578-2023 tillsynsbegäran.docx", "A 44578-2023")</f>
        <v/>
      </c>
      <c r="Y46">
        <f>HYPERLINK("https://klasma.github.io/Logging_2085/tillsynsmail/A 44578-2023 tillsynsbegäran mail.docx", "A 44578-2023")</f>
        <v/>
      </c>
    </row>
    <row r="47" ht="15" customHeight="1">
      <c r="A47" t="inlineStr">
        <is>
          <t>A 45225-2024</t>
        </is>
      </c>
      <c r="B47" s="1" t="n">
        <v>45575.77649305556</v>
      </c>
      <c r="C47" s="1" t="n">
        <v>45934</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25588-2023</t>
        </is>
      </c>
      <c r="B48" s="1" t="n">
        <v>45089</v>
      </c>
      <c r="C48" s="1" t="n">
        <v>45934</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19512-2022</t>
        </is>
      </c>
      <c r="B49" s="1" t="n">
        <v>44693</v>
      </c>
      <c r="C49" s="1" t="n">
        <v>45934</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55550-2022</t>
        </is>
      </c>
      <c r="B50" s="1" t="n">
        <v>44888</v>
      </c>
      <c r="C50" s="1" t="n">
        <v>45934</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Ögonpyrola</t>
        </is>
      </c>
      <c r="S50">
        <f>HYPERLINK("https://klasma.github.io/Logging_2085/artfynd/A 55550-2022 artfynd.xlsx", "A 55550-2022")</f>
        <v/>
      </c>
      <c r="T50">
        <f>HYPERLINK("https://klasma.github.io/Logging_2085/kartor/A 55550-2022 karta.png", "A 55550-2022")</f>
        <v/>
      </c>
      <c r="V50">
        <f>HYPERLINK("https://klasma.github.io/Logging_2085/klagomål/A 55550-2022 FSC-klagomål.docx", "A 55550-2022")</f>
        <v/>
      </c>
      <c r="W50">
        <f>HYPERLINK("https://klasma.github.io/Logging_2085/klagomålsmail/A 55550-2022 FSC-klagomål mail.docx", "A 55550-2022")</f>
        <v/>
      </c>
      <c r="X50">
        <f>HYPERLINK("https://klasma.github.io/Logging_2085/tillsyn/A 55550-2022 tillsynsbegäran.docx", "A 55550-2022")</f>
        <v/>
      </c>
      <c r="Y50">
        <f>HYPERLINK("https://klasma.github.io/Logging_2085/tillsynsmail/A 55550-2022 tillsynsbegäran mail.docx", "A 55550-2022")</f>
        <v/>
      </c>
    </row>
    <row r="51" ht="15" customHeight="1">
      <c r="A51" t="inlineStr">
        <is>
          <t>A 46912-2025</t>
        </is>
      </c>
      <c r="B51" s="1" t="n">
        <v>45929</v>
      </c>
      <c r="C51" s="1" t="n">
        <v>45934</v>
      </c>
      <c r="D51" t="inlineStr">
        <is>
          <t>DALARNAS LÄN</t>
        </is>
      </c>
      <c r="E51" t="inlineStr">
        <is>
          <t>LUDVIKA</t>
        </is>
      </c>
      <c r="F51" t="inlineStr">
        <is>
          <t>Bergvik skog väst AB</t>
        </is>
      </c>
      <c r="G51" t="n">
        <v>5.6</v>
      </c>
      <c r="H51" t="n">
        <v>0</v>
      </c>
      <c r="I51" t="n">
        <v>0</v>
      </c>
      <c r="J51" t="n">
        <v>1</v>
      </c>
      <c r="K51" t="n">
        <v>0</v>
      </c>
      <c r="L51" t="n">
        <v>0</v>
      </c>
      <c r="M51" t="n">
        <v>0</v>
      </c>
      <c r="N51" t="n">
        <v>0</v>
      </c>
      <c r="O51" t="n">
        <v>1</v>
      </c>
      <c r="P51" t="n">
        <v>0</v>
      </c>
      <c r="Q51" t="n">
        <v>1</v>
      </c>
      <c r="R51" s="2" t="inlineStr">
        <is>
          <t>Garnlav</t>
        </is>
      </c>
      <c r="S51">
        <f>HYPERLINK("https://klasma.github.io/Logging_2085/artfynd/A 46912-2025 artfynd.xlsx", "A 46912-2025")</f>
        <v/>
      </c>
      <c r="T51">
        <f>HYPERLINK("https://klasma.github.io/Logging_2085/kartor/A 46912-2025 karta.png", "A 46912-2025")</f>
        <v/>
      </c>
      <c r="V51">
        <f>HYPERLINK("https://klasma.github.io/Logging_2085/klagomål/A 46912-2025 FSC-klagomål.docx", "A 46912-2025")</f>
        <v/>
      </c>
      <c r="W51">
        <f>HYPERLINK("https://klasma.github.io/Logging_2085/klagomålsmail/A 46912-2025 FSC-klagomål mail.docx", "A 46912-2025")</f>
        <v/>
      </c>
      <c r="X51">
        <f>HYPERLINK("https://klasma.github.io/Logging_2085/tillsyn/A 46912-2025 tillsynsbegäran.docx", "A 46912-2025")</f>
        <v/>
      </c>
      <c r="Y51">
        <f>HYPERLINK("https://klasma.github.io/Logging_2085/tillsynsmail/A 46912-2025 tillsynsbegäran mail.docx", "A 46912-2025")</f>
        <v/>
      </c>
    </row>
    <row r="52" ht="15" customHeight="1">
      <c r="A52" t="inlineStr">
        <is>
          <t>A 37639-2024</t>
        </is>
      </c>
      <c r="B52" s="1" t="n">
        <v>45541.54527777778</v>
      </c>
      <c r="C52" s="1" t="n">
        <v>45934</v>
      </c>
      <c r="D52" t="inlineStr">
        <is>
          <t>DALARNAS LÄN</t>
        </is>
      </c>
      <c r="E52" t="inlineStr">
        <is>
          <t>LUDVIKA</t>
        </is>
      </c>
      <c r="F52" t="inlineStr">
        <is>
          <t>Bergvik skog väst AB</t>
        </is>
      </c>
      <c r="G52" t="n">
        <v>1.6</v>
      </c>
      <c r="H52" t="n">
        <v>0</v>
      </c>
      <c r="I52" t="n">
        <v>1</v>
      </c>
      <c r="J52" t="n">
        <v>0</v>
      </c>
      <c r="K52" t="n">
        <v>0</v>
      </c>
      <c r="L52" t="n">
        <v>0</v>
      </c>
      <c r="M52" t="n">
        <v>0</v>
      </c>
      <c r="N52" t="n">
        <v>0</v>
      </c>
      <c r="O52" t="n">
        <v>0</v>
      </c>
      <c r="P52" t="n">
        <v>0</v>
      </c>
      <c r="Q52" t="n">
        <v>1</v>
      </c>
      <c r="R52" s="2" t="inlineStr">
        <is>
          <t>Gulnål</t>
        </is>
      </c>
      <c r="S52">
        <f>HYPERLINK("https://klasma.github.io/Logging_2085/artfynd/A 37639-2024 artfynd.xlsx", "A 37639-2024")</f>
        <v/>
      </c>
      <c r="T52">
        <f>HYPERLINK("https://klasma.github.io/Logging_2085/kartor/A 37639-2024 karta.png", "A 37639-2024")</f>
        <v/>
      </c>
      <c r="V52">
        <f>HYPERLINK("https://klasma.github.io/Logging_2085/klagomål/A 37639-2024 FSC-klagomål.docx", "A 37639-2024")</f>
        <v/>
      </c>
      <c r="W52">
        <f>HYPERLINK("https://klasma.github.io/Logging_2085/klagomålsmail/A 37639-2024 FSC-klagomål mail.docx", "A 37639-2024")</f>
        <v/>
      </c>
      <c r="X52">
        <f>HYPERLINK("https://klasma.github.io/Logging_2085/tillsyn/A 37639-2024 tillsynsbegäran.docx", "A 37639-2024")</f>
        <v/>
      </c>
      <c r="Y52">
        <f>HYPERLINK("https://klasma.github.io/Logging_2085/tillsynsmail/A 37639-2024 tillsynsbegäran mail.docx", "A 37639-2024")</f>
        <v/>
      </c>
    </row>
    <row r="53" ht="15" customHeight="1">
      <c r="A53" t="inlineStr">
        <is>
          <t>A 33155-2024</t>
        </is>
      </c>
      <c r="B53" s="1" t="n">
        <v>45518.38504629629</v>
      </c>
      <c r="C53" s="1" t="n">
        <v>45934</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20985-2025</t>
        </is>
      </c>
      <c r="B54" s="1" t="n">
        <v>45777</v>
      </c>
      <c r="C54" s="1" t="n">
        <v>45934</v>
      </c>
      <c r="D54" t="inlineStr">
        <is>
          <t>DALARNAS LÄN</t>
        </is>
      </c>
      <c r="E54" t="inlineStr">
        <is>
          <t>LUDVIKA</t>
        </is>
      </c>
      <c r="F54" t="inlineStr">
        <is>
          <t>Bergvik skog väst AB</t>
        </is>
      </c>
      <c r="G54" t="n">
        <v>5.8</v>
      </c>
      <c r="H54" t="n">
        <v>0</v>
      </c>
      <c r="I54" t="n">
        <v>0</v>
      </c>
      <c r="J54" t="n">
        <v>1</v>
      </c>
      <c r="K54" t="n">
        <v>0</v>
      </c>
      <c r="L54" t="n">
        <v>0</v>
      </c>
      <c r="M54" t="n">
        <v>0</v>
      </c>
      <c r="N54" t="n">
        <v>0</v>
      </c>
      <c r="O54" t="n">
        <v>1</v>
      </c>
      <c r="P54" t="n">
        <v>0</v>
      </c>
      <c r="Q54" t="n">
        <v>1</v>
      </c>
      <c r="R54" s="2" t="inlineStr">
        <is>
          <t>Garnlav</t>
        </is>
      </c>
      <c r="S54">
        <f>HYPERLINK("https://klasma.github.io/Logging_2085/artfynd/A 20985-2025 artfynd.xlsx", "A 20985-2025")</f>
        <v/>
      </c>
      <c r="T54">
        <f>HYPERLINK("https://klasma.github.io/Logging_2085/kartor/A 20985-2025 karta.png", "A 20985-2025")</f>
        <v/>
      </c>
      <c r="V54">
        <f>HYPERLINK("https://klasma.github.io/Logging_2085/klagomål/A 20985-2025 FSC-klagomål.docx", "A 20985-2025")</f>
        <v/>
      </c>
      <c r="W54">
        <f>HYPERLINK("https://klasma.github.io/Logging_2085/klagomålsmail/A 20985-2025 FSC-klagomål mail.docx", "A 20985-2025")</f>
        <v/>
      </c>
      <c r="X54">
        <f>HYPERLINK("https://klasma.github.io/Logging_2085/tillsyn/A 20985-2025 tillsynsbegäran.docx", "A 20985-2025")</f>
        <v/>
      </c>
      <c r="Y54">
        <f>HYPERLINK("https://klasma.github.io/Logging_2085/tillsynsmail/A 20985-2025 tillsynsbegäran mail.docx", "A 20985-2025")</f>
        <v/>
      </c>
    </row>
    <row r="55" ht="15" customHeight="1">
      <c r="A55" t="inlineStr">
        <is>
          <t>A 3809-2024</t>
        </is>
      </c>
      <c r="B55" s="1" t="n">
        <v>45321</v>
      </c>
      <c r="C55" s="1" t="n">
        <v>45934</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23085-2025</t>
        </is>
      </c>
      <c r="B56" s="1" t="n">
        <v>45791</v>
      </c>
      <c r="C56" s="1" t="n">
        <v>45934</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23102-2025</t>
        </is>
      </c>
      <c r="B57" s="1" t="n">
        <v>45791.35438657407</v>
      </c>
      <c r="C57" s="1" t="n">
        <v>45934</v>
      </c>
      <c r="D57" t="inlineStr">
        <is>
          <t>DALARNAS LÄN</t>
        </is>
      </c>
      <c r="E57" t="inlineStr">
        <is>
          <t>LUDVIKA</t>
        </is>
      </c>
      <c r="F57" t="inlineStr">
        <is>
          <t>Bergvik skog väst AB</t>
        </is>
      </c>
      <c r="G57" t="n">
        <v>0.8</v>
      </c>
      <c r="H57" t="n">
        <v>1</v>
      </c>
      <c r="I57" t="n">
        <v>0</v>
      </c>
      <c r="J57" t="n">
        <v>0</v>
      </c>
      <c r="K57" t="n">
        <v>0</v>
      </c>
      <c r="L57" t="n">
        <v>0</v>
      </c>
      <c r="M57" t="n">
        <v>0</v>
      </c>
      <c r="N57" t="n">
        <v>0</v>
      </c>
      <c r="O57" t="n">
        <v>0</v>
      </c>
      <c r="P57" t="n">
        <v>0</v>
      </c>
      <c r="Q57" t="n">
        <v>1</v>
      </c>
      <c r="R57" s="2" t="inlineStr">
        <is>
          <t>Vanlig groda</t>
        </is>
      </c>
      <c r="S57">
        <f>HYPERLINK("https://klasma.github.io/Logging_2085/artfynd/A 23102-2025 artfynd.xlsx", "A 23102-2025")</f>
        <v/>
      </c>
      <c r="T57">
        <f>HYPERLINK("https://klasma.github.io/Logging_2085/kartor/A 23102-2025 karta.png", "A 23102-2025")</f>
        <v/>
      </c>
      <c r="V57">
        <f>HYPERLINK("https://klasma.github.io/Logging_2085/klagomål/A 23102-2025 FSC-klagomål.docx", "A 23102-2025")</f>
        <v/>
      </c>
      <c r="W57">
        <f>HYPERLINK("https://klasma.github.io/Logging_2085/klagomålsmail/A 23102-2025 FSC-klagomål mail.docx", "A 23102-2025")</f>
        <v/>
      </c>
      <c r="X57">
        <f>HYPERLINK("https://klasma.github.io/Logging_2085/tillsyn/A 23102-2025 tillsynsbegäran.docx", "A 23102-2025")</f>
        <v/>
      </c>
      <c r="Y57">
        <f>HYPERLINK("https://klasma.github.io/Logging_2085/tillsynsmail/A 23102-2025 tillsynsbegäran mail.docx", "A 23102-2025")</f>
        <v/>
      </c>
    </row>
    <row r="58" ht="15" customHeight="1">
      <c r="A58" t="inlineStr">
        <is>
          <t>A 17987-2025</t>
        </is>
      </c>
      <c r="B58" s="1" t="n">
        <v>45761.39600694444</v>
      </c>
      <c r="C58" s="1" t="n">
        <v>45934</v>
      </c>
      <c r="D58" t="inlineStr">
        <is>
          <t>DALARNAS LÄN</t>
        </is>
      </c>
      <c r="E58" t="inlineStr">
        <is>
          <t>LUDVIKA</t>
        </is>
      </c>
      <c r="G58" t="n">
        <v>0.5</v>
      </c>
      <c r="H58" t="n">
        <v>1</v>
      </c>
      <c r="I58" t="n">
        <v>0</v>
      </c>
      <c r="J58" t="n">
        <v>1</v>
      </c>
      <c r="K58" t="n">
        <v>0</v>
      </c>
      <c r="L58" t="n">
        <v>0</v>
      </c>
      <c r="M58" t="n">
        <v>0</v>
      </c>
      <c r="N58" t="n">
        <v>0</v>
      </c>
      <c r="O58" t="n">
        <v>1</v>
      </c>
      <c r="P58" t="n">
        <v>0</v>
      </c>
      <c r="Q58" t="n">
        <v>1</v>
      </c>
      <c r="R58" s="2" t="inlineStr">
        <is>
          <t>Talltita</t>
        </is>
      </c>
      <c r="S58">
        <f>HYPERLINK("https://klasma.github.io/Logging_2085/artfynd/A 17987-2025 artfynd.xlsx", "A 17987-2025")</f>
        <v/>
      </c>
      <c r="T58">
        <f>HYPERLINK("https://klasma.github.io/Logging_2085/kartor/A 17987-2025 karta.png", "A 17987-2025")</f>
        <v/>
      </c>
      <c r="V58">
        <f>HYPERLINK("https://klasma.github.io/Logging_2085/klagomål/A 17987-2025 FSC-klagomål.docx", "A 17987-2025")</f>
        <v/>
      </c>
      <c r="W58">
        <f>HYPERLINK("https://klasma.github.io/Logging_2085/klagomålsmail/A 17987-2025 FSC-klagomål mail.docx", "A 17987-2025")</f>
        <v/>
      </c>
      <c r="X58">
        <f>HYPERLINK("https://klasma.github.io/Logging_2085/tillsyn/A 17987-2025 tillsynsbegäran.docx", "A 17987-2025")</f>
        <v/>
      </c>
      <c r="Y58">
        <f>HYPERLINK("https://klasma.github.io/Logging_2085/tillsynsmail/A 17987-2025 tillsynsbegäran mail.docx", "A 17987-2025")</f>
        <v/>
      </c>
      <c r="Z58">
        <f>HYPERLINK("https://klasma.github.io/Logging_2085/fåglar/A 17987-2025 prioriterade fågelarter.docx", "A 17987-2025")</f>
        <v/>
      </c>
    </row>
    <row r="59" ht="15" customHeight="1">
      <c r="A59" t="inlineStr">
        <is>
          <t>A 21499-2022</t>
        </is>
      </c>
      <c r="B59" s="1" t="n">
        <v>44706</v>
      </c>
      <c r="C59" s="1" t="n">
        <v>45934</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23107-2025</t>
        </is>
      </c>
      <c r="B60" s="1" t="n">
        <v>45791.36149305556</v>
      </c>
      <c r="C60" s="1" t="n">
        <v>45934</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42558-2022</t>
        </is>
      </c>
      <c r="B61" s="1" t="n">
        <v>44831</v>
      </c>
      <c r="C61" s="1" t="n">
        <v>45934</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25282-2025</t>
        </is>
      </c>
      <c r="B62" s="1" t="n">
        <v>45800</v>
      </c>
      <c r="C62" s="1" t="n">
        <v>45934</v>
      </c>
      <c r="D62" t="inlineStr">
        <is>
          <t>DALARNAS LÄN</t>
        </is>
      </c>
      <c r="E62" t="inlineStr">
        <is>
          <t>LUDVIKA</t>
        </is>
      </c>
      <c r="F62" t="inlineStr">
        <is>
          <t>Bergvik skog väst AB</t>
        </is>
      </c>
      <c r="G62" t="n">
        <v>4.8</v>
      </c>
      <c r="H62" t="n">
        <v>0</v>
      </c>
      <c r="I62" t="n">
        <v>0</v>
      </c>
      <c r="J62" t="n">
        <v>1</v>
      </c>
      <c r="K62" t="n">
        <v>0</v>
      </c>
      <c r="L62" t="n">
        <v>0</v>
      </c>
      <c r="M62" t="n">
        <v>0</v>
      </c>
      <c r="N62" t="n">
        <v>0</v>
      </c>
      <c r="O62" t="n">
        <v>1</v>
      </c>
      <c r="P62" t="n">
        <v>0</v>
      </c>
      <c r="Q62" t="n">
        <v>1</v>
      </c>
      <c r="R62" s="2" t="inlineStr">
        <is>
          <t>Garnlav</t>
        </is>
      </c>
      <c r="S62">
        <f>HYPERLINK("https://klasma.github.io/Logging_2085/artfynd/A 25282-2025 artfynd.xlsx", "A 25282-2025")</f>
        <v/>
      </c>
      <c r="T62">
        <f>HYPERLINK("https://klasma.github.io/Logging_2085/kartor/A 25282-2025 karta.png", "A 25282-2025")</f>
        <v/>
      </c>
      <c r="V62">
        <f>HYPERLINK("https://klasma.github.io/Logging_2085/klagomål/A 25282-2025 FSC-klagomål.docx", "A 25282-2025")</f>
        <v/>
      </c>
      <c r="W62">
        <f>HYPERLINK("https://klasma.github.io/Logging_2085/klagomålsmail/A 25282-2025 FSC-klagomål mail.docx", "A 25282-2025")</f>
        <v/>
      </c>
      <c r="X62">
        <f>HYPERLINK("https://klasma.github.io/Logging_2085/tillsyn/A 25282-2025 tillsynsbegäran.docx", "A 25282-2025")</f>
        <v/>
      </c>
      <c r="Y62">
        <f>HYPERLINK("https://klasma.github.io/Logging_2085/tillsynsmail/A 25282-2025 tillsynsbegäran mail.docx", "A 25282-2025")</f>
        <v/>
      </c>
    </row>
    <row r="63" ht="15" customHeight="1">
      <c r="A63" t="inlineStr">
        <is>
          <t>A 29733-2025</t>
        </is>
      </c>
      <c r="B63" s="1" t="n">
        <v>45825</v>
      </c>
      <c r="C63" s="1" t="n">
        <v>45934</v>
      </c>
      <c r="D63" t="inlineStr">
        <is>
          <t>DALARNAS LÄN</t>
        </is>
      </c>
      <c r="E63" t="inlineStr">
        <is>
          <t>LUDVIKA</t>
        </is>
      </c>
      <c r="F63" t="inlineStr">
        <is>
          <t>Bergvik skog väst AB</t>
        </is>
      </c>
      <c r="G63" t="n">
        <v>10.4</v>
      </c>
      <c r="H63" t="n">
        <v>0</v>
      </c>
      <c r="I63" t="n">
        <v>1</v>
      </c>
      <c r="J63" t="n">
        <v>0</v>
      </c>
      <c r="K63" t="n">
        <v>0</v>
      </c>
      <c r="L63" t="n">
        <v>0</v>
      </c>
      <c r="M63" t="n">
        <v>0</v>
      </c>
      <c r="N63" t="n">
        <v>0</v>
      </c>
      <c r="O63" t="n">
        <v>0</v>
      </c>
      <c r="P63" t="n">
        <v>0</v>
      </c>
      <c r="Q63" t="n">
        <v>1</v>
      </c>
      <c r="R63" s="2" t="inlineStr">
        <is>
          <t>Stuplav</t>
        </is>
      </c>
      <c r="S63">
        <f>HYPERLINK("https://klasma.github.io/Logging_2085/artfynd/A 29733-2025 artfynd.xlsx", "A 29733-2025")</f>
        <v/>
      </c>
      <c r="T63">
        <f>HYPERLINK("https://klasma.github.io/Logging_2085/kartor/A 29733-2025 karta.png", "A 29733-2025")</f>
        <v/>
      </c>
      <c r="V63">
        <f>HYPERLINK("https://klasma.github.io/Logging_2085/klagomål/A 29733-2025 FSC-klagomål.docx", "A 29733-2025")</f>
        <v/>
      </c>
      <c r="W63">
        <f>HYPERLINK("https://klasma.github.io/Logging_2085/klagomålsmail/A 29733-2025 FSC-klagomål mail.docx", "A 29733-2025")</f>
        <v/>
      </c>
      <c r="X63">
        <f>HYPERLINK("https://klasma.github.io/Logging_2085/tillsyn/A 29733-2025 tillsynsbegäran.docx", "A 29733-2025")</f>
        <v/>
      </c>
      <c r="Y63">
        <f>HYPERLINK("https://klasma.github.io/Logging_2085/tillsynsmail/A 29733-2025 tillsynsbegäran mail.docx", "A 29733-2025")</f>
        <v/>
      </c>
    </row>
    <row r="64" ht="15" customHeight="1">
      <c r="A64" t="inlineStr">
        <is>
          <t>A 29144-2023</t>
        </is>
      </c>
      <c r="B64" s="1" t="n">
        <v>45105</v>
      </c>
      <c r="C64" s="1" t="n">
        <v>45934</v>
      </c>
      <c r="D64" t="inlineStr">
        <is>
          <t>DALARNAS LÄN</t>
        </is>
      </c>
      <c r="E64" t="inlineStr">
        <is>
          <t>LUDVIKA</t>
        </is>
      </c>
      <c r="F64" t="inlineStr">
        <is>
          <t>Allmännings- och besparingsskogar</t>
        </is>
      </c>
      <c r="G64" t="n">
        <v>6.2</v>
      </c>
      <c r="H64" t="n">
        <v>1</v>
      </c>
      <c r="I64" t="n">
        <v>0</v>
      </c>
      <c r="J64" t="n">
        <v>0</v>
      </c>
      <c r="K64" t="n">
        <v>1</v>
      </c>
      <c r="L64" t="n">
        <v>0</v>
      </c>
      <c r="M64" t="n">
        <v>0</v>
      </c>
      <c r="N64" t="n">
        <v>0</v>
      </c>
      <c r="O64" t="n">
        <v>1</v>
      </c>
      <c r="P64" t="n">
        <v>1</v>
      </c>
      <c r="Q64" t="n">
        <v>1</v>
      </c>
      <c r="R64" s="2" t="inlineStr">
        <is>
          <t>Knärot</t>
        </is>
      </c>
      <c r="S64">
        <f>HYPERLINK("https://klasma.github.io/Logging_2085/artfynd/A 29144-2023 artfynd.xlsx", "A 29144-2023")</f>
        <v/>
      </c>
      <c r="T64">
        <f>HYPERLINK("https://klasma.github.io/Logging_2085/kartor/A 29144-2023 karta.png", "A 29144-2023")</f>
        <v/>
      </c>
      <c r="U64">
        <f>HYPERLINK("https://klasma.github.io/Logging_2085/knärot/A 29144-2023 karta knärot.png", "A 29144-2023")</f>
        <v/>
      </c>
      <c r="V64">
        <f>HYPERLINK("https://klasma.github.io/Logging_2085/klagomål/A 29144-2023 FSC-klagomål.docx", "A 29144-2023")</f>
        <v/>
      </c>
      <c r="W64">
        <f>HYPERLINK("https://klasma.github.io/Logging_2085/klagomålsmail/A 29144-2023 FSC-klagomål mail.docx", "A 29144-2023")</f>
        <v/>
      </c>
      <c r="X64">
        <f>HYPERLINK("https://klasma.github.io/Logging_2085/tillsyn/A 29144-2023 tillsynsbegäran.docx", "A 29144-2023")</f>
        <v/>
      </c>
      <c r="Y64">
        <f>HYPERLINK("https://klasma.github.io/Logging_2085/tillsynsmail/A 29144-2023 tillsynsbegäran mail.docx", "A 29144-2023")</f>
        <v/>
      </c>
    </row>
    <row r="65" ht="15" customHeight="1">
      <c r="A65" t="inlineStr">
        <is>
          <t>A 41456-2025</t>
        </is>
      </c>
      <c r="B65" s="1" t="n">
        <v>45901.44197916667</v>
      </c>
      <c r="C65" s="1" t="n">
        <v>45934</v>
      </c>
      <c r="D65" t="inlineStr">
        <is>
          <t>DALARNAS LÄN</t>
        </is>
      </c>
      <c r="E65" t="inlineStr">
        <is>
          <t>LUDVIKA</t>
        </is>
      </c>
      <c r="G65" t="n">
        <v>1.9</v>
      </c>
      <c r="H65" t="n">
        <v>0</v>
      </c>
      <c r="I65" t="n">
        <v>0</v>
      </c>
      <c r="J65" t="n">
        <v>0</v>
      </c>
      <c r="K65" t="n">
        <v>1</v>
      </c>
      <c r="L65" t="n">
        <v>0</v>
      </c>
      <c r="M65" t="n">
        <v>0</v>
      </c>
      <c r="N65" t="n">
        <v>0</v>
      </c>
      <c r="O65" t="n">
        <v>1</v>
      </c>
      <c r="P65" t="n">
        <v>1</v>
      </c>
      <c r="Q65" t="n">
        <v>1</v>
      </c>
      <c r="R65" s="2" t="inlineStr">
        <is>
          <t>Aspgelélav</t>
        </is>
      </c>
      <c r="S65">
        <f>HYPERLINK("https://klasma.github.io/Logging_2085/artfynd/A 41456-2025 artfynd.xlsx", "A 41456-2025")</f>
        <v/>
      </c>
      <c r="T65">
        <f>HYPERLINK("https://klasma.github.io/Logging_2085/kartor/A 41456-2025 karta.png", "A 41456-2025")</f>
        <v/>
      </c>
      <c r="V65">
        <f>HYPERLINK("https://klasma.github.io/Logging_2085/klagomål/A 41456-2025 FSC-klagomål.docx", "A 41456-2025")</f>
        <v/>
      </c>
      <c r="W65">
        <f>HYPERLINK("https://klasma.github.io/Logging_2085/klagomålsmail/A 41456-2025 FSC-klagomål mail.docx", "A 41456-2025")</f>
        <v/>
      </c>
      <c r="X65">
        <f>HYPERLINK("https://klasma.github.io/Logging_2085/tillsyn/A 41456-2025 tillsynsbegäran.docx", "A 41456-2025")</f>
        <v/>
      </c>
      <c r="Y65">
        <f>HYPERLINK("https://klasma.github.io/Logging_2085/tillsynsmail/A 41456-2025 tillsynsbegäran mail.docx", "A 41456-2025")</f>
        <v/>
      </c>
    </row>
    <row r="66" ht="15" customHeight="1">
      <c r="A66" t="inlineStr">
        <is>
          <t>A 33162-2025</t>
        </is>
      </c>
      <c r="B66" s="1" t="n">
        <v>45840</v>
      </c>
      <c r="C66" s="1" t="n">
        <v>45934</v>
      </c>
      <c r="D66" t="inlineStr">
        <is>
          <t>DALARNAS LÄN</t>
        </is>
      </c>
      <c r="E66" t="inlineStr">
        <is>
          <t>LUDVIKA</t>
        </is>
      </c>
      <c r="F66" t="inlineStr">
        <is>
          <t>Bergvik skog väst AB</t>
        </is>
      </c>
      <c r="G66" t="n">
        <v>2.3</v>
      </c>
      <c r="H66" t="n">
        <v>0</v>
      </c>
      <c r="I66" t="n">
        <v>0</v>
      </c>
      <c r="J66" t="n">
        <v>1</v>
      </c>
      <c r="K66" t="n">
        <v>0</v>
      </c>
      <c r="L66" t="n">
        <v>0</v>
      </c>
      <c r="M66" t="n">
        <v>0</v>
      </c>
      <c r="N66" t="n">
        <v>0</v>
      </c>
      <c r="O66" t="n">
        <v>1</v>
      </c>
      <c r="P66" t="n">
        <v>0</v>
      </c>
      <c r="Q66" t="n">
        <v>1</v>
      </c>
      <c r="R66" s="2" t="inlineStr">
        <is>
          <t>Kandelabersvamp</t>
        </is>
      </c>
      <c r="S66">
        <f>HYPERLINK("https://klasma.github.io/Logging_2085/artfynd/A 33162-2025 artfynd.xlsx", "A 33162-2025")</f>
        <v/>
      </c>
      <c r="T66">
        <f>HYPERLINK("https://klasma.github.io/Logging_2085/kartor/A 33162-2025 karta.png", "A 33162-2025")</f>
        <v/>
      </c>
      <c r="V66">
        <f>HYPERLINK("https://klasma.github.io/Logging_2085/klagomål/A 33162-2025 FSC-klagomål.docx", "A 33162-2025")</f>
        <v/>
      </c>
      <c r="W66">
        <f>HYPERLINK("https://klasma.github.io/Logging_2085/klagomålsmail/A 33162-2025 FSC-klagomål mail.docx", "A 33162-2025")</f>
        <v/>
      </c>
      <c r="X66">
        <f>HYPERLINK("https://klasma.github.io/Logging_2085/tillsyn/A 33162-2025 tillsynsbegäran.docx", "A 33162-2025")</f>
        <v/>
      </c>
      <c r="Y66">
        <f>HYPERLINK("https://klasma.github.io/Logging_2085/tillsynsmail/A 33162-2025 tillsynsbegäran mail.docx", "A 33162-2025")</f>
        <v/>
      </c>
    </row>
    <row r="67" ht="15" customHeight="1">
      <c r="A67" t="inlineStr">
        <is>
          <t>A 43226-2025</t>
        </is>
      </c>
      <c r="B67" s="1" t="n">
        <v>45910.49210648148</v>
      </c>
      <c r="C67" s="1" t="n">
        <v>45934</v>
      </c>
      <c r="D67" t="inlineStr">
        <is>
          <t>DALARNAS LÄN</t>
        </is>
      </c>
      <c r="E67" t="inlineStr">
        <is>
          <t>LUDVIKA</t>
        </is>
      </c>
      <c r="G67" t="n">
        <v>1.1</v>
      </c>
      <c r="H67" t="n">
        <v>0</v>
      </c>
      <c r="I67" t="n">
        <v>1</v>
      </c>
      <c r="J67" t="n">
        <v>0</v>
      </c>
      <c r="K67" t="n">
        <v>0</v>
      </c>
      <c r="L67" t="n">
        <v>0</v>
      </c>
      <c r="M67" t="n">
        <v>0</v>
      </c>
      <c r="N67" t="n">
        <v>0</v>
      </c>
      <c r="O67" t="n">
        <v>0</v>
      </c>
      <c r="P67" t="n">
        <v>0</v>
      </c>
      <c r="Q67" t="n">
        <v>1</v>
      </c>
      <c r="R67" s="2" t="inlineStr">
        <is>
          <t>Rödgul trumpetsvamp</t>
        </is>
      </c>
      <c r="S67">
        <f>HYPERLINK("https://klasma.github.io/Logging_2085/artfynd/A 43226-2025 artfynd.xlsx", "A 43226-2025")</f>
        <v/>
      </c>
      <c r="T67">
        <f>HYPERLINK("https://klasma.github.io/Logging_2085/kartor/A 43226-2025 karta.png", "A 43226-2025")</f>
        <v/>
      </c>
      <c r="V67">
        <f>HYPERLINK("https://klasma.github.io/Logging_2085/klagomål/A 43226-2025 FSC-klagomål.docx", "A 43226-2025")</f>
        <v/>
      </c>
      <c r="W67">
        <f>HYPERLINK("https://klasma.github.io/Logging_2085/klagomålsmail/A 43226-2025 FSC-klagomål mail.docx", "A 43226-2025")</f>
        <v/>
      </c>
      <c r="X67">
        <f>HYPERLINK("https://klasma.github.io/Logging_2085/tillsyn/A 43226-2025 tillsynsbegäran.docx", "A 43226-2025")</f>
        <v/>
      </c>
      <c r="Y67">
        <f>HYPERLINK("https://klasma.github.io/Logging_2085/tillsynsmail/A 43226-2025 tillsynsbegäran mail.docx", "A 43226-2025")</f>
        <v/>
      </c>
    </row>
    <row r="68" ht="15" customHeight="1">
      <c r="A68" t="inlineStr">
        <is>
          <t>A 65150-2020</t>
        </is>
      </c>
      <c r="B68" s="1" t="n">
        <v>44168</v>
      </c>
      <c r="C68" s="1" t="n">
        <v>45934</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45934</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45934</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45934</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45934</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45934</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45934</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45934</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45934</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45934</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45934</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45934</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45934</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45934</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45934</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45934</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45934</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45934</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45934</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45934</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45934</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45934</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45934</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45934</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45934</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45934</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45934</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45934</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45934</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45934</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45934</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45934</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45934</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45934</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45934</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74427-2021</t>
        </is>
      </c>
      <c r="B104" s="1" t="n">
        <v>44560.42800925926</v>
      </c>
      <c r="C104" s="1" t="n">
        <v>45934</v>
      </c>
      <c r="D104" t="inlineStr">
        <is>
          <t>DALARNAS LÄN</t>
        </is>
      </c>
      <c r="E104" t="inlineStr">
        <is>
          <t>LUDVIKA</t>
        </is>
      </c>
      <c r="F104" t="inlineStr">
        <is>
          <t>Kommuner</t>
        </is>
      </c>
      <c r="G104" t="n">
        <v>0.8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45934</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61838-2020</t>
        </is>
      </c>
      <c r="B106" s="1" t="n">
        <v>44159</v>
      </c>
      <c r="C106" s="1" t="n">
        <v>45934</v>
      </c>
      <c r="D106" t="inlineStr">
        <is>
          <t>DALARNAS LÄN</t>
        </is>
      </c>
      <c r="E106" t="inlineStr">
        <is>
          <t>LUDVIKA</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15145-2022</t>
        </is>
      </c>
      <c r="B107" s="1" t="n">
        <v>44658</v>
      </c>
      <c r="C107" s="1" t="n">
        <v>45934</v>
      </c>
      <c r="D107" t="inlineStr">
        <is>
          <t>DALARNAS LÄN</t>
        </is>
      </c>
      <c r="E107" t="inlineStr">
        <is>
          <t>LUDVIKA</t>
        </is>
      </c>
      <c r="G107" t="n">
        <v>3.7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45934</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45313-2021</t>
        </is>
      </c>
      <c r="B109" s="1" t="n">
        <v>44439</v>
      </c>
      <c r="C109" s="1" t="n">
        <v>45934</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35731-2021</t>
        </is>
      </c>
      <c r="B110" s="1" t="n">
        <v>44386</v>
      </c>
      <c r="C110" s="1" t="n">
        <v>45934</v>
      </c>
      <c r="D110" t="inlineStr">
        <is>
          <t>DALARNAS LÄN</t>
        </is>
      </c>
      <c r="E110" t="inlineStr">
        <is>
          <t>LUDVIKA</t>
        </is>
      </c>
      <c r="F110" t="inlineStr">
        <is>
          <t>Kyrkan</t>
        </is>
      </c>
      <c r="G110" t="n">
        <v>2.7</v>
      </c>
      <c r="H110" t="n">
        <v>0</v>
      </c>
      <c r="I110" t="n">
        <v>0</v>
      </c>
      <c r="J110" t="n">
        <v>0</v>
      </c>
      <c r="K110" t="n">
        <v>0</v>
      </c>
      <c r="L110" t="n">
        <v>0</v>
      </c>
      <c r="M110" t="n">
        <v>0</v>
      </c>
      <c r="N110" t="n">
        <v>0</v>
      </c>
      <c r="O110" t="n">
        <v>0</v>
      </c>
      <c r="P110" t="n">
        <v>0</v>
      </c>
      <c r="Q110" t="n">
        <v>0</v>
      </c>
      <c r="R110" s="2" t="inlineStr"/>
    </row>
    <row r="111" ht="15" customHeight="1">
      <c r="A111" t="inlineStr">
        <is>
          <t>A 4551-2022</t>
        </is>
      </c>
      <c r="B111" s="1" t="n">
        <v>44590.92709490741</v>
      </c>
      <c r="C111" s="1" t="n">
        <v>45934</v>
      </c>
      <c r="D111" t="inlineStr">
        <is>
          <t>DALARNAS LÄN</t>
        </is>
      </c>
      <c r="E111" t="inlineStr">
        <is>
          <t>LUDVIKA</t>
        </is>
      </c>
      <c r="G111" t="n">
        <v>1.1</v>
      </c>
      <c r="H111" t="n">
        <v>0</v>
      </c>
      <c r="I111" t="n">
        <v>0</v>
      </c>
      <c r="J111" t="n">
        <v>0</v>
      </c>
      <c r="K111" t="n">
        <v>0</v>
      </c>
      <c r="L111" t="n">
        <v>0</v>
      </c>
      <c r="M111" t="n">
        <v>0</v>
      </c>
      <c r="N111" t="n">
        <v>0</v>
      </c>
      <c r="O111" t="n">
        <v>0</v>
      </c>
      <c r="P111" t="n">
        <v>0</v>
      </c>
      <c r="Q111" t="n">
        <v>0</v>
      </c>
      <c r="R111" s="2" t="inlineStr"/>
    </row>
    <row r="112" ht="15" customHeight="1">
      <c r="A112" t="inlineStr">
        <is>
          <t>A 9464-2022</t>
        </is>
      </c>
      <c r="B112" s="1" t="n">
        <v>44616.7841550926</v>
      </c>
      <c r="C112" s="1" t="n">
        <v>45934</v>
      </c>
      <c r="D112" t="inlineStr">
        <is>
          <t>DALARNAS LÄN</t>
        </is>
      </c>
      <c r="E112" t="inlineStr">
        <is>
          <t>LUDVIKA</t>
        </is>
      </c>
      <c r="G112" t="n">
        <v>4.1</v>
      </c>
      <c r="H112" t="n">
        <v>0</v>
      </c>
      <c r="I112" t="n">
        <v>0</v>
      </c>
      <c r="J112" t="n">
        <v>0</v>
      </c>
      <c r="K112" t="n">
        <v>0</v>
      </c>
      <c r="L112" t="n">
        <v>0</v>
      </c>
      <c r="M112" t="n">
        <v>0</v>
      </c>
      <c r="N112" t="n">
        <v>0</v>
      </c>
      <c r="O112" t="n">
        <v>0</v>
      </c>
      <c r="P112" t="n">
        <v>0</v>
      </c>
      <c r="Q112" t="n">
        <v>0</v>
      </c>
      <c r="R112" s="2" t="inlineStr"/>
    </row>
    <row r="113" ht="15" customHeight="1">
      <c r="A113" t="inlineStr">
        <is>
          <t>A 21466-2022</t>
        </is>
      </c>
      <c r="B113" s="1" t="n">
        <v>44706</v>
      </c>
      <c r="C113" s="1" t="n">
        <v>45934</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56996-2021</t>
        </is>
      </c>
      <c r="B114" s="1" t="n">
        <v>44482.46025462963</v>
      </c>
      <c r="C114" s="1" t="n">
        <v>45934</v>
      </c>
      <c r="D114" t="inlineStr">
        <is>
          <t>DALARNAS LÄN</t>
        </is>
      </c>
      <c r="E114" t="inlineStr">
        <is>
          <t>LUDVIKA</t>
        </is>
      </c>
      <c r="G114" t="n">
        <v>0.9</v>
      </c>
      <c r="H114" t="n">
        <v>0</v>
      </c>
      <c r="I114" t="n">
        <v>0</v>
      </c>
      <c r="J114" t="n">
        <v>0</v>
      </c>
      <c r="K114" t="n">
        <v>0</v>
      </c>
      <c r="L114" t="n">
        <v>0</v>
      </c>
      <c r="M114" t="n">
        <v>0</v>
      </c>
      <c r="N114" t="n">
        <v>0</v>
      </c>
      <c r="O114" t="n">
        <v>0</v>
      </c>
      <c r="P114" t="n">
        <v>0</v>
      </c>
      <c r="Q114" t="n">
        <v>0</v>
      </c>
      <c r="R114" s="2" t="inlineStr"/>
    </row>
    <row r="115" ht="15" customHeight="1">
      <c r="A115" t="inlineStr">
        <is>
          <t>A 3403-2021</t>
        </is>
      </c>
      <c r="B115" s="1" t="n">
        <v>44218</v>
      </c>
      <c r="C115" s="1" t="n">
        <v>45934</v>
      </c>
      <c r="D115" t="inlineStr">
        <is>
          <t>DALARNAS LÄN</t>
        </is>
      </c>
      <c r="E115" t="inlineStr">
        <is>
          <t>LUDVIKA</t>
        </is>
      </c>
      <c r="F115" t="inlineStr">
        <is>
          <t>Bergvik skog väst AB</t>
        </is>
      </c>
      <c r="G115" t="n">
        <v>0.3</v>
      </c>
      <c r="H115" t="n">
        <v>0</v>
      </c>
      <c r="I115" t="n">
        <v>0</v>
      </c>
      <c r="J115" t="n">
        <v>0</v>
      </c>
      <c r="K115" t="n">
        <v>0</v>
      </c>
      <c r="L115" t="n">
        <v>0</v>
      </c>
      <c r="M115" t="n">
        <v>0</v>
      </c>
      <c r="N115" t="n">
        <v>0</v>
      </c>
      <c r="O115" t="n">
        <v>0</v>
      </c>
      <c r="P115" t="n">
        <v>0</v>
      </c>
      <c r="Q115" t="n">
        <v>0</v>
      </c>
      <c r="R115" s="2" t="inlineStr"/>
    </row>
    <row r="116" ht="15" customHeight="1">
      <c r="A116" t="inlineStr">
        <is>
          <t>A 33108-2022</t>
        </is>
      </c>
      <c r="B116" s="1" t="n">
        <v>44785</v>
      </c>
      <c r="C116" s="1" t="n">
        <v>45934</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35720-2021</t>
        </is>
      </c>
      <c r="B117" s="1" t="n">
        <v>44386</v>
      </c>
      <c r="C117" s="1" t="n">
        <v>45934</v>
      </c>
      <c r="D117" t="inlineStr">
        <is>
          <t>DALARNAS LÄN</t>
        </is>
      </c>
      <c r="E117" t="inlineStr">
        <is>
          <t>LUDVIKA</t>
        </is>
      </c>
      <c r="F117" t="inlineStr">
        <is>
          <t>Kyrkan</t>
        </is>
      </c>
      <c r="G117" t="n">
        <v>1.9</v>
      </c>
      <c r="H117" t="n">
        <v>0</v>
      </c>
      <c r="I117" t="n">
        <v>0</v>
      </c>
      <c r="J117" t="n">
        <v>0</v>
      </c>
      <c r="K117" t="n">
        <v>0</v>
      </c>
      <c r="L117" t="n">
        <v>0</v>
      </c>
      <c r="M117" t="n">
        <v>0</v>
      </c>
      <c r="N117" t="n">
        <v>0</v>
      </c>
      <c r="O117" t="n">
        <v>0</v>
      </c>
      <c r="P117" t="n">
        <v>0</v>
      </c>
      <c r="Q117" t="n">
        <v>0</v>
      </c>
      <c r="R117" s="2" t="inlineStr"/>
    </row>
    <row r="118" ht="15" customHeight="1">
      <c r="A118" t="inlineStr">
        <is>
          <t>A 7073-2021</t>
        </is>
      </c>
      <c r="B118" s="1" t="n">
        <v>44237</v>
      </c>
      <c r="C118" s="1" t="n">
        <v>45934</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51886-2022</t>
        </is>
      </c>
      <c r="B119" s="1" t="n">
        <v>44872</v>
      </c>
      <c r="C119" s="1" t="n">
        <v>45934</v>
      </c>
      <c r="D119" t="inlineStr">
        <is>
          <t>DALARNAS LÄN</t>
        </is>
      </c>
      <c r="E119" t="inlineStr">
        <is>
          <t>LUDVIKA</t>
        </is>
      </c>
      <c r="F119" t="inlineStr">
        <is>
          <t>Bergvik skog väst AB</t>
        </is>
      </c>
      <c r="G119" t="n">
        <v>1.8</v>
      </c>
      <c r="H119" t="n">
        <v>0</v>
      </c>
      <c r="I119" t="n">
        <v>0</v>
      </c>
      <c r="J119" t="n">
        <v>0</v>
      </c>
      <c r="K119" t="n">
        <v>0</v>
      </c>
      <c r="L119" t="n">
        <v>0</v>
      </c>
      <c r="M119" t="n">
        <v>0</v>
      </c>
      <c r="N119" t="n">
        <v>0</v>
      </c>
      <c r="O119" t="n">
        <v>0</v>
      </c>
      <c r="P119" t="n">
        <v>0</v>
      </c>
      <c r="Q119" t="n">
        <v>0</v>
      </c>
      <c r="R119" s="2" t="inlineStr"/>
    </row>
    <row r="120" ht="15" customHeight="1">
      <c r="A120" t="inlineStr">
        <is>
          <t>A 56686-2022</t>
        </is>
      </c>
      <c r="B120" s="1" t="n">
        <v>44893</v>
      </c>
      <c r="C120" s="1" t="n">
        <v>45934</v>
      </c>
      <c r="D120" t="inlineStr">
        <is>
          <t>DALARNAS LÄN</t>
        </is>
      </c>
      <c r="E120" t="inlineStr">
        <is>
          <t>LUDVIKA</t>
        </is>
      </c>
      <c r="G120" t="n">
        <v>0.7</v>
      </c>
      <c r="H120" t="n">
        <v>0</v>
      </c>
      <c r="I120" t="n">
        <v>0</v>
      </c>
      <c r="J120" t="n">
        <v>0</v>
      </c>
      <c r="K120" t="n">
        <v>0</v>
      </c>
      <c r="L120" t="n">
        <v>0</v>
      </c>
      <c r="M120" t="n">
        <v>0</v>
      </c>
      <c r="N120" t="n">
        <v>0</v>
      </c>
      <c r="O120" t="n">
        <v>0</v>
      </c>
      <c r="P120" t="n">
        <v>0</v>
      </c>
      <c r="Q120" t="n">
        <v>0</v>
      </c>
      <c r="R120" s="2" t="inlineStr"/>
    </row>
    <row r="121" ht="15" customHeight="1">
      <c r="A121" t="inlineStr">
        <is>
          <t>A 57002-2021</t>
        </is>
      </c>
      <c r="B121" s="1" t="n">
        <v>44482.46922453704</v>
      </c>
      <c r="C121" s="1" t="n">
        <v>45934</v>
      </c>
      <c r="D121" t="inlineStr">
        <is>
          <t>DALARNAS LÄN</t>
        </is>
      </c>
      <c r="E121" t="inlineStr">
        <is>
          <t>LUDVIKA</t>
        </is>
      </c>
      <c r="G121" t="n">
        <v>3.5</v>
      </c>
      <c r="H121" t="n">
        <v>0</v>
      </c>
      <c r="I121" t="n">
        <v>0</v>
      </c>
      <c r="J121" t="n">
        <v>0</v>
      </c>
      <c r="K121" t="n">
        <v>0</v>
      </c>
      <c r="L121" t="n">
        <v>0</v>
      </c>
      <c r="M121" t="n">
        <v>0</v>
      </c>
      <c r="N121" t="n">
        <v>0</v>
      </c>
      <c r="O121" t="n">
        <v>0</v>
      </c>
      <c r="P121" t="n">
        <v>0</v>
      </c>
      <c r="Q121" t="n">
        <v>0</v>
      </c>
      <c r="R121" s="2" t="inlineStr"/>
    </row>
    <row r="122" ht="15" customHeight="1">
      <c r="A122" t="inlineStr">
        <is>
          <t>A 63267-2021</t>
        </is>
      </c>
      <c r="B122" s="1" t="n">
        <v>44508</v>
      </c>
      <c r="C122" s="1" t="n">
        <v>45934</v>
      </c>
      <c r="D122" t="inlineStr">
        <is>
          <t>DALARNAS LÄN</t>
        </is>
      </c>
      <c r="E122" t="inlineStr">
        <is>
          <t>LUDVIKA</t>
        </is>
      </c>
      <c r="F122" t="inlineStr">
        <is>
          <t>Bergvik skog väst AB</t>
        </is>
      </c>
      <c r="G122" t="n">
        <v>0.2</v>
      </c>
      <c r="H122" t="n">
        <v>0</v>
      </c>
      <c r="I122" t="n">
        <v>0</v>
      </c>
      <c r="J122" t="n">
        <v>0</v>
      </c>
      <c r="K122" t="n">
        <v>0</v>
      </c>
      <c r="L122" t="n">
        <v>0</v>
      </c>
      <c r="M122" t="n">
        <v>0</v>
      </c>
      <c r="N122" t="n">
        <v>0</v>
      </c>
      <c r="O122" t="n">
        <v>0</v>
      </c>
      <c r="P122" t="n">
        <v>0</v>
      </c>
      <c r="Q122" t="n">
        <v>0</v>
      </c>
      <c r="R122" s="2" t="inlineStr"/>
    </row>
    <row r="123" ht="15" customHeight="1">
      <c r="A123" t="inlineStr">
        <is>
          <t>A 23101-2021</t>
        </is>
      </c>
      <c r="B123" s="1" t="n">
        <v>44330.486875</v>
      </c>
      <c r="C123" s="1" t="n">
        <v>45934</v>
      </c>
      <c r="D123" t="inlineStr">
        <is>
          <t>DALARNAS LÄN</t>
        </is>
      </c>
      <c r="E123" t="inlineStr">
        <is>
          <t>LUDVIKA</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54279-2021</t>
        </is>
      </c>
      <c r="B124" s="1" t="n">
        <v>44470</v>
      </c>
      <c r="C124" s="1" t="n">
        <v>45934</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43694-2024</t>
        </is>
      </c>
      <c r="B125" s="1" t="n">
        <v>45569</v>
      </c>
      <c r="C125" s="1" t="n">
        <v>45934</v>
      </c>
      <c r="D125" t="inlineStr">
        <is>
          <t>DALARNAS LÄN</t>
        </is>
      </c>
      <c r="E125" t="inlineStr">
        <is>
          <t>LUDVIKA</t>
        </is>
      </c>
      <c r="F125" t="inlineStr">
        <is>
          <t>Bergvik skog väst AB</t>
        </is>
      </c>
      <c r="G125" t="n">
        <v>0.8</v>
      </c>
      <c r="H125" t="n">
        <v>0</v>
      </c>
      <c r="I125" t="n">
        <v>0</v>
      </c>
      <c r="J125" t="n">
        <v>0</v>
      </c>
      <c r="K125" t="n">
        <v>0</v>
      </c>
      <c r="L125" t="n">
        <v>0</v>
      </c>
      <c r="M125" t="n">
        <v>0</v>
      </c>
      <c r="N125" t="n">
        <v>0</v>
      </c>
      <c r="O125" t="n">
        <v>0</v>
      </c>
      <c r="P125" t="n">
        <v>0</v>
      </c>
      <c r="Q125" t="n">
        <v>0</v>
      </c>
      <c r="R125" s="2" t="inlineStr"/>
    </row>
    <row r="126" ht="15" customHeight="1">
      <c r="A126" t="inlineStr">
        <is>
          <t>A 63799-2020</t>
        </is>
      </c>
      <c r="B126" s="1" t="n">
        <v>44165</v>
      </c>
      <c r="C126" s="1" t="n">
        <v>45934</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22920-2022</t>
        </is>
      </c>
      <c r="B127" s="1" t="n">
        <v>44715.63222222222</v>
      </c>
      <c r="C127" s="1" t="n">
        <v>45934</v>
      </c>
      <c r="D127" t="inlineStr">
        <is>
          <t>DALARNAS LÄN</t>
        </is>
      </c>
      <c r="E127" t="inlineStr">
        <is>
          <t>LUDVIKA</t>
        </is>
      </c>
      <c r="F127" t="inlineStr">
        <is>
          <t>Bergvik skog väst AB</t>
        </is>
      </c>
      <c r="G127" t="n">
        <v>0.8</v>
      </c>
      <c r="H127" t="n">
        <v>0</v>
      </c>
      <c r="I127" t="n">
        <v>0</v>
      </c>
      <c r="J127" t="n">
        <v>0</v>
      </c>
      <c r="K127" t="n">
        <v>0</v>
      </c>
      <c r="L127" t="n">
        <v>0</v>
      </c>
      <c r="M127" t="n">
        <v>0</v>
      </c>
      <c r="N127" t="n">
        <v>0</v>
      </c>
      <c r="O127" t="n">
        <v>0</v>
      </c>
      <c r="P127" t="n">
        <v>0</v>
      </c>
      <c r="Q127" t="n">
        <v>0</v>
      </c>
      <c r="R127" s="2" t="inlineStr"/>
    </row>
    <row r="128" ht="15" customHeight="1">
      <c r="A128" t="inlineStr">
        <is>
          <t>A 49051-2024</t>
        </is>
      </c>
      <c r="B128" s="1" t="n">
        <v>45594.57820601852</v>
      </c>
      <c r="C128" s="1" t="n">
        <v>45934</v>
      </c>
      <c r="D128" t="inlineStr">
        <is>
          <t>DALARNAS LÄN</t>
        </is>
      </c>
      <c r="E128" t="inlineStr">
        <is>
          <t>LUDVIKA</t>
        </is>
      </c>
      <c r="G128" t="n">
        <v>1.8</v>
      </c>
      <c r="H128" t="n">
        <v>0</v>
      </c>
      <c r="I128" t="n">
        <v>0</v>
      </c>
      <c r="J128" t="n">
        <v>0</v>
      </c>
      <c r="K128" t="n">
        <v>0</v>
      </c>
      <c r="L128" t="n">
        <v>0</v>
      </c>
      <c r="M128" t="n">
        <v>0</v>
      </c>
      <c r="N128" t="n">
        <v>0</v>
      </c>
      <c r="O128" t="n">
        <v>0</v>
      </c>
      <c r="P128" t="n">
        <v>0</v>
      </c>
      <c r="Q128" t="n">
        <v>0</v>
      </c>
      <c r="R128" s="2" t="inlineStr"/>
    </row>
    <row r="129" ht="15" customHeight="1">
      <c r="A129" t="inlineStr">
        <is>
          <t>A 45060-2022</t>
        </is>
      </c>
      <c r="B129" s="1" t="n">
        <v>44841.75935185186</v>
      </c>
      <c r="C129" s="1" t="n">
        <v>45934</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56119-2021</t>
        </is>
      </c>
      <c r="B130" s="1" t="n">
        <v>44477</v>
      </c>
      <c r="C130" s="1" t="n">
        <v>45934</v>
      </c>
      <c r="D130" t="inlineStr">
        <is>
          <t>DALARNAS LÄN</t>
        </is>
      </c>
      <c r="E130" t="inlineStr">
        <is>
          <t>LUDVIKA</t>
        </is>
      </c>
      <c r="G130" t="n">
        <v>1.3</v>
      </c>
      <c r="H130" t="n">
        <v>0</v>
      </c>
      <c r="I130" t="n">
        <v>0</v>
      </c>
      <c r="J130" t="n">
        <v>0</v>
      </c>
      <c r="K130" t="n">
        <v>0</v>
      </c>
      <c r="L130" t="n">
        <v>0</v>
      </c>
      <c r="M130" t="n">
        <v>0</v>
      </c>
      <c r="N130" t="n">
        <v>0</v>
      </c>
      <c r="O130" t="n">
        <v>0</v>
      </c>
      <c r="P130" t="n">
        <v>0</v>
      </c>
      <c r="Q130" t="n">
        <v>0</v>
      </c>
      <c r="R130" s="2" t="inlineStr"/>
    </row>
    <row r="131" ht="15" customHeight="1">
      <c r="A131" t="inlineStr">
        <is>
          <t>A 49805-2023</t>
        </is>
      </c>
      <c r="B131" s="1" t="n">
        <v>45212.65407407407</v>
      </c>
      <c r="C131" s="1" t="n">
        <v>45934</v>
      </c>
      <c r="D131" t="inlineStr">
        <is>
          <t>DALARNAS LÄN</t>
        </is>
      </c>
      <c r="E131" t="inlineStr">
        <is>
          <t>LUDVIKA</t>
        </is>
      </c>
      <c r="G131" t="n">
        <v>1.9</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45934</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8162-2024</t>
        </is>
      </c>
      <c r="B133" s="1" t="n">
        <v>45349</v>
      </c>
      <c r="C133" s="1" t="n">
        <v>45934</v>
      </c>
      <c r="D133" t="inlineStr">
        <is>
          <t>DALARNAS LÄN</t>
        </is>
      </c>
      <c r="E133" t="inlineStr">
        <is>
          <t>LUDVIKA</t>
        </is>
      </c>
      <c r="F133" t="inlineStr">
        <is>
          <t>Allmännings- och besparingsskogar</t>
        </is>
      </c>
      <c r="G133" t="n">
        <v>6.9</v>
      </c>
      <c r="H133" t="n">
        <v>0</v>
      </c>
      <c r="I133" t="n">
        <v>0</v>
      </c>
      <c r="J133" t="n">
        <v>0</v>
      </c>
      <c r="K133" t="n">
        <v>0</v>
      </c>
      <c r="L133" t="n">
        <v>0</v>
      </c>
      <c r="M133" t="n">
        <v>0</v>
      </c>
      <c r="N133" t="n">
        <v>0</v>
      </c>
      <c r="O133" t="n">
        <v>0</v>
      </c>
      <c r="P133" t="n">
        <v>0</v>
      </c>
      <c r="Q133" t="n">
        <v>0</v>
      </c>
      <c r="R133" s="2" t="inlineStr"/>
      <c r="U133">
        <f>HYPERLINK("https://klasma.github.io/Logging_2085/knärot/A 8162-2024 karta knärot.png", "A 8162-2024")</f>
        <v/>
      </c>
      <c r="V133">
        <f>HYPERLINK("https://klasma.github.io/Logging_2085/klagomål/A 8162-2024 FSC-klagomål.docx", "A 8162-2024")</f>
        <v/>
      </c>
      <c r="W133">
        <f>HYPERLINK("https://klasma.github.io/Logging_2085/klagomålsmail/A 8162-2024 FSC-klagomål mail.docx", "A 8162-2024")</f>
        <v/>
      </c>
      <c r="X133">
        <f>HYPERLINK("https://klasma.github.io/Logging_2085/tillsyn/A 8162-2024 tillsynsbegäran.docx", "A 8162-2024")</f>
        <v/>
      </c>
      <c r="Y133">
        <f>HYPERLINK("https://klasma.github.io/Logging_2085/tillsynsmail/A 8162-2024 tillsynsbegäran mail.docx", "A 8162-2024")</f>
        <v/>
      </c>
    </row>
    <row r="134" ht="15" customHeight="1">
      <c r="A134" t="inlineStr">
        <is>
          <t>A 40582-2021</t>
        </is>
      </c>
      <c r="B134" s="1" t="n">
        <v>44420</v>
      </c>
      <c r="C134" s="1" t="n">
        <v>45934</v>
      </c>
      <c r="D134" t="inlineStr">
        <is>
          <t>DALARNAS LÄN</t>
        </is>
      </c>
      <c r="E134" t="inlineStr">
        <is>
          <t>LUDVIKA</t>
        </is>
      </c>
      <c r="G134" t="n">
        <v>2.2</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45934</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49043-2024</t>
        </is>
      </c>
      <c r="B136" s="1" t="n">
        <v>45594.5666550926</v>
      </c>
      <c r="C136" s="1" t="n">
        <v>45934</v>
      </c>
      <c r="D136" t="inlineStr">
        <is>
          <t>DALARNAS LÄN</t>
        </is>
      </c>
      <c r="E136" t="inlineStr">
        <is>
          <t>LUDVIKA</t>
        </is>
      </c>
      <c r="F136" t="inlineStr">
        <is>
          <t>Naturvårdsverket</t>
        </is>
      </c>
      <c r="G136" t="n">
        <v>2.3</v>
      </c>
      <c r="H136" t="n">
        <v>0</v>
      </c>
      <c r="I136" t="n">
        <v>0</v>
      </c>
      <c r="J136" t="n">
        <v>0</v>
      </c>
      <c r="K136" t="n">
        <v>0</v>
      </c>
      <c r="L136" t="n">
        <v>0</v>
      </c>
      <c r="M136" t="n">
        <v>0</v>
      </c>
      <c r="N136" t="n">
        <v>0</v>
      </c>
      <c r="O136" t="n">
        <v>0</v>
      </c>
      <c r="P136" t="n">
        <v>0</v>
      </c>
      <c r="Q136" t="n">
        <v>0</v>
      </c>
      <c r="R136" s="2" t="inlineStr"/>
    </row>
    <row r="137" ht="15" customHeight="1">
      <c r="A137" t="inlineStr">
        <is>
          <t>A 48922-2024</t>
        </is>
      </c>
      <c r="B137" s="1" t="n">
        <v>45594.37241898148</v>
      </c>
      <c r="C137" s="1" t="n">
        <v>45934</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3687-2024</t>
        </is>
      </c>
      <c r="B138" s="1" t="n">
        <v>45321</v>
      </c>
      <c r="C138" s="1" t="n">
        <v>45934</v>
      </c>
      <c r="D138" t="inlineStr">
        <is>
          <t>DALARNAS LÄN</t>
        </is>
      </c>
      <c r="E138" t="inlineStr">
        <is>
          <t>LUDVIKA</t>
        </is>
      </c>
      <c r="G138" t="n">
        <v>5</v>
      </c>
      <c r="H138" t="n">
        <v>0</v>
      </c>
      <c r="I138" t="n">
        <v>0</v>
      </c>
      <c r="J138" t="n">
        <v>0</v>
      </c>
      <c r="K138" t="n">
        <v>0</v>
      </c>
      <c r="L138" t="n">
        <v>0</v>
      </c>
      <c r="M138" t="n">
        <v>0</v>
      </c>
      <c r="N138" t="n">
        <v>0</v>
      </c>
      <c r="O138" t="n">
        <v>0</v>
      </c>
      <c r="P138" t="n">
        <v>0</v>
      </c>
      <c r="Q138" t="n">
        <v>0</v>
      </c>
      <c r="R138" s="2" t="inlineStr"/>
    </row>
    <row r="139" ht="15" customHeight="1">
      <c r="A139" t="inlineStr">
        <is>
          <t>A 51709-2022</t>
        </is>
      </c>
      <c r="B139" s="1" t="n">
        <v>44872</v>
      </c>
      <c r="C139" s="1" t="n">
        <v>45934</v>
      </c>
      <c r="D139" t="inlineStr">
        <is>
          <t>DALARNAS LÄN</t>
        </is>
      </c>
      <c r="E139" t="inlineStr">
        <is>
          <t>LUDVIKA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51713-2022</t>
        </is>
      </c>
      <c r="B140" s="1" t="n">
        <v>44872.4658912037</v>
      </c>
      <c r="C140" s="1" t="n">
        <v>45934</v>
      </c>
      <c r="D140" t="inlineStr">
        <is>
          <t>DALARNAS LÄN</t>
        </is>
      </c>
      <c r="E140" t="inlineStr">
        <is>
          <t>LUDVIKA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33560-2023</t>
        </is>
      </c>
      <c r="B141" s="1" t="n">
        <v>45131</v>
      </c>
      <c r="C141" s="1" t="n">
        <v>45934</v>
      </c>
      <c r="D141" t="inlineStr">
        <is>
          <t>DALARNAS LÄN</t>
        </is>
      </c>
      <c r="E141" t="inlineStr">
        <is>
          <t>LUDVIKA</t>
        </is>
      </c>
      <c r="G141" t="n">
        <v>7</v>
      </c>
      <c r="H141" t="n">
        <v>0</v>
      </c>
      <c r="I141" t="n">
        <v>0</v>
      </c>
      <c r="J141" t="n">
        <v>0</v>
      </c>
      <c r="K141" t="n">
        <v>0</v>
      </c>
      <c r="L141" t="n">
        <v>0</v>
      </c>
      <c r="M141" t="n">
        <v>0</v>
      </c>
      <c r="N141" t="n">
        <v>0</v>
      </c>
      <c r="O141" t="n">
        <v>0</v>
      </c>
      <c r="P141" t="n">
        <v>0</v>
      </c>
      <c r="Q141" t="n">
        <v>0</v>
      </c>
      <c r="R141" s="2" t="inlineStr"/>
    </row>
    <row r="142" ht="15" customHeight="1">
      <c r="A142" t="inlineStr">
        <is>
          <t>A 59351-2023</t>
        </is>
      </c>
      <c r="B142" s="1" t="n">
        <v>45253.65673611111</v>
      </c>
      <c r="C142" s="1" t="n">
        <v>45934</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53048-2024</t>
        </is>
      </c>
      <c r="B143" s="1" t="n">
        <v>45611.45319444445</v>
      </c>
      <c r="C143" s="1" t="n">
        <v>45934</v>
      </c>
      <c r="D143" t="inlineStr">
        <is>
          <t>DALARNAS LÄN</t>
        </is>
      </c>
      <c r="E143" t="inlineStr">
        <is>
          <t>LUDVIKA</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48683-2023</t>
        </is>
      </c>
      <c r="B144" s="1" t="n">
        <v>45208.65275462963</v>
      </c>
      <c r="C144" s="1" t="n">
        <v>45934</v>
      </c>
      <c r="D144" t="inlineStr">
        <is>
          <t>DALARNAS LÄN</t>
        </is>
      </c>
      <c r="E144" t="inlineStr">
        <is>
          <t>LUDVIKA</t>
        </is>
      </c>
      <c r="G144" t="n">
        <v>1.3</v>
      </c>
      <c r="H144" t="n">
        <v>0</v>
      </c>
      <c r="I144" t="n">
        <v>0</v>
      </c>
      <c r="J144" t="n">
        <v>0</v>
      </c>
      <c r="K144" t="n">
        <v>0</v>
      </c>
      <c r="L144" t="n">
        <v>0</v>
      </c>
      <c r="M144" t="n">
        <v>0</v>
      </c>
      <c r="N144" t="n">
        <v>0</v>
      </c>
      <c r="O144" t="n">
        <v>0</v>
      </c>
      <c r="P144" t="n">
        <v>0</v>
      </c>
      <c r="Q144" t="n">
        <v>0</v>
      </c>
      <c r="R144" s="2" t="inlineStr"/>
    </row>
    <row r="145" ht="15" customHeight="1">
      <c r="A145" t="inlineStr">
        <is>
          <t>A 23345-2022</t>
        </is>
      </c>
      <c r="B145" s="1" t="n">
        <v>44720</v>
      </c>
      <c r="C145" s="1" t="n">
        <v>45934</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32332-2024</t>
        </is>
      </c>
      <c r="B146" s="1" t="n">
        <v>45512.48011574074</v>
      </c>
      <c r="C146" s="1" t="n">
        <v>45934</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21145-2023</t>
        </is>
      </c>
      <c r="B147" s="1" t="n">
        <v>45062.37524305555</v>
      </c>
      <c r="C147" s="1" t="n">
        <v>45934</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39247-2021</t>
        </is>
      </c>
      <c r="B148" s="1" t="n">
        <v>44413</v>
      </c>
      <c r="C148" s="1" t="n">
        <v>45934</v>
      </c>
      <c r="D148" t="inlineStr">
        <is>
          <t>DALARNAS LÄN</t>
        </is>
      </c>
      <c r="E148" t="inlineStr">
        <is>
          <t>LUDVIKA</t>
        </is>
      </c>
      <c r="G148" t="n">
        <v>6</v>
      </c>
      <c r="H148" t="n">
        <v>0</v>
      </c>
      <c r="I148" t="n">
        <v>0</v>
      </c>
      <c r="J148" t="n">
        <v>0</v>
      </c>
      <c r="K148" t="n">
        <v>0</v>
      </c>
      <c r="L148" t="n">
        <v>0</v>
      </c>
      <c r="M148" t="n">
        <v>0</v>
      </c>
      <c r="N148" t="n">
        <v>0</v>
      </c>
      <c r="O148" t="n">
        <v>0</v>
      </c>
      <c r="P148" t="n">
        <v>0</v>
      </c>
      <c r="Q148" t="n">
        <v>0</v>
      </c>
      <c r="R148" s="2" t="inlineStr"/>
    </row>
    <row r="149" ht="15" customHeight="1">
      <c r="A149" t="inlineStr">
        <is>
          <t>A 22000-2022</t>
        </is>
      </c>
      <c r="B149" s="1" t="n">
        <v>44711</v>
      </c>
      <c r="C149" s="1" t="n">
        <v>45934</v>
      </c>
      <c r="D149" t="inlineStr">
        <is>
          <t>DALARNAS LÄN</t>
        </is>
      </c>
      <c r="E149" t="inlineStr">
        <is>
          <t>LUDVIKA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15851-2024</t>
        </is>
      </c>
      <c r="B150" s="1" t="n">
        <v>45404.89207175926</v>
      </c>
      <c r="C150" s="1" t="n">
        <v>45934</v>
      </c>
      <c r="D150" t="inlineStr">
        <is>
          <t>DALARNAS LÄN</t>
        </is>
      </c>
      <c r="E150" t="inlineStr">
        <is>
          <t>LUDVIKA</t>
        </is>
      </c>
      <c r="G150" t="n">
        <v>5.2</v>
      </c>
      <c r="H150" t="n">
        <v>0</v>
      </c>
      <c r="I150" t="n">
        <v>0</v>
      </c>
      <c r="J150" t="n">
        <v>0</v>
      </c>
      <c r="K150" t="n">
        <v>0</v>
      </c>
      <c r="L150" t="n">
        <v>0</v>
      </c>
      <c r="M150" t="n">
        <v>0</v>
      </c>
      <c r="N150" t="n">
        <v>0</v>
      </c>
      <c r="O150" t="n">
        <v>0</v>
      </c>
      <c r="P150" t="n">
        <v>0</v>
      </c>
      <c r="Q150" t="n">
        <v>0</v>
      </c>
      <c r="R150" s="2" t="inlineStr"/>
    </row>
    <row r="151" ht="15" customHeight="1">
      <c r="A151" t="inlineStr">
        <is>
          <t>A 41400-2022</t>
        </is>
      </c>
      <c r="B151" s="1" t="n">
        <v>44826</v>
      </c>
      <c r="C151" s="1" t="n">
        <v>45934</v>
      </c>
      <c r="D151" t="inlineStr">
        <is>
          <t>DALARNAS LÄN</t>
        </is>
      </c>
      <c r="E151" t="inlineStr">
        <is>
          <t>LUDVIKA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60787-2024</t>
        </is>
      </c>
      <c r="B152" s="1" t="n">
        <v>45644.59155092593</v>
      </c>
      <c r="C152" s="1" t="n">
        <v>45934</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57557-2023</t>
        </is>
      </c>
      <c r="B153" s="1" t="n">
        <v>45246</v>
      </c>
      <c r="C153" s="1" t="n">
        <v>45934</v>
      </c>
      <c r="D153" t="inlineStr">
        <is>
          <t>DALARNAS LÄN</t>
        </is>
      </c>
      <c r="E153" t="inlineStr">
        <is>
          <t>LUDVIKA</t>
        </is>
      </c>
      <c r="G153" t="n">
        <v>12.7</v>
      </c>
      <c r="H153" t="n">
        <v>0</v>
      </c>
      <c r="I153" t="n">
        <v>0</v>
      </c>
      <c r="J153" t="n">
        <v>0</v>
      </c>
      <c r="K153" t="n">
        <v>0</v>
      </c>
      <c r="L153" t="n">
        <v>0</v>
      </c>
      <c r="M153" t="n">
        <v>0</v>
      </c>
      <c r="N153" t="n">
        <v>0</v>
      </c>
      <c r="O153" t="n">
        <v>0</v>
      </c>
      <c r="P153" t="n">
        <v>0</v>
      </c>
      <c r="Q153" t="n">
        <v>0</v>
      </c>
      <c r="R153" s="2" t="inlineStr"/>
    </row>
    <row r="154" ht="15" customHeight="1">
      <c r="A154" t="inlineStr">
        <is>
          <t>A 52853-2020</t>
        </is>
      </c>
      <c r="B154" s="1" t="n">
        <v>44119</v>
      </c>
      <c r="C154" s="1" t="n">
        <v>45934</v>
      </c>
      <c r="D154" t="inlineStr">
        <is>
          <t>DALARNAS LÄN</t>
        </is>
      </c>
      <c r="E154" t="inlineStr">
        <is>
          <t>LUDVIKA</t>
        </is>
      </c>
      <c r="G154" t="n">
        <v>28</v>
      </c>
      <c r="H154" t="n">
        <v>0</v>
      </c>
      <c r="I154" t="n">
        <v>0</v>
      </c>
      <c r="J154" t="n">
        <v>0</v>
      </c>
      <c r="K154" t="n">
        <v>0</v>
      </c>
      <c r="L154" t="n">
        <v>0</v>
      </c>
      <c r="M154" t="n">
        <v>0</v>
      </c>
      <c r="N154" t="n">
        <v>0</v>
      </c>
      <c r="O154" t="n">
        <v>0</v>
      </c>
      <c r="P154" t="n">
        <v>0</v>
      </c>
      <c r="Q154" t="n">
        <v>0</v>
      </c>
      <c r="R154" s="2" t="inlineStr"/>
    </row>
    <row r="155" ht="15" customHeight="1">
      <c r="A155" t="inlineStr">
        <is>
          <t>A 3277-2024</t>
        </is>
      </c>
      <c r="B155" s="1" t="n">
        <v>45317.4196875</v>
      </c>
      <c r="C155" s="1" t="n">
        <v>45934</v>
      </c>
      <c r="D155" t="inlineStr">
        <is>
          <t>DALARNAS LÄN</t>
        </is>
      </c>
      <c r="E155" t="inlineStr">
        <is>
          <t>LUDVIKA</t>
        </is>
      </c>
      <c r="G155" t="n">
        <v>0.3</v>
      </c>
      <c r="H155" t="n">
        <v>0</v>
      </c>
      <c r="I155" t="n">
        <v>0</v>
      </c>
      <c r="J155" t="n">
        <v>0</v>
      </c>
      <c r="K155" t="n">
        <v>0</v>
      </c>
      <c r="L155" t="n">
        <v>0</v>
      </c>
      <c r="M155" t="n">
        <v>0</v>
      </c>
      <c r="N155" t="n">
        <v>0</v>
      </c>
      <c r="O155" t="n">
        <v>0</v>
      </c>
      <c r="P155" t="n">
        <v>0</v>
      </c>
      <c r="Q155" t="n">
        <v>0</v>
      </c>
      <c r="R155" s="2" t="inlineStr"/>
    </row>
    <row r="156" ht="15" customHeight="1">
      <c r="A156" t="inlineStr">
        <is>
          <t>A 6151-2024</t>
        </is>
      </c>
      <c r="B156" s="1" t="n">
        <v>45337</v>
      </c>
      <c r="C156" s="1" t="n">
        <v>45934</v>
      </c>
      <c r="D156" t="inlineStr">
        <is>
          <t>DALARNAS LÄN</t>
        </is>
      </c>
      <c r="E156" t="inlineStr">
        <is>
          <t>LUDVIKA</t>
        </is>
      </c>
      <c r="G156" t="n">
        <v>1.7</v>
      </c>
      <c r="H156" t="n">
        <v>0</v>
      </c>
      <c r="I156" t="n">
        <v>0</v>
      </c>
      <c r="J156" t="n">
        <v>0</v>
      </c>
      <c r="K156" t="n">
        <v>0</v>
      </c>
      <c r="L156" t="n">
        <v>0</v>
      </c>
      <c r="M156" t="n">
        <v>0</v>
      </c>
      <c r="N156" t="n">
        <v>0</v>
      </c>
      <c r="O156" t="n">
        <v>0</v>
      </c>
      <c r="P156" t="n">
        <v>0</v>
      </c>
      <c r="Q156" t="n">
        <v>0</v>
      </c>
      <c r="R156" s="2" t="inlineStr"/>
    </row>
    <row r="157" ht="15" customHeight="1">
      <c r="A157" t="inlineStr">
        <is>
          <t>A 51160-2023</t>
        </is>
      </c>
      <c r="B157" s="1" t="n">
        <v>45219.37885416667</v>
      </c>
      <c r="C157" s="1" t="n">
        <v>45934</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53106-2024</t>
        </is>
      </c>
      <c r="B158" s="1" t="n">
        <v>45611.55626157407</v>
      </c>
      <c r="C158" s="1" t="n">
        <v>45934</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49177-2024</t>
        </is>
      </c>
      <c r="B159" s="1" t="n">
        <v>45595.33203703703</v>
      </c>
      <c r="C159" s="1" t="n">
        <v>45934</v>
      </c>
      <c r="D159" t="inlineStr">
        <is>
          <t>DALARNAS LÄN</t>
        </is>
      </c>
      <c r="E159" t="inlineStr">
        <is>
          <t>LUDVIKA</t>
        </is>
      </c>
      <c r="G159" t="n">
        <v>1.8</v>
      </c>
      <c r="H159" t="n">
        <v>0</v>
      </c>
      <c r="I159" t="n">
        <v>0</v>
      </c>
      <c r="J159" t="n">
        <v>0</v>
      </c>
      <c r="K159" t="n">
        <v>0</v>
      </c>
      <c r="L159" t="n">
        <v>0</v>
      </c>
      <c r="M159" t="n">
        <v>0</v>
      </c>
      <c r="N159" t="n">
        <v>0</v>
      </c>
      <c r="O159" t="n">
        <v>0</v>
      </c>
      <c r="P159" t="n">
        <v>0</v>
      </c>
      <c r="Q159" t="n">
        <v>0</v>
      </c>
      <c r="R159" s="2" t="inlineStr"/>
    </row>
    <row r="160" ht="15" customHeight="1">
      <c r="A160" t="inlineStr">
        <is>
          <t>A 49676-2024</t>
        </is>
      </c>
      <c r="B160" s="1" t="n">
        <v>45596.66278935185</v>
      </c>
      <c r="C160" s="1" t="n">
        <v>45934</v>
      </c>
      <c r="D160" t="inlineStr">
        <is>
          <t>DALARNAS LÄN</t>
        </is>
      </c>
      <c r="E160" t="inlineStr">
        <is>
          <t>LUDVIKA</t>
        </is>
      </c>
      <c r="F160" t="inlineStr">
        <is>
          <t>Bergvik skog väst AB</t>
        </is>
      </c>
      <c r="G160" t="n">
        <v>3.5</v>
      </c>
      <c r="H160" t="n">
        <v>0</v>
      </c>
      <c r="I160" t="n">
        <v>0</v>
      </c>
      <c r="J160" t="n">
        <v>0</v>
      </c>
      <c r="K160" t="n">
        <v>0</v>
      </c>
      <c r="L160" t="n">
        <v>0</v>
      </c>
      <c r="M160" t="n">
        <v>0</v>
      </c>
      <c r="N160" t="n">
        <v>0</v>
      </c>
      <c r="O160" t="n">
        <v>0</v>
      </c>
      <c r="P160" t="n">
        <v>0</v>
      </c>
      <c r="Q160" t="n">
        <v>0</v>
      </c>
      <c r="R160" s="2" t="inlineStr"/>
    </row>
    <row r="161" ht="15" customHeight="1">
      <c r="A161" t="inlineStr">
        <is>
          <t>A 43981-2024</t>
        </is>
      </c>
      <c r="B161" s="1" t="n">
        <v>45572.4962037037</v>
      </c>
      <c r="C161" s="1" t="n">
        <v>45934</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42213-2024</t>
        </is>
      </c>
      <c r="B162" s="1" t="n">
        <v>45562.53810185185</v>
      </c>
      <c r="C162" s="1" t="n">
        <v>45934</v>
      </c>
      <c r="D162" t="inlineStr">
        <is>
          <t>DALARNAS LÄN</t>
        </is>
      </c>
      <c r="E162" t="inlineStr">
        <is>
          <t>LUDVIKA</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42254-2024</t>
        </is>
      </c>
      <c r="B163" s="1" t="n">
        <v>45562.58427083334</v>
      </c>
      <c r="C163" s="1" t="n">
        <v>45934</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49035-2024</t>
        </is>
      </c>
      <c r="B164" s="1" t="n">
        <v>45594.55173611111</v>
      </c>
      <c r="C164" s="1" t="n">
        <v>45934</v>
      </c>
      <c r="D164" t="inlineStr">
        <is>
          <t>DALARNAS LÄN</t>
        </is>
      </c>
      <c r="E164" t="inlineStr">
        <is>
          <t>LUDVIKA</t>
        </is>
      </c>
      <c r="F164" t="inlineStr">
        <is>
          <t>Naturvårdsverket</t>
        </is>
      </c>
      <c r="G164" t="n">
        <v>2</v>
      </c>
      <c r="H164" t="n">
        <v>0</v>
      </c>
      <c r="I164" t="n">
        <v>0</v>
      </c>
      <c r="J164" t="n">
        <v>0</v>
      </c>
      <c r="K164" t="n">
        <v>0</v>
      </c>
      <c r="L164" t="n">
        <v>0</v>
      </c>
      <c r="M164" t="n">
        <v>0</v>
      </c>
      <c r="N164" t="n">
        <v>0</v>
      </c>
      <c r="O164" t="n">
        <v>0</v>
      </c>
      <c r="P164" t="n">
        <v>0</v>
      </c>
      <c r="Q164" t="n">
        <v>0</v>
      </c>
      <c r="R164" s="2" t="inlineStr"/>
    </row>
    <row r="165" ht="15" customHeight="1">
      <c r="A165" t="inlineStr">
        <is>
          <t>A 52929-2020</t>
        </is>
      </c>
      <c r="B165" s="1" t="n">
        <v>44120</v>
      </c>
      <c r="C165" s="1" t="n">
        <v>45934</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9292-2021</t>
        </is>
      </c>
      <c r="B166" s="1" t="n">
        <v>44249</v>
      </c>
      <c r="C166" s="1" t="n">
        <v>45934</v>
      </c>
      <c r="D166" t="inlineStr">
        <is>
          <t>DALARNAS LÄN</t>
        </is>
      </c>
      <c r="E166" t="inlineStr">
        <is>
          <t>LUDVIKA</t>
        </is>
      </c>
      <c r="G166" t="n">
        <v>5.1</v>
      </c>
      <c r="H166" t="n">
        <v>0</v>
      </c>
      <c r="I166" t="n">
        <v>0</v>
      </c>
      <c r="J166" t="n">
        <v>0</v>
      </c>
      <c r="K166" t="n">
        <v>0</v>
      </c>
      <c r="L166" t="n">
        <v>0</v>
      </c>
      <c r="M166" t="n">
        <v>0</v>
      </c>
      <c r="N166" t="n">
        <v>0</v>
      </c>
      <c r="O166" t="n">
        <v>0</v>
      </c>
      <c r="P166" t="n">
        <v>0</v>
      </c>
      <c r="Q166" t="n">
        <v>0</v>
      </c>
      <c r="R166" s="2" t="inlineStr"/>
    </row>
    <row r="167" ht="15" customHeight="1">
      <c r="A167" t="inlineStr">
        <is>
          <t>A 48774-2024</t>
        </is>
      </c>
      <c r="B167" s="1" t="n">
        <v>45593</v>
      </c>
      <c r="C167" s="1" t="n">
        <v>45934</v>
      </c>
      <c r="D167" t="inlineStr">
        <is>
          <t>DALARNAS LÄN</t>
        </is>
      </c>
      <c r="E167" t="inlineStr">
        <is>
          <t>LUDVIKA</t>
        </is>
      </c>
      <c r="F167" t="inlineStr">
        <is>
          <t>Bergvik skog väst AB</t>
        </is>
      </c>
      <c r="G167" t="n">
        <v>5.7</v>
      </c>
      <c r="H167" t="n">
        <v>0</v>
      </c>
      <c r="I167" t="n">
        <v>0</v>
      </c>
      <c r="J167" t="n">
        <v>0</v>
      </c>
      <c r="K167" t="n">
        <v>0</v>
      </c>
      <c r="L167" t="n">
        <v>0</v>
      </c>
      <c r="M167" t="n">
        <v>0</v>
      </c>
      <c r="N167" t="n">
        <v>0</v>
      </c>
      <c r="O167" t="n">
        <v>0</v>
      </c>
      <c r="P167" t="n">
        <v>0</v>
      </c>
      <c r="Q167" t="n">
        <v>0</v>
      </c>
      <c r="R167" s="2" t="inlineStr"/>
    </row>
    <row r="168" ht="15" customHeight="1">
      <c r="A168" t="inlineStr">
        <is>
          <t>A 61621-2022</t>
        </is>
      </c>
      <c r="B168" s="1" t="n">
        <v>44916.67578703703</v>
      </c>
      <c r="C168" s="1" t="n">
        <v>45934</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37392-2023</t>
        </is>
      </c>
      <c r="B169" s="1" t="n">
        <v>45156</v>
      </c>
      <c r="C169" s="1" t="n">
        <v>45934</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18187-2025</t>
        </is>
      </c>
      <c r="B170" s="1" t="n">
        <v>45761.66826388889</v>
      </c>
      <c r="C170" s="1" t="n">
        <v>45934</v>
      </c>
      <c r="D170" t="inlineStr">
        <is>
          <t>DALARNAS LÄN</t>
        </is>
      </c>
      <c r="E170" t="inlineStr">
        <is>
          <t>LUDVIKA</t>
        </is>
      </c>
      <c r="G170" t="n">
        <v>1.9</v>
      </c>
      <c r="H170" t="n">
        <v>0</v>
      </c>
      <c r="I170" t="n">
        <v>0</v>
      </c>
      <c r="J170" t="n">
        <v>0</v>
      </c>
      <c r="K170" t="n">
        <v>0</v>
      </c>
      <c r="L170" t="n">
        <v>0</v>
      </c>
      <c r="M170" t="n">
        <v>0</v>
      </c>
      <c r="N170" t="n">
        <v>0</v>
      </c>
      <c r="O170" t="n">
        <v>0</v>
      </c>
      <c r="P170" t="n">
        <v>0</v>
      </c>
      <c r="Q170" t="n">
        <v>0</v>
      </c>
      <c r="R170" s="2" t="inlineStr"/>
    </row>
    <row r="171" ht="15" customHeight="1">
      <c r="A171" t="inlineStr">
        <is>
          <t>A 55485-2024</t>
        </is>
      </c>
      <c r="B171" s="1" t="n">
        <v>45622.44318287037</v>
      </c>
      <c r="C171" s="1" t="n">
        <v>45934</v>
      </c>
      <c r="D171" t="inlineStr">
        <is>
          <t>DALARNAS LÄN</t>
        </is>
      </c>
      <c r="E171" t="inlineStr">
        <is>
          <t>LUDVIKA</t>
        </is>
      </c>
      <c r="F171" t="inlineStr">
        <is>
          <t>Naturvårdsverket</t>
        </is>
      </c>
      <c r="G171" t="n">
        <v>0.3</v>
      </c>
      <c r="H171" t="n">
        <v>0</v>
      </c>
      <c r="I171" t="n">
        <v>0</v>
      </c>
      <c r="J171" t="n">
        <v>0</v>
      </c>
      <c r="K171" t="n">
        <v>0</v>
      </c>
      <c r="L171" t="n">
        <v>0</v>
      </c>
      <c r="M171" t="n">
        <v>0</v>
      </c>
      <c r="N171" t="n">
        <v>0</v>
      </c>
      <c r="O171" t="n">
        <v>0</v>
      </c>
      <c r="P171" t="n">
        <v>0</v>
      </c>
      <c r="Q171" t="n">
        <v>0</v>
      </c>
      <c r="R171" s="2" t="inlineStr"/>
    </row>
    <row r="172" ht="15" customHeight="1">
      <c r="A172" t="inlineStr">
        <is>
          <t>A 49060-2023</t>
        </is>
      </c>
      <c r="B172" s="1" t="n">
        <v>45210</v>
      </c>
      <c r="C172" s="1" t="n">
        <v>45934</v>
      </c>
      <c r="D172" t="inlineStr">
        <is>
          <t>DALARNAS LÄN</t>
        </is>
      </c>
      <c r="E172" t="inlineStr">
        <is>
          <t>LUDVIKA</t>
        </is>
      </c>
      <c r="F172" t="inlineStr">
        <is>
          <t>Naturvårdsverket</t>
        </is>
      </c>
      <c r="G172" t="n">
        <v>0.8</v>
      </c>
      <c r="H172" t="n">
        <v>0</v>
      </c>
      <c r="I172" t="n">
        <v>0</v>
      </c>
      <c r="J172" t="n">
        <v>0</v>
      </c>
      <c r="K172" t="n">
        <v>0</v>
      </c>
      <c r="L172" t="n">
        <v>0</v>
      </c>
      <c r="M172" t="n">
        <v>0</v>
      </c>
      <c r="N172" t="n">
        <v>0</v>
      </c>
      <c r="O172" t="n">
        <v>0</v>
      </c>
      <c r="P172" t="n">
        <v>0</v>
      </c>
      <c r="Q172" t="n">
        <v>0</v>
      </c>
      <c r="R172" s="2" t="inlineStr"/>
    </row>
    <row r="173" ht="15" customHeight="1">
      <c r="A173" t="inlineStr">
        <is>
          <t>A 49114-2023</t>
        </is>
      </c>
      <c r="B173" s="1" t="n">
        <v>45210</v>
      </c>
      <c r="C173" s="1" t="n">
        <v>45934</v>
      </c>
      <c r="D173" t="inlineStr">
        <is>
          <t>DALARNAS LÄN</t>
        </is>
      </c>
      <c r="E173" t="inlineStr">
        <is>
          <t>LUDVIKA</t>
        </is>
      </c>
      <c r="F173" t="inlineStr">
        <is>
          <t>Naturvårdsverket</t>
        </is>
      </c>
      <c r="G173" t="n">
        <v>4</v>
      </c>
      <c r="H173" t="n">
        <v>0</v>
      </c>
      <c r="I173" t="n">
        <v>0</v>
      </c>
      <c r="J173" t="n">
        <v>0</v>
      </c>
      <c r="K173" t="n">
        <v>0</v>
      </c>
      <c r="L173" t="n">
        <v>0</v>
      </c>
      <c r="M173" t="n">
        <v>0</v>
      </c>
      <c r="N173" t="n">
        <v>0</v>
      </c>
      <c r="O173" t="n">
        <v>0</v>
      </c>
      <c r="P173" t="n">
        <v>0</v>
      </c>
      <c r="Q173" t="n">
        <v>0</v>
      </c>
      <c r="R173" s="2" t="inlineStr"/>
    </row>
    <row r="174" ht="15" customHeight="1">
      <c r="A174" t="inlineStr">
        <is>
          <t>A 11436-2024</t>
        </is>
      </c>
      <c r="B174" s="1" t="n">
        <v>45372.5358912037</v>
      </c>
      <c r="C174" s="1" t="n">
        <v>45934</v>
      </c>
      <c r="D174" t="inlineStr">
        <is>
          <t>DALARNAS LÄN</t>
        </is>
      </c>
      <c r="E174" t="inlineStr">
        <is>
          <t>LUDVIKA</t>
        </is>
      </c>
      <c r="G174" t="n">
        <v>0.5</v>
      </c>
      <c r="H174" t="n">
        <v>0</v>
      </c>
      <c r="I174" t="n">
        <v>0</v>
      </c>
      <c r="J174" t="n">
        <v>0</v>
      </c>
      <c r="K174" t="n">
        <v>0</v>
      </c>
      <c r="L174" t="n">
        <v>0</v>
      </c>
      <c r="M174" t="n">
        <v>0</v>
      </c>
      <c r="N174" t="n">
        <v>0</v>
      </c>
      <c r="O174" t="n">
        <v>0</v>
      </c>
      <c r="P174" t="n">
        <v>0</v>
      </c>
      <c r="Q174" t="n">
        <v>0</v>
      </c>
      <c r="R174" s="2" t="inlineStr"/>
    </row>
    <row r="175" ht="15" customHeight="1">
      <c r="A175" t="inlineStr">
        <is>
          <t>A 47366-2023</t>
        </is>
      </c>
      <c r="B175" s="1" t="n">
        <v>45202.59850694444</v>
      </c>
      <c r="C175" s="1" t="n">
        <v>45934</v>
      </c>
      <c r="D175" t="inlineStr">
        <is>
          <t>DALARNAS LÄN</t>
        </is>
      </c>
      <c r="E175" t="inlineStr">
        <is>
          <t>LUDVIKA</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44262-2025</t>
        </is>
      </c>
      <c r="B176" s="1" t="n">
        <v>45916.0008912037</v>
      </c>
      <c r="C176" s="1" t="n">
        <v>45934</v>
      </c>
      <c r="D176" t="inlineStr">
        <is>
          <t>DALARNAS LÄN</t>
        </is>
      </c>
      <c r="E176" t="inlineStr">
        <is>
          <t>LUDVIKA</t>
        </is>
      </c>
      <c r="G176" t="n">
        <v>3</v>
      </c>
      <c r="H176" t="n">
        <v>0</v>
      </c>
      <c r="I176" t="n">
        <v>0</v>
      </c>
      <c r="J176" t="n">
        <v>0</v>
      </c>
      <c r="K176" t="n">
        <v>0</v>
      </c>
      <c r="L176" t="n">
        <v>0</v>
      </c>
      <c r="M176" t="n">
        <v>0</v>
      </c>
      <c r="N176" t="n">
        <v>0</v>
      </c>
      <c r="O176" t="n">
        <v>0</v>
      </c>
      <c r="P176" t="n">
        <v>0</v>
      </c>
      <c r="Q176" t="n">
        <v>0</v>
      </c>
      <c r="R176" s="2" t="inlineStr"/>
    </row>
    <row r="177" ht="15" customHeight="1">
      <c r="A177" t="inlineStr">
        <is>
          <t>A 37121-2025</t>
        </is>
      </c>
      <c r="B177" s="1" t="n">
        <v>45875.51950231481</v>
      </c>
      <c r="C177" s="1" t="n">
        <v>45934</v>
      </c>
      <c r="D177" t="inlineStr">
        <is>
          <t>DALARNAS LÄN</t>
        </is>
      </c>
      <c r="E177" t="inlineStr">
        <is>
          <t>LUDVIKA</t>
        </is>
      </c>
      <c r="G177" t="n">
        <v>0.9</v>
      </c>
      <c r="H177" t="n">
        <v>0</v>
      </c>
      <c r="I177" t="n">
        <v>0</v>
      </c>
      <c r="J177" t="n">
        <v>0</v>
      </c>
      <c r="K177" t="n">
        <v>0</v>
      </c>
      <c r="L177" t="n">
        <v>0</v>
      </c>
      <c r="M177" t="n">
        <v>0</v>
      </c>
      <c r="N177" t="n">
        <v>0</v>
      </c>
      <c r="O177" t="n">
        <v>0</v>
      </c>
      <c r="P177" t="n">
        <v>0</v>
      </c>
      <c r="Q177" t="n">
        <v>0</v>
      </c>
      <c r="R177" s="2" t="inlineStr"/>
    </row>
    <row r="178" ht="15" customHeight="1">
      <c r="A178" t="inlineStr">
        <is>
          <t>A 44690-2025</t>
        </is>
      </c>
      <c r="B178" s="1" t="n">
        <v>45917.59390046296</v>
      </c>
      <c r="C178" s="1" t="n">
        <v>45934</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44261-2025</t>
        </is>
      </c>
      <c r="B179" s="1" t="n">
        <v>45915.99416666666</v>
      </c>
      <c r="C179" s="1" t="n">
        <v>45934</v>
      </c>
      <c r="D179" t="inlineStr">
        <is>
          <t>DALARNAS LÄN</t>
        </is>
      </c>
      <c r="E179" t="inlineStr">
        <is>
          <t>LUDVIKA</t>
        </is>
      </c>
      <c r="G179" t="n">
        <v>1.8</v>
      </c>
      <c r="H179" t="n">
        <v>0</v>
      </c>
      <c r="I179" t="n">
        <v>0</v>
      </c>
      <c r="J179" t="n">
        <v>0</v>
      </c>
      <c r="K179" t="n">
        <v>0</v>
      </c>
      <c r="L179" t="n">
        <v>0</v>
      </c>
      <c r="M179" t="n">
        <v>0</v>
      </c>
      <c r="N179" t="n">
        <v>0</v>
      </c>
      <c r="O179" t="n">
        <v>0</v>
      </c>
      <c r="P179" t="n">
        <v>0</v>
      </c>
      <c r="Q179" t="n">
        <v>0</v>
      </c>
      <c r="R179" s="2" t="inlineStr"/>
    </row>
    <row r="180" ht="15" customHeight="1">
      <c r="A180" t="inlineStr">
        <is>
          <t>A 37129-2025</t>
        </is>
      </c>
      <c r="B180" s="1" t="n">
        <v>45875.54314814815</v>
      </c>
      <c r="C180" s="1" t="n">
        <v>45934</v>
      </c>
      <c r="D180" t="inlineStr">
        <is>
          <t>DALARNAS LÄN</t>
        </is>
      </c>
      <c r="E180" t="inlineStr">
        <is>
          <t>LUDVIKA</t>
        </is>
      </c>
      <c r="G180" t="n">
        <v>3.9</v>
      </c>
      <c r="H180" t="n">
        <v>0</v>
      </c>
      <c r="I180" t="n">
        <v>0</v>
      </c>
      <c r="J180" t="n">
        <v>0</v>
      </c>
      <c r="K180" t="n">
        <v>0</v>
      </c>
      <c r="L180" t="n">
        <v>0</v>
      </c>
      <c r="M180" t="n">
        <v>0</v>
      </c>
      <c r="N180" t="n">
        <v>0</v>
      </c>
      <c r="O180" t="n">
        <v>0</v>
      </c>
      <c r="P180" t="n">
        <v>0</v>
      </c>
      <c r="Q180" t="n">
        <v>0</v>
      </c>
      <c r="R180" s="2" t="inlineStr"/>
    </row>
    <row r="181" ht="15" customHeight="1">
      <c r="A181" t="inlineStr">
        <is>
          <t>A 44987-2025</t>
        </is>
      </c>
      <c r="B181" s="1" t="n">
        <v>45918.65405092593</v>
      </c>
      <c r="C181" s="1" t="n">
        <v>45934</v>
      </c>
      <c r="D181" t="inlineStr">
        <is>
          <t>DALARNAS LÄN</t>
        </is>
      </c>
      <c r="E181" t="inlineStr">
        <is>
          <t>LUDVIKA</t>
        </is>
      </c>
      <c r="F181" t="inlineStr">
        <is>
          <t>Bergvik skog väst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18189-2025</t>
        </is>
      </c>
      <c r="B182" s="1" t="n">
        <v>45761.67243055555</v>
      </c>
      <c r="C182" s="1" t="n">
        <v>45934</v>
      </c>
      <c r="D182" t="inlineStr">
        <is>
          <t>DALARNAS LÄN</t>
        </is>
      </c>
      <c r="E182" t="inlineStr">
        <is>
          <t>LUDVIKA</t>
        </is>
      </c>
      <c r="G182" t="n">
        <v>0.9</v>
      </c>
      <c r="H182" t="n">
        <v>0</v>
      </c>
      <c r="I182" t="n">
        <v>0</v>
      </c>
      <c r="J182" t="n">
        <v>0</v>
      </c>
      <c r="K182" t="n">
        <v>0</v>
      </c>
      <c r="L182" t="n">
        <v>0</v>
      </c>
      <c r="M182" t="n">
        <v>0</v>
      </c>
      <c r="N182" t="n">
        <v>0</v>
      </c>
      <c r="O182" t="n">
        <v>0</v>
      </c>
      <c r="P182" t="n">
        <v>0</v>
      </c>
      <c r="Q182" t="n">
        <v>0</v>
      </c>
      <c r="R182" s="2" t="inlineStr"/>
    </row>
    <row r="183" ht="15" customHeight="1">
      <c r="A183" t="inlineStr">
        <is>
          <t>A 44879-2025</t>
        </is>
      </c>
      <c r="B183" s="1" t="n">
        <v>45918.47898148148</v>
      </c>
      <c r="C183" s="1" t="n">
        <v>45934</v>
      </c>
      <c r="D183" t="inlineStr">
        <is>
          <t>DALARNAS LÄN</t>
        </is>
      </c>
      <c r="E183" t="inlineStr">
        <is>
          <t>LUDVIKA</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55281-2024</t>
        </is>
      </c>
      <c r="B184" s="1" t="n">
        <v>45621.62696759259</v>
      </c>
      <c r="C184" s="1" t="n">
        <v>45934</v>
      </c>
      <c r="D184" t="inlineStr">
        <is>
          <t>DALARNAS LÄN</t>
        </is>
      </c>
      <c r="E184" t="inlineStr">
        <is>
          <t>LUDVIKA</t>
        </is>
      </c>
      <c r="F184" t="inlineStr">
        <is>
          <t>Naturvårdsverket</t>
        </is>
      </c>
      <c r="G184" t="n">
        <v>1.3</v>
      </c>
      <c r="H184" t="n">
        <v>0</v>
      </c>
      <c r="I184" t="n">
        <v>0</v>
      </c>
      <c r="J184" t="n">
        <v>0</v>
      </c>
      <c r="K184" t="n">
        <v>0</v>
      </c>
      <c r="L184" t="n">
        <v>0</v>
      </c>
      <c r="M184" t="n">
        <v>0</v>
      </c>
      <c r="N184" t="n">
        <v>0</v>
      </c>
      <c r="O184" t="n">
        <v>0</v>
      </c>
      <c r="P184" t="n">
        <v>0</v>
      </c>
      <c r="Q184" t="n">
        <v>0</v>
      </c>
      <c r="R184" s="2" t="inlineStr"/>
    </row>
    <row r="185" ht="15" customHeight="1">
      <c r="A185" t="inlineStr">
        <is>
          <t>A 40142-2022</t>
        </is>
      </c>
      <c r="B185" s="1" t="n">
        <v>44820.5415162037</v>
      </c>
      <c r="C185" s="1" t="n">
        <v>45934</v>
      </c>
      <c r="D185" t="inlineStr">
        <is>
          <t>DALARNAS LÄN</t>
        </is>
      </c>
      <c r="E185" t="inlineStr">
        <is>
          <t>LUDVIKA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40151-2022</t>
        </is>
      </c>
      <c r="B186" s="1" t="n">
        <v>44820.55396990741</v>
      </c>
      <c r="C186" s="1" t="n">
        <v>45934</v>
      </c>
      <c r="D186" t="inlineStr">
        <is>
          <t>DALARNAS LÄN</t>
        </is>
      </c>
      <c r="E186" t="inlineStr">
        <is>
          <t>LUDVIKA</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21741-2022</t>
        </is>
      </c>
      <c r="B187" s="1" t="n">
        <v>44708.380625</v>
      </c>
      <c r="C187" s="1" t="n">
        <v>45934</v>
      </c>
      <c r="D187" t="inlineStr">
        <is>
          <t>DALARNAS LÄN</t>
        </is>
      </c>
      <c r="E187" t="inlineStr">
        <is>
          <t>LUDVIKA</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45934</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60660-2024</t>
        </is>
      </c>
      <c r="B189" s="1" t="n">
        <v>45644.44615740741</v>
      </c>
      <c r="C189" s="1" t="n">
        <v>45934</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9725-2025</t>
        </is>
      </c>
      <c r="B190" s="1" t="n">
        <v>45716.41461805555</v>
      </c>
      <c r="C190" s="1" t="n">
        <v>45934</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53104-2024</t>
        </is>
      </c>
      <c r="B191" s="1" t="n">
        <v>45611.551875</v>
      </c>
      <c r="C191" s="1" t="n">
        <v>45934</v>
      </c>
      <c r="D191" t="inlineStr">
        <is>
          <t>DALARNAS LÄN</t>
        </is>
      </c>
      <c r="E191" t="inlineStr">
        <is>
          <t>LUDVIKA</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51015-2023</t>
        </is>
      </c>
      <c r="B192" s="1" t="n">
        <v>45218.58079861111</v>
      </c>
      <c r="C192" s="1" t="n">
        <v>45934</v>
      </c>
      <c r="D192" t="inlineStr">
        <is>
          <t>DALARNAS LÄN</t>
        </is>
      </c>
      <c r="E192" t="inlineStr">
        <is>
          <t>LUDVIKA</t>
        </is>
      </c>
      <c r="G192" t="n">
        <v>5.9</v>
      </c>
      <c r="H192" t="n">
        <v>0</v>
      </c>
      <c r="I192" t="n">
        <v>0</v>
      </c>
      <c r="J192" t="n">
        <v>0</v>
      </c>
      <c r="K192" t="n">
        <v>0</v>
      </c>
      <c r="L192" t="n">
        <v>0</v>
      </c>
      <c r="M192" t="n">
        <v>0</v>
      </c>
      <c r="N192" t="n">
        <v>0</v>
      </c>
      <c r="O192" t="n">
        <v>0</v>
      </c>
      <c r="P192" t="n">
        <v>0</v>
      </c>
      <c r="Q192" t="n">
        <v>0</v>
      </c>
      <c r="R192" s="2" t="inlineStr"/>
    </row>
    <row r="193" ht="15" customHeight="1">
      <c r="A193" t="inlineStr">
        <is>
          <t>A 59346-2024</t>
        </is>
      </c>
      <c r="B193" s="1" t="n">
        <v>45637.99482638889</v>
      </c>
      <c r="C193" s="1" t="n">
        <v>45934</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48642-2022</t>
        </is>
      </c>
      <c r="B194" s="1" t="n">
        <v>44859.42164351852</v>
      </c>
      <c r="C194" s="1" t="n">
        <v>45934</v>
      </c>
      <c r="D194" t="inlineStr">
        <is>
          <t>DALARNAS LÄN</t>
        </is>
      </c>
      <c r="E194" t="inlineStr">
        <is>
          <t>LUDVIKA</t>
        </is>
      </c>
      <c r="F194" t="inlineStr">
        <is>
          <t>Naturvårdsverket</t>
        </is>
      </c>
      <c r="G194" t="n">
        <v>1.5</v>
      </c>
      <c r="H194" t="n">
        <v>0</v>
      </c>
      <c r="I194" t="n">
        <v>0</v>
      </c>
      <c r="J194" t="n">
        <v>0</v>
      </c>
      <c r="K194" t="n">
        <v>0</v>
      </c>
      <c r="L194" t="n">
        <v>0</v>
      </c>
      <c r="M194" t="n">
        <v>0</v>
      </c>
      <c r="N194" t="n">
        <v>0</v>
      </c>
      <c r="O194" t="n">
        <v>0</v>
      </c>
      <c r="P194" t="n">
        <v>0</v>
      </c>
      <c r="Q194" t="n">
        <v>0</v>
      </c>
      <c r="R194" s="2" t="inlineStr"/>
    </row>
    <row r="195" ht="15" customHeight="1">
      <c r="A195" t="inlineStr">
        <is>
          <t>A 31958-2024</t>
        </is>
      </c>
      <c r="B195" s="1" t="n">
        <v>45510.51506944445</v>
      </c>
      <c r="C195" s="1" t="n">
        <v>45934</v>
      </c>
      <c r="D195" t="inlineStr">
        <is>
          <t>DALARNAS LÄN</t>
        </is>
      </c>
      <c r="E195" t="inlineStr">
        <is>
          <t>LUDVIKA</t>
        </is>
      </c>
      <c r="G195" t="n">
        <v>1.1</v>
      </c>
      <c r="H195" t="n">
        <v>0</v>
      </c>
      <c r="I195" t="n">
        <v>0</v>
      </c>
      <c r="J195" t="n">
        <v>0</v>
      </c>
      <c r="K195" t="n">
        <v>0</v>
      </c>
      <c r="L195" t="n">
        <v>0</v>
      </c>
      <c r="M195" t="n">
        <v>0</v>
      </c>
      <c r="N195" t="n">
        <v>0</v>
      </c>
      <c r="O195" t="n">
        <v>0</v>
      </c>
      <c r="P195" t="n">
        <v>0</v>
      </c>
      <c r="Q195" t="n">
        <v>0</v>
      </c>
      <c r="R195" s="2" t="inlineStr"/>
    </row>
    <row r="196" ht="15" customHeight="1">
      <c r="A196" t="inlineStr">
        <is>
          <t>A 18724-2022</t>
        </is>
      </c>
      <c r="B196" s="1" t="n">
        <v>44687.67511574074</v>
      </c>
      <c r="C196" s="1" t="n">
        <v>45934</v>
      </c>
      <c r="D196" t="inlineStr">
        <is>
          <t>DALARNAS LÄN</t>
        </is>
      </c>
      <c r="E196" t="inlineStr">
        <is>
          <t>LUDVIKA</t>
        </is>
      </c>
      <c r="G196" t="n">
        <v>4.3</v>
      </c>
      <c r="H196" t="n">
        <v>0</v>
      </c>
      <c r="I196" t="n">
        <v>0</v>
      </c>
      <c r="J196" t="n">
        <v>0</v>
      </c>
      <c r="K196" t="n">
        <v>0</v>
      </c>
      <c r="L196" t="n">
        <v>0</v>
      </c>
      <c r="M196" t="n">
        <v>0</v>
      </c>
      <c r="N196" t="n">
        <v>0</v>
      </c>
      <c r="O196" t="n">
        <v>0</v>
      </c>
      <c r="P196" t="n">
        <v>0</v>
      </c>
      <c r="Q196" t="n">
        <v>0</v>
      </c>
      <c r="R196" s="2" t="inlineStr"/>
    </row>
    <row r="197" ht="15" customHeight="1">
      <c r="A197" t="inlineStr">
        <is>
          <t>A 17999-2025</t>
        </is>
      </c>
      <c r="B197" s="1" t="n">
        <v>45761</v>
      </c>
      <c r="C197" s="1" t="n">
        <v>45934</v>
      </c>
      <c r="D197" t="inlineStr">
        <is>
          <t>DALARNAS LÄN</t>
        </is>
      </c>
      <c r="E197" t="inlineStr">
        <is>
          <t>LUDVIKA</t>
        </is>
      </c>
      <c r="F197" t="inlineStr">
        <is>
          <t>Naturvårdsverket</t>
        </is>
      </c>
      <c r="G197" t="n">
        <v>0.9</v>
      </c>
      <c r="H197" t="n">
        <v>0</v>
      </c>
      <c r="I197" t="n">
        <v>0</v>
      </c>
      <c r="J197" t="n">
        <v>0</v>
      </c>
      <c r="K197" t="n">
        <v>0</v>
      </c>
      <c r="L197" t="n">
        <v>0</v>
      </c>
      <c r="M197" t="n">
        <v>0</v>
      </c>
      <c r="N197" t="n">
        <v>0</v>
      </c>
      <c r="O197" t="n">
        <v>0</v>
      </c>
      <c r="P197" t="n">
        <v>0</v>
      </c>
      <c r="Q197" t="n">
        <v>0</v>
      </c>
      <c r="R197" s="2" t="inlineStr"/>
    </row>
    <row r="198" ht="15" customHeight="1">
      <c r="A198" t="inlineStr">
        <is>
          <t>A 58072-2024</t>
        </is>
      </c>
      <c r="B198" s="1" t="n">
        <v>45632.01575231482</v>
      </c>
      <c r="C198" s="1" t="n">
        <v>45934</v>
      </c>
      <c r="D198" t="inlineStr">
        <is>
          <t>DALARNAS LÄN</t>
        </is>
      </c>
      <c r="E198" t="inlineStr">
        <is>
          <t>LUDVIKA</t>
        </is>
      </c>
      <c r="G198" t="n">
        <v>0.8</v>
      </c>
      <c r="H198" t="n">
        <v>0</v>
      </c>
      <c r="I198" t="n">
        <v>0</v>
      </c>
      <c r="J198" t="n">
        <v>0</v>
      </c>
      <c r="K198" t="n">
        <v>0</v>
      </c>
      <c r="L198" t="n">
        <v>0</v>
      </c>
      <c r="M198" t="n">
        <v>0</v>
      </c>
      <c r="N198" t="n">
        <v>0</v>
      </c>
      <c r="O198" t="n">
        <v>0</v>
      </c>
      <c r="P198" t="n">
        <v>0</v>
      </c>
      <c r="Q198" t="n">
        <v>0</v>
      </c>
      <c r="R198" s="2" t="inlineStr"/>
    </row>
    <row r="199" ht="15" customHeight="1">
      <c r="A199" t="inlineStr">
        <is>
          <t>A 58090-2024</t>
        </is>
      </c>
      <c r="B199" s="1" t="n">
        <v>45632.35070601852</v>
      </c>
      <c r="C199" s="1" t="n">
        <v>45934</v>
      </c>
      <c r="D199" t="inlineStr">
        <is>
          <t>DALARNAS LÄN</t>
        </is>
      </c>
      <c r="E199" t="inlineStr">
        <is>
          <t>LUDVIKA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45361-2022</t>
        </is>
      </c>
      <c r="B200" s="1" t="n">
        <v>44844.62275462963</v>
      </c>
      <c r="C200" s="1" t="n">
        <v>45934</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45649-2025</t>
        </is>
      </c>
      <c r="B201" s="1" t="n">
        <v>45923.32206018519</v>
      </c>
      <c r="C201" s="1" t="n">
        <v>45934</v>
      </c>
      <c r="D201" t="inlineStr">
        <is>
          <t>DALARNAS LÄN</t>
        </is>
      </c>
      <c r="E201" t="inlineStr">
        <is>
          <t>LUDVIKA</t>
        </is>
      </c>
      <c r="G201" t="n">
        <v>12.3</v>
      </c>
      <c r="H201" t="n">
        <v>0</v>
      </c>
      <c r="I201" t="n">
        <v>0</v>
      </c>
      <c r="J201" t="n">
        <v>0</v>
      </c>
      <c r="K201" t="n">
        <v>0</v>
      </c>
      <c r="L201" t="n">
        <v>0</v>
      </c>
      <c r="M201" t="n">
        <v>0</v>
      </c>
      <c r="N201" t="n">
        <v>0</v>
      </c>
      <c r="O201" t="n">
        <v>0</v>
      </c>
      <c r="P201" t="n">
        <v>0</v>
      </c>
      <c r="Q201" t="n">
        <v>0</v>
      </c>
      <c r="R201" s="2" t="inlineStr"/>
    </row>
    <row r="202" ht="15" customHeight="1">
      <c r="A202" t="inlineStr">
        <is>
          <t>A 32301-2024</t>
        </is>
      </c>
      <c r="B202" s="1" t="n">
        <v>45512.44429398148</v>
      </c>
      <c r="C202" s="1" t="n">
        <v>45934</v>
      </c>
      <c r="D202" t="inlineStr">
        <is>
          <t>DALARNAS LÄN</t>
        </is>
      </c>
      <c r="E202" t="inlineStr">
        <is>
          <t>LUDVIKA</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61054-2024</t>
        </is>
      </c>
      <c r="B203" s="1" t="n">
        <v>45645</v>
      </c>
      <c r="C203" s="1" t="n">
        <v>45934</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47071-2022</t>
        </is>
      </c>
      <c r="B204" s="1" t="n">
        <v>44852</v>
      </c>
      <c r="C204" s="1" t="n">
        <v>45934</v>
      </c>
      <c r="D204" t="inlineStr">
        <is>
          <t>DALARNAS LÄN</t>
        </is>
      </c>
      <c r="E204" t="inlineStr">
        <is>
          <t>LUDVIKA</t>
        </is>
      </c>
      <c r="G204" t="n">
        <v>1.2</v>
      </c>
      <c r="H204" t="n">
        <v>0</v>
      </c>
      <c r="I204" t="n">
        <v>0</v>
      </c>
      <c r="J204" t="n">
        <v>0</v>
      </c>
      <c r="K204" t="n">
        <v>0</v>
      </c>
      <c r="L204" t="n">
        <v>0</v>
      </c>
      <c r="M204" t="n">
        <v>0</v>
      </c>
      <c r="N204" t="n">
        <v>0</v>
      </c>
      <c r="O204" t="n">
        <v>0</v>
      </c>
      <c r="P204" t="n">
        <v>0</v>
      </c>
      <c r="Q204" t="n">
        <v>0</v>
      </c>
      <c r="R204" s="2" t="inlineStr"/>
    </row>
    <row r="205" ht="15" customHeight="1">
      <c r="A205" t="inlineStr">
        <is>
          <t>A 56621-2023</t>
        </is>
      </c>
      <c r="B205" s="1" t="n">
        <v>45243.68557870371</v>
      </c>
      <c r="C205" s="1" t="n">
        <v>45934</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35353-2024</t>
        </is>
      </c>
      <c r="B206" s="1" t="n">
        <v>45531.30570601852</v>
      </c>
      <c r="C206" s="1" t="n">
        <v>45934</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41616-2024</t>
        </is>
      </c>
      <c r="B207" s="1" t="n">
        <v>45560.59856481481</v>
      </c>
      <c r="C207" s="1" t="n">
        <v>45934</v>
      </c>
      <c r="D207" t="inlineStr">
        <is>
          <t>DALARNAS LÄN</t>
        </is>
      </c>
      <c r="E207" t="inlineStr">
        <is>
          <t>LUDVIKA</t>
        </is>
      </c>
      <c r="F207" t="inlineStr">
        <is>
          <t>Bergvik skog väst AB</t>
        </is>
      </c>
      <c r="G207" t="n">
        <v>4.4</v>
      </c>
      <c r="H207" t="n">
        <v>0</v>
      </c>
      <c r="I207" t="n">
        <v>0</v>
      </c>
      <c r="J207" t="n">
        <v>0</v>
      </c>
      <c r="K207" t="n">
        <v>0</v>
      </c>
      <c r="L207" t="n">
        <v>0</v>
      </c>
      <c r="M207" t="n">
        <v>0</v>
      </c>
      <c r="N207" t="n">
        <v>0</v>
      </c>
      <c r="O207" t="n">
        <v>0</v>
      </c>
      <c r="P207" t="n">
        <v>0</v>
      </c>
      <c r="Q207" t="n">
        <v>0</v>
      </c>
      <c r="R207" s="2" t="inlineStr"/>
    </row>
    <row r="208" ht="15" customHeight="1">
      <c r="A208" t="inlineStr">
        <is>
          <t>A 5672-2023</t>
        </is>
      </c>
      <c r="B208" s="1" t="n">
        <v>44960.65628472222</v>
      </c>
      <c r="C208" s="1" t="n">
        <v>45934</v>
      </c>
      <c r="D208" t="inlineStr">
        <is>
          <t>DALARNAS LÄN</t>
        </is>
      </c>
      <c r="E208" t="inlineStr">
        <is>
          <t>LUDVIKA</t>
        </is>
      </c>
      <c r="F208" t="inlineStr">
        <is>
          <t>Naturvårdsverket</t>
        </is>
      </c>
      <c r="G208" t="n">
        <v>2.7</v>
      </c>
      <c r="H208" t="n">
        <v>0</v>
      </c>
      <c r="I208" t="n">
        <v>0</v>
      </c>
      <c r="J208" t="n">
        <v>0</v>
      </c>
      <c r="K208" t="n">
        <v>0</v>
      </c>
      <c r="L208" t="n">
        <v>0</v>
      </c>
      <c r="M208" t="n">
        <v>0</v>
      </c>
      <c r="N208" t="n">
        <v>0</v>
      </c>
      <c r="O208" t="n">
        <v>0</v>
      </c>
      <c r="P208" t="n">
        <v>0</v>
      </c>
      <c r="Q208" t="n">
        <v>0</v>
      </c>
      <c r="R208" s="2" t="inlineStr"/>
    </row>
    <row r="209" ht="15" customHeight="1">
      <c r="A209" t="inlineStr">
        <is>
          <t>A 33345-2024</t>
        </is>
      </c>
      <c r="B209" s="1" t="n">
        <v>45519</v>
      </c>
      <c r="C209" s="1" t="n">
        <v>45934</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45858-2025</t>
        </is>
      </c>
      <c r="B210" s="1" t="n">
        <v>45923.64064814815</v>
      </c>
      <c r="C210" s="1" t="n">
        <v>45934</v>
      </c>
      <c r="D210" t="inlineStr">
        <is>
          <t>DALARNAS LÄN</t>
        </is>
      </c>
      <c r="E210" t="inlineStr">
        <is>
          <t>LUDVIKA</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42128-2024</t>
        </is>
      </c>
      <c r="B211" s="1" t="n">
        <v>45562.40503472222</v>
      </c>
      <c r="C211" s="1" t="n">
        <v>45934</v>
      </c>
      <c r="D211" t="inlineStr">
        <is>
          <t>DALARNAS LÄN</t>
        </is>
      </c>
      <c r="E211" t="inlineStr">
        <is>
          <t>LUDVIKA</t>
        </is>
      </c>
      <c r="G211" t="n">
        <v>3.1</v>
      </c>
      <c r="H211" t="n">
        <v>0</v>
      </c>
      <c r="I211" t="n">
        <v>0</v>
      </c>
      <c r="J211" t="n">
        <v>0</v>
      </c>
      <c r="K211" t="n">
        <v>0</v>
      </c>
      <c r="L211" t="n">
        <v>0</v>
      </c>
      <c r="M211" t="n">
        <v>0</v>
      </c>
      <c r="N211" t="n">
        <v>0</v>
      </c>
      <c r="O211" t="n">
        <v>0</v>
      </c>
      <c r="P211" t="n">
        <v>0</v>
      </c>
      <c r="Q211" t="n">
        <v>0</v>
      </c>
      <c r="R211" s="2" t="inlineStr"/>
    </row>
    <row r="212" ht="15" customHeight="1">
      <c r="A212" t="inlineStr">
        <is>
          <t>A 33673-2022</t>
        </is>
      </c>
      <c r="B212" s="1" t="n">
        <v>44789</v>
      </c>
      <c r="C212" s="1" t="n">
        <v>45934</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45151-2025</t>
        </is>
      </c>
      <c r="B213" s="1" t="n">
        <v>45919</v>
      </c>
      <c r="C213" s="1" t="n">
        <v>45934</v>
      </c>
      <c r="D213" t="inlineStr">
        <is>
          <t>DALARNAS LÄN</t>
        </is>
      </c>
      <c r="E213" t="inlineStr">
        <is>
          <t>LUDVIKA</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27528-2025</t>
        </is>
      </c>
      <c r="B214" s="1" t="n">
        <v>45813</v>
      </c>
      <c r="C214" s="1" t="n">
        <v>45934</v>
      </c>
      <c r="D214" t="inlineStr">
        <is>
          <t>DALARNAS LÄN</t>
        </is>
      </c>
      <c r="E214" t="inlineStr">
        <is>
          <t>LUDVIKA</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34868-2025</t>
        </is>
      </c>
      <c r="B215" s="1" t="n">
        <v>45849</v>
      </c>
      <c r="C215" s="1" t="n">
        <v>45934</v>
      </c>
      <c r="D215" t="inlineStr">
        <is>
          <t>DALARNAS LÄN</t>
        </is>
      </c>
      <c r="E215" t="inlineStr">
        <is>
          <t>LUDVIKA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56680-2022</t>
        </is>
      </c>
      <c r="B216" s="1" t="n">
        <v>44893.67267361111</v>
      </c>
      <c r="C216" s="1" t="n">
        <v>45934</v>
      </c>
      <c r="D216" t="inlineStr">
        <is>
          <t>DALARNAS LÄN</t>
        </is>
      </c>
      <c r="E216" t="inlineStr">
        <is>
          <t>LUDVIKA</t>
        </is>
      </c>
      <c r="G216" t="n">
        <v>0.4</v>
      </c>
      <c r="H216" t="n">
        <v>0</v>
      </c>
      <c r="I216" t="n">
        <v>0</v>
      </c>
      <c r="J216" t="n">
        <v>0</v>
      </c>
      <c r="K216" t="n">
        <v>0</v>
      </c>
      <c r="L216" t="n">
        <v>0</v>
      </c>
      <c r="M216" t="n">
        <v>0</v>
      </c>
      <c r="N216" t="n">
        <v>0</v>
      </c>
      <c r="O216" t="n">
        <v>0</v>
      </c>
      <c r="P216" t="n">
        <v>0</v>
      </c>
      <c r="Q216" t="n">
        <v>0</v>
      </c>
      <c r="R216" s="2" t="inlineStr"/>
    </row>
    <row r="217" ht="15" customHeight="1">
      <c r="A217" t="inlineStr">
        <is>
          <t>A 45259-2025</t>
        </is>
      </c>
      <c r="B217" s="1" t="n">
        <v>45919</v>
      </c>
      <c r="C217" s="1" t="n">
        <v>45934</v>
      </c>
      <c r="D217" t="inlineStr">
        <is>
          <t>DALARNAS LÄN</t>
        </is>
      </c>
      <c r="E217" t="inlineStr">
        <is>
          <t>LUDVIKA</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41731-2025</t>
        </is>
      </c>
      <c r="B218" s="1" t="n">
        <v>45902</v>
      </c>
      <c r="C218" s="1" t="n">
        <v>45934</v>
      </c>
      <c r="D218" t="inlineStr">
        <is>
          <t>DALARNAS LÄN</t>
        </is>
      </c>
      <c r="E218" t="inlineStr">
        <is>
          <t>LUDVIKA</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41737-2025</t>
        </is>
      </c>
      <c r="B219" s="1" t="n">
        <v>45902</v>
      </c>
      <c r="C219" s="1" t="n">
        <v>45934</v>
      </c>
      <c r="D219" t="inlineStr">
        <is>
          <t>DALARNAS LÄN</t>
        </is>
      </c>
      <c r="E219" t="inlineStr">
        <is>
          <t>LUDVIKA</t>
        </is>
      </c>
      <c r="F219" t="inlineStr">
        <is>
          <t>Bergvik skog väst AB</t>
        </is>
      </c>
      <c r="G219" t="n">
        <v>1.9</v>
      </c>
      <c r="H219" t="n">
        <v>0</v>
      </c>
      <c r="I219" t="n">
        <v>0</v>
      </c>
      <c r="J219" t="n">
        <v>0</v>
      </c>
      <c r="K219" t="n">
        <v>0</v>
      </c>
      <c r="L219" t="n">
        <v>0</v>
      </c>
      <c r="M219" t="n">
        <v>0</v>
      </c>
      <c r="N219" t="n">
        <v>0</v>
      </c>
      <c r="O219" t="n">
        <v>0</v>
      </c>
      <c r="P219" t="n">
        <v>0</v>
      </c>
      <c r="Q219" t="n">
        <v>0</v>
      </c>
      <c r="R219" s="2" t="inlineStr"/>
    </row>
    <row r="220" ht="15" customHeight="1">
      <c r="A220" t="inlineStr">
        <is>
          <t>A 73703-2021</t>
        </is>
      </c>
      <c r="B220" s="1" t="n">
        <v>44552</v>
      </c>
      <c r="C220" s="1" t="n">
        <v>45934</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46040-2025</t>
        </is>
      </c>
      <c r="B221" s="1" t="n">
        <v>45924.45159722222</v>
      </c>
      <c r="C221" s="1" t="n">
        <v>45934</v>
      </c>
      <c r="D221" t="inlineStr">
        <is>
          <t>DALARNAS LÄN</t>
        </is>
      </c>
      <c r="E221" t="inlineStr">
        <is>
          <t>LUDVIKA</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46108-2025</t>
        </is>
      </c>
      <c r="B222" s="1" t="n">
        <v>45924.55571759259</v>
      </c>
      <c r="C222" s="1" t="n">
        <v>45934</v>
      </c>
      <c r="D222" t="inlineStr">
        <is>
          <t>DALARNAS LÄN</t>
        </is>
      </c>
      <c r="E222" t="inlineStr">
        <is>
          <t>LUDVIKA</t>
        </is>
      </c>
      <c r="F222" t="inlineStr">
        <is>
          <t>Bergvik skog väst AB</t>
        </is>
      </c>
      <c r="G222" t="n">
        <v>17.2</v>
      </c>
      <c r="H222" t="n">
        <v>0</v>
      </c>
      <c r="I222" t="n">
        <v>0</v>
      </c>
      <c r="J222" t="n">
        <v>0</v>
      </c>
      <c r="K222" t="n">
        <v>0</v>
      </c>
      <c r="L222" t="n">
        <v>0</v>
      </c>
      <c r="M222" t="n">
        <v>0</v>
      </c>
      <c r="N222" t="n">
        <v>0</v>
      </c>
      <c r="O222" t="n">
        <v>0</v>
      </c>
      <c r="P222" t="n">
        <v>0</v>
      </c>
      <c r="Q222" t="n">
        <v>0</v>
      </c>
      <c r="R222" s="2" t="inlineStr"/>
    </row>
    <row r="223" ht="15" customHeight="1">
      <c r="A223" t="inlineStr">
        <is>
          <t>A 22555-2023</t>
        </is>
      </c>
      <c r="B223" s="1" t="n">
        <v>45071.44364583334</v>
      </c>
      <c r="C223" s="1" t="n">
        <v>45934</v>
      </c>
      <c r="D223" t="inlineStr">
        <is>
          <t>DALARNAS LÄN</t>
        </is>
      </c>
      <c r="E223" t="inlineStr">
        <is>
          <t>LUDVIKA</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41249-2025</t>
        </is>
      </c>
      <c r="B224" s="1" t="n">
        <v>45898</v>
      </c>
      <c r="C224" s="1" t="n">
        <v>45934</v>
      </c>
      <c r="D224" t="inlineStr">
        <is>
          <t>DALARNAS LÄN</t>
        </is>
      </c>
      <c r="E224" t="inlineStr">
        <is>
          <t>LUDVIKA</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47671-2024</t>
        </is>
      </c>
      <c r="B225" s="1" t="n">
        <v>45588.39844907408</v>
      </c>
      <c r="C225" s="1" t="n">
        <v>45934</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45934</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19226-2025</t>
        </is>
      </c>
      <c r="B227" s="1" t="n">
        <v>45769</v>
      </c>
      <c r="C227" s="1" t="n">
        <v>45934</v>
      </c>
      <c r="D227" t="inlineStr">
        <is>
          <t>DALARNAS LÄN</t>
        </is>
      </c>
      <c r="E227" t="inlineStr">
        <is>
          <t>LUDVIKA</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55218-2024</t>
        </is>
      </c>
      <c r="B228" s="1" t="n">
        <v>45621.57195601852</v>
      </c>
      <c r="C228" s="1" t="n">
        <v>45934</v>
      </c>
      <c r="D228" t="inlineStr">
        <is>
          <t>DALARNAS LÄN</t>
        </is>
      </c>
      <c r="E228" t="inlineStr">
        <is>
          <t>LUDVIKA</t>
        </is>
      </c>
      <c r="F228" t="inlineStr">
        <is>
          <t>Naturvårdsverket</t>
        </is>
      </c>
      <c r="G228" t="n">
        <v>1.6</v>
      </c>
      <c r="H228" t="n">
        <v>0</v>
      </c>
      <c r="I228" t="n">
        <v>0</v>
      </c>
      <c r="J228" t="n">
        <v>0</v>
      </c>
      <c r="K228" t="n">
        <v>0</v>
      </c>
      <c r="L228" t="n">
        <v>0</v>
      </c>
      <c r="M228" t="n">
        <v>0</v>
      </c>
      <c r="N228" t="n">
        <v>0</v>
      </c>
      <c r="O228" t="n">
        <v>0</v>
      </c>
      <c r="P228" t="n">
        <v>0</v>
      </c>
      <c r="Q228" t="n">
        <v>0</v>
      </c>
      <c r="R228" s="2" t="inlineStr"/>
    </row>
    <row r="229" ht="15" customHeight="1">
      <c r="A229" t="inlineStr">
        <is>
          <t>A 13809-2025</t>
        </is>
      </c>
      <c r="B229" s="1" t="n">
        <v>45737.49886574074</v>
      </c>
      <c r="C229" s="1" t="n">
        <v>45934</v>
      </c>
      <c r="D229" t="inlineStr">
        <is>
          <t>DALARNAS LÄN</t>
        </is>
      </c>
      <c r="E229" t="inlineStr">
        <is>
          <t>LUDVIKA</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3280-2024</t>
        </is>
      </c>
      <c r="B230" s="1" t="n">
        <v>45317</v>
      </c>
      <c r="C230" s="1" t="n">
        <v>45934</v>
      </c>
      <c r="D230" t="inlineStr">
        <is>
          <t>DALARNAS LÄN</t>
        </is>
      </c>
      <c r="E230" t="inlineStr">
        <is>
          <t>LUDVIKA</t>
        </is>
      </c>
      <c r="G230" t="n">
        <v>0.4</v>
      </c>
      <c r="H230" t="n">
        <v>0</v>
      </c>
      <c r="I230" t="n">
        <v>0</v>
      </c>
      <c r="J230" t="n">
        <v>0</v>
      </c>
      <c r="K230" t="n">
        <v>0</v>
      </c>
      <c r="L230" t="n">
        <v>0</v>
      </c>
      <c r="M230" t="n">
        <v>0</v>
      </c>
      <c r="N230" t="n">
        <v>0</v>
      </c>
      <c r="O230" t="n">
        <v>0</v>
      </c>
      <c r="P230" t="n">
        <v>0</v>
      </c>
      <c r="Q230" t="n">
        <v>0</v>
      </c>
      <c r="R230" s="2" t="inlineStr"/>
    </row>
    <row r="231" ht="15" customHeight="1">
      <c r="A231" t="inlineStr">
        <is>
          <t>A 38446-2025</t>
        </is>
      </c>
      <c r="B231" s="1" t="n">
        <v>45883.65762731482</v>
      </c>
      <c r="C231" s="1" t="n">
        <v>45934</v>
      </c>
      <c r="D231" t="inlineStr">
        <is>
          <t>DALARNAS LÄN</t>
        </is>
      </c>
      <c r="E231" t="inlineStr">
        <is>
          <t>LUDVIKA</t>
        </is>
      </c>
      <c r="G231" t="n">
        <v>0.8</v>
      </c>
      <c r="H231" t="n">
        <v>0</v>
      </c>
      <c r="I231" t="n">
        <v>0</v>
      </c>
      <c r="J231" t="n">
        <v>0</v>
      </c>
      <c r="K231" t="n">
        <v>0</v>
      </c>
      <c r="L231" t="n">
        <v>0</v>
      </c>
      <c r="M231" t="n">
        <v>0</v>
      </c>
      <c r="N231" t="n">
        <v>0</v>
      </c>
      <c r="O231" t="n">
        <v>0</v>
      </c>
      <c r="P231" t="n">
        <v>0</v>
      </c>
      <c r="Q231" t="n">
        <v>0</v>
      </c>
      <c r="R231" s="2" t="inlineStr"/>
    </row>
    <row r="232" ht="15" customHeight="1">
      <c r="A232" t="inlineStr">
        <is>
          <t>A 34875-2025</t>
        </is>
      </c>
      <c r="B232" s="1" t="n">
        <v>45849</v>
      </c>
      <c r="C232" s="1" t="n">
        <v>45934</v>
      </c>
      <c r="D232" t="inlineStr">
        <is>
          <t>DALARNAS LÄN</t>
        </is>
      </c>
      <c r="E232" t="inlineStr">
        <is>
          <t>LUDVIKA</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3470-2025</t>
        </is>
      </c>
      <c r="B233" s="1" t="n">
        <v>45680.5206712963</v>
      </c>
      <c r="C233" s="1" t="n">
        <v>45934</v>
      </c>
      <c r="D233" t="inlineStr">
        <is>
          <t>DALARNAS LÄN</t>
        </is>
      </c>
      <c r="E233" t="inlineStr">
        <is>
          <t>LUDVIKA</t>
        </is>
      </c>
      <c r="G233" t="n">
        <v>0.7</v>
      </c>
      <c r="H233" t="n">
        <v>0</v>
      </c>
      <c r="I233" t="n">
        <v>0</v>
      </c>
      <c r="J233" t="n">
        <v>0</v>
      </c>
      <c r="K233" t="n">
        <v>0</v>
      </c>
      <c r="L233" t="n">
        <v>0</v>
      </c>
      <c r="M233" t="n">
        <v>0</v>
      </c>
      <c r="N233" t="n">
        <v>0</v>
      </c>
      <c r="O233" t="n">
        <v>0</v>
      </c>
      <c r="P233" t="n">
        <v>0</v>
      </c>
      <c r="Q233" t="n">
        <v>0</v>
      </c>
      <c r="R233" s="2" t="inlineStr"/>
    </row>
    <row r="234" ht="15" customHeight="1">
      <c r="A234" t="inlineStr">
        <is>
          <t>A 27389-2024</t>
        </is>
      </c>
      <c r="B234" s="1" t="n">
        <v>45474.31796296296</v>
      </c>
      <c r="C234" s="1" t="n">
        <v>45934</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46045-2025</t>
        </is>
      </c>
      <c r="B235" s="1" t="n">
        <v>45924.45614583333</v>
      </c>
      <c r="C235" s="1" t="n">
        <v>45934</v>
      </c>
      <c r="D235" t="inlineStr">
        <is>
          <t>DALARNAS LÄN</t>
        </is>
      </c>
      <c r="E235" t="inlineStr">
        <is>
          <t>LUDVIKA</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44520-2023</t>
        </is>
      </c>
      <c r="B236" s="1" t="n">
        <v>45189</v>
      </c>
      <c r="C236" s="1" t="n">
        <v>45934</v>
      </c>
      <c r="D236" t="inlineStr">
        <is>
          <t>DALARNAS LÄN</t>
        </is>
      </c>
      <c r="E236" t="inlineStr">
        <is>
          <t>LUDVIKA</t>
        </is>
      </c>
      <c r="G236" t="n">
        <v>0.7</v>
      </c>
      <c r="H236" t="n">
        <v>0</v>
      </c>
      <c r="I236" t="n">
        <v>0</v>
      </c>
      <c r="J236" t="n">
        <v>0</v>
      </c>
      <c r="K236" t="n">
        <v>0</v>
      </c>
      <c r="L236" t="n">
        <v>0</v>
      </c>
      <c r="M236" t="n">
        <v>0</v>
      </c>
      <c r="N236" t="n">
        <v>0</v>
      </c>
      <c r="O236" t="n">
        <v>0</v>
      </c>
      <c r="P236" t="n">
        <v>0</v>
      </c>
      <c r="Q236" t="n">
        <v>0</v>
      </c>
      <c r="R236" s="2" t="inlineStr"/>
    </row>
    <row r="237" ht="15" customHeight="1">
      <c r="A237" t="inlineStr">
        <is>
          <t>A 46317-2025</t>
        </is>
      </c>
      <c r="B237" s="1" t="n">
        <v>45925</v>
      </c>
      <c r="C237" s="1" t="n">
        <v>45934</v>
      </c>
      <c r="D237" t="inlineStr">
        <is>
          <t>DALARNAS LÄN</t>
        </is>
      </c>
      <c r="E237" t="inlineStr">
        <is>
          <t>LUDVIKA</t>
        </is>
      </c>
      <c r="G237" t="n">
        <v>1</v>
      </c>
      <c r="H237" t="n">
        <v>0</v>
      </c>
      <c r="I237" t="n">
        <v>0</v>
      </c>
      <c r="J237" t="n">
        <v>0</v>
      </c>
      <c r="K237" t="n">
        <v>0</v>
      </c>
      <c r="L237" t="n">
        <v>0</v>
      </c>
      <c r="M237" t="n">
        <v>0</v>
      </c>
      <c r="N237" t="n">
        <v>0</v>
      </c>
      <c r="O237" t="n">
        <v>0</v>
      </c>
      <c r="P237" t="n">
        <v>0</v>
      </c>
      <c r="Q237" t="n">
        <v>0</v>
      </c>
      <c r="R237" s="2" t="inlineStr"/>
    </row>
    <row r="238" ht="15" customHeight="1">
      <c r="A238" t="inlineStr">
        <is>
          <t>A 48288-2023</t>
        </is>
      </c>
      <c r="B238" s="1" t="n">
        <v>45205.5616087963</v>
      </c>
      <c r="C238" s="1" t="n">
        <v>45934</v>
      </c>
      <c r="D238" t="inlineStr">
        <is>
          <t>DALARNAS LÄN</t>
        </is>
      </c>
      <c r="E238" t="inlineStr">
        <is>
          <t>LUDVIKA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46024-2025</t>
        </is>
      </c>
      <c r="B239" s="1" t="n">
        <v>45924.43376157407</v>
      </c>
      <c r="C239" s="1" t="n">
        <v>45934</v>
      </c>
      <c r="D239" t="inlineStr">
        <is>
          <t>DALARNAS LÄN</t>
        </is>
      </c>
      <c r="E239" t="inlineStr">
        <is>
          <t>LUDVIKA</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57217-2024</t>
        </is>
      </c>
      <c r="B240" s="1" t="n">
        <v>45629</v>
      </c>
      <c r="C240" s="1" t="n">
        <v>45934</v>
      </c>
      <c r="D240" t="inlineStr">
        <is>
          <t>DALARNAS LÄN</t>
        </is>
      </c>
      <c r="E240" t="inlineStr">
        <is>
          <t>LUDVIKA</t>
        </is>
      </c>
      <c r="F240" t="inlineStr">
        <is>
          <t>Bergvik skog väst AB</t>
        </is>
      </c>
      <c r="G240" t="n">
        <v>17.3</v>
      </c>
      <c r="H240" t="n">
        <v>0</v>
      </c>
      <c r="I240" t="n">
        <v>0</v>
      </c>
      <c r="J240" t="n">
        <v>0</v>
      </c>
      <c r="K240" t="n">
        <v>0</v>
      </c>
      <c r="L240" t="n">
        <v>0</v>
      </c>
      <c r="M240" t="n">
        <v>0</v>
      </c>
      <c r="N240" t="n">
        <v>0</v>
      </c>
      <c r="O240" t="n">
        <v>0</v>
      </c>
      <c r="P240" t="n">
        <v>0</v>
      </c>
      <c r="Q240" t="n">
        <v>0</v>
      </c>
      <c r="R240" s="2" t="inlineStr"/>
    </row>
    <row r="241" ht="15" customHeight="1">
      <c r="A241" t="inlineStr">
        <is>
          <t>A 47999-2024</t>
        </is>
      </c>
      <c r="B241" s="1" t="n">
        <v>45589.44649305556</v>
      </c>
      <c r="C241" s="1" t="n">
        <v>45934</v>
      </c>
      <c r="D241" t="inlineStr">
        <is>
          <t>DALARNAS LÄN</t>
        </is>
      </c>
      <c r="E241" t="inlineStr">
        <is>
          <t>LUDVIKA</t>
        </is>
      </c>
      <c r="G241" t="n">
        <v>2.1</v>
      </c>
      <c r="H241" t="n">
        <v>0</v>
      </c>
      <c r="I241" t="n">
        <v>0</v>
      </c>
      <c r="J241" t="n">
        <v>0</v>
      </c>
      <c r="K241" t="n">
        <v>0</v>
      </c>
      <c r="L241" t="n">
        <v>0</v>
      </c>
      <c r="M241" t="n">
        <v>0</v>
      </c>
      <c r="N241" t="n">
        <v>0</v>
      </c>
      <c r="O241" t="n">
        <v>0</v>
      </c>
      <c r="P241" t="n">
        <v>0</v>
      </c>
      <c r="Q241" t="n">
        <v>0</v>
      </c>
      <c r="R241" s="2" t="inlineStr"/>
    </row>
    <row r="242" ht="15" customHeight="1">
      <c r="A242" t="inlineStr">
        <is>
          <t>A 33330-2024</t>
        </is>
      </c>
      <c r="B242" s="1" t="n">
        <v>45519</v>
      </c>
      <c r="C242" s="1" t="n">
        <v>45934</v>
      </c>
      <c r="D242" t="inlineStr">
        <is>
          <t>DALARNAS LÄN</t>
        </is>
      </c>
      <c r="E242" t="inlineStr">
        <is>
          <t>LUDVIKA</t>
        </is>
      </c>
      <c r="G242" t="n">
        <v>4.9</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45934</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43449-2025</t>
        </is>
      </c>
      <c r="B244" s="1" t="n">
        <v>45911</v>
      </c>
      <c r="C244" s="1" t="n">
        <v>45934</v>
      </c>
      <c r="D244" t="inlineStr">
        <is>
          <t>DALARNAS LÄN</t>
        </is>
      </c>
      <c r="E244" t="inlineStr">
        <is>
          <t>LUDVIKA</t>
        </is>
      </c>
      <c r="F244" t="inlineStr">
        <is>
          <t>Bergvik skog väst AB</t>
        </is>
      </c>
      <c r="G244" t="n">
        <v>6.2</v>
      </c>
      <c r="H244" t="n">
        <v>0</v>
      </c>
      <c r="I244" t="n">
        <v>0</v>
      </c>
      <c r="J244" t="n">
        <v>0</v>
      </c>
      <c r="K244" t="n">
        <v>0</v>
      </c>
      <c r="L244" t="n">
        <v>0</v>
      </c>
      <c r="M244" t="n">
        <v>0</v>
      </c>
      <c r="N244" t="n">
        <v>0</v>
      </c>
      <c r="O244" t="n">
        <v>0</v>
      </c>
      <c r="P244" t="n">
        <v>0</v>
      </c>
      <c r="Q244" t="n">
        <v>0</v>
      </c>
      <c r="R244" s="2" t="inlineStr"/>
    </row>
    <row r="245" ht="15" customHeight="1">
      <c r="A245" t="inlineStr">
        <is>
          <t>A 46029-2025</t>
        </is>
      </c>
      <c r="B245" s="1" t="n">
        <v>45924.44282407407</v>
      </c>
      <c r="C245" s="1" t="n">
        <v>45934</v>
      </c>
      <c r="D245" t="inlineStr">
        <is>
          <t>DALARNAS LÄN</t>
        </is>
      </c>
      <c r="E245" t="inlineStr">
        <is>
          <t>LUDVIKA</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46054-2025</t>
        </is>
      </c>
      <c r="B246" s="1" t="n">
        <v>45924.46261574074</v>
      </c>
      <c r="C246" s="1" t="n">
        <v>45934</v>
      </c>
      <c r="D246" t="inlineStr">
        <is>
          <t>DALARNAS LÄN</t>
        </is>
      </c>
      <c r="E246" t="inlineStr">
        <is>
          <t>LUDVIKA</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2838-2022</t>
        </is>
      </c>
      <c r="B247" s="1" t="n">
        <v>44581</v>
      </c>
      <c r="C247" s="1" t="n">
        <v>45934</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51029-2024</t>
        </is>
      </c>
      <c r="B248" s="1" t="n">
        <v>45603.42096064815</v>
      </c>
      <c r="C248" s="1" t="n">
        <v>45934</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52868-2023</t>
        </is>
      </c>
      <c r="B249" s="1" t="n">
        <v>45226.4590625</v>
      </c>
      <c r="C249" s="1" t="n">
        <v>45934</v>
      </c>
      <c r="D249" t="inlineStr">
        <is>
          <t>DALARNAS LÄN</t>
        </is>
      </c>
      <c r="E249" t="inlineStr">
        <is>
          <t>LUDVIKA</t>
        </is>
      </c>
      <c r="F249" t="inlineStr">
        <is>
          <t>Bergvik skog väst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62275-2022</t>
        </is>
      </c>
      <c r="B250" s="1" t="n">
        <v>44923.35560185185</v>
      </c>
      <c r="C250" s="1" t="n">
        <v>45934</v>
      </c>
      <c r="D250" t="inlineStr">
        <is>
          <t>DALARNAS LÄN</t>
        </is>
      </c>
      <c r="E250" t="inlineStr">
        <is>
          <t>LUDVIKA</t>
        </is>
      </c>
      <c r="G250" t="n">
        <v>4.6</v>
      </c>
      <c r="H250" t="n">
        <v>0</v>
      </c>
      <c r="I250" t="n">
        <v>0</v>
      </c>
      <c r="J250" t="n">
        <v>0</v>
      </c>
      <c r="K250" t="n">
        <v>0</v>
      </c>
      <c r="L250" t="n">
        <v>0</v>
      </c>
      <c r="M250" t="n">
        <v>0</v>
      </c>
      <c r="N250" t="n">
        <v>0</v>
      </c>
      <c r="O250" t="n">
        <v>0</v>
      </c>
      <c r="P250" t="n">
        <v>0</v>
      </c>
      <c r="Q250" t="n">
        <v>0</v>
      </c>
      <c r="R250" s="2" t="inlineStr"/>
    </row>
    <row r="251" ht="15" customHeight="1">
      <c r="A251" t="inlineStr">
        <is>
          <t>A 18372-2025</t>
        </is>
      </c>
      <c r="B251" s="1" t="n">
        <v>45762</v>
      </c>
      <c r="C251" s="1" t="n">
        <v>45934</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43925-2025</t>
        </is>
      </c>
      <c r="B252" s="1" t="n">
        <v>45915</v>
      </c>
      <c r="C252" s="1" t="n">
        <v>45934</v>
      </c>
      <c r="D252" t="inlineStr">
        <is>
          <t>DALARNAS LÄN</t>
        </is>
      </c>
      <c r="E252" t="inlineStr">
        <is>
          <t>LUDVIKA</t>
        </is>
      </c>
      <c r="F252" t="inlineStr">
        <is>
          <t>Bergvik skog väst AB</t>
        </is>
      </c>
      <c r="G252" t="n">
        <v>5.3</v>
      </c>
      <c r="H252" t="n">
        <v>0</v>
      </c>
      <c r="I252" t="n">
        <v>0</v>
      </c>
      <c r="J252" t="n">
        <v>0</v>
      </c>
      <c r="K252" t="n">
        <v>0</v>
      </c>
      <c r="L252" t="n">
        <v>0</v>
      </c>
      <c r="M252" t="n">
        <v>0</v>
      </c>
      <c r="N252" t="n">
        <v>0</v>
      </c>
      <c r="O252" t="n">
        <v>0</v>
      </c>
      <c r="P252" t="n">
        <v>0</v>
      </c>
      <c r="Q252" t="n">
        <v>0</v>
      </c>
      <c r="R252" s="2" t="inlineStr"/>
    </row>
    <row r="253" ht="15" customHeight="1">
      <c r="A253" t="inlineStr">
        <is>
          <t>A 40125-2024</t>
        </is>
      </c>
      <c r="B253" s="1" t="n">
        <v>45554.46881944445</v>
      </c>
      <c r="C253" s="1" t="n">
        <v>45934</v>
      </c>
      <c r="D253" t="inlineStr">
        <is>
          <t>DALARNAS LÄN</t>
        </is>
      </c>
      <c r="E253" t="inlineStr">
        <is>
          <t>LUDVIKA</t>
        </is>
      </c>
      <c r="G253" t="n">
        <v>1</v>
      </c>
      <c r="H253" t="n">
        <v>0</v>
      </c>
      <c r="I253" t="n">
        <v>0</v>
      </c>
      <c r="J253" t="n">
        <v>0</v>
      </c>
      <c r="K253" t="n">
        <v>0</v>
      </c>
      <c r="L253" t="n">
        <v>0</v>
      </c>
      <c r="M253" t="n">
        <v>0</v>
      </c>
      <c r="N253" t="n">
        <v>0</v>
      </c>
      <c r="O253" t="n">
        <v>0</v>
      </c>
      <c r="P253" t="n">
        <v>0</v>
      </c>
      <c r="Q253" t="n">
        <v>0</v>
      </c>
      <c r="R253" s="2" t="inlineStr"/>
    </row>
    <row r="254" ht="15" customHeight="1">
      <c r="A254" t="inlineStr">
        <is>
          <t>A 59206-2023</t>
        </is>
      </c>
      <c r="B254" s="1" t="n">
        <v>45253.47579861111</v>
      </c>
      <c r="C254" s="1" t="n">
        <v>45934</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52230-2023</t>
        </is>
      </c>
      <c r="B255" s="1" t="n">
        <v>45224</v>
      </c>
      <c r="C255" s="1" t="n">
        <v>45934</v>
      </c>
      <c r="D255" t="inlineStr">
        <is>
          <t>DALARNAS LÄN</t>
        </is>
      </c>
      <c r="E255" t="inlineStr">
        <is>
          <t>LUDVIKA</t>
        </is>
      </c>
      <c r="G255" t="n">
        <v>3.5</v>
      </c>
      <c r="H255" t="n">
        <v>0</v>
      </c>
      <c r="I255" t="n">
        <v>0</v>
      </c>
      <c r="J255" t="n">
        <v>0</v>
      </c>
      <c r="K255" t="n">
        <v>0</v>
      </c>
      <c r="L255" t="n">
        <v>0</v>
      </c>
      <c r="M255" t="n">
        <v>0</v>
      </c>
      <c r="N255" t="n">
        <v>0</v>
      </c>
      <c r="O255" t="n">
        <v>0</v>
      </c>
      <c r="P255" t="n">
        <v>0</v>
      </c>
      <c r="Q255" t="n">
        <v>0</v>
      </c>
      <c r="R255" s="2" t="inlineStr"/>
    </row>
    <row r="256" ht="15" customHeight="1">
      <c r="A256" t="inlineStr">
        <is>
          <t>A 19030-2024</t>
        </is>
      </c>
      <c r="B256" s="1" t="n">
        <v>45427.67321759259</v>
      </c>
      <c r="C256" s="1" t="n">
        <v>45934</v>
      </c>
      <c r="D256" t="inlineStr">
        <is>
          <t>DALARNAS LÄN</t>
        </is>
      </c>
      <c r="E256" t="inlineStr">
        <is>
          <t>LUDVIKA</t>
        </is>
      </c>
      <c r="F256" t="inlineStr">
        <is>
          <t>Bergvik skog väst AB</t>
        </is>
      </c>
      <c r="G256" t="n">
        <v>1.6</v>
      </c>
      <c r="H256" t="n">
        <v>0</v>
      </c>
      <c r="I256" t="n">
        <v>0</v>
      </c>
      <c r="J256" t="n">
        <v>0</v>
      </c>
      <c r="K256" t="n">
        <v>0</v>
      </c>
      <c r="L256" t="n">
        <v>0</v>
      </c>
      <c r="M256" t="n">
        <v>0</v>
      </c>
      <c r="N256" t="n">
        <v>0</v>
      </c>
      <c r="O256" t="n">
        <v>0</v>
      </c>
      <c r="P256" t="n">
        <v>0</v>
      </c>
      <c r="Q256" t="n">
        <v>0</v>
      </c>
      <c r="R256" s="2" t="inlineStr"/>
    </row>
    <row r="257" ht="15" customHeight="1">
      <c r="A257" t="inlineStr">
        <is>
          <t>A 41090-2022</t>
        </is>
      </c>
      <c r="B257" s="1" t="n">
        <v>44825.64709490741</v>
      </c>
      <c r="C257" s="1" t="n">
        <v>45934</v>
      </c>
      <c r="D257" t="inlineStr">
        <is>
          <t>DALARNAS LÄN</t>
        </is>
      </c>
      <c r="E257" t="inlineStr">
        <is>
          <t>LUDVIKA</t>
        </is>
      </c>
      <c r="F257" t="inlineStr">
        <is>
          <t>Bergvik skog väst AB</t>
        </is>
      </c>
      <c r="G257" t="n">
        <v>2.5</v>
      </c>
      <c r="H257" t="n">
        <v>0</v>
      </c>
      <c r="I257" t="n">
        <v>0</v>
      </c>
      <c r="J257" t="n">
        <v>0</v>
      </c>
      <c r="K257" t="n">
        <v>0</v>
      </c>
      <c r="L257" t="n">
        <v>0</v>
      </c>
      <c r="M257" t="n">
        <v>0</v>
      </c>
      <c r="N257" t="n">
        <v>0</v>
      </c>
      <c r="O257" t="n">
        <v>0</v>
      </c>
      <c r="P257" t="n">
        <v>0</v>
      </c>
      <c r="Q257" t="n">
        <v>0</v>
      </c>
      <c r="R257" s="2" t="inlineStr"/>
    </row>
    <row r="258" ht="15" customHeight="1">
      <c r="A258" t="inlineStr">
        <is>
          <t>A 8202-2025</t>
        </is>
      </c>
      <c r="B258" s="1" t="n">
        <v>45708.43793981482</v>
      </c>
      <c r="C258" s="1" t="n">
        <v>45934</v>
      </c>
      <c r="D258" t="inlineStr">
        <is>
          <t>DALARNAS LÄN</t>
        </is>
      </c>
      <c r="E258" t="inlineStr">
        <is>
          <t>LUDVIKA</t>
        </is>
      </c>
      <c r="G258" t="n">
        <v>6.4</v>
      </c>
      <c r="H258" t="n">
        <v>0</v>
      </c>
      <c r="I258" t="n">
        <v>0</v>
      </c>
      <c r="J258" t="n">
        <v>0</v>
      </c>
      <c r="K258" t="n">
        <v>0</v>
      </c>
      <c r="L258" t="n">
        <v>0</v>
      </c>
      <c r="M258" t="n">
        <v>0</v>
      </c>
      <c r="N258" t="n">
        <v>0</v>
      </c>
      <c r="O258" t="n">
        <v>0</v>
      </c>
      <c r="P258" t="n">
        <v>0</v>
      </c>
      <c r="Q258" t="n">
        <v>0</v>
      </c>
      <c r="R258" s="2" t="inlineStr"/>
    </row>
    <row r="259" ht="15" customHeight="1">
      <c r="A259" t="inlineStr">
        <is>
          <t>A 43839-2023</t>
        </is>
      </c>
      <c r="B259" s="1" t="n">
        <v>45187.58707175926</v>
      </c>
      <c r="C259" s="1" t="n">
        <v>45934</v>
      </c>
      <c r="D259" t="inlineStr">
        <is>
          <t>DALARNAS LÄN</t>
        </is>
      </c>
      <c r="E259" t="inlineStr">
        <is>
          <t>LUDVIKA</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6579-2023</t>
        </is>
      </c>
      <c r="B260" s="1" t="n">
        <v>44960</v>
      </c>
      <c r="C260" s="1" t="n">
        <v>45934</v>
      </c>
      <c r="D260" t="inlineStr">
        <is>
          <t>DALARNAS LÄN</t>
        </is>
      </c>
      <c r="E260" t="inlineStr">
        <is>
          <t>LUDVIKA</t>
        </is>
      </c>
      <c r="G260" t="n">
        <v>3.4</v>
      </c>
      <c r="H260" t="n">
        <v>0</v>
      </c>
      <c r="I260" t="n">
        <v>0</v>
      </c>
      <c r="J260" t="n">
        <v>0</v>
      </c>
      <c r="K260" t="n">
        <v>0</v>
      </c>
      <c r="L260" t="n">
        <v>0</v>
      </c>
      <c r="M260" t="n">
        <v>0</v>
      </c>
      <c r="N260" t="n">
        <v>0</v>
      </c>
      <c r="O260" t="n">
        <v>0</v>
      </c>
      <c r="P260" t="n">
        <v>0</v>
      </c>
      <c r="Q260" t="n">
        <v>0</v>
      </c>
      <c r="R260" s="2" t="inlineStr"/>
    </row>
    <row r="261" ht="15" customHeight="1">
      <c r="A261" t="inlineStr">
        <is>
          <t>A 58071-2024</t>
        </is>
      </c>
      <c r="B261" s="1" t="n">
        <v>45631.99221064815</v>
      </c>
      <c r="C261" s="1" t="n">
        <v>45934</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45940-2025</t>
        </is>
      </c>
      <c r="B262" s="1" t="n">
        <v>45924</v>
      </c>
      <c r="C262" s="1" t="n">
        <v>45934</v>
      </c>
      <c r="D262" t="inlineStr">
        <is>
          <t>DALARNAS LÄN</t>
        </is>
      </c>
      <c r="E262" t="inlineStr">
        <is>
          <t>LUDVIKA</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30113-2023</t>
        </is>
      </c>
      <c r="B263" s="1" t="n">
        <v>45110</v>
      </c>
      <c r="C263" s="1" t="n">
        <v>45934</v>
      </c>
      <c r="D263" t="inlineStr">
        <is>
          <t>DALARNAS LÄN</t>
        </is>
      </c>
      <c r="E263" t="inlineStr">
        <is>
          <t>LUDVIKA</t>
        </is>
      </c>
      <c r="G263" t="n">
        <v>3.3</v>
      </c>
      <c r="H263" t="n">
        <v>0</v>
      </c>
      <c r="I263" t="n">
        <v>0</v>
      </c>
      <c r="J263" t="n">
        <v>0</v>
      </c>
      <c r="K263" t="n">
        <v>0</v>
      </c>
      <c r="L263" t="n">
        <v>0</v>
      </c>
      <c r="M263" t="n">
        <v>0</v>
      </c>
      <c r="N263" t="n">
        <v>0</v>
      </c>
      <c r="O263" t="n">
        <v>0</v>
      </c>
      <c r="P263" t="n">
        <v>0</v>
      </c>
      <c r="Q263" t="n">
        <v>0</v>
      </c>
      <c r="R263" s="2" t="inlineStr"/>
    </row>
    <row r="264" ht="15" customHeight="1">
      <c r="A264" t="inlineStr">
        <is>
          <t>A 50347-2021</t>
        </is>
      </c>
      <c r="B264" s="1" t="n">
        <v>44459</v>
      </c>
      <c r="C264" s="1" t="n">
        <v>45934</v>
      </c>
      <c r="D264" t="inlineStr">
        <is>
          <t>DALARNAS LÄN</t>
        </is>
      </c>
      <c r="E264" t="inlineStr">
        <is>
          <t>LUDVIKA</t>
        </is>
      </c>
      <c r="G264" t="n">
        <v>1.1</v>
      </c>
      <c r="H264" t="n">
        <v>0</v>
      </c>
      <c r="I264" t="n">
        <v>0</v>
      </c>
      <c r="J264" t="n">
        <v>0</v>
      </c>
      <c r="K264" t="n">
        <v>0</v>
      </c>
      <c r="L264" t="n">
        <v>0</v>
      </c>
      <c r="M264" t="n">
        <v>0</v>
      </c>
      <c r="N264" t="n">
        <v>0</v>
      </c>
      <c r="O264" t="n">
        <v>0</v>
      </c>
      <c r="P264" t="n">
        <v>0</v>
      </c>
      <c r="Q264" t="n">
        <v>0</v>
      </c>
      <c r="R264" s="2" t="inlineStr"/>
    </row>
    <row r="265" ht="15" customHeight="1">
      <c r="A265" t="inlineStr">
        <is>
          <t>A 57247-2024</t>
        </is>
      </c>
      <c r="B265" s="1" t="n">
        <v>45629.55177083334</v>
      </c>
      <c r="C265" s="1" t="n">
        <v>45934</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57310-2024</t>
        </is>
      </c>
      <c r="B266" s="1" t="n">
        <v>45629.60636574074</v>
      </c>
      <c r="C266" s="1" t="n">
        <v>45934</v>
      </c>
      <c r="D266" t="inlineStr">
        <is>
          <t>DALARNAS LÄN</t>
        </is>
      </c>
      <c r="E266" t="inlineStr">
        <is>
          <t>LUDVIKA</t>
        </is>
      </c>
      <c r="F266" t="inlineStr">
        <is>
          <t>Naturvårdsverket</t>
        </is>
      </c>
      <c r="G266" t="n">
        <v>1.4</v>
      </c>
      <c r="H266" t="n">
        <v>0</v>
      </c>
      <c r="I266" t="n">
        <v>0</v>
      </c>
      <c r="J266" t="n">
        <v>0</v>
      </c>
      <c r="K266" t="n">
        <v>0</v>
      </c>
      <c r="L266" t="n">
        <v>0</v>
      </c>
      <c r="M266" t="n">
        <v>0</v>
      </c>
      <c r="N266" t="n">
        <v>0</v>
      </c>
      <c r="O266" t="n">
        <v>0</v>
      </c>
      <c r="P266" t="n">
        <v>0</v>
      </c>
      <c r="Q266" t="n">
        <v>0</v>
      </c>
      <c r="R266" s="2" t="inlineStr"/>
    </row>
    <row r="267" ht="15" customHeight="1">
      <c r="A267" t="inlineStr">
        <is>
          <t>A 25296-2022</t>
        </is>
      </c>
      <c r="B267" s="1" t="n">
        <v>44730.98890046297</v>
      </c>
      <c r="C267" s="1" t="n">
        <v>45934</v>
      </c>
      <c r="D267" t="inlineStr">
        <is>
          <t>DALARNAS LÄN</t>
        </is>
      </c>
      <c r="E267" t="inlineStr">
        <is>
          <t>LUDVIKA</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23103-2024</t>
        </is>
      </c>
      <c r="B268" s="1" t="n">
        <v>45450</v>
      </c>
      <c r="C268" s="1" t="n">
        <v>45934</v>
      </c>
      <c r="D268" t="inlineStr">
        <is>
          <t>DALARNAS LÄN</t>
        </is>
      </c>
      <c r="E268" t="inlineStr">
        <is>
          <t>LUDVIKA</t>
        </is>
      </c>
      <c r="G268" t="n">
        <v>0.6</v>
      </c>
      <c r="H268" t="n">
        <v>0</v>
      </c>
      <c r="I268" t="n">
        <v>0</v>
      </c>
      <c r="J268" t="n">
        <v>0</v>
      </c>
      <c r="K268" t="n">
        <v>0</v>
      </c>
      <c r="L268" t="n">
        <v>0</v>
      </c>
      <c r="M268" t="n">
        <v>0</v>
      </c>
      <c r="N268" t="n">
        <v>0</v>
      </c>
      <c r="O268" t="n">
        <v>0</v>
      </c>
      <c r="P268" t="n">
        <v>0</v>
      </c>
      <c r="Q268" t="n">
        <v>0</v>
      </c>
      <c r="R268" s="2" t="inlineStr"/>
    </row>
    <row r="269" ht="15" customHeight="1">
      <c r="A269" t="inlineStr">
        <is>
          <t>A 31702-2023</t>
        </is>
      </c>
      <c r="B269" s="1" t="n">
        <v>45105</v>
      </c>
      <c r="C269" s="1" t="n">
        <v>45934</v>
      </c>
      <c r="D269" t="inlineStr">
        <is>
          <t>DALARNAS LÄN</t>
        </is>
      </c>
      <c r="E269" t="inlineStr">
        <is>
          <t>LUDVIKA</t>
        </is>
      </c>
      <c r="G269" t="n">
        <v>2.3</v>
      </c>
      <c r="H269" t="n">
        <v>0</v>
      </c>
      <c r="I269" t="n">
        <v>0</v>
      </c>
      <c r="J269" t="n">
        <v>0</v>
      </c>
      <c r="K269" t="n">
        <v>0</v>
      </c>
      <c r="L269" t="n">
        <v>0</v>
      </c>
      <c r="M269" t="n">
        <v>0</v>
      </c>
      <c r="N269" t="n">
        <v>0</v>
      </c>
      <c r="O269" t="n">
        <v>0</v>
      </c>
      <c r="P269" t="n">
        <v>0</v>
      </c>
      <c r="Q269" t="n">
        <v>0</v>
      </c>
      <c r="R269" s="2" t="inlineStr"/>
    </row>
    <row r="270" ht="15" customHeight="1">
      <c r="A270" t="inlineStr">
        <is>
          <t>A 59448-2024</t>
        </is>
      </c>
      <c r="B270" s="1" t="n">
        <v>45638.46208333333</v>
      </c>
      <c r="C270" s="1" t="n">
        <v>45934</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25273-2022</t>
        </is>
      </c>
      <c r="B271" s="1" t="n">
        <v>44729.99359953704</v>
      </c>
      <c r="C271" s="1" t="n">
        <v>45934</v>
      </c>
      <c r="D271" t="inlineStr">
        <is>
          <t>DALARNAS LÄN</t>
        </is>
      </c>
      <c r="E271" t="inlineStr">
        <is>
          <t>LUDVIKA</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57193-2022</t>
        </is>
      </c>
      <c r="B272" s="1" t="n">
        <v>44895</v>
      </c>
      <c r="C272" s="1" t="n">
        <v>45934</v>
      </c>
      <c r="D272" t="inlineStr">
        <is>
          <t>DALARNAS LÄN</t>
        </is>
      </c>
      <c r="E272" t="inlineStr">
        <is>
          <t>LUDVIKA</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47044-2025</t>
        </is>
      </c>
      <c r="B273" s="1" t="n">
        <v>45929.60186342592</v>
      </c>
      <c r="C273" s="1" t="n">
        <v>45934</v>
      </c>
      <c r="D273" t="inlineStr">
        <is>
          <t>DALARNAS LÄN</t>
        </is>
      </c>
      <c r="E273" t="inlineStr">
        <is>
          <t>LUDVIKA</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48740-2022</t>
        </is>
      </c>
      <c r="B274" s="1" t="n">
        <v>44859</v>
      </c>
      <c r="C274" s="1" t="n">
        <v>45934</v>
      </c>
      <c r="D274" t="inlineStr">
        <is>
          <t>DALARNAS LÄN</t>
        </is>
      </c>
      <c r="E274" t="inlineStr">
        <is>
          <t>LUDVIKA</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49669-2024</t>
        </is>
      </c>
      <c r="B275" s="1" t="n">
        <v>45596.65178240741</v>
      </c>
      <c r="C275" s="1" t="n">
        <v>45934</v>
      </c>
      <c r="D275" t="inlineStr">
        <is>
          <t>DALARNAS LÄN</t>
        </is>
      </c>
      <c r="E275" t="inlineStr">
        <is>
          <t>LUDVIKA</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5673-2023</t>
        </is>
      </c>
      <c r="B276" s="1" t="n">
        <v>44960.65702546296</v>
      </c>
      <c r="C276" s="1" t="n">
        <v>45934</v>
      </c>
      <c r="D276" t="inlineStr">
        <is>
          <t>DALARNAS LÄN</t>
        </is>
      </c>
      <c r="E276" t="inlineStr">
        <is>
          <t>LUDVIKA</t>
        </is>
      </c>
      <c r="F276" t="inlineStr">
        <is>
          <t>Naturvårdsverket</t>
        </is>
      </c>
      <c r="G276" t="n">
        <v>0.7</v>
      </c>
      <c r="H276" t="n">
        <v>0</v>
      </c>
      <c r="I276" t="n">
        <v>0</v>
      </c>
      <c r="J276" t="n">
        <v>0</v>
      </c>
      <c r="K276" t="n">
        <v>0</v>
      </c>
      <c r="L276" t="n">
        <v>0</v>
      </c>
      <c r="M276" t="n">
        <v>0</v>
      </c>
      <c r="N276" t="n">
        <v>0</v>
      </c>
      <c r="O276" t="n">
        <v>0</v>
      </c>
      <c r="P276" t="n">
        <v>0</v>
      </c>
      <c r="Q276" t="n">
        <v>0</v>
      </c>
      <c r="R276" s="2" t="inlineStr"/>
    </row>
    <row r="277" ht="15" customHeight="1">
      <c r="A277" t="inlineStr">
        <is>
          <t>A 11237-2024</t>
        </is>
      </c>
      <c r="B277" s="1" t="n">
        <v>45371.61341435185</v>
      </c>
      <c r="C277" s="1" t="n">
        <v>45934</v>
      </c>
      <c r="D277" t="inlineStr">
        <is>
          <t>DALARNAS LÄN</t>
        </is>
      </c>
      <c r="E277" t="inlineStr">
        <is>
          <t>LUDVIKA</t>
        </is>
      </c>
      <c r="G277" t="n">
        <v>20.8</v>
      </c>
      <c r="H277" t="n">
        <v>0</v>
      </c>
      <c r="I277" t="n">
        <v>0</v>
      </c>
      <c r="J277" t="n">
        <v>0</v>
      </c>
      <c r="K277" t="n">
        <v>0</v>
      </c>
      <c r="L277" t="n">
        <v>0</v>
      </c>
      <c r="M277" t="n">
        <v>0</v>
      </c>
      <c r="N277" t="n">
        <v>0</v>
      </c>
      <c r="O277" t="n">
        <v>0</v>
      </c>
      <c r="P277" t="n">
        <v>0</v>
      </c>
      <c r="Q277" t="n">
        <v>0</v>
      </c>
      <c r="R277" s="2" t="inlineStr"/>
    </row>
    <row r="278" ht="15" customHeight="1">
      <c r="A278" t="inlineStr">
        <is>
          <t>A 43057-2024</t>
        </is>
      </c>
      <c r="B278" s="1" t="n">
        <v>45567.46006944445</v>
      </c>
      <c r="C278" s="1" t="n">
        <v>45934</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36527-2024</t>
        </is>
      </c>
      <c r="B279" s="1" t="n">
        <v>45537.44119212963</v>
      </c>
      <c r="C279" s="1" t="n">
        <v>45934</v>
      </c>
      <c r="D279" t="inlineStr">
        <is>
          <t>DALARNAS LÄN</t>
        </is>
      </c>
      <c r="E279" t="inlineStr">
        <is>
          <t>LUDVIKA</t>
        </is>
      </c>
      <c r="F279" t="inlineStr">
        <is>
          <t>Övriga Aktiebolag</t>
        </is>
      </c>
      <c r="G279" t="n">
        <v>3.3</v>
      </c>
      <c r="H279" t="n">
        <v>0</v>
      </c>
      <c r="I279" t="n">
        <v>0</v>
      </c>
      <c r="J279" t="n">
        <v>0</v>
      </c>
      <c r="K279" t="n">
        <v>0</v>
      </c>
      <c r="L279" t="n">
        <v>0</v>
      </c>
      <c r="M279" t="n">
        <v>0</v>
      </c>
      <c r="N279" t="n">
        <v>0</v>
      </c>
      <c r="O279" t="n">
        <v>0</v>
      </c>
      <c r="P279" t="n">
        <v>0</v>
      </c>
      <c r="Q279" t="n">
        <v>0</v>
      </c>
      <c r="R279" s="2" t="inlineStr"/>
    </row>
    <row r="280" ht="15" customHeight="1">
      <c r="A280" t="inlineStr">
        <is>
          <t>A 36862-2021</t>
        </is>
      </c>
      <c r="B280" s="1" t="n">
        <v>44393</v>
      </c>
      <c r="C280" s="1" t="n">
        <v>45934</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29535-2023</t>
        </is>
      </c>
      <c r="B281" s="1" t="n">
        <v>45106</v>
      </c>
      <c r="C281" s="1" t="n">
        <v>45934</v>
      </c>
      <c r="D281" t="inlineStr">
        <is>
          <t>DALARNAS LÄN</t>
        </is>
      </c>
      <c r="E281" t="inlineStr">
        <is>
          <t>LUDVIKA</t>
        </is>
      </c>
      <c r="G281" t="n">
        <v>2.8</v>
      </c>
      <c r="H281" t="n">
        <v>0</v>
      </c>
      <c r="I281" t="n">
        <v>0</v>
      </c>
      <c r="J281" t="n">
        <v>0</v>
      </c>
      <c r="K281" t="n">
        <v>0</v>
      </c>
      <c r="L281" t="n">
        <v>0</v>
      </c>
      <c r="M281" t="n">
        <v>0</v>
      </c>
      <c r="N281" t="n">
        <v>0</v>
      </c>
      <c r="O281" t="n">
        <v>0</v>
      </c>
      <c r="P281" t="n">
        <v>0</v>
      </c>
      <c r="Q281" t="n">
        <v>0</v>
      </c>
      <c r="R281" s="2" t="inlineStr"/>
    </row>
    <row r="282" ht="15" customHeight="1">
      <c r="A282" t="inlineStr">
        <is>
          <t>A 43762-2025</t>
        </is>
      </c>
      <c r="B282" s="1" t="n">
        <v>45912</v>
      </c>
      <c r="C282" s="1" t="n">
        <v>45934</v>
      </c>
      <c r="D282" t="inlineStr">
        <is>
          <t>DALARNAS LÄN</t>
        </is>
      </c>
      <c r="E282" t="inlineStr">
        <is>
          <t>LUDVIKA</t>
        </is>
      </c>
      <c r="F282" t="inlineStr">
        <is>
          <t>Bergvik skog väst AB</t>
        </is>
      </c>
      <c r="G282" t="n">
        <v>3.9</v>
      </c>
      <c r="H282" t="n">
        <v>0</v>
      </c>
      <c r="I282" t="n">
        <v>0</v>
      </c>
      <c r="J282" t="n">
        <v>0</v>
      </c>
      <c r="K282" t="n">
        <v>0</v>
      </c>
      <c r="L282" t="n">
        <v>0</v>
      </c>
      <c r="M282" t="n">
        <v>0</v>
      </c>
      <c r="N282" t="n">
        <v>0</v>
      </c>
      <c r="O282" t="n">
        <v>0</v>
      </c>
      <c r="P282" t="n">
        <v>0</v>
      </c>
      <c r="Q282" t="n">
        <v>0</v>
      </c>
      <c r="R282" s="2" t="inlineStr"/>
    </row>
    <row r="283" ht="15" customHeight="1">
      <c r="A283" t="inlineStr">
        <is>
          <t>A 16807-2025</t>
        </is>
      </c>
      <c r="B283" s="1" t="n">
        <v>45754</v>
      </c>
      <c r="C283" s="1" t="n">
        <v>45934</v>
      </c>
      <c r="D283" t="inlineStr">
        <is>
          <t>DALARNAS LÄN</t>
        </is>
      </c>
      <c r="E283" t="inlineStr">
        <is>
          <t>LUDVIKA</t>
        </is>
      </c>
      <c r="F283" t="inlineStr">
        <is>
          <t>Naturvårdsverket</t>
        </is>
      </c>
      <c r="G283" t="n">
        <v>0.6</v>
      </c>
      <c r="H283" t="n">
        <v>0</v>
      </c>
      <c r="I283" t="n">
        <v>0</v>
      </c>
      <c r="J283" t="n">
        <v>0</v>
      </c>
      <c r="K283" t="n">
        <v>0</v>
      </c>
      <c r="L283" t="n">
        <v>0</v>
      </c>
      <c r="M283" t="n">
        <v>0</v>
      </c>
      <c r="N283" t="n">
        <v>0</v>
      </c>
      <c r="O283" t="n">
        <v>0</v>
      </c>
      <c r="P283" t="n">
        <v>0</v>
      </c>
      <c r="Q283" t="n">
        <v>0</v>
      </c>
      <c r="R283" s="2" t="inlineStr"/>
    </row>
    <row r="284" ht="15" customHeight="1">
      <c r="A284" t="inlineStr">
        <is>
          <t>A 6975-2023</t>
        </is>
      </c>
      <c r="B284" s="1" t="n">
        <v>44967.64229166666</v>
      </c>
      <c r="C284" s="1" t="n">
        <v>45934</v>
      </c>
      <c r="D284" t="inlineStr">
        <is>
          <t>DALARNAS LÄN</t>
        </is>
      </c>
      <c r="E284" t="inlineStr">
        <is>
          <t>LUDVIKA</t>
        </is>
      </c>
      <c r="G284" t="n">
        <v>2.1</v>
      </c>
      <c r="H284" t="n">
        <v>0</v>
      </c>
      <c r="I284" t="n">
        <v>0</v>
      </c>
      <c r="J284" t="n">
        <v>0</v>
      </c>
      <c r="K284" t="n">
        <v>0</v>
      </c>
      <c r="L284" t="n">
        <v>0</v>
      </c>
      <c r="M284" t="n">
        <v>0</v>
      </c>
      <c r="N284" t="n">
        <v>0</v>
      </c>
      <c r="O284" t="n">
        <v>0</v>
      </c>
      <c r="P284" t="n">
        <v>0</v>
      </c>
      <c r="Q284" t="n">
        <v>0</v>
      </c>
      <c r="R284" s="2" t="inlineStr"/>
    </row>
    <row r="285" ht="15" customHeight="1">
      <c r="A285" t="inlineStr">
        <is>
          <t>A 918-2024</t>
        </is>
      </c>
      <c r="B285" s="1" t="n">
        <v>45301</v>
      </c>
      <c r="C285" s="1" t="n">
        <v>45934</v>
      </c>
      <c r="D285" t="inlineStr">
        <is>
          <t>DALARNAS LÄN</t>
        </is>
      </c>
      <c r="E285" t="inlineStr">
        <is>
          <t>LUDVIKA</t>
        </is>
      </c>
      <c r="G285" t="n">
        <v>6</v>
      </c>
      <c r="H285" t="n">
        <v>0</v>
      </c>
      <c r="I285" t="n">
        <v>0</v>
      </c>
      <c r="J285" t="n">
        <v>0</v>
      </c>
      <c r="K285" t="n">
        <v>0</v>
      </c>
      <c r="L285" t="n">
        <v>0</v>
      </c>
      <c r="M285" t="n">
        <v>0</v>
      </c>
      <c r="N285" t="n">
        <v>0</v>
      </c>
      <c r="O285" t="n">
        <v>0</v>
      </c>
      <c r="P285" t="n">
        <v>0</v>
      </c>
      <c r="Q285" t="n">
        <v>0</v>
      </c>
      <c r="R285" s="2" t="inlineStr"/>
    </row>
    <row r="286" ht="15" customHeight="1">
      <c r="A286" t="inlineStr">
        <is>
          <t>A 923-2024</t>
        </is>
      </c>
      <c r="B286" s="1" t="n">
        <v>45301</v>
      </c>
      <c r="C286" s="1" t="n">
        <v>45934</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8172-2024</t>
        </is>
      </c>
      <c r="B287" s="1" t="n">
        <v>45349</v>
      </c>
      <c r="C287" s="1" t="n">
        <v>45934</v>
      </c>
      <c r="D287" t="inlineStr">
        <is>
          <t>DALARNAS LÄN</t>
        </is>
      </c>
      <c r="E287" t="inlineStr">
        <is>
          <t>LUDVIKA</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8175-2024</t>
        </is>
      </c>
      <c r="B288" s="1" t="n">
        <v>45349</v>
      </c>
      <c r="C288" s="1" t="n">
        <v>45934</v>
      </c>
      <c r="D288" t="inlineStr">
        <is>
          <t>DALARNAS LÄN</t>
        </is>
      </c>
      <c r="E288" t="inlineStr">
        <is>
          <t>LUDVIKA</t>
        </is>
      </c>
      <c r="F288" t="inlineStr">
        <is>
          <t>Allmännings- och besparingsskogar</t>
        </is>
      </c>
      <c r="G288" t="n">
        <v>3.8</v>
      </c>
      <c r="H288" t="n">
        <v>0</v>
      </c>
      <c r="I288" t="n">
        <v>0</v>
      </c>
      <c r="J288" t="n">
        <v>0</v>
      </c>
      <c r="K288" t="n">
        <v>0</v>
      </c>
      <c r="L288" t="n">
        <v>0</v>
      </c>
      <c r="M288" t="n">
        <v>0</v>
      </c>
      <c r="N288" t="n">
        <v>0</v>
      </c>
      <c r="O288" t="n">
        <v>0</v>
      </c>
      <c r="P288" t="n">
        <v>0</v>
      </c>
      <c r="Q288" t="n">
        <v>0</v>
      </c>
      <c r="R288" s="2" t="inlineStr"/>
    </row>
    <row r="289" ht="15" customHeight="1">
      <c r="A289" t="inlineStr">
        <is>
          <t>A 69165-2020</t>
        </is>
      </c>
      <c r="B289" s="1" t="n">
        <v>44188</v>
      </c>
      <c r="C289" s="1" t="n">
        <v>45934</v>
      </c>
      <c r="D289" t="inlineStr">
        <is>
          <t>DALARNAS LÄN</t>
        </is>
      </c>
      <c r="E289" t="inlineStr">
        <is>
          <t>LUDVIKA</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38170-2023</t>
        </is>
      </c>
      <c r="B290" s="1" t="n">
        <v>45161.42324074074</v>
      </c>
      <c r="C290" s="1" t="n">
        <v>45934</v>
      </c>
      <c r="D290" t="inlineStr">
        <is>
          <t>DALARNAS LÄN</t>
        </is>
      </c>
      <c r="E290" t="inlineStr">
        <is>
          <t>LUDVIKA</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478-2024</t>
        </is>
      </c>
      <c r="B291" s="1" t="n">
        <v>45297</v>
      </c>
      <c r="C291" s="1" t="n">
        <v>45934</v>
      </c>
      <c r="D291" t="inlineStr">
        <is>
          <t>DALARNAS LÄN</t>
        </is>
      </c>
      <c r="E291" t="inlineStr">
        <is>
          <t>LUDVIKA</t>
        </is>
      </c>
      <c r="G291" t="n">
        <v>3.2</v>
      </c>
      <c r="H291" t="n">
        <v>0</v>
      </c>
      <c r="I291" t="n">
        <v>0</v>
      </c>
      <c r="J291" t="n">
        <v>0</v>
      </c>
      <c r="K291" t="n">
        <v>0</v>
      </c>
      <c r="L291" t="n">
        <v>0</v>
      </c>
      <c r="M291" t="n">
        <v>0</v>
      </c>
      <c r="N291" t="n">
        <v>0</v>
      </c>
      <c r="O291" t="n">
        <v>0</v>
      </c>
      <c r="P291" t="n">
        <v>0</v>
      </c>
      <c r="Q291" t="n">
        <v>0</v>
      </c>
      <c r="R291" s="2" t="inlineStr"/>
    </row>
    <row r="292" ht="15" customHeight="1">
      <c r="A292" t="inlineStr">
        <is>
          <t>A 45791-2025</t>
        </is>
      </c>
      <c r="B292" s="1" t="n">
        <v>45923</v>
      </c>
      <c r="C292" s="1" t="n">
        <v>45934</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11611-2021</t>
        </is>
      </c>
      <c r="B293" s="1" t="n">
        <v>44264</v>
      </c>
      <c r="C293" s="1" t="n">
        <v>45934</v>
      </c>
      <c r="D293" t="inlineStr">
        <is>
          <t>DALARNAS LÄN</t>
        </is>
      </c>
      <c r="E293" t="inlineStr">
        <is>
          <t>LUDVIKA</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55472-2024</t>
        </is>
      </c>
      <c r="B294" s="1" t="n">
        <v>45622.43274305556</v>
      </c>
      <c r="C294" s="1" t="n">
        <v>45934</v>
      </c>
      <c r="D294" t="inlineStr">
        <is>
          <t>DALARNAS LÄN</t>
        </is>
      </c>
      <c r="E294" t="inlineStr">
        <is>
          <t>LUDVIKA</t>
        </is>
      </c>
      <c r="F294" t="inlineStr">
        <is>
          <t>Naturvårdsverket</t>
        </is>
      </c>
      <c r="G294" t="n">
        <v>1.5</v>
      </c>
      <c r="H294" t="n">
        <v>0</v>
      </c>
      <c r="I294" t="n">
        <v>0</v>
      </c>
      <c r="J294" t="n">
        <v>0</v>
      </c>
      <c r="K294" t="n">
        <v>0</v>
      </c>
      <c r="L294" t="n">
        <v>0</v>
      </c>
      <c r="M294" t="n">
        <v>0</v>
      </c>
      <c r="N294" t="n">
        <v>0</v>
      </c>
      <c r="O294" t="n">
        <v>0</v>
      </c>
      <c r="P294" t="n">
        <v>0</v>
      </c>
      <c r="Q294" t="n">
        <v>0</v>
      </c>
      <c r="R294" s="2" t="inlineStr"/>
    </row>
    <row r="295" ht="15" customHeight="1">
      <c r="A295" t="inlineStr">
        <is>
          <t>A 8703-2023</t>
        </is>
      </c>
      <c r="B295" s="1" t="n">
        <v>44978</v>
      </c>
      <c r="C295" s="1" t="n">
        <v>45934</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61384-2024</t>
        </is>
      </c>
      <c r="B296" s="1" t="n">
        <v>45646.40943287037</v>
      </c>
      <c r="C296" s="1" t="n">
        <v>45934</v>
      </c>
      <c r="D296" t="inlineStr">
        <is>
          <t>DALARNAS LÄN</t>
        </is>
      </c>
      <c r="E296" t="inlineStr">
        <is>
          <t>LUDVIKA</t>
        </is>
      </c>
      <c r="G296" t="n">
        <v>0.7</v>
      </c>
      <c r="H296" t="n">
        <v>0</v>
      </c>
      <c r="I296" t="n">
        <v>0</v>
      </c>
      <c r="J296" t="n">
        <v>0</v>
      </c>
      <c r="K296" t="n">
        <v>0</v>
      </c>
      <c r="L296" t="n">
        <v>0</v>
      </c>
      <c r="M296" t="n">
        <v>0</v>
      </c>
      <c r="N296" t="n">
        <v>0</v>
      </c>
      <c r="O296" t="n">
        <v>0</v>
      </c>
      <c r="P296" t="n">
        <v>0</v>
      </c>
      <c r="Q296" t="n">
        <v>0</v>
      </c>
      <c r="R296" s="2" t="inlineStr"/>
    </row>
    <row r="297" ht="15" customHeight="1">
      <c r="A297" t="inlineStr">
        <is>
          <t>A 5841-2024</t>
        </is>
      </c>
      <c r="B297" s="1" t="n">
        <v>45335.60587962963</v>
      </c>
      <c r="C297" s="1" t="n">
        <v>45934</v>
      </c>
      <c r="D297" t="inlineStr">
        <is>
          <t>DALARNAS LÄN</t>
        </is>
      </c>
      <c r="E297" t="inlineStr">
        <is>
          <t>LUDVIKA</t>
        </is>
      </c>
      <c r="G297" t="n">
        <v>1.6</v>
      </c>
      <c r="H297" t="n">
        <v>0</v>
      </c>
      <c r="I297" t="n">
        <v>0</v>
      </c>
      <c r="J297" t="n">
        <v>0</v>
      </c>
      <c r="K297" t="n">
        <v>0</v>
      </c>
      <c r="L297" t="n">
        <v>0</v>
      </c>
      <c r="M297" t="n">
        <v>0</v>
      </c>
      <c r="N297" t="n">
        <v>0</v>
      </c>
      <c r="O297" t="n">
        <v>0</v>
      </c>
      <c r="P297" t="n">
        <v>0</v>
      </c>
      <c r="Q297" t="n">
        <v>0</v>
      </c>
      <c r="R297" s="2" t="inlineStr"/>
    </row>
    <row r="298" ht="15" customHeight="1">
      <c r="A298" t="inlineStr">
        <is>
          <t>A 36296-2023</t>
        </is>
      </c>
      <c r="B298" s="1" t="n">
        <v>45152.3591087963</v>
      </c>
      <c r="C298" s="1" t="n">
        <v>45934</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60138-2023</t>
        </is>
      </c>
      <c r="B299" s="1" t="n">
        <v>45258.49928240741</v>
      </c>
      <c r="C299" s="1" t="n">
        <v>45934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57307-2024</t>
        </is>
      </c>
      <c r="B300" s="1" t="n">
        <v>45629.60449074074</v>
      </c>
      <c r="C300" s="1" t="n">
        <v>45934</v>
      </c>
      <c r="D300" t="inlineStr">
        <is>
          <t>DALARNAS LÄN</t>
        </is>
      </c>
      <c r="E300" t="inlineStr">
        <is>
          <t>LUDVIKA</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48352-2023</t>
        </is>
      </c>
      <c r="B301" s="1" t="n">
        <v>45205</v>
      </c>
      <c r="C301" s="1" t="n">
        <v>45934</v>
      </c>
      <c r="D301" t="inlineStr">
        <is>
          <t>DALARNAS LÄN</t>
        </is>
      </c>
      <c r="E301" t="inlineStr">
        <is>
          <t>LUDVIKA</t>
        </is>
      </c>
      <c r="F301" t="inlineStr">
        <is>
          <t>Bergvik skog väst AB</t>
        </is>
      </c>
      <c r="G301" t="n">
        <v>12.8</v>
      </c>
      <c r="H301" t="n">
        <v>0</v>
      </c>
      <c r="I301" t="n">
        <v>0</v>
      </c>
      <c r="J301" t="n">
        <v>0</v>
      </c>
      <c r="K301" t="n">
        <v>0</v>
      </c>
      <c r="L301" t="n">
        <v>0</v>
      </c>
      <c r="M301" t="n">
        <v>0</v>
      </c>
      <c r="N301" t="n">
        <v>0</v>
      </c>
      <c r="O301" t="n">
        <v>0</v>
      </c>
      <c r="P301" t="n">
        <v>0</v>
      </c>
      <c r="Q301" t="n">
        <v>0</v>
      </c>
      <c r="R301" s="2" t="inlineStr"/>
    </row>
    <row r="302" ht="15" customHeight="1">
      <c r="A302" t="inlineStr">
        <is>
          <t>A 59667-2024</t>
        </is>
      </c>
      <c r="B302" s="1" t="n">
        <v>45639</v>
      </c>
      <c r="C302" s="1" t="n">
        <v>45934</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50529-2024</t>
        </is>
      </c>
      <c r="B303" s="1" t="n">
        <v>45601.56384259259</v>
      </c>
      <c r="C303" s="1" t="n">
        <v>45934</v>
      </c>
      <c r="D303" t="inlineStr">
        <is>
          <t>DALARNAS LÄN</t>
        </is>
      </c>
      <c r="E303" t="inlineStr">
        <is>
          <t>LUDVIKA</t>
        </is>
      </c>
      <c r="G303" t="n">
        <v>0.2</v>
      </c>
      <c r="H303" t="n">
        <v>0</v>
      </c>
      <c r="I303" t="n">
        <v>0</v>
      </c>
      <c r="J303" t="n">
        <v>0</v>
      </c>
      <c r="K303" t="n">
        <v>0</v>
      </c>
      <c r="L303" t="n">
        <v>0</v>
      </c>
      <c r="M303" t="n">
        <v>0</v>
      </c>
      <c r="N303" t="n">
        <v>0</v>
      </c>
      <c r="O303" t="n">
        <v>0</v>
      </c>
      <c r="P303" t="n">
        <v>0</v>
      </c>
      <c r="Q303" t="n">
        <v>0</v>
      </c>
      <c r="R303" s="2" t="inlineStr"/>
    </row>
    <row r="304" ht="15" customHeight="1">
      <c r="A304" t="inlineStr">
        <is>
          <t>A 35354-2024</t>
        </is>
      </c>
      <c r="B304" s="1" t="n">
        <v>45531.30974537037</v>
      </c>
      <c r="C304" s="1" t="n">
        <v>45934</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47086-2025</t>
        </is>
      </c>
      <c r="B305" s="1" t="n">
        <v>45929.6437962963</v>
      </c>
      <c r="C305" s="1" t="n">
        <v>45934</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38921-2025</t>
        </is>
      </c>
      <c r="B306" s="1" t="n">
        <v>45887.62774305556</v>
      </c>
      <c r="C306" s="1" t="n">
        <v>45934</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32277-2024</t>
        </is>
      </c>
      <c r="B307" s="1" t="n">
        <v>45512.3703125</v>
      </c>
      <c r="C307" s="1" t="n">
        <v>45934</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48615-2023</t>
        </is>
      </c>
      <c r="B308" s="1" t="n">
        <v>45208</v>
      </c>
      <c r="C308" s="1" t="n">
        <v>45934</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46074-2023</t>
        </is>
      </c>
      <c r="B309" s="1" t="n">
        <v>45196.46915509259</v>
      </c>
      <c r="C309" s="1" t="n">
        <v>45934</v>
      </c>
      <c r="D309" t="inlineStr">
        <is>
          <t>DALARNAS LÄN</t>
        </is>
      </c>
      <c r="E309" t="inlineStr">
        <is>
          <t>LUDVIKA</t>
        </is>
      </c>
      <c r="F309" t="inlineStr">
        <is>
          <t>Bergvik skog väst AB</t>
        </is>
      </c>
      <c r="G309" t="n">
        <v>0.6</v>
      </c>
      <c r="H309" t="n">
        <v>0</v>
      </c>
      <c r="I309" t="n">
        <v>0</v>
      </c>
      <c r="J309" t="n">
        <v>0</v>
      </c>
      <c r="K309" t="n">
        <v>0</v>
      </c>
      <c r="L309" t="n">
        <v>0</v>
      </c>
      <c r="M309" t="n">
        <v>0</v>
      </c>
      <c r="N309" t="n">
        <v>0</v>
      </c>
      <c r="O309" t="n">
        <v>0</v>
      </c>
      <c r="P309" t="n">
        <v>0</v>
      </c>
      <c r="Q309" t="n">
        <v>0</v>
      </c>
      <c r="R309" s="2" t="inlineStr"/>
    </row>
    <row r="310" ht="15" customHeight="1">
      <c r="A310" t="inlineStr">
        <is>
          <t>A 47032-2025</t>
        </is>
      </c>
      <c r="B310" s="1" t="n">
        <v>45929.59041666667</v>
      </c>
      <c r="C310" s="1" t="n">
        <v>45934</v>
      </c>
      <c r="D310" t="inlineStr">
        <is>
          <t>DALARNAS LÄN</t>
        </is>
      </c>
      <c r="E310" t="inlineStr">
        <is>
          <t>LUDVIKA</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56445-2024</t>
        </is>
      </c>
      <c r="B311" s="1" t="n">
        <v>45625.42575231481</v>
      </c>
      <c r="C311" s="1" t="n">
        <v>45934</v>
      </c>
      <c r="D311" t="inlineStr">
        <is>
          <t>DALARNAS LÄN</t>
        </is>
      </c>
      <c r="E311" t="inlineStr">
        <is>
          <t>LUDVIKA</t>
        </is>
      </c>
      <c r="G311" t="n">
        <v>2.1</v>
      </c>
      <c r="H311" t="n">
        <v>0</v>
      </c>
      <c r="I311" t="n">
        <v>0</v>
      </c>
      <c r="J311" t="n">
        <v>0</v>
      </c>
      <c r="K311" t="n">
        <v>0</v>
      </c>
      <c r="L311" t="n">
        <v>0</v>
      </c>
      <c r="M311" t="n">
        <v>0</v>
      </c>
      <c r="N311" t="n">
        <v>0</v>
      </c>
      <c r="O311" t="n">
        <v>0</v>
      </c>
      <c r="P311" t="n">
        <v>0</v>
      </c>
      <c r="Q311" t="n">
        <v>0</v>
      </c>
      <c r="R311" s="2" t="inlineStr"/>
    </row>
    <row r="312" ht="15" customHeight="1">
      <c r="A312" t="inlineStr">
        <is>
          <t>A 48522-2023</t>
        </is>
      </c>
      <c r="B312" s="1" t="n">
        <v>45208.35689814815</v>
      </c>
      <c r="C312" s="1" t="n">
        <v>45934</v>
      </c>
      <c r="D312" t="inlineStr">
        <is>
          <t>DALARNAS LÄN</t>
        </is>
      </c>
      <c r="E312" t="inlineStr">
        <is>
          <t>LUDVIKA</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37586-2024</t>
        </is>
      </c>
      <c r="B313" s="1" t="n">
        <v>45541.46269675926</v>
      </c>
      <c r="C313" s="1" t="n">
        <v>45934</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38625-2025</t>
        </is>
      </c>
      <c r="B314" s="1" t="n">
        <v>45884</v>
      </c>
      <c r="C314" s="1" t="n">
        <v>45934</v>
      </c>
      <c r="D314" t="inlineStr">
        <is>
          <t>DALARNAS LÄN</t>
        </is>
      </c>
      <c r="E314" t="inlineStr">
        <is>
          <t>LUDVIKA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38630-2025</t>
        </is>
      </c>
      <c r="B315" s="1" t="n">
        <v>45884</v>
      </c>
      <c r="C315" s="1" t="n">
        <v>45934</v>
      </c>
      <c r="D315" t="inlineStr">
        <is>
          <t>DALARNAS LÄN</t>
        </is>
      </c>
      <c r="E315" t="inlineStr">
        <is>
          <t>LUDVIKA</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55551-2024</t>
        </is>
      </c>
      <c r="B316" s="1" t="n">
        <v>45622.51221064815</v>
      </c>
      <c r="C316" s="1" t="n">
        <v>45934</v>
      </c>
      <c r="D316" t="inlineStr">
        <is>
          <t>DALARNAS LÄN</t>
        </is>
      </c>
      <c r="E316" t="inlineStr">
        <is>
          <t>LUDVIKA</t>
        </is>
      </c>
      <c r="F316" t="inlineStr">
        <is>
          <t>Bergvik skog väst AB</t>
        </is>
      </c>
      <c r="G316" t="n">
        <v>6.2</v>
      </c>
      <c r="H316" t="n">
        <v>0</v>
      </c>
      <c r="I316" t="n">
        <v>0</v>
      </c>
      <c r="J316" t="n">
        <v>0</v>
      </c>
      <c r="K316" t="n">
        <v>0</v>
      </c>
      <c r="L316" t="n">
        <v>0</v>
      </c>
      <c r="M316" t="n">
        <v>0</v>
      </c>
      <c r="N316" t="n">
        <v>0</v>
      </c>
      <c r="O316" t="n">
        <v>0</v>
      </c>
      <c r="P316" t="n">
        <v>0</v>
      </c>
      <c r="Q316" t="n">
        <v>0</v>
      </c>
      <c r="R316" s="2" t="inlineStr"/>
    </row>
    <row r="317" ht="15" customHeight="1">
      <c r="A317" t="inlineStr">
        <is>
          <t>A 16187-2021</t>
        </is>
      </c>
      <c r="B317" s="1" t="n">
        <v>44292</v>
      </c>
      <c r="C317" s="1" t="n">
        <v>45934</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20368-2025</t>
        </is>
      </c>
      <c r="B318" s="1" t="n">
        <v>45775.41047453704</v>
      </c>
      <c r="C318" s="1" t="n">
        <v>45934</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18435-2025</t>
        </is>
      </c>
      <c r="B319" s="1" t="n">
        <v>45762</v>
      </c>
      <c r="C319" s="1" t="n">
        <v>45934</v>
      </c>
      <c r="D319" t="inlineStr">
        <is>
          <t>DALARNAS LÄN</t>
        </is>
      </c>
      <c r="E319" t="inlineStr">
        <is>
          <t>LUDVIKA</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48589-2023</t>
        </is>
      </c>
      <c r="B320" s="1" t="n">
        <v>45208</v>
      </c>
      <c r="C320" s="1" t="n">
        <v>45934</v>
      </c>
      <c r="D320" t="inlineStr">
        <is>
          <t>DALARNAS LÄN</t>
        </is>
      </c>
      <c r="E320" t="inlineStr">
        <is>
          <t>LUDVIKA</t>
        </is>
      </c>
      <c r="F320" t="inlineStr">
        <is>
          <t>Naturvårdsverket</t>
        </is>
      </c>
      <c r="G320" t="n">
        <v>0.7</v>
      </c>
      <c r="H320" t="n">
        <v>0</v>
      </c>
      <c r="I320" t="n">
        <v>0</v>
      </c>
      <c r="J320" t="n">
        <v>0</v>
      </c>
      <c r="K320" t="n">
        <v>0</v>
      </c>
      <c r="L320" t="n">
        <v>0</v>
      </c>
      <c r="M320" t="n">
        <v>0</v>
      </c>
      <c r="N320" t="n">
        <v>0</v>
      </c>
      <c r="O320" t="n">
        <v>0</v>
      </c>
      <c r="P320" t="n">
        <v>0</v>
      </c>
      <c r="Q320" t="n">
        <v>0</v>
      </c>
      <c r="R320" s="2" t="inlineStr"/>
    </row>
    <row r="321" ht="15" customHeight="1">
      <c r="A321" t="inlineStr">
        <is>
          <t>A 37538-2024</t>
        </is>
      </c>
      <c r="B321" s="1" t="n">
        <v>45541.41780092593</v>
      </c>
      <c r="C321" s="1" t="n">
        <v>45934</v>
      </c>
      <c r="D321" t="inlineStr">
        <is>
          <t>DALARNAS LÄN</t>
        </is>
      </c>
      <c r="E321" t="inlineStr">
        <is>
          <t>LUDVIKA</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48715-2022</t>
        </is>
      </c>
      <c r="B322" s="1" t="n">
        <v>44859.49887731481</v>
      </c>
      <c r="C322" s="1" t="n">
        <v>45934</v>
      </c>
      <c r="D322" t="inlineStr">
        <is>
          <t>DALARNAS LÄN</t>
        </is>
      </c>
      <c r="E322" t="inlineStr">
        <is>
          <t>LUDVIKA</t>
        </is>
      </c>
      <c r="F322" t="inlineStr">
        <is>
          <t>Naturvårdsverket</t>
        </is>
      </c>
      <c r="G322" t="n">
        <v>1.2</v>
      </c>
      <c r="H322" t="n">
        <v>0</v>
      </c>
      <c r="I322" t="n">
        <v>0</v>
      </c>
      <c r="J322" t="n">
        <v>0</v>
      </c>
      <c r="K322" t="n">
        <v>0</v>
      </c>
      <c r="L322" t="n">
        <v>0</v>
      </c>
      <c r="M322" t="n">
        <v>0</v>
      </c>
      <c r="N322" t="n">
        <v>0</v>
      </c>
      <c r="O322" t="n">
        <v>0</v>
      </c>
      <c r="P322" t="n">
        <v>0</v>
      </c>
      <c r="Q322" t="n">
        <v>0</v>
      </c>
      <c r="R322" s="2" t="inlineStr"/>
    </row>
    <row r="323" ht="15" customHeight="1">
      <c r="A323" t="inlineStr">
        <is>
          <t>A 24974-2025</t>
        </is>
      </c>
      <c r="B323" s="1" t="n">
        <v>45799</v>
      </c>
      <c r="C323" s="1" t="n">
        <v>45934</v>
      </c>
      <c r="D323" t="inlineStr">
        <is>
          <t>DALARNAS LÄN</t>
        </is>
      </c>
      <c r="E323" t="inlineStr">
        <is>
          <t>LUDVIKA</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51208-2023</t>
        </is>
      </c>
      <c r="B324" s="1" t="n">
        <v>45219.4410300926</v>
      </c>
      <c r="C324" s="1" t="n">
        <v>45934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45559-2024</t>
        </is>
      </c>
      <c r="B325" s="1" t="n">
        <v>45579.35708333334</v>
      </c>
      <c r="C325" s="1" t="n">
        <v>45934</v>
      </c>
      <c r="D325" t="inlineStr">
        <is>
          <t>DALARNAS LÄN</t>
        </is>
      </c>
      <c r="E325" t="inlineStr">
        <is>
          <t>LUDVIKA</t>
        </is>
      </c>
      <c r="G325" t="n">
        <v>0.8</v>
      </c>
      <c r="H325" t="n">
        <v>0</v>
      </c>
      <c r="I325" t="n">
        <v>0</v>
      </c>
      <c r="J325" t="n">
        <v>0</v>
      </c>
      <c r="K325" t="n">
        <v>0</v>
      </c>
      <c r="L325" t="n">
        <v>0</v>
      </c>
      <c r="M325" t="n">
        <v>0</v>
      </c>
      <c r="N325" t="n">
        <v>0</v>
      </c>
      <c r="O325" t="n">
        <v>0</v>
      </c>
      <c r="P325" t="n">
        <v>0</v>
      </c>
      <c r="Q325" t="n">
        <v>0</v>
      </c>
      <c r="R325" s="2" t="inlineStr"/>
    </row>
    <row r="326" ht="15" customHeight="1">
      <c r="A326" t="inlineStr">
        <is>
          <t>A 30844-2024</t>
        </is>
      </c>
      <c r="B326" s="1" t="n">
        <v>45497</v>
      </c>
      <c r="C326" s="1" t="n">
        <v>45934</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23245-2021</t>
        </is>
      </c>
      <c r="B327" s="1" t="n">
        <v>44333</v>
      </c>
      <c r="C327" s="1" t="n">
        <v>45934</v>
      </c>
      <c r="D327" t="inlineStr">
        <is>
          <t>DALARNAS LÄN</t>
        </is>
      </c>
      <c r="E327" t="inlineStr">
        <is>
          <t>LUDVIKA</t>
        </is>
      </c>
      <c r="F327" t="inlineStr">
        <is>
          <t>Kyrkan</t>
        </is>
      </c>
      <c r="G327" t="n">
        <v>3.2</v>
      </c>
      <c r="H327" t="n">
        <v>0</v>
      </c>
      <c r="I327" t="n">
        <v>0</v>
      </c>
      <c r="J327" t="n">
        <v>0</v>
      </c>
      <c r="K327" t="n">
        <v>0</v>
      </c>
      <c r="L327" t="n">
        <v>0</v>
      </c>
      <c r="M327" t="n">
        <v>0</v>
      </c>
      <c r="N327" t="n">
        <v>0</v>
      </c>
      <c r="O327" t="n">
        <v>0</v>
      </c>
      <c r="P327" t="n">
        <v>0</v>
      </c>
      <c r="Q327" t="n">
        <v>0</v>
      </c>
      <c r="R327" s="2" t="inlineStr"/>
    </row>
    <row r="328" ht="15" customHeight="1">
      <c r="A328" t="inlineStr">
        <is>
          <t>A 1047-2023</t>
        </is>
      </c>
      <c r="B328" s="1" t="n">
        <v>44929</v>
      </c>
      <c r="C328" s="1" t="n">
        <v>45934</v>
      </c>
      <c r="D328" t="inlineStr">
        <is>
          <t>DALARNAS LÄN</t>
        </is>
      </c>
      <c r="E328" t="inlineStr">
        <is>
          <t>LUDVIKA</t>
        </is>
      </c>
      <c r="F328" t="inlineStr">
        <is>
          <t>Kommuner</t>
        </is>
      </c>
      <c r="G328" t="n">
        <v>3.2</v>
      </c>
      <c r="H328" t="n">
        <v>0</v>
      </c>
      <c r="I328" t="n">
        <v>0</v>
      </c>
      <c r="J328" t="n">
        <v>0</v>
      </c>
      <c r="K328" t="n">
        <v>0</v>
      </c>
      <c r="L328" t="n">
        <v>0</v>
      </c>
      <c r="M328" t="n">
        <v>0</v>
      </c>
      <c r="N328" t="n">
        <v>0</v>
      </c>
      <c r="O328" t="n">
        <v>0</v>
      </c>
      <c r="P328" t="n">
        <v>0</v>
      </c>
      <c r="Q328" t="n">
        <v>0</v>
      </c>
      <c r="R328" s="2" t="inlineStr"/>
    </row>
    <row r="329" ht="15" customHeight="1">
      <c r="A329" t="inlineStr">
        <is>
          <t>A 5576-2024</t>
        </is>
      </c>
      <c r="B329" s="1" t="n">
        <v>45334</v>
      </c>
      <c r="C329" s="1" t="n">
        <v>45934</v>
      </c>
      <c r="D329" t="inlineStr">
        <is>
          <t>DALARNAS LÄN</t>
        </is>
      </c>
      <c r="E329" t="inlineStr">
        <is>
          <t>LUDVIKA</t>
        </is>
      </c>
      <c r="G329" t="n">
        <v>7</v>
      </c>
      <c r="H329" t="n">
        <v>0</v>
      </c>
      <c r="I329" t="n">
        <v>0</v>
      </c>
      <c r="J329" t="n">
        <v>0</v>
      </c>
      <c r="K329" t="n">
        <v>0</v>
      </c>
      <c r="L329" t="n">
        <v>0</v>
      </c>
      <c r="M329" t="n">
        <v>0</v>
      </c>
      <c r="N329" t="n">
        <v>0</v>
      </c>
      <c r="O329" t="n">
        <v>0</v>
      </c>
      <c r="P329" t="n">
        <v>0</v>
      </c>
      <c r="Q329" t="n">
        <v>0</v>
      </c>
      <c r="R329" s="2" t="inlineStr"/>
    </row>
    <row r="330" ht="15" customHeight="1">
      <c r="A330" t="inlineStr">
        <is>
          <t>A 20411-2023</t>
        </is>
      </c>
      <c r="B330" s="1" t="n">
        <v>45056.64452546297</v>
      </c>
      <c r="C330" s="1" t="n">
        <v>45934</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46721-2025</t>
        </is>
      </c>
      <c r="B331" s="1" t="n">
        <v>45926.58377314815</v>
      </c>
      <c r="C331" s="1" t="n">
        <v>45934</v>
      </c>
      <c r="D331" t="inlineStr">
        <is>
          <t>DALARNAS LÄN</t>
        </is>
      </c>
      <c r="E331" t="inlineStr">
        <is>
          <t>LUDVIKA</t>
        </is>
      </c>
      <c r="F331" t="inlineStr">
        <is>
          <t>Bergvik skog väst AB</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12497-2024</t>
        </is>
      </c>
      <c r="B332" s="1" t="n">
        <v>45379.57112268519</v>
      </c>
      <c r="C332" s="1" t="n">
        <v>45934</v>
      </c>
      <c r="D332" t="inlineStr">
        <is>
          <t>DALARNAS LÄN</t>
        </is>
      </c>
      <c r="E332" t="inlineStr">
        <is>
          <t>LUDVIKA</t>
        </is>
      </c>
      <c r="F332" t="inlineStr">
        <is>
          <t>Naturvårdsverket</t>
        </is>
      </c>
      <c r="G332" t="n">
        <v>0.4</v>
      </c>
      <c r="H332" t="n">
        <v>0</v>
      </c>
      <c r="I332" t="n">
        <v>0</v>
      </c>
      <c r="J332" t="n">
        <v>0</v>
      </c>
      <c r="K332" t="n">
        <v>0</v>
      </c>
      <c r="L332" t="n">
        <v>0</v>
      </c>
      <c r="M332" t="n">
        <v>0</v>
      </c>
      <c r="N332" t="n">
        <v>0</v>
      </c>
      <c r="O332" t="n">
        <v>0</v>
      </c>
      <c r="P332" t="n">
        <v>0</v>
      </c>
      <c r="Q332" t="n">
        <v>0</v>
      </c>
      <c r="R332" s="2" t="inlineStr"/>
    </row>
    <row r="333" ht="15" customHeight="1">
      <c r="A333" t="inlineStr">
        <is>
          <t>A 30502-2021</t>
        </is>
      </c>
      <c r="B333" s="1" t="n">
        <v>44364.63512731482</v>
      </c>
      <c r="C333" s="1" t="n">
        <v>45934</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24033-2021</t>
        </is>
      </c>
      <c r="B334" s="1" t="n">
        <v>44336.3533912037</v>
      </c>
      <c r="C334" s="1" t="n">
        <v>45934</v>
      </c>
      <c r="D334" t="inlineStr">
        <is>
          <t>DALARNAS LÄN</t>
        </is>
      </c>
      <c r="E334" t="inlineStr">
        <is>
          <t>LUDVIKA</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59347-2024</t>
        </is>
      </c>
      <c r="B335" s="1" t="n">
        <v>45638.00060185185</v>
      </c>
      <c r="C335" s="1" t="n">
        <v>45934</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51704-2024</t>
        </is>
      </c>
      <c r="B336" s="1" t="n">
        <v>45607.36243055556</v>
      </c>
      <c r="C336" s="1" t="n">
        <v>45934</v>
      </c>
      <c r="D336" t="inlineStr">
        <is>
          <t>DALARNAS LÄN</t>
        </is>
      </c>
      <c r="E336" t="inlineStr">
        <is>
          <t>LUDVIKA</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28157-2023</t>
        </is>
      </c>
      <c r="B337" s="1" t="n">
        <v>45099.49403935186</v>
      </c>
      <c r="C337" s="1" t="n">
        <v>45934</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50777-2024</t>
        </is>
      </c>
      <c r="B338" s="1" t="n">
        <v>45602.4575</v>
      </c>
      <c r="C338" s="1" t="n">
        <v>45934</v>
      </c>
      <c r="D338" t="inlineStr">
        <is>
          <t>DALARNAS LÄN</t>
        </is>
      </c>
      <c r="E338" t="inlineStr">
        <is>
          <t>LUDVIKA</t>
        </is>
      </c>
      <c r="G338" t="n">
        <v>1.3</v>
      </c>
      <c r="H338" t="n">
        <v>0</v>
      </c>
      <c r="I338" t="n">
        <v>0</v>
      </c>
      <c r="J338" t="n">
        <v>0</v>
      </c>
      <c r="K338" t="n">
        <v>0</v>
      </c>
      <c r="L338" t="n">
        <v>0</v>
      </c>
      <c r="M338" t="n">
        <v>0</v>
      </c>
      <c r="N338" t="n">
        <v>0</v>
      </c>
      <c r="O338" t="n">
        <v>0</v>
      </c>
      <c r="P338" t="n">
        <v>0</v>
      </c>
      <c r="Q338" t="n">
        <v>0</v>
      </c>
      <c r="R338" s="2" t="inlineStr"/>
    </row>
    <row r="339" ht="15" customHeight="1">
      <c r="A339" t="inlineStr">
        <is>
          <t>A 20596-2021</t>
        </is>
      </c>
      <c r="B339" s="1" t="n">
        <v>44316</v>
      </c>
      <c r="C339" s="1" t="n">
        <v>45934</v>
      </c>
      <c r="D339" t="inlineStr">
        <is>
          <t>DALARNAS LÄN</t>
        </is>
      </c>
      <c r="E339" t="inlineStr">
        <is>
          <t>LUDVIKA</t>
        </is>
      </c>
      <c r="F339" t="inlineStr">
        <is>
          <t>Naturvårdsverket</t>
        </is>
      </c>
      <c r="G339" t="n">
        <v>2.3</v>
      </c>
      <c r="H339" t="n">
        <v>0</v>
      </c>
      <c r="I339" t="n">
        <v>0</v>
      </c>
      <c r="J339" t="n">
        <v>0</v>
      </c>
      <c r="K339" t="n">
        <v>0</v>
      </c>
      <c r="L339" t="n">
        <v>0</v>
      </c>
      <c r="M339" t="n">
        <v>0</v>
      </c>
      <c r="N339" t="n">
        <v>0</v>
      </c>
      <c r="O339" t="n">
        <v>0</v>
      </c>
      <c r="P339" t="n">
        <v>0</v>
      </c>
      <c r="Q339" t="n">
        <v>0</v>
      </c>
      <c r="R339" s="2" t="inlineStr"/>
    </row>
    <row r="340" ht="15" customHeight="1">
      <c r="A340" t="inlineStr">
        <is>
          <t>A 32995-2023</t>
        </is>
      </c>
      <c r="B340" s="1" t="n">
        <v>45113</v>
      </c>
      <c r="C340" s="1" t="n">
        <v>45934</v>
      </c>
      <c r="D340" t="inlineStr">
        <is>
          <t>DALARNAS LÄN</t>
        </is>
      </c>
      <c r="E340" t="inlineStr">
        <is>
          <t>LUDVIKA</t>
        </is>
      </c>
      <c r="F340" t="inlineStr">
        <is>
          <t>Kommuner</t>
        </is>
      </c>
      <c r="G340" t="n">
        <v>5.8</v>
      </c>
      <c r="H340" t="n">
        <v>0</v>
      </c>
      <c r="I340" t="n">
        <v>0</v>
      </c>
      <c r="J340" t="n">
        <v>0</v>
      </c>
      <c r="K340" t="n">
        <v>0</v>
      </c>
      <c r="L340" t="n">
        <v>0</v>
      </c>
      <c r="M340" t="n">
        <v>0</v>
      </c>
      <c r="N340" t="n">
        <v>0</v>
      </c>
      <c r="O340" t="n">
        <v>0</v>
      </c>
      <c r="P340" t="n">
        <v>0</v>
      </c>
      <c r="Q340" t="n">
        <v>0</v>
      </c>
      <c r="R340" s="2" t="inlineStr"/>
    </row>
    <row r="341" ht="15" customHeight="1">
      <c r="A341" t="inlineStr">
        <is>
          <t>A 41668-2023</t>
        </is>
      </c>
      <c r="B341" s="1" t="n">
        <v>45176.30253472222</v>
      </c>
      <c r="C341" s="1" t="n">
        <v>45934</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41495-2024</t>
        </is>
      </c>
      <c r="B342" s="1" t="n">
        <v>45560.45458333333</v>
      </c>
      <c r="C342" s="1" t="n">
        <v>45934</v>
      </c>
      <c r="D342" t="inlineStr">
        <is>
          <t>DALARNAS LÄN</t>
        </is>
      </c>
      <c r="E342" t="inlineStr">
        <is>
          <t>LUDVIKA</t>
        </is>
      </c>
      <c r="F342" t="inlineStr">
        <is>
          <t>Bergvik skog väst AB</t>
        </is>
      </c>
      <c r="G342" t="n">
        <v>6.3</v>
      </c>
      <c r="H342" t="n">
        <v>0</v>
      </c>
      <c r="I342" t="n">
        <v>0</v>
      </c>
      <c r="J342" t="n">
        <v>0</v>
      </c>
      <c r="K342" t="n">
        <v>0</v>
      </c>
      <c r="L342" t="n">
        <v>0</v>
      </c>
      <c r="M342" t="n">
        <v>0</v>
      </c>
      <c r="N342" t="n">
        <v>0</v>
      </c>
      <c r="O342" t="n">
        <v>0</v>
      </c>
      <c r="P342" t="n">
        <v>0</v>
      </c>
      <c r="Q342" t="n">
        <v>0</v>
      </c>
      <c r="R342" s="2" t="inlineStr"/>
    </row>
    <row r="343" ht="15" customHeight="1">
      <c r="A343" t="inlineStr">
        <is>
          <t>A 11755-2023</t>
        </is>
      </c>
      <c r="B343" s="1" t="n">
        <v>44994</v>
      </c>
      <c r="C343" s="1" t="n">
        <v>45934</v>
      </c>
      <c r="D343" t="inlineStr">
        <is>
          <t>DALARNAS LÄN</t>
        </is>
      </c>
      <c r="E343" t="inlineStr">
        <is>
          <t>LUDVIKA</t>
        </is>
      </c>
      <c r="F343" t="inlineStr">
        <is>
          <t>Övriga Aktiebolag</t>
        </is>
      </c>
      <c r="G343" t="n">
        <v>7</v>
      </c>
      <c r="H343" t="n">
        <v>0</v>
      </c>
      <c r="I343" t="n">
        <v>0</v>
      </c>
      <c r="J343" t="n">
        <v>0</v>
      </c>
      <c r="K343" t="n">
        <v>0</v>
      </c>
      <c r="L343" t="n">
        <v>0</v>
      </c>
      <c r="M343" t="n">
        <v>0</v>
      </c>
      <c r="N343" t="n">
        <v>0</v>
      </c>
      <c r="O343" t="n">
        <v>0</v>
      </c>
      <c r="P343" t="n">
        <v>0</v>
      </c>
      <c r="Q343" t="n">
        <v>0</v>
      </c>
      <c r="R343" s="2" t="inlineStr"/>
    </row>
    <row r="344" ht="15" customHeight="1">
      <c r="A344" t="inlineStr">
        <is>
          <t>A 45405-2024</t>
        </is>
      </c>
      <c r="B344" s="1" t="n">
        <v>45576</v>
      </c>
      <c r="C344" s="1" t="n">
        <v>45934</v>
      </c>
      <c r="D344" t="inlineStr">
        <is>
          <t>DALARNAS LÄN</t>
        </is>
      </c>
      <c r="E344" t="inlineStr">
        <is>
          <t>LUDVIKA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30039-2024</t>
        </is>
      </c>
      <c r="B345" s="1" t="n">
        <v>45488</v>
      </c>
      <c r="C345" s="1" t="n">
        <v>45934</v>
      </c>
      <c r="D345" t="inlineStr">
        <is>
          <t>DALARNAS LÄN</t>
        </is>
      </c>
      <c r="E345" t="inlineStr">
        <is>
          <t>LUDVIKA</t>
        </is>
      </c>
      <c r="G345" t="n">
        <v>1.3</v>
      </c>
      <c r="H345" t="n">
        <v>0</v>
      </c>
      <c r="I345" t="n">
        <v>0</v>
      </c>
      <c r="J345" t="n">
        <v>0</v>
      </c>
      <c r="K345" t="n">
        <v>0</v>
      </c>
      <c r="L345" t="n">
        <v>0</v>
      </c>
      <c r="M345" t="n">
        <v>0</v>
      </c>
      <c r="N345" t="n">
        <v>0</v>
      </c>
      <c r="O345" t="n">
        <v>0</v>
      </c>
      <c r="P345" t="n">
        <v>0</v>
      </c>
      <c r="Q345" t="n">
        <v>0</v>
      </c>
      <c r="R345" s="2" t="inlineStr"/>
    </row>
    <row r="346" ht="15" customHeight="1">
      <c r="A346" t="inlineStr">
        <is>
          <t>A 42215-2024</t>
        </is>
      </c>
      <c r="B346" s="1" t="n">
        <v>45562.53986111111</v>
      </c>
      <c r="C346" s="1" t="n">
        <v>45934</v>
      </c>
      <c r="D346" t="inlineStr">
        <is>
          <t>DALARNAS LÄN</t>
        </is>
      </c>
      <c r="E346" t="inlineStr">
        <is>
          <t>LUDVIKA</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15939-2024</t>
        </is>
      </c>
      <c r="B347" s="1" t="n">
        <v>45405</v>
      </c>
      <c r="C347" s="1" t="n">
        <v>45934</v>
      </c>
      <c r="D347" t="inlineStr">
        <is>
          <t>DALARNAS LÄN</t>
        </is>
      </c>
      <c r="E347" t="inlineStr">
        <is>
          <t>LUDVIKA</t>
        </is>
      </c>
      <c r="G347" t="n">
        <v>1.3</v>
      </c>
      <c r="H347" t="n">
        <v>0</v>
      </c>
      <c r="I347" t="n">
        <v>0</v>
      </c>
      <c r="J347" t="n">
        <v>0</v>
      </c>
      <c r="K347" t="n">
        <v>0</v>
      </c>
      <c r="L347" t="n">
        <v>0</v>
      </c>
      <c r="M347" t="n">
        <v>0</v>
      </c>
      <c r="N347" t="n">
        <v>0</v>
      </c>
      <c r="O347" t="n">
        <v>0</v>
      </c>
      <c r="P347" t="n">
        <v>0</v>
      </c>
      <c r="Q347" t="n">
        <v>0</v>
      </c>
      <c r="R347" s="2" t="inlineStr"/>
      <c r="U347">
        <f>HYPERLINK("https://klasma.github.io/Logging_2085/knärot/A 15939-2024 karta knärot.png", "A 15939-2024")</f>
        <v/>
      </c>
      <c r="V347">
        <f>HYPERLINK("https://klasma.github.io/Logging_2085/klagomål/A 15939-2024 FSC-klagomål.docx", "A 15939-2024")</f>
        <v/>
      </c>
      <c r="W347">
        <f>HYPERLINK("https://klasma.github.io/Logging_2085/klagomålsmail/A 15939-2024 FSC-klagomål mail.docx", "A 15939-2024")</f>
        <v/>
      </c>
      <c r="X347">
        <f>HYPERLINK("https://klasma.github.io/Logging_2085/tillsyn/A 15939-2024 tillsynsbegäran.docx", "A 15939-2024")</f>
        <v/>
      </c>
      <c r="Y347">
        <f>HYPERLINK("https://klasma.github.io/Logging_2085/tillsynsmail/A 15939-2024 tillsynsbegäran mail.docx", "A 15939-2024")</f>
        <v/>
      </c>
    </row>
    <row r="348" ht="15" customHeight="1">
      <c r="A348" t="inlineStr">
        <is>
          <t>A 48925-2024</t>
        </is>
      </c>
      <c r="B348" s="1" t="n">
        <v>45594.37643518519</v>
      </c>
      <c r="C348" s="1" t="n">
        <v>45934</v>
      </c>
      <c r="D348" t="inlineStr">
        <is>
          <t>DALARNAS LÄN</t>
        </is>
      </c>
      <c r="E348" t="inlineStr">
        <is>
          <t>LUDVIKA</t>
        </is>
      </c>
      <c r="F348" t="inlineStr">
        <is>
          <t>Bergvik skog väst AB</t>
        </is>
      </c>
      <c r="G348" t="n">
        <v>5.9</v>
      </c>
      <c r="H348" t="n">
        <v>0</v>
      </c>
      <c r="I348" t="n">
        <v>0</v>
      </c>
      <c r="J348" t="n">
        <v>0</v>
      </c>
      <c r="K348" t="n">
        <v>0</v>
      </c>
      <c r="L348" t="n">
        <v>0</v>
      </c>
      <c r="M348" t="n">
        <v>0</v>
      </c>
      <c r="N348" t="n">
        <v>0</v>
      </c>
      <c r="O348" t="n">
        <v>0</v>
      </c>
      <c r="P348" t="n">
        <v>0</v>
      </c>
      <c r="Q348" t="n">
        <v>0</v>
      </c>
      <c r="R348" s="2" t="inlineStr"/>
    </row>
    <row r="349" ht="15" customHeight="1">
      <c r="A349" t="inlineStr">
        <is>
          <t>A 55462-2024</t>
        </is>
      </c>
      <c r="B349" s="1" t="n">
        <v>45622.42880787037</v>
      </c>
      <c r="C349" s="1" t="n">
        <v>45934</v>
      </c>
      <c r="D349" t="inlineStr">
        <is>
          <t>DALARNAS LÄN</t>
        </is>
      </c>
      <c r="E349" t="inlineStr">
        <is>
          <t>LUDVIKA</t>
        </is>
      </c>
      <c r="F349" t="inlineStr">
        <is>
          <t>Naturvårdsverket</t>
        </is>
      </c>
      <c r="G349" t="n">
        <v>2.6</v>
      </c>
      <c r="H349" t="n">
        <v>0</v>
      </c>
      <c r="I349" t="n">
        <v>0</v>
      </c>
      <c r="J349" t="n">
        <v>0</v>
      </c>
      <c r="K349" t="n">
        <v>0</v>
      </c>
      <c r="L349" t="n">
        <v>0</v>
      </c>
      <c r="M349" t="n">
        <v>0</v>
      </c>
      <c r="N349" t="n">
        <v>0</v>
      </c>
      <c r="O349" t="n">
        <v>0</v>
      </c>
      <c r="P349" t="n">
        <v>0</v>
      </c>
      <c r="Q349" t="n">
        <v>0</v>
      </c>
      <c r="R349" s="2" t="inlineStr"/>
    </row>
    <row r="350" ht="15" customHeight="1">
      <c r="A350" t="inlineStr">
        <is>
          <t>A 55474-2024</t>
        </is>
      </c>
      <c r="B350" s="1" t="n">
        <v>45622.43456018518</v>
      </c>
      <c r="C350" s="1" t="n">
        <v>45934</v>
      </c>
      <c r="D350" t="inlineStr">
        <is>
          <t>DALARNAS LÄN</t>
        </is>
      </c>
      <c r="E350" t="inlineStr">
        <is>
          <t>LUDVIKA</t>
        </is>
      </c>
      <c r="F350" t="inlineStr">
        <is>
          <t>Naturvårdsverket</t>
        </is>
      </c>
      <c r="G350" t="n">
        <v>2.4</v>
      </c>
      <c r="H350" t="n">
        <v>0</v>
      </c>
      <c r="I350" t="n">
        <v>0</v>
      </c>
      <c r="J350" t="n">
        <v>0</v>
      </c>
      <c r="K350" t="n">
        <v>0</v>
      </c>
      <c r="L350" t="n">
        <v>0</v>
      </c>
      <c r="M350" t="n">
        <v>0</v>
      </c>
      <c r="N350" t="n">
        <v>0</v>
      </c>
      <c r="O350" t="n">
        <v>0</v>
      </c>
      <c r="P350" t="n">
        <v>0</v>
      </c>
      <c r="Q350" t="n">
        <v>0</v>
      </c>
      <c r="R350" s="2" t="inlineStr"/>
    </row>
    <row r="351" ht="15" customHeight="1">
      <c r="A351" t="inlineStr">
        <is>
          <t>A 55510-2024</t>
        </is>
      </c>
      <c r="B351" s="1" t="n">
        <v>45622.46479166667</v>
      </c>
      <c r="C351" s="1" t="n">
        <v>45934</v>
      </c>
      <c r="D351" t="inlineStr">
        <is>
          <t>DALARNAS LÄN</t>
        </is>
      </c>
      <c r="E351" t="inlineStr">
        <is>
          <t>LUDVIKA</t>
        </is>
      </c>
      <c r="F351" t="inlineStr">
        <is>
          <t>Naturvårdsverket</t>
        </is>
      </c>
      <c r="G351" t="n">
        <v>3.8</v>
      </c>
      <c r="H351" t="n">
        <v>0</v>
      </c>
      <c r="I351" t="n">
        <v>0</v>
      </c>
      <c r="J351" t="n">
        <v>0</v>
      </c>
      <c r="K351" t="n">
        <v>0</v>
      </c>
      <c r="L351" t="n">
        <v>0</v>
      </c>
      <c r="M351" t="n">
        <v>0</v>
      </c>
      <c r="N351" t="n">
        <v>0</v>
      </c>
      <c r="O351" t="n">
        <v>0</v>
      </c>
      <c r="P351" t="n">
        <v>0</v>
      </c>
      <c r="Q351" t="n">
        <v>0</v>
      </c>
      <c r="R351" s="2" t="inlineStr"/>
    </row>
    <row r="352" ht="15" customHeight="1">
      <c r="A352" t="inlineStr">
        <is>
          <t>A 7238-2023</t>
        </is>
      </c>
      <c r="B352" s="1" t="n">
        <v>44970.60710648148</v>
      </c>
      <c r="C352" s="1" t="n">
        <v>45934</v>
      </c>
      <c r="D352" t="inlineStr">
        <is>
          <t>DALARNAS LÄN</t>
        </is>
      </c>
      <c r="E352" t="inlineStr">
        <is>
          <t>LUDVIKA</t>
        </is>
      </c>
      <c r="F352" t="inlineStr">
        <is>
          <t>Övriga Aktiebolag</t>
        </is>
      </c>
      <c r="G352" t="n">
        <v>3.1</v>
      </c>
      <c r="H352" t="n">
        <v>0</v>
      </c>
      <c r="I352" t="n">
        <v>0</v>
      </c>
      <c r="J352" t="n">
        <v>0</v>
      </c>
      <c r="K352" t="n">
        <v>0</v>
      </c>
      <c r="L352" t="n">
        <v>0</v>
      </c>
      <c r="M352" t="n">
        <v>0</v>
      </c>
      <c r="N352" t="n">
        <v>0</v>
      </c>
      <c r="O352" t="n">
        <v>0</v>
      </c>
      <c r="P352" t="n">
        <v>0</v>
      </c>
      <c r="Q352" t="n">
        <v>0</v>
      </c>
      <c r="R352" s="2" t="inlineStr"/>
    </row>
    <row r="353" ht="15" customHeight="1">
      <c r="A353" t="inlineStr">
        <is>
          <t>A 7243-2023</t>
        </is>
      </c>
      <c r="B353" s="1" t="n">
        <v>44970.61488425926</v>
      </c>
      <c r="C353" s="1" t="n">
        <v>45934</v>
      </c>
      <c r="D353" t="inlineStr">
        <is>
          <t>DALARNAS LÄN</t>
        </is>
      </c>
      <c r="E353" t="inlineStr">
        <is>
          <t>LUDVIKA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45309-2021</t>
        </is>
      </c>
      <c r="B354" s="1" t="n">
        <v>44439.68940972222</v>
      </c>
      <c r="C354" s="1" t="n">
        <v>45934</v>
      </c>
      <c r="D354" t="inlineStr">
        <is>
          <t>DALARNAS LÄN</t>
        </is>
      </c>
      <c r="E354" t="inlineStr">
        <is>
          <t>LUDVIKA</t>
        </is>
      </c>
      <c r="G354" t="n">
        <v>1.9</v>
      </c>
      <c r="H354" t="n">
        <v>0</v>
      </c>
      <c r="I354" t="n">
        <v>0</v>
      </c>
      <c r="J354" t="n">
        <v>0</v>
      </c>
      <c r="K354" t="n">
        <v>0</v>
      </c>
      <c r="L354" t="n">
        <v>0</v>
      </c>
      <c r="M354" t="n">
        <v>0</v>
      </c>
      <c r="N354" t="n">
        <v>0</v>
      </c>
      <c r="O354" t="n">
        <v>0</v>
      </c>
      <c r="P354" t="n">
        <v>0</v>
      </c>
      <c r="Q354" t="n">
        <v>0</v>
      </c>
      <c r="R354" s="2" t="inlineStr"/>
    </row>
    <row r="355" ht="15" customHeight="1">
      <c r="A355" t="inlineStr">
        <is>
          <t>A 51080-2024</t>
        </is>
      </c>
      <c r="B355" s="1" t="n">
        <v>45603.4574074074</v>
      </c>
      <c r="C355" s="1" t="n">
        <v>45934</v>
      </c>
      <c r="D355" t="inlineStr">
        <is>
          <t>DALARNAS LÄN</t>
        </is>
      </c>
      <c r="E355" t="inlineStr">
        <is>
          <t>LUDVIKA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44732-2024</t>
        </is>
      </c>
      <c r="B356" s="1" t="n">
        <v>45574</v>
      </c>
      <c r="C356" s="1" t="n">
        <v>45934</v>
      </c>
      <c r="D356" t="inlineStr">
        <is>
          <t>DALARNAS LÄN</t>
        </is>
      </c>
      <c r="E356" t="inlineStr">
        <is>
          <t>LUDVIKA</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4550-2025</t>
        </is>
      </c>
      <c r="B357" s="1" t="n">
        <v>45687.40626157408</v>
      </c>
      <c r="C357" s="1" t="n">
        <v>45934</v>
      </c>
      <c r="D357" t="inlineStr">
        <is>
          <t>DALARNAS LÄN</t>
        </is>
      </c>
      <c r="E357" t="inlineStr">
        <is>
          <t>LUDVIKA</t>
        </is>
      </c>
      <c r="G357" t="n">
        <v>0.8</v>
      </c>
      <c r="H357" t="n">
        <v>0</v>
      </c>
      <c r="I357" t="n">
        <v>0</v>
      </c>
      <c r="J357" t="n">
        <v>0</v>
      </c>
      <c r="K357" t="n">
        <v>0</v>
      </c>
      <c r="L357" t="n">
        <v>0</v>
      </c>
      <c r="M357" t="n">
        <v>0</v>
      </c>
      <c r="N357" t="n">
        <v>0</v>
      </c>
      <c r="O357" t="n">
        <v>0</v>
      </c>
      <c r="P357" t="n">
        <v>0</v>
      </c>
      <c r="Q357" t="n">
        <v>0</v>
      </c>
      <c r="R357" s="2" t="inlineStr"/>
    </row>
    <row r="358" ht="15" customHeight="1">
      <c r="A358" t="inlineStr">
        <is>
          <t>A 18421-2025</t>
        </is>
      </c>
      <c r="B358" s="1" t="n">
        <v>45762.61923611111</v>
      </c>
      <c r="C358" s="1" t="n">
        <v>45934</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39519-2024</t>
        </is>
      </c>
      <c r="B359" s="1" t="n">
        <v>45551.76079861111</v>
      </c>
      <c r="C359" s="1" t="n">
        <v>45934</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50714-2024</t>
        </is>
      </c>
      <c r="B360" s="1" t="n">
        <v>45602</v>
      </c>
      <c r="C360" s="1" t="n">
        <v>45934</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56346-2022</t>
        </is>
      </c>
      <c r="B361" s="1" t="n">
        <v>44890</v>
      </c>
      <c r="C361" s="1" t="n">
        <v>45934</v>
      </c>
      <c r="D361" t="inlineStr">
        <is>
          <t>DALARNAS LÄN</t>
        </is>
      </c>
      <c r="E361" t="inlineStr">
        <is>
          <t>LUDVIKA</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45045-2023</t>
        </is>
      </c>
      <c r="B362" s="1" t="n">
        <v>45191.34273148148</v>
      </c>
      <c r="C362" s="1" t="n">
        <v>45934</v>
      </c>
      <c r="D362" t="inlineStr">
        <is>
          <t>DALARNAS LÄN</t>
        </is>
      </c>
      <c r="E362" t="inlineStr">
        <is>
          <t>LUDVIKA</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47496-2022</t>
        </is>
      </c>
      <c r="B363" s="1" t="n">
        <v>44853</v>
      </c>
      <c r="C363" s="1" t="n">
        <v>45934</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69094-2020</t>
        </is>
      </c>
      <c r="B364" s="1" t="n">
        <v>44188</v>
      </c>
      <c r="C364" s="1" t="n">
        <v>45934</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50528-2024</t>
        </is>
      </c>
      <c r="B365" s="1" t="n">
        <v>45601.56344907408</v>
      </c>
      <c r="C365" s="1" t="n">
        <v>45934</v>
      </c>
      <c r="D365" t="inlineStr">
        <is>
          <t>DALARNAS LÄN</t>
        </is>
      </c>
      <c r="E365" t="inlineStr">
        <is>
          <t>LUDVIKA</t>
        </is>
      </c>
      <c r="G365" t="n">
        <v>2.1</v>
      </c>
      <c r="H365" t="n">
        <v>0</v>
      </c>
      <c r="I365" t="n">
        <v>0</v>
      </c>
      <c r="J365" t="n">
        <v>0</v>
      </c>
      <c r="K365" t="n">
        <v>0</v>
      </c>
      <c r="L365" t="n">
        <v>0</v>
      </c>
      <c r="M365" t="n">
        <v>0</v>
      </c>
      <c r="N365" t="n">
        <v>0</v>
      </c>
      <c r="O365" t="n">
        <v>0</v>
      </c>
      <c r="P365" t="n">
        <v>0</v>
      </c>
      <c r="Q365" t="n">
        <v>0</v>
      </c>
      <c r="R365" s="2" t="inlineStr"/>
    </row>
    <row r="366" ht="15" customHeight="1">
      <c r="A366" t="inlineStr">
        <is>
          <t>A 64171-2023</t>
        </is>
      </c>
      <c r="B366" s="1" t="n">
        <v>45279</v>
      </c>
      <c r="C366" s="1" t="n">
        <v>45934</v>
      </c>
      <c r="D366" t="inlineStr">
        <is>
          <t>DALARNAS LÄN</t>
        </is>
      </c>
      <c r="E366" t="inlineStr">
        <is>
          <t>LUDVIKA</t>
        </is>
      </c>
      <c r="G366" t="n">
        <v>8.6</v>
      </c>
      <c r="H366" t="n">
        <v>0</v>
      </c>
      <c r="I366" t="n">
        <v>0</v>
      </c>
      <c r="J366" t="n">
        <v>0</v>
      </c>
      <c r="K366" t="n">
        <v>0</v>
      </c>
      <c r="L366" t="n">
        <v>0</v>
      </c>
      <c r="M366" t="n">
        <v>0</v>
      </c>
      <c r="N366" t="n">
        <v>0</v>
      </c>
      <c r="O366" t="n">
        <v>0</v>
      </c>
      <c r="P366" t="n">
        <v>0</v>
      </c>
      <c r="Q366" t="n">
        <v>0</v>
      </c>
      <c r="R366" s="2" t="inlineStr"/>
    </row>
    <row r="367" ht="15" customHeight="1">
      <c r="A367" t="inlineStr">
        <is>
          <t>A 28134-2023</t>
        </is>
      </c>
      <c r="B367" s="1" t="n">
        <v>45099.48079861111</v>
      </c>
      <c r="C367" s="1" t="n">
        <v>45934</v>
      </c>
      <c r="D367" t="inlineStr">
        <is>
          <t>DALARNAS LÄN</t>
        </is>
      </c>
      <c r="E367" t="inlineStr">
        <is>
          <t>LUDVIKA</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74432-2021</t>
        </is>
      </c>
      <c r="B368" s="1" t="n">
        <v>44560.4366087963</v>
      </c>
      <c r="C368" s="1" t="n">
        <v>45934</v>
      </c>
      <c r="D368" t="inlineStr">
        <is>
          <t>DALARNAS LÄN</t>
        </is>
      </c>
      <c r="E368" t="inlineStr">
        <is>
          <t>LUDVIKA</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18585-2023</t>
        </is>
      </c>
      <c r="B369" s="1" t="n">
        <v>45043.39247685186</v>
      </c>
      <c r="C369" s="1" t="n">
        <v>45934</v>
      </c>
      <c r="D369" t="inlineStr">
        <is>
          <t>DALARNAS LÄN</t>
        </is>
      </c>
      <c r="E369" t="inlineStr">
        <is>
          <t>LUDVIKA</t>
        </is>
      </c>
      <c r="F369" t="inlineStr">
        <is>
          <t>Bergvik skog väst AB</t>
        </is>
      </c>
      <c r="G369" t="n">
        <v>4.8</v>
      </c>
      <c r="H369" t="n">
        <v>0</v>
      </c>
      <c r="I369" t="n">
        <v>0</v>
      </c>
      <c r="J369" t="n">
        <v>0</v>
      </c>
      <c r="K369" t="n">
        <v>0</v>
      </c>
      <c r="L369" t="n">
        <v>0</v>
      </c>
      <c r="M369" t="n">
        <v>0</v>
      </c>
      <c r="N369" t="n">
        <v>0</v>
      </c>
      <c r="O369" t="n">
        <v>0</v>
      </c>
      <c r="P369" t="n">
        <v>0</v>
      </c>
      <c r="Q369" t="n">
        <v>0</v>
      </c>
      <c r="R369" s="2" t="inlineStr"/>
    </row>
    <row r="370" ht="15" customHeight="1">
      <c r="A370" t="inlineStr">
        <is>
          <t>A 55961-2024</t>
        </is>
      </c>
      <c r="B370" s="1" t="n">
        <v>45623.64104166667</v>
      </c>
      <c r="C370" s="1" t="n">
        <v>45934</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43240-2024</t>
        </is>
      </c>
      <c r="B371" s="1" t="n">
        <v>45568.00373842593</v>
      </c>
      <c r="C371" s="1" t="n">
        <v>45934</v>
      </c>
      <c r="D371" t="inlineStr">
        <is>
          <t>DALARNAS LÄN</t>
        </is>
      </c>
      <c r="E371" t="inlineStr">
        <is>
          <t>LUDVIKA</t>
        </is>
      </c>
      <c r="G371" t="n">
        <v>0.9</v>
      </c>
      <c r="H371" t="n">
        <v>0</v>
      </c>
      <c r="I371" t="n">
        <v>0</v>
      </c>
      <c r="J371" t="n">
        <v>0</v>
      </c>
      <c r="K371" t="n">
        <v>0</v>
      </c>
      <c r="L371" t="n">
        <v>0</v>
      </c>
      <c r="M371" t="n">
        <v>0</v>
      </c>
      <c r="N371" t="n">
        <v>0</v>
      </c>
      <c r="O371" t="n">
        <v>0</v>
      </c>
      <c r="P371" t="n">
        <v>0</v>
      </c>
      <c r="Q371" t="n">
        <v>0</v>
      </c>
      <c r="R371" s="2" t="inlineStr"/>
    </row>
    <row r="372" ht="15" customHeight="1">
      <c r="A372" t="inlineStr">
        <is>
          <t>A 4173-2025</t>
        </is>
      </c>
      <c r="B372" s="1" t="n">
        <v>45685.42758101852</v>
      </c>
      <c r="C372" s="1" t="n">
        <v>45934</v>
      </c>
      <c r="D372" t="inlineStr">
        <is>
          <t>DALARNAS LÄN</t>
        </is>
      </c>
      <c r="E372" t="inlineStr">
        <is>
          <t>LUDVIKA</t>
        </is>
      </c>
      <c r="G372" t="n">
        <v>0.9</v>
      </c>
      <c r="H372" t="n">
        <v>0</v>
      </c>
      <c r="I372" t="n">
        <v>0</v>
      </c>
      <c r="J372" t="n">
        <v>0</v>
      </c>
      <c r="K372" t="n">
        <v>0</v>
      </c>
      <c r="L372" t="n">
        <v>0</v>
      </c>
      <c r="M372" t="n">
        <v>0</v>
      </c>
      <c r="N372" t="n">
        <v>0</v>
      </c>
      <c r="O372" t="n">
        <v>0</v>
      </c>
      <c r="P372" t="n">
        <v>0</v>
      </c>
      <c r="Q372" t="n">
        <v>0</v>
      </c>
      <c r="R372" s="2" t="inlineStr"/>
    </row>
    <row r="373" ht="15" customHeight="1">
      <c r="A373" t="inlineStr">
        <is>
          <t>A 27644-2025</t>
        </is>
      </c>
      <c r="B373" s="1" t="n">
        <v>45813</v>
      </c>
      <c r="C373" s="1" t="n">
        <v>45934</v>
      </c>
      <c r="D373" t="inlineStr">
        <is>
          <t>DALARNAS LÄN</t>
        </is>
      </c>
      <c r="E373" t="inlineStr">
        <is>
          <t>LUDVIKA</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48760-2024</t>
        </is>
      </c>
      <c r="B374" s="1" t="n">
        <v>45593.60061342592</v>
      </c>
      <c r="C374" s="1" t="n">
        <v>45934</v>
      </c>
      <c r="D374" t="inlineStr">
        <is>
          <t>DALARNAS LÄN</t>
        </is>
      </c>
      <c r="E374" t="inlineStr">
        <is>
          <t>LUDVIKA</t>
        </is>
      </c>
      <c r="F374" t="inlineStr">
        <is>
          <t>Naturvårdsverket</t>
        </is>
      </c>
      <c r="G374" t="n">
        <v>5.7</v>
      </c>
      <c r="H374" t="n">
        <v>0</v>
      </c>
      <c r="I374" t="n">
        <v>0</v>
      </c>
      <c r="J374" t="n">
        <v>0</v>
      </c>
      <c r="K374" t="n">
        <v>0</v>
      </c>
      <c r="L374" t="n">
        <v>0</v>
      </c>
      <c r="M374" t="n">
        <v>0</v>
      </c>
      <c r="N374" t="n">
        <v>0</v>
      </c>
      <c r="O374" t="n">
        <v>0</v>
      </c>
      <c r="P374" t="n">
        <v>0</v>
      </c>
      <c r="Q374" t="n">
        <v>0</v>
      </c>
      <c r="R374" s="2" t="inlineStr"/>
    </row>
    <row r="375" ht="15" customHeight="1">
      <c r="A375" t="inlineStr">
        <is>
          <t>A 47287-2025</t>
        </is>
      </c>
      <c r="B375" s="1" t="n">
        <v>45930.48451388889</v>
      </c>
      <c r="C375" s="1" t="n">
        <v>45934</v>
      </c>
      <c r="D375" t="inlineStr">
        <is>
          <t>DALARNAS LÄN</t>
        </is>
      </c>
      <c r="E375" t="inlineStr">
        <is>
          <t>LUDVIKA</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15128-2025</t>
        </is>
      </c>
      <c r="B376" s="1" t="n">
        <v>45744.38216435185</v>
      </c>
      <c r="C376" s="1" t="n">
        <v>45934</v>
      </c>
      <c r="D376" t="inlineStr">
        <is>
          <t>DALARNAS LÄN</t>
        </is>
      </c>
      <c r="E376" t="inlineStr">
        <is>
          <t>LUDVIKA</t>
        </is>
      </c>
      <c r="F376" t="inlineStr">
        <is>
          <t>Bergvik skog väst AB</t>
        </is>
      </c>
      <c r="G376" t="n">
        <v>0.5</v>
      </c>
      <c r="H376" t="n">
        <v>0</v>
      </c>
      <c r="I376" t="n">
        <v>0</v>
      </c>
      <c r="J376" t="n">
        <v>0</v>
      </c>
      <c r="K376" t="n">
        <v>0</v>
      </c>
      <c r="L376" t="n">
        <v>0</v>
      </c>
      <c r="M376" t="n">
        <v>0</v>
      </c>
      <c r="N376" t="n">
        <v>0</v>
      </c>
      <c r="O376" t="n">
        <v>0</v>
      </c>
      <c r="P376" t="n">
        <v>0</v>
      </c>
      <c r="Q376" t="n">
        <v>0</v>
      </c>
      <c r="R376" s="2" t="inlineStr"/>
    </row>
    <row r="377" ht="15" customHeight="1">
      <c r="A377" t="inlineStr">
        <is>
          <t>A 42108-2024</t>
        </is>
      </c>
      <c r="B377" s="1" t="n">
        <v>45562.3693287037</v>
      </c>
      <c r="C377" s="1" t="n">
        <v>45934</v>
      </c>
      <c r="D377" t="inlineStr">
        <is>
          <t>DALARNAS LÄN</t>
        </is>
      </c>
      <c r="E377" t="inlineStr">
        <is>
          <t>LUDVIKA</t>
        </is>
      </c>
      <c r="F377" t="inlineStr">
        <is>
          <t>Bergvik skog väst AB</t>
        </is>
      </c>
      <c r="G377" t="n">
        <v>6</v>
      </c>
      <c r="H377" t="n">
        <v>0</v>
      </c>
      <c r="I377" t="n">
        <v>0</v>
      </c>
      <c r="J377" t="n">
        <v>0</v>
      </c>
      <c r="K377" t="n">
        <v>0</v>
      </c>
      <c r="L377" t="n">
        <v>0</v>
      </c>
      <c r="M377" t="n">
        <v>0</v>
      </c>
      <c r="N377" t="n">
        <v>0</v>
      </c>
      <c r="O377" t="n">
        <v>0</v>
      </c>
      <c r="P377" t="n">
        <v>0</v>
      </c>
      <c r="Q377" t="n">
        <v>0</v>
      </c>
      <c r="R377" s="2" t="inlineStr"/>
    </row>
    <row r="378" ht="15" customHeight="1">
      <c r="A378" t="inlineStr">
        <is>
          <t>A 39828-2025</t>
        </is>
      </c>
      <c r="B378" s="1" t="n">
        <v>45891.55704861111</v>
      </c>
      <c r="C378" s="1" t="n">
        <v>45934</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36297-2023</t>
        </is>
      </c>
      <c r="B379" s="1" t="n">
        <v>45152.36019675926</v>
      </c>
      <c r="C379" s="1" t="n">
        <v>45934</v>
      </c>
      <c r="D379" t="inlineStr">
        <is>
          <t>DALARNAS LÄN</t>
        </is>
      </c>
      <c r="E379" t="inlineStr">
        <is>
          <t>LUDVIKA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41158-2022</t>
        </is>
      </c>
      <c r="B380" s="1" t="n">
        <v>44825.88506944444</v>
      </c>
      <c r="C380" s="1" t="n">
        <v>45934</v>
      </c>
      <c r="D380" t="inlineStr">
        <is>
          <t>DALARNAS LÄN</t>
        </is>
      </c>
      <c r="E380" t="inlineStr">
        <is>
          <t>LUDVIKA</t>
        </is>
      </c>
      <c r="G380" t="n">
        <v>2.1</v>
      </c>
      <c r="H380" t="n">
        <v>0</v>
      </c>
      <c r="I380" t="n">
        <v>0</v>
      </c>
      <c r="J380" t="n">
        <v>0</v>
      </c>
      <c r="K380" t="n">
        <v>0</v>
      </c>
      <c r="L380" t="n">
        <v>0</v>
      </c>
      <c r="M380" t="n">
        <v>0</v>
      </c>
      <c r="N380" t="n">
        <v>0</v>
      </c>
      <c r="O380" t="n">
        <v>0</v>
      </c>
      <c r="P380" t="n">
        <v>0</v>
      </c>
      <c r="Q380" t="n">
        <v>0</v>
      </c>
      <c r="R380" s="2" t="inlineStr"/>
    </row>
    <row r="381" ht="15" customHeight="1">
      <c r="A381" t="inlineStr">
        <is>
          <t>A 45402-2024</t>
        </is>
      </c>
      <c r="B381" s="1" t="n">
        <v>45576</v>
      </c>
      <c r="C381" s="1" t="n">
        <v>45934</v>
      </c>
      <c r="D381" t="inlineStr">
        <is>
          <t>DALARNAS LÄN</t>
        </is>
      </c>
      <c r="E381" t="inlineStr">
        <is>
          <t>LUDVIKA</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15127-2025</t>
        </is>
      </c>
      <c r="B382" s="1" t="n">
        <v>45744.38049768518</v>
      </c>
      <c r="C382" s="1" t="n">
        <v>45934</v>
      </c>
      <c r="D382" t="inlineStr">
        <is>
          <t>DALARNAS LÄN</t>
        </is>
      </c>
      <c r="E382" t="inlineStr">
        <is>
          <t>LUDVIKA</t>
        </is>
      </c>
      <c r="F382" t="inlineStr">
        <is>
          <t>Bergvik skog väst AB</t>
        </is>
      </c>
      <c r="G382" t="n">
        <v>8.6</v>
      </c>
      <c r="H382" t="n">
        <v>0</v>
      </c>
      <c r="I382" t="n">
        <v>0</v>
      </c>
      <c r="J382" t="n">
        <v>0</v>
      </c>
      <c r="K382" t="n">
        <v>0</v>
      </c>
      <c r="L382" t="n">
        <v>0</v>
      </c>
      <c r="M382" t="n">
        <v>0</v>
      </c>
      <c r="N382" t="n">
        <v>0</v>
      </c>
      <c r="O382" t="n">
        <v>0</v>
      </c>
      <c r="P382" t="n">
        <v>0</v>
      </c>
      <c r="Q382" t="n">
        <v>0</v>
      </c>
      <c r="R382" s="2" t="inlineStr"/>
    </row>
    <row r="383" ht="15" customHeight="1">
      <c r="A383" t="inlineStr">
        <is>
          <t>A 39772-2025</t>
        </is>
      </c>
      <c r="B383" s="1" t="n">
        <v>45891.45390046296</v>
      </c>
      <c r="C383" s="1" t="n">
        <v>45934</v>
      </c>
      <c r="D383" t="inlineStr">
        <is>
          <t>DALARNAS LÄN</t>
        </is>
      </c>
      <c r="E383" t="inlineStr">
        <is>
          <t>LUDVIKA</t>
        </is>
      </c>
      <c r="F383" t="inlineStr">
        <is>
          <t>Bergvik skog väst AB</t>
        </is>
      </c>
      <c r="G383" t="n">
        <v>14.1</v>
      </c>
      <c r="H383" t="n">
        <v>0</v>
      </c>
      <c r="I383" t="n">
        <v>0</v>
      </c>
      <c r="J383" t="n">
        <v>0</v>
      </c>
      <c r="K383" t="n">
        <v>0</v>
      </c>
      <c r="L383" t="n">
        <v>0</v>
      </c>
      <c r="M383" t="n">
        <v>0</v>
      </c>
      <c r="N383" t="n">
        <v>0</v>
      </c>
      <c r="O383" t="n">
        <v>0</v>
      </c>
      <c r="P383" t="n">
        <v>0</v>
      </c>
      <c r="Q383" t="n">
        <v>0</v>
      </c>
      <c r="R383" s="2" t="inlineStr"/>
    </row>
    <row r="384" ht="15" customHeight="1">
      <c r="A384" t="inlineStr">
        <is>
          <t>A 65195-2021</t>
        </is>
      </c>
      <c r="B384" s="1" t="n">
        <v>44515.48929398148</v>
      </c>
      <c r="C384" s="1" t="n">
        <v>45934</v>
      </c>
      <c r="D384" t="inlineStr">
        <is>
          <t>DALARNAS LÄN</t>
        </is>
      </c>
      <c r="E384" t="inlineStr">
        <is>
          <t>LUDVIKA</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57803-2023</t>
        </is>
      </c>
      <c r="B385" s="1" t="n">
        <v>45246</v>
      </c>
      <c r="C385" s="1" t="n">
        <v>45934</v>
      </c>
      <c r="D385" t="inlineStr">
        <is>
          <t>DALARNAS LÄN</t>
        </is>
      </c>
      <c r="E385" t="inlineStr">
        <is>
          <t>LUDVIKA</t>
        </is>
      </c>
      <c r="G385" t="n">
        <v>3.3</v>
      </c>
      <c r="H385" t="n">
        <v>0</v>
      </c>
      <c r="I385" t="n">
        <v>0</v>
      </c>
      <c r="J385" t="n">
        <v>0</v>
      </c>
      <c r="K385" t="n">
        <v>0</v>
      </c>
      <c r="L385" t="n">
        <v>0</v>
      </c>
      <c r="M385" t="n">
        <v>0</v>
      </c>
      <c r="N385" t="n">
        <v>0</v>
      </c>
      <c r="O385" t="n">
        <v>0</v>
      </c>
      <c r="P385" t="n">
        <v>0</v>
      </c>
      <c r="Q385" t="n">
        <v>0</v>
      </c>
      <c r="R385" s="2" t="inlineStr"/>
    </row>
    <row r="386" ht="15" customHeight="1">
      <c r="A386" t="inlineStr">
        <is>
          <t>A 35713-2025</t>
        </is>
      </c>
      <c r="B386" s="1" t="n">
        <v>45860</v>
      </c>
      <c r="C386" s="1" t="n">
        <v>45934</v>
      </c>
      <c r="D386" t="inlineStr">
        <is>
          <t>DALARNAS LÄN</t>
        </is>
      </c>
      <c r="E386" t="inlineStr">
        <is>
          <t>LUDVIKA</t>
        </is>
      </c>
      <c r="F386" t="inlineStr">
        <is>
          <t>Bergvik skog väst AB</t>
        </is>
      </c>
      <c r="G386" t="n">
        <v>3.2</v>
      </c>
      <c r="H386" t="n">
        <v>0</v>
      </c>
      <c r="I386" t="n">
        <v>0</v>
      </c>
      <c r="J386" t="n">
        <v>0</v>
      </c>
      <c r="K386" t="n">
        <v>0</v>
      </c>
      <c r="L386" t="n">
        <v>0</v>
      </c>
      <c r="M386" t="n">
        <v>0</v>
      </c>
      <c r="N386" t="n">
        <v>0</v>
      </c>
      <c r="O386" t="n">
        <v>0</v>
      </c>
      <c r="P386" t="n">
        <v>0</v>
      </c>
      <c r="Q386" t="n">
        <v>0</v>
      </c>
      <c r="R386" s="2" t="inlineStr"/>
    </row>
    <row r="387" ht="15" customHeight="1">
      <c r="A387" t="inlineStr">
        <is>
          <t>A 56685-2022</t>
        </is>
      </c>
      <c r="B387" s="1" t="n">
        <v>44893.675</v>
      </c>
      <c r="C387" s="1" t="n">
        <v>45934</v>
      </c>
      <c r="D387" t="inlineStr">
        <is>
          <t>DALARNAS LÄN</t>
        </is>
      </c>
      <c r="E387" t="inlineStr">
        <is>
          <t>LUDVIKA</t>
        </is>
      </c>
      <c r="G387" t="n">
        <v>0.6</v>
      </c>
      <c r="H387" t="n">
        <v>0</v>
      </c>
      <c r="I387" t="n">
        <v>0</v>
      </c>
      <c r="J387" t="n">
        <v>0</v>
      </c>
      <c r="K387" t="n">
        <v>0</v>
      </c>
      <c r="L387" t="n">
        <v>0</v>
      </c>
      <c r="M387" t="n">
        <v>0</v>
      </c>
      <c r="N387" t="n">
        <v>0</v>
      </c>
      <c r="O387" t="n">
        <v>0</v>
      </c>
      <c r="P387" t="n">
        <v>0</v>
      </c>
      <c r="Q387" t="n">
        <v>0</v>
      </c>
      <c r="R387" s="2" t="inlineStr"/>
    </row>
    <row r="388" ht="15" customHeight="1">
      <c r="A388" t="inlineStr">
        <is>
          <t>A 38359-2024</t>
        </is>
      </c>
      <c r="B388" s="1" t="n">
        <v>45545.79224537037</v>
      </c>
      <c r="C388" s="1" t="n">
        <v>45934</v>
      </c>
      <c r="D388" t="inlineStr">
        <is>
          <t>DALARNAS LÄN</t>
        </is>
      </c>
      <c r="E388" t="inlineStr">
        <is>
          <t>LUDVIKA</t>
        </is>
      </c>
      <c r="G388" t="n">
        <v>2.4</v>
      </c>
      <c r="H388" t="n">
        <v>0</v>
      </c>
      <c r="I388" t="n">
        <v>0</v>
      </c>
      <c r="J388" t="n">
        <v>0</v>
      </c>
      <c r="K388" t="n">
        <v>0</v>
      </c>
      <c r="L388" t="n">
        <v>0</v>
      </c>
      <c r="M388" t="n">
        <v>0</v>
      </c>
      <c r="N388" t="n">
        <v>0</v>
      </c>
      <c r="O388" t="n">
        <v>0</v>
      </c>
      <c r="P388" t="n">
        <v>0</v>
      </c>
      <c r="Q388" t="n">
        <v>0</v>
      </c>
      <c r="R388" s="2" t="inlineStr"/>
    </row>
    <row r="389" ht="15" customHeight="1">
      <c r="A389" t="inlineStr">
        <is>
          <t>A 11797-2023</t>
        </is>
      </c>
      <c r="B389" s="1" t="n">
        <v>44994</v>
      </c>
      <c r="C389" s="1" t="n">
        <v>45934</v>
      </c>
      <c r="D389" t="inlineStr">
        <is>
          <t>DALARNAS LÄN</t>
        </is>
      </c>
      <c r="E389" t="inlineStr">
        <is>
          <t>LUDVIKA</t>
        </is>
      </c>
      <c r="G389" t="n">
        <v>0.7</v>
      </c>
      <c r="H389" t="n">
        <v>0</v>
      </c>
      <c r="I389" t="n">
        <v>0</v>
      </c>
      <c r="J389" t="n">
        <v>0</v>
      </c>
      <c r="K389" t="n">
        <v>0</v>
      </c>
      <c r="L389" t="n">
        <v>0</v>
      </c>
      <c r="M389" t="n">
        <v>0</v>
      </c>
      <c r="N389" t="n">
        <v>0</v>
      </c>
      <c r="O389" t="n">
        <v>0</v>
      </c>
      <c r="P389" t="n">
        <v>0</v>
      </c>
      <c r="Q389" t="n">
        <v>0</v>
      </c>
      <c r="R389" s="2" t="inlineStr"/>
    </row>
    <row r="390" ht="15" customHeight="1">
      <c r="A390" t="inlineStr">
        <is>
          <t>A 18708-2023</t>
        </is>
      </c>
      <c r="B390" s="1" t="n">
        <v>45043</v>
      </c>
      <c r="C390" s="1" t="n">
        <v>45934</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31100-2024</t>
        </is>
      </c>
      <c r="B391" s="1" t="n">
        <v>45502</v>
      </c>
      <c r="C391" s="1" t="n">
        <v>45934</v>
      </c>
      <c r="D391" t="inlineStr">
        <is>
          <t>DALARNAS LÄN</t>
        </is>
      </c>
      <c r="E391" t="inlineStr">
        <is>
          <t>LUDVIKA</t>
        </is>
      </c>
      <c r="G391" t="n">
        <v>1.7</v>
      </c>
      <c r="H391" t="n">
        <v>0</v>
      </c>
      <c r="I391" t="n">
        <v>0</v>
      </c>
      <c r="J391" t="n">
        <v>0</v>
      </c>
      <c r="K391" t="n">
        <v>0</v>
      </c>
      <c r="L391" t="n">
        <v>0</v>
      </c>
      <c r="M391" t="n">
        <v>0</v>
      </c>
      <c r="N391" t="n">
        <v>0</v>
      </c>
      <c r="O391" t="n">
        <v>0</v>
      </c>
      <c r="P391" t="n">
        <v>0</v>
      </c>
      <c r="Q391" t="n">
        <v>0</v>
      </c>
      <c r="R391" s="2" t="inlineStr"/>
    </row>
    <row r="392" ht="15" customHeight="1">
      <c r="A392" t="inlineStr">
        <is>
          <t>A 38223-2021</t>
        </is>
      </c>
      <c r="B392" s="1" t="n">
        <v>44405.60167824074</v>
      </c>
      <c r="C392" s="1" t="n">
        <v>45934</v>
      </c>
      <c r="D392" t="inlineStr">
        <is>
          <t>DALARNAS LÄN</t>
        </is>
      </c>
      <c r="E392" t="inlineStr">
        <is>
          <t>LUDVIKA</t>
        </is>
      </c>
      <c r="G392" t="n">
        <v>2.3</v>
      </c>
      <c r="H392" t="n">
        <v>0</v>
      </c>
      <c r="I392" t="n">
        <v>0</v>
      </c>
      <c r="J392" t="n">
        <v>0</v>
      </c>
      <c r="K392" t="n">
        <v>0</v>
      </c>
      <c r="L392" t="n">
        <v>0</v>
      </c>
      <c r="M392" t="n">
        <v>0</v>
      </c>
      <c r="N392" t="n">
        <v>0</v>
      </c>
      <c r="O392" t="n">
        <v>0</v>
      </c>
      <c r="P392" t="n">
        <v>0</v>
      </c>
      <c r="Q392" t="n">
        <v>0</v>
      </c>
      <c r="R392" s="2" t="inlineStr"/>
    </row>
    <row r="393" ht="15" customHeight="1">
      <c r="A393" t="inlineStr">
        <is>
          <t>A 15421-2025</t>
        </is>
      </c>
      <c r="B393" s="1" t="n">
        <v>45747.46331018519</v>
      </c>
      <c r="C393" s="1" t="n">
        <v>45934</v>
      </c>
      <c r="D393" t="inlineStr">
        <is>
          <t>DALARNAS LÄN</t>
        </is>
      </c>
      <c r="E393" t="inlineStr">
        <is>
          <t>LUDVIKA</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39833-2025</t>
        </is>
      </c>
      <c r="B394" s="1" t="n">
        <v>45891.56180555555</v>
      </c>
      <c r="C394" s="1" t="n">
        <v>45934</v>
      </c>
      <c r="D394" t="inlineStr">
        <is>
          <t>DALARNAS LÄN</t>
        </is>
      </c>
      <c r="E394" t="inlineStr">
        <is>
          <t>LUDVIKA</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21893-2025</t>
        </is>
      </c>
      <c r="B395" s="1" t="n">
        <v>45784.4484837963</v>
      </c>
      <c r="C395" s="1" t="n">
        <v>45934</v>
      </c>
      <c r="D395" t="inlineStr">
        <is>
          <t>DALARNAS LÄN</t>
        </is>
      </c>
      <c r="E395" t="inlineStr">
        <is>
          <t>LUDVIKA</t>
        </is>
      </c>
      <c r="G395" t="n">
        <v>1.4</v>
      </c>
      <c r="H395" t="n">
        <v>0</v>
      </c>
      <c r="I395" t="n">
        <v>0</v>
      </c>
      <c r="J395" t="n">
        <v>0</v>
      </c>
      <c r="K395" t="n">
        <v>0</v>
      </c>
      <c r="L395" t="n">
        <v>0</v>
      </c>
      <c r="M395" t="n">
        <v>0</v>
      </c>
      <c r="N395" t="n">
        <v>0</v>
      </c>
      <c r="O395" t="n">
        <v>0</v>
      </c>
      <c r="P395" t="n">
        <v>0</v>
      </c>
      <c r="Q395" t="n">
        <v>0</v>
      </c>
      <c r="R395" s="2" t="inlineStr"/>
    </row>
    <row r="396" ht="15" customHeight="1">
      <c r="A396" t="inlineStr">
        <is>
          <t>A 48201-2025</t>
        </is>
      </c>
      <c r="B396" s="1" t="n">
        <v>45933.48107638889</v>
      </c>
      <c r="C396" s="1" t="n">
        <v>45934</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69154-2020</t>
        </is>
      </c>
      <c r="B397" s="1" t="n">
        <v>44188</v>
      </c>
      <c r="C397" s="1" t="n">
        <v>45934</v>
      </c>
      <c r="D397" t="inlineStr">
        <is>
          <t>DALARNAS LÄN</t>
        </is>
      </c>
      <c r="E397" t="inlineStr">
        <is>
          <t>LUDVIKA</t>
        </is>
      </c>
      <c r="F397" t="inlineStr">
        <is>
          <t>Kommuner</t>
        </is>
      </c>
      <c r="G397" t="n">
        <v>13.3</v>
      </c>
      <c r="H397" t="n">
        <v>0</v>
      </c>
      <c r="I397" t="n">
        <v>0</v>
      </c>
      <c r="J397" t="n">
        <v>0</v>
      </c>
      <c r="K397" t="n">
        <v>0</v>
      </c>
      <c r="L397" t="n">
        <v>0</v>
      </c>
      <c r="M397" t="n">
        <v>0</v>
      </c>
      <c r="N397" t="n">
        <v>0</v>
      </c>
      <c r="O397" t="n">
        <v>0</v>
      </c>
      <c r="P397" t="n">
        <v>0</v>
      </c>
      <c r="Q397" t="n">
        <v>0</v>
      </c>
      <c r="R397" s="2" t="inlineStr"/>
    </row>
    <row r="398" ht="15" customHeight="1">
      <c r="A398" t="inlineStr">
        <is>
          <t>A 14986-2024</t>
        </is>
      </c>
      <c r="B398" s="1" t="n">
        <v>45399.34371527778</v>
      </c>
      <c r="C398" s="1" t="n">
        <v>45934</v>
      </c>
      <c r="D398" t="inlineStr">
        <is>
          <t>DALARNAS LÄN</t>
        </is>
      </c>
      <c r="E398" t="inlineStr">
        <is>
          <t>LUDVIKA</t>
        </is>
      </c>
      <c r="F398" t="inlineStr">
        <is>
          <t>Bergvik skog väst AB</t>
        </is>
      </c>
      <c r="G398" t="n">
        <v>0.7</v>
      </c>
      <c r="H398" t="n">
        <v>0</v>
      </c>
      <c r="I398" t="n">
        <v>0</v>
      </c>
      <c r="J398" t="n">
        <v>0</v>
      </c>
      <c r="K398" t="n">
        <v>0</v>
      </c>
      <c r="L398" t="n">
        <v>0</v>
      </c>
      <c r="M398" t="n">
        <v>0</v>
      </c>
      <c r="N398" t="n">
        <v>0</v>
      </c>
      <c r="O398" t="n">
        <v>0</v>
      </c>
      <c r="P398" t="n">
        <v>0</v>
      </c>
      <c r="Q398" t="n">
        <v>0</v>
      </c>
      <c r="R398" s="2" t="inlineStr"/>
    </row>
    <row r="399" ht="15" customHeight="1">
      <c r="A399" t="inlineStr">
        <is>
          <t>A 15008-2024</t>
        </is>
      </c>
      <c r="B399" s="1" t="n">
        <v>45399.42689814815</v>
      </c>
      <c r="C399" s="1" t="n">
        <v>45934</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21369-2023</t>
        </is>
      </c>
      <c r="B400" s="1" t="n">
        <v>45063</v>
      </c>
      <c r="C400" s="1" t="n">
        <v>45934</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42421-2024</t>
        </is>
      </c>
      <c r="B401" s="1" t="n">
        <v>45565.38796296297</v>
      </c>
      <c r="C401" s="1" t="n">
        <v>45934</v>
      </c>
      <c r="D401" t="inlineStr">
        <is>
          <t>DALARNAS LÄN</t>
        </is>
      </c>
      <c r="E401" t="inlineStr">
        <is>
          <t>LUDVIKA</t>
        </is>
      </c>
      <c r="G401" t="n">
        <v>5.3</v>
      </c>
      <c r="H401" t="n">
        <v>0</v>
      </c>
      <c r="I401" t="n">
        <v>0</v>
      </c>
      <c r="J401" t="n">
        <v>0</v>
      </c>
      <c r="K401" t="n">
        <v>0</v>
      </c>
      <c r="L401" t="n">
        <v>0</v>
      </c>
      <c r="M401" t="n">
        <v>0</v>
      </c>
      <c r="N401" t="n">
        <v>0</v>
      </c>
      <c r="O401" t="n">
        <v>0</v>
      </c>
      <c r="P401" t="n">
        <v>0</v>
      </c>
      <c r="Q401" t="n">
        <v>0</v>
      </c>
      <c r="R401" s="2" t="inlineStr"/>
    </row>
    <row r="402" ht="15" customHeight="1">
      <c r="A402" t="inlineStr">
        <is>
          <t>A 60843-2024</t>
        </is>
      </c>
      <c r="B402" s="1" t="n">
        <v>45644.65412037037</v>
      </c>
      <c r="C402" s="1" t="n">
        <v>45934</v>
      </c>
      <c r="D402" t="inlineStr">
        <is>
          <t>DALARNAS LÄN</t>
        </is>
      </c>
      <c r="E402" t="inlineStr">
        <is>
          <t>LUDVIKA</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53602-2023</t>
        </is>
      </c>
      <c r="B403" s="1" t="n">
        <v>45230.56142361111</v>
      </c>
      <c r="C403" s="1" t="n">
        <v>45934</v>
      </c>
      <c r="D403" t="inlineStr">
        <is>
          <t>DALARNAS LÄN</t>
        </is>
      </c>
      <c r="E403" t="inlineStr">
        <is>
          <t>LUDVIKA</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36294-2023</t>
        </is>
      </c>
      <c r="B404" s="1" t="n">
        <v>45152.35784722222</v>
      </c>
      <c r="C404" s="1" t="n">
        <v>45934</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39754-2025</t>
        </is>
      </c>
      <c r="B405" s="1" t="n">
        <v>45891.41975694444</v>
      </c>
      <c r="C405" s="1" t="n">
        <v>45934</v>
      </c>
      <c r="D405" t="inlineStr">
        <is>
          <t>DALARNAS LÄN</t>
        </is>
      </c>
      <c r="E405" t="inlineStr">
        <is>
          <t>LUDVIKA</t>
        </is>
      </c>
      <c r="F405" t="inlineStr">
        <is>
          <t>Bergvik skog väst AB</t>
        </is>
      </c>
      <c r="G405" t="n">
        <v>0.4</v>
      </c>
      <c r="H405" t="n">
        <v>0</v>
      </c>
      <c r="I405" t="n">
        <v>0</v>
      </c>
      <c r="J405" t="n">
        <v>0</v>
      </c>
      <c r="K405" t="n">
        <v>0</v>
      </c>
      <c r="L405" t="n">
        <v>0</v>
      </c>
      <c r="M405" t="n">
        <v>0</v>
      </c>
      <c r="N405" t="n">
        <v>0</v>
      </c>
      <c r="O405" t="n">
        <v>0</v>
      </c>
      <c r="P405" t="n">
        <v>0</v>
      </c>
      <c r="Q405" t="n">
        <v>0</v>
      </c>
      <c r="R405" s="2" t="inlineStr"/>
    </row>
    <row r="406" ht="15" customHeight="1">
      <c r="A406" t="inlineStr">
        <is>
          <t>A 52359-2024</t>
        </is>
      </c>
      <c r="B406" s="1" t="n">
        <v>45609.37012731482</v>
      </c>
      <c r="C406" s="1" t="n">
        <v>45934</v>
      </c>
      <c r="D406" t="inlineStr">
        <is>
          <t>DALARNAS LÄN</t>
        </is>
      </c>
      <c r="E406" t="inlineStr">
        <is>
          <t>LUDVIKA</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21891-2025</t>
        </is>
      </c>
      <c r="B407" s="1" t="n">
        <v>45784</v>
      </c>
      <c r="C407" s="1" t="n">
        <v>45934</v>
      </c>
      <c r="D407" t="inlineStr">
        <is>
          <t>DALARNAS LÄN</t>
        </is>
      </c>
      <c r="E407" t="inlineStr">
        <is>
          <t>LUDVIKA</t>
        </is>
      </c>
      <c r="G407" t="n">
        <v>1.1</v>
      </c>
      <c r="H407" t="n">
        <v>0</v>
      </c>
      <c r="I407" t="n">
        <v>0</v>
      </c>
      <c r="J407" t="n">
        <v>0</v>
      </c>
      <c r="K407" t="n">
        <v>0</v>
      </c>
      <c r="L407" t="n">
        <v>0</v>
      </c>
      <c r="M407" t="n">
        <v>0</v>
      </c>
      <c r="N407" t="n">
        <v>0</v>
      </c>
      <c r="O407" t="n">
        <v>0</v>
      </c>
      <c r="P407" t="n">
        <v>0</v>
      </c>
      <c r="Q407" t="n">
        <v>0</v>
      </c>
      <c r="R407" s="2" t="inlineStr"/>
    </row>
    <row r="408" ht="15" customHeight="1">
      <c r="A408" t="inlineStr">
        <is>
          <t>A 16108-2021</t>
        </is>
      </c>
      <c r="B408" s="1" t="n">
        <v>44291</v>
      </c>
      <c r="C408" s="1" t="n">
        <v>45934</v>
      </c>
      <c r="D408" t="inlineStr">
        <is>
          <t>DALARNAS LÄN</t>
        </is>
      </c>
      <c r="E408" t="inlineStr">
        <is>
          <t>LUDVIKA</t>
        </is>
      </c>
      <c r="G408" t="n">
        <v>2.9</v>
      </c>
      <c r="H408" t="n">
        <v>0</v>
      </c>
      <c r="I408" t="n">
        <v>0</v>
      </c>
      <c r="J408" t="n">
        <v>0</v>
      </c>
      <c r="K408" t="n">
        <v>0</v>
      </c>
      <c r="L408" t="n">
        <v>0</v>
      </c>
      <c r="M408" t="n">
        <v>0</v>
      </c>
      <c r="N408" t="n">
        <v>0</v>
      </c>
      <c r="O408" t="n">
        <v>0</v>
      </c>
      <c r="P408" t="n">
        <v>0</v>
      </c>
      <c r="Q408" t="n">
        <v>0</v>
      </c>
      <c r="R408" s="2" t="inlineStr"/>
    </row>
    <row r="409" ht="15" customHeight="1">
      <c r="A409" t="inlineStr">
        <is>
          <t>A 65104-2023</t>
        </is>
      </c>
      <c r="B409" s="1" t="n">
        <v>45288</v>
      </c>
      <c r="C409" s="1" t="n">
        <v>45934</v>
      </c>
      <c r="D409" t="inlineStr">
        <is>
          <t>DALARNAS LÄN</t>
        </is>
      </c>
      <c r="E409" t="inlineStr">
        <is>
          <t>LUDVIKA</t>
        </is>
      </c>
      <c r="G409" t="n">
        <v>1.3</v>
      </c>
      <c r="H409" t="n">
        <v>0</v>
      </c>
      <c r="I409" t="n">
        <v>0</v>
      </c>
      <c r="J409" t="n">
        <v>0</v>
      </c>
      <c r="K409" t="n">
        <v>0</v>
      </c>
      <c r="L409" t="n">
        <v>0</v>
      </c>
      <c r="M409" t="n">
        <v>0</v>
      </c>
      <c r="N409" t="n">
        <v>0</v>
      </c>
      <c r="O409" t="n">
        <v>0</v>
      </c>
      <c r="P409" t="n">
        <v>0</v>
      </c>
      <c r="Q409" t="n">
        <v>0</v>
      </c>
      <c r="R409" s="2" t="inlineStr"/>
    </row>
    <row r="410" ht="15" customHeight="1">
      <c r="A410" t="inlineStr">
        <is>
          <t>A 33914-2023</t>
        </is>
      </c>
      <c r="B410" s="1" t="n">
        <v>45134.43274305556</v>
      </c>
      <c r="C410" s="1" t="n">
        <v>45934</v>
      </c>
      <c r="D410" t="inlineStr">
        <is>
          <t>DALARNAS LÄN</t>
        </is>
      </c>
      <c r="E410" t="inlineStr">
        <is>
          <t>LUDVIKA</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22325-2025</t>
        </is>
      </c>
      <c r="B411" s="1" t="n">
        <v>45786</v>
      </c>
      <c r="C411" s="1" t="n">
        <v>45934</v>
      </c>
      <c r="D411" t="inlineStr">
        <is>
          <t>DALARNAS LÄN</t>
        </is>
      </c>
      <c r="E411" t="inlineStr">
        <is>
          <t>LUDVIKA</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46095-2024</t>
        </is>
      </c>
      <c r="B412" s="1" t="n">
        <v>45581.36174768519</v>
      </c>
      <c r="C412" s="1" t="n">
        <v>45934</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41539-2024</t>
        </is>
      </c>
      <c r="B413" s="1" t="n">
        <v>45560.50243055556</v>
      </c>
      <c r="C413" s="1" t="n">
        <v>45934</v>
      </c>
      <c r="D413" t="inlineStr">
        <is>
          <t>DALARNAS LÄN</t>
        </is>
      </c>
      <c r="E413" t="inlineStr">
        <is>
          <t>LUDVIKA</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22328-2025</t>
        </is>
      </c>
      <c r="B414" s="1" t="n">
        <v>45786</v>
      </c>
      <c r="C414" s="1" t="n">
        <v>45934</v>
      </c>
      <c r="D414" t="inlineStr">
        <is>
          <t>DALARNAS LÄN</t>
        </is>
      </c>
      <c r="E414" t="inlineStr">
        <is>
          <t>LUDVIKA</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46185-2024</t>
        </is>
      </c>
      <c r="B415" s="1" t="n">
        <v>45581</v>
      </c>
      <c r="C415" s="1" t="n">
        <v>45934</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14881-2025</t>
        </is>
      </c>
      <c r="B416" s="1" t="n">
        <v>45743.4653587963</v>
      </c>
      <c r="C416" s="1" t="n">
        <v>45934</v>
      </c>
      <c r="D416" t="inlineStr">
        <is>
          <t>DALARNAS LÄN</t>
        </is>
      </c>
      <c r="E416" t="inlineStr">
        <is>
          <t>LUDVIKA</t>
        </is>
      </c>
      <c r="G416" t="n">
        <v>0.5</v>
      </c>
      <c r="H416" t="n">
        <v>0</v>
      </c>
      <c r="I416" t="n">
        <v>0</v>
      </c>
      <c r="J416" t="n">
        <v>0</v>
      </c>
      <c r="K416" t="n">
        <v>0</v>
      </c>
      <c r="L416" t="n">
        <v>0</v>
      </c>
      <c r="M416" t="n">
        <v>0</v>
      </c>
      <c r="N416" t="n">
        <v>0</v>
      </c>
      <c r="O416" t="n">
        <v>0</v>
      </c>
      <c r="P416" t="n">
        <v>0</v>
      </c>
      <c r="Q416" t="n">
        <v>0</v>
      </c>
      <c r="R416" s="2" t="inlineStr"/>
    </row>
    <row r="417" ht="15" customHeight="1">
      <c r="A417" t="inlineStr">
        <is>
          <t>A 22594-2025</t>
        </is>
      </c>
      <c r="B417" s="1" t="n">
        <v>45789</v>
      </c>
      <c r="C417" s="1" t="n">
        <v>45934</v>
      </c>
      <c r="D417" t="inlineStr">
        <is>
          <t>DALARNAS LÄN</t>
        </is>
      </c>
      <c r="E417" t="inlineStr">
        <is>
          <t>LUDVIKA</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22606-2025</t>
        </is>
      </c>
      <c r="B418" s="1" t="n">
        <v>45789</v>
      </c>
      <c r="C418" s="1" t="n">
        <v>45934</v>
      </c>
      <c r="D418" t="inlineStr">
        <is>
          <t>DALARNAS LÄN</t>
        </is>
      </c>
      <c r="E418" t="inlineStr">
        <is>
          <t>LUDVIKA</t>
        </is>
      </c>
      <c r="F418" t="inlineStr">
        <is>
          <t>Bergvik skog väst AB</t>
        </is>
      </c>
      <c r="G418" t="n">
        <v>3.9</v>
      </c>
      <c r="H418" t="n">
        <v>0</v>
      </c>
      <c r="I418" t="n">
        <v>0</v>
      </c>
      <c r="J418" t="n">
        <v>0</v>
      </c>
      <c r="K418" t="n">
        <v>0</v>
      </c>
      <c r="L418" t="n">
        <v>0</v>
      </c>
      <c r="M418" t="n">
        <v>0</v>
      </c>
      <c r="N418" t="n">
        <v>0</v>
      </c>
      <c r="O418" t="n">
        <v>0</v>
      </c>
      <c r="P418" t="n">
        <v>0</v>
      </c>
      <c r="Q418" t="n">
        <v>0</v>
      </c>
      <c r="R418" s="2" t="inlineStr"/>
    </row>
    <row r="419" ht="15" customHeight="1">
      <c r="A419" t="inlineStr">
        <is>
          <t>A 22610-2025</t>
        </is>
      </c>
      <c r="B419" s="1" t="n">
        <v>45789</v>
      </c>
      <c r="C419" s="1" t="n">
        <v>45934</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46093-2024</t>
        </is>
      </c>
      <c r="B420" s="1" t="n">
        <v>45581.35516203703</v>
      </c>
      <c r="C420" s="1" t="n">
        <v>45934</v>
      </c>
      <c r="D420" t="inlineStr">
        <is>
          <t>DALARNAS LÄN</t>
        </is>
      </c>
      <c r="E420" t="inlineStr">
        <is>
          <t>LUDVIKA</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46107-2024</t>
        </is>
      </c>
      <c r="B421" s="1" t="n">
        <v>45581.37739583333</v>
      </c>
      <c r="C421" s="1" t="n">
        <v>45934</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50240-2024</t>
        </is>
      </c>
      <c r="B422" s="1" t="n">
        <v>45600.56336805555</v>
      </c>
      <c r="C422" s="1" t="n">
        <v>45934</v>
      </c>
      <c r="D422" t="inlineStr">
        <is>
          <t>DALARNAS LÄN</t>
        </is>
      </c>
      <c r="E422" t="inlineStr">
        <is>
          <t>LUDVIKA</t>
        </is>
      </c>
      <c r="G422" t="n">
        <v>2.2</v>
      </c>
      <c r="H422" t="n">
        <v>0</v>
      </c>
      <c r="I422" t="n">
        <v>0</v>
      </c>
      <c r="J422" t="n">
        <v>0</v>
      </c>
      <c r="K422" t="n">
        <v>0</v>
      </c>
      <c r="L422" t="n">
        <v>0</v>
      </c>
      <c r="M422" t="n">
        <v>0</v>
      </c>
      <c r="N422" t="n">
        <v>0</v>
      </c>
      <c r="O422" t="n">
        <v>0</v>
      </c>
      <c r="P422" t="n">
        <v>0</v>
      </c>
      <c r="Q422" t="n">
        <v>0</v>
      </c>
      <c r="R422" s="2" t="inlineStr"/>
    </row>
    <row r="423" ht="15" customHeight="1">
      <c r="A423" t="inlineStr">
        <is>
          <t>A 22801-2025</t>
        </is>
      </c>
      <c r="B423" s="1" t="n">
        <v>45789.66861111111</v>
      </c>
      <c r="C423" s="1" t="n">
        <v>45934</v>
      </c>
      <c r="D423" t="inlineStr">
        <is>
          <t>DALARNAS LÄN</t>
        </is>
      </c>
      <c r="E423" t="inlineStr">
        <is>
          <t>LUDVIKA</t>
        </is>
      </c>
      <c r="G423" t="n">
        <v>1.6</v>
      </c>
      <c r="H423" t="n">
        <v>0</v>
      </c>
      <c r="I423" t="n">
        <v>0</v>
      </c>
      <c r="J423" t="n">
        <v>0</v>
      </c>
      <c r="K423" t="n">
        <v>0</v>
      </c>
      <c r="L423" t="n">
        <v>0</v>
      </c>
      <c r="M423" t="n">
        <v>0</v>
      </c>
      <c r="N423" t="n">
        <v>0</v>
      </c>
      <c r="O423" t="n">
        <v>0</v>
      </c>
      <c r="P423" t="n">
        <v>0</v>
      </c>
      <c r="Q423" t="n">
        <v>0</v>
      </c>
      <c r="R423" s="2" t="inlineStr"/>
    </row>
    <row r="424" ht="15" customHeight="1">
      <c r="A424" t="inlineStr">
        <is>
          <t>A 22807-2025</t>
        </is>
      </c>
      <c r="B424" s="1" t="n">
        <v>45789.67512731482</v>
      </c>
      <c r="C424" s="1" t="n">
        <v>45934</v>
      </c>
      <c r="D424" t="inlineStr">
        <is>
          <t>DALARNAS LÄN</t>
        </is>
      </c>
      <c r="E424" t="inlineStr">
        <is>
          <t>LUDVIKA</t>
        </is>
      </c>
      <c r="G424" t="n">
        <v>4.2</v>
      </c>
      <c r="H424" t="n">
        <v>0</v>
      </c>
      <c r="I424" t="n">
        <v>0</v>
      </c>
      <c r="J424" t="n">
        <v>0</v>
      </c>
      <c r="K424" t="n">
        <v>0</v>
      </c>
      <c r="L424" t="n">
        <v>0</v>
      </c>
      <c r="M424" t="n">
        <v>0</v>
      </c>
      <c r="N424" t="n">
        <v>0</v>
      </c>
      <c r="O424" t="n">
        <v>0</v>
      </c>
      <c r="P424" t="n">
        <v>0</v>
      </c>
      <c r="Q424" t="n">
        <v>0</v>
      </c>
      <c r="R424" s="2" t="inlineStr"/>
    </row>
    <row r="425" ht="15" customHeight="1">
      <c r="A425" t="inlineStr">
        <is>
          <t>A 43702-2024</t>
        </is>
      </c>
      <c r="B425" s="1" t="n">
        <v>45569.59144675926</v>
      </c>
      <c r="C425" s="1" t="n">
        <v>45934</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29882-2024</t>
        </is>
      </c>
      <c r="B426" s="1" t="n">
        <v>45486</v>
      </c>
      <c r="C426" s="1" t="n">
        <v>45934</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59050-2022</t>
        </is>
      </c>
      <c r="B427" s="1" t="n">
        <v>44903</v>
      </c>
      <c r="C427" s="1" t="n">
        <v>45934</v>
      </c>
      <c r="D427" t="inlineStr">
        <is>
          <t>DALARNAS LÄN</t>
        </is>
      </c>
      <c r="E427" t="inlineStr">
        <is>
          <t>LUDVIKA</t>
        </is>
      </c>
      <c r="G427" t="n">
        <v>2.8</v>
      </c>
      <c r="H427" t="n">
        <v>0</v>
      </c>
      <c r="I427" t="n">
        <v>0</v>
      </c>
      <c r="J427" t="n">
        <v>0</v>
      </c>
      <c r="K427" t="n">
        <v>0</v>
      </c>
      <c r="L427" t="n">
        <v>0</v>
      </c>
      <c r="M427" t="n">
        <v>0</v>
      </c>
      <c r="N427" t="n">
        <v>0</v>
      </c>
      <c r="O427" t="n">
        <v>0</v>
      </c>
      <c r="P427" t="n">
        <v>0</v>
      </c>
      <c r="Q427" t="n">
        <v>0</v>
      </c>
      <c r="R427" s="2" t="inlineStr"/>
    </row>
    <row r="428" ht="15" customHeight="1">
      <c r="A428" t="inlineStr">
        <is>
          <t>A 45543-2024</t>
        </is>
      </c>
      <c r="B428" s="1" t="n">
        <v>45579.33577546296</v>
      </c>
      <c r="C428" s="1" t="n">
        <v>45934</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45544-2024</t>
        </is>
      </c>
      <c r="B429" s="1" t="n">
        <v>45579.33912037037</v>
      </c>
      <c r="C429" s="1" t="n">
        <v>45934</v>
      </c>
      <c r="D429" t="inlineStr">
        <is>
          <t>DALARNAS LÄN</t>
        </is>
      </c>
      <c r="E429" t="inlineStr">
        <is>
          <t>LUDVIKA</t>
        </is>
      </c>
      <c r="G429" t="n">
        <v>1.5</v>
      </c>
      <c r="H429" t="n">
        <v>0</v>
      </c>
      <c r="I429" t="n">
        <v>0</v>
      </c>
      <c r="J429" t="n">
        <v>0</v>
      </c>
      <c r="K429" t="n">
        <v>0</v>
      </c>
      <c r="L429" t="n">
        <v>0</v>
      </c>
      <c r="M429" t="n">
        <v>0</v>
      </c>
      <c r="N429" t="n">
        <v>0</v>
      </c>
      <c r="O429" t="n">
        <v>0</v>
      </c>
      <c r="P429" t="n">
        <v>0</v>
      </c>
      <c r="Q429" t="n">
        <v>0</v>
      </c>
      <c r="R429" s="2" t="inlineStr"/>
    </row>
    <row r="430" ht="15" customHeight="1">
      <c r="A430" t="inlineStr">
        <is>
          <t>A 45547-2024</t>
        </is>
      </c>
      <c r="B430" s="1" t="n">
        <v>45579.34377314815</v>
      </c>
      <c r="C430" s="1" t="n">
        <v>45934</v>
      </c>
      <c r="D430" t="inlineStr">
        <is>
          <t>DALARNAS LÄN</t>
        </is>
      </c>
      <c r="E430" t="inlineStr">
        <is>
          <t>LUDVIKA</t>
        </is>
      </c>
      <c r="G430" t="n">
        <v>2.5</v>
      </c>
      <c r="H430" t="n">
        <v>0</v>
      </c>
      <c r="I430" t="n">
        <v>0</v>
      </c>
      <c r="J430" t="n">
        <v>0</v>
      </c>
      <c r="K430" t="n">
        <v>0</v>
      </c>
      <c r="L430" t="n">
        <v>0</v>
      </c>
      <c r="M430" t="n">
        <v>0</v>
      </c>
      <c r="N430" t="n">
        <v>0</v>
      </c>
      <c r="O430" t="n">
        <v>0</v>
      </c>
      <c r="P430" t="n">
        <v>0</v>
      </c>
      <c r="Q430" t="n">
        <v>0</v>
      </c>
      <c r="R430" s="2" t="inlineStr"/>
    </row>
    <row r="431" ht="15" customHeight="1">
      <c r="A431" t="inlineStr">
        <is>
          <t>A 22330-2025</t>
        </is>
      </c>
      <c r="B431" s="1" t="n">
        <v>45786</v>
      </c>
      <c r="C431" s="1" t="n">
        <v>45934</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24712-2024</t>
        </is>
      </c>
      <c r="B432" s="1" t="n">
        <v>45460.62337962963</v>
      </c>
      <c r="C432" s="1" t="n">
        <v>45934</v>
      </c>
      <c r="D432" t="inlineStr">
        <is>
          <t>DALARNAS LÄN</t>
        </is>
      </c>
      <c r="E432" t="inlineStr">
        <is>
          <t>LUDVIKA</t>
        </is>
      </c>
      <c r="G432" t="n">
        <v>4.2</v>
      </c>
      <c r="H432" t="n">
        <v>0</v>
      </c>
      <c r="I432" t="n">
        <v>0</v>
      </c>
      <c r="J432" t="n">
        <v>0</v>
      </c>
      <c r="K432" t="n">
        <v>0</v>
      </c>
      <c r="L432" t="n">
        <v>0</v>
      </c>
      <c r="M432" t="n">
        <v>0</v>
      </c>
      <c r="N432" t="n">
        <v>0</v>
      </c>
      <c r="O432" t="n">
        <v>0</v>
      </c>
      <c r="P432" t="n">
        <v>0</v>
      </c>
      <c r="Q432" t="n">
        <v>0</v>
      </c>
      <c r="R432" s="2" t="inlineStr"/>
    </row>
    <row r="433" ht="15" customHeight="1">
      <c r="A433" t="inlineStr">
        <is>
          <t>A 22599-2025</t>
        </is>
      </c>
      <c r="B433" s="1" t="n">
        <v>45789</v>
      </c>
      <c r="C433" s="1" t="n">
        <v>45934</v>
      </c>
      <c r="D433" t="inlineStr">
        <is>
          <t>DALARNAS LÄN</t>
        </is>
      </c>
      <c r="E433" t="inlineStr">
        <is>
          <t>LUDVIKA</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23082-2025</t>
        </is>
      </c>
      <c r="B434" s="1" t="n">
        <v>45791</v>
      </c>
      <c r="C434" s="1" t="n">
        <v>45934</v>
      </c>
      <c r="D434" t="inlineStr">
        <is>
          <t>DALARNAS LÄN</t>
        </is>
      </c>
      <c r="E434" t="inlineStr">
        <is>
          <t>LUDVIKA</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23088-2025</t>
        </is>
      </c>
      <c r="B435" s="1" t="n">
        <v>45791.34212962963</v>
      </c>
      <c r="C435" s="1" t="n">
        <v>45934</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23103-2025</t>
        </is>
      </c>
      <c r="B436" s="1" t="n">
        <v>45791</v>
      </c>
      <c r="C436" s="1" t="n">
        <v>45934</v>
      </c>
      <c r="D436" t="inlineStr">
        <is>
          <t>DALARNAS LÄN</t>
        </is>
      </c>
      <c r="E436" t="inlineStr">
        <is>
          <t>LUDVIKA</t>
        </is>
      </c>
      <c r="F436" t="inlineStr">
        <is>
          <t>Bergvik skog väst AB</t>
        </is>
      </c>
      <c r="G436" t="n">
        <v>15.9</v>
      </c>
      <c r="H436" t="n">
        <v>0</v>
      </c>
      <c r="I436" t="n">
        <v>0</v>
      </c>
      <c r="J436" t="n">
        <v>0</v>
      </c>
      <c r="K436" t="n">
        <v>0</v>
      </c>
      <c r="L436" t="n">
        <v>0</v>
      </c>
      <c r="M436" t="n">
        <v>0</v>
      </c>
      <c r="N436" t="n">
        <v>0</v>
      </c>
      <c r="O436" t="n">
        <v>0</v>
      </c>
      <c r="P436" t="n">
        <v>0</v>
      </c>
      <c r="Q436" t="n">
        <v>0</v>
      </c>
      <c r="R436" s="2" t="inlineStr"/>
    </row>
    <row r="437" ht="15" customHeight="1">
      <c r="A437" t="inlineStr">
        <is>
          <t>A 23105-2025</t>
        </is>
      </c>
      <c r="B437" s="1" t="n">
        <v>45791</v>
      </c>
      <c r="C437" s="1" t="n">
        <v>45934</v>
      </c>
      <c r="D437" t="inlineStr">
        <is>
          <t>DALARNAS LÄN</t>
        </is>
      </c>
      <c r="E437" t="inlineStr">
        <is>
          <t>LUDVIKA</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54089-2024</t>
        </is>
      </c>
      <c r="B438" s="1" t="n">
        <v>45616.50763888889</v>
      </c>
      <c r="C438" s="1" t="n">
        <v>45934</v>
      </c>
      <c r="D438" t="inlineStr">
        <is>
          <t>DALARNAS LÄN</t>
        </is>
      </c>
      <c r="E438" t="inlineStr">
        <is>
          <t>LUDVIKA</t>
        </is>
      </c>
      <c r="F438" t="inlineStr">
        <is>
          <t>Bergvik skog väst AB</t>
        </is>
      </c>
      <c r="G438" t="n">
        <v>1.5</v>
      </c>
      <c r="H438" t="n">
        <v>0</v>
      </c>
      <c r="I438" t="n">
        <v>0</v>
      </c>
      <c r="J438" t="n">
        <v>0</v>
      </c>
      <c r="K438" t="n">
        <v>0</v>
      </c>
      <c r="L438" t="n">
        <v>0</v>
      </c>
      <c r="M438" t="n">
        <v>0</v>
      </c>
      <c r="N438" t="n">
        <v>0</v>
      </c>
      <c r="O438" t="n">
        <v>0</v>
      </c>
      <c r="P438" t="n">
        <v>0</v>
      </c>
      <c r="Q438" t="n">
        <v>0</v>
      </c>
      <c r="R438" s="2" t="inlineStr"/>
    </row>
    <row r="439" ht="15" customHeight="1">
      <c r="A439" t="inlineStr">
        <is>
          <t>A 34280-2024</t>
        </is>
      </c>
      <c r="B439" s="1" t="n">
        <v>45524.62398148148</v>
      </c>
      <c r="C439" s="1" t="n">
        <v>45934</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36066-2024</t>
        </is>
      </c>
      <c r="B440" s="1" t="n">
        <v>45533.64466435185</v>
      </c>
      <c r="C440" s="1" t="n">
        <v>45934</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23086-2025</t>
        </is>
      </c>
      <c r="B441" s="1" t="n">
        <v>45791</v>
      </c>
      <c r="C441" s="1" t="n">
        <v>45934</v>
      </c>
      <c r="D441" t="inlineStr">
        <is>
          <t>DALARNAS LÄN</t>
        </is>
      </c>
      <c r="E441" t="inlineStr">
        <is>
          <t>LUDVIKA</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23087-2025</t>
        </is>
      </c>
      <c r="B442" s="1" t="n">
        <v>45791.3395949074</v>
      </c>
      <c r="C442" s="1" t="n">
        <v>45934</v>
      </c>
      <c r="D442" t="inlineStr">
        <is>
          <t>DALARNAS LÄN</t>
        </is>
      </c>
      <c r="E442" t="inlineStr">
        <is>
          <t>LUDVIKA</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22850-2025</t>
        </is>
      </c>
      <c r="B443" s="1" t="n">
        <v>45790.34148148148</v>
      </c>
      <c r="C443" s="1" t="n">
        <v>45934</v>
      </c>
      <c r="D443" t="inlineStr">
        <is>
          <t>DALARNAS LÄN</t>
        </is>
      </c>
      <c r="E443" t="inlineStr">
        <is>
          <t>LUDVIKA</t>
        </is>
      </c>
      <c r="F443" t="inlineStr">
        <is>
          <t>Övriga Aktiebolag</t>
        </is>
      </c>
      <c r="G443" t="n">
        <v>2.4</v>
      </c>
      <c r="H443" t="n">
        <v>0</v>
      </c>
      <c r="I443" t="n">
        <v>0</v>
      </c>
      <c r="J443" t="n">
        <v>0</v>
      </c>
      <c r="K443" t="n">
        <v>0</v>
      </c>
      <c r="L443" t="n">
        <v>0</v>
      </c>
      <c r="M443" t="n">
        <v>0</v>
      </c>
      <c r="N443" t="n">
        <v>0</v>
      </c>
      <c r="O443" t="n">
        <v>0</v>
      </c>
      <c r="P443" t="n">
        <v>0</v>
      </c>
      <c r="Q443" t="n">
        <v>0</v>
      </c>
      <c r="R443" s="2" t="inlineStr"/>
    </row>
    <row r="444" ht="15" customHeight="1">
      <c r="A444" t="inlineStr">
        <is>
          <t>A 47233-2024</t>
        </is>
      </c>
      <c r="B444" s="1" t="n">
        <v>45586.68033564815</v>
      </c>
      <c r="C444" s="1" t="n">
        <v>45934</v>
      </c>
      <c r="D444" t="inlineStr">
        <is>
          <t>DALARNAS LÄN</t>
        </is>
      </c>
      <c r="E444" t="inlineStr">
        <is>
          <t>LUDVIKA</t>
        </is>
      </c>
      <c r="G444" t="n">
        <v>9.5</v>
      </c>
      <c r="H444" t="n">
        <v>0</v>
      </c>
      <c r="I444" t="n">
        <v>0</v>
      </c>
      <c r="J444" t="n">
        <v>0</v>
      </c>
      <c r="K444" t="n">
        <v>0</v>
      </c>
      <c r="L444" t="n">
        <v>0</v>
      </c>
      <c r="M444" t="n">
        <v>0</v>
      </c>
      <c r="N444" t="n">
        <v>0</v>
      </c>
      <c r="O444" t="n">
        <v>0</v>
      </c>
      <c r="P444" t="n">
        <v>0</v>
      </c>
      <c r="Q444" t="n">
        <v>0</v>
      </c>
      <c r="R444" s="2" t="inlineStr"/>
    </row>
    <row r="445" ht="15" customHeight="1">
      <c r="A445" t="inlineStr">
        <is>
          <t>A 52425-2020</t>
        </is>
      </c>
      <c r="B445" s="1" t="n">
        <v>44118</v>
      </c>
      <c r="C445" s="1" t="n">
        <v>45934</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22686-2025</t>
        </is>
      </c>
      <c r="B446" s="1" t="n">
        <v>45786</v>
      </c>
      <c r="C446" s="1" t="n">
        <v>45934</v>
      </c>
      <c r="D446" t="inlineStr">
        <is>
          <t>DALARNAS LÄN</t>
        </is>
      </c>
      <c r="E446" t="inlineStr">
        <is>
          <t>LUDVIKA</t>
        </is>
      </c>
      <c r="G446" t="n">
        <v>2.1</v>
      </c>
      <c r="H446" t="n">
        <v>0</v>
      </c>
      <c r="I446" t="n">
        <v>0</v>
      </c>
      <c r="J446" t="n">
        <v>0</v>
      </c>
      <c r="K446" t="n">
        <v>0</v>
      </c>
      <c r="L446" t="n">
        <v>0</v>
      </c>
      <c r="M446" t="n">
        <v>0</v>
      </c>
      <c r="N446" t="n">
        <v>0</v>
      </c>
      <c r="O446" t="n">
        <v>0</v>
      </c>
      <c r="P446" t="n">
        <v>0</v>
      </c>
      <c r="Q446" t="n">
        <v>0</v>
      </c>
      <c r="R446" s="2" t="inlineStr"/>
    </row>
    <row r="447" ht="15" customHeight="1">
      <c r="A447" t="inlineStr">
        <is>
          <t>A 23521-2025</t>
        </is>
      </c>
      <c r="B447" s="1" t="n">
        <v>45792</v>
      </c>
      <c r="C447" s="1" t="n">
        <v>45934</v>
      </c>
      <c r="D447" t="inlineStr">
        <is>
          <t>DALARNAS LÄN</t>
        </is>
      </c>
      <c r="E447" t="inlineStr">
        <is>
          <t>LUDVIKA</t>
        </is>
      </c>
      <c r="F447" t="inlineStr">
        <is>
          <t>Bergvik skog väst AB</t>
        </is>
      </c>
      <c r="G447" t="n">
        <v>5.2</v>
      </c>
      <c r="H447" t="n">
        <v>0</v>
      </c>
      <c r="I447" t="n">
        <v>0</v>
      </c>
      <c r="J447" t="n">
        <v>0</v>
      </c>
      <c r="K447" t="n">
        <v>0</v>
      </c>
      <c r="L447" t="n">
        <v>0</v>
      </c>
      <c r="M447" t="n">
        <v>0</v>
      </c>
      <c r="N447" t="n">
        <v>0</v>
      </c>
      <c r="O447" t="n">
        <v>0</v>
      </c>
      <c r="P447" t="n">
        <v>0</v>
      </c>
      <c r="Q447" t="n">
        <v>0</v>
      </c>
      <c r="R447" s="2" t="inlineStr"/>
    </row>
    <row r="448" ht="15" customHeight="1">
      <c r="A448" t="inlineStr">
        <is>
          <t>A 20449-2025</t>
        </is>
      </c>
      <c r="B448" s="1" t="n">
        <v>45775</v>
      </c>
      <c r="C448" s="1" t="n">
        <v>45934</v>
      </c>
      <c r="D448" t="inlineStr">
        <is>
          <t>DALARNAS LÄN</t>
        </is>
      </c>
      <c r="E448" t="inlineStr">
        <is>
          <t>LUDVIKA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44915.6166087963</v>
      </c>
      <c r="C449" s="1" t="n">
        <v>45934</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19677-2025</t>
        </is>
      </c>
      <c r="B450" s="1" t="n">
        <v>45770.75799768518</v>
      </c>
      <c r="C450" s="1" t="n">
        <v>45934</v>
      </c>
      <c r="D450" t="inlineStr">
        <is>
          <t>DALARNAS LÄN</t>
        </is>
      </c>
      <c r="E450" t="inlineStr">
        <is>
          <t>LUDVIKA</t>
        </is>
      </c>
      <c r="G450" t="n">
        <v>1.8</v>
      </c>
      <c r="H450" t="n">
        <v>0</v>
      </c>
      <c r="I450" t="n">
        <v>0</v>
      </c>
      <c r="J450" t="n">
        <v>0</v>
      </c>
      <c r="K450" t="n">
        <v>0</v>
      </c>
      <c r="L450" t="n">
        <v>0</v>
      </c>
      <c r="M450" t="n">
        <v>0</v>
      </c>
      <c r="N450" t="n">
        <v>0</v>
      </c>
      <c r="O450" t="n">
        <v>0</v>
      </c>
      <c r="P450" t="n">
        <v>0</v>
      </c>
      <c r="Q450" t="n">
        <v>0</v>
      </c>
      <c r="R450" s="2" t="inlineStr"/>
    </row>
    <row r="451" ht="15" customHeight="1">
      <c r="A451" t="inlineStr">
        <is>
          <t>A 23137-2025</t>
        </is>
      </c>
      <c r="B451" s="1" t="n">
        <v>45791.39229166666</v>
      </c>
      <c r="C451" s="1" t="n">
        <v>45934</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53509-2022</t>
        </is>
      </c>
      <c r="B452" s="1" t="n">
        <v>44879</v>
      </c>
      <c r="C452" s="1" t="n">
        <v>45934</v>
      </c>
      <c r="D452" t="inlineStr">
        <is>
          <t>DALARNAS LÄN</t>
        </is>
      </c>
      <c r="E452" t="inlineStr">
        <is>
          <t>LUDVIKA</t>
        </is>
      </c>
      <c r="F452" t="inlineStr">
        <is>
          <t>Naturvårdsverket</t>
        </is>
      </c>
      <c r="G452" t="n">
        <v>4.9</v>
      </c>
      <c r="H452" t="n">
        <v>0</v>
      </c>
      <c r="I452" t="n">
        <v>0</v>
      </c>
      <c r="J452" t="n">
        <v>0</v>
      </c>
      <c r="K452" t="n">
        <v>0</v>
      </c>
      <c r="L452" t="n">
        <v>0</v>
      </c>
      <c r="M452" t="n">
        <v>0</v>
      </c>
      <c r="N452" t="n">
        <v>0</v>
      </c>
      <c r="O452" t="n">
        <v>0</v>
      </c>
      <c r="P452" t="n">
        <v>0</v>
      </c>
      <c r="Q452" t="n">
        <v>0</v>
      </c>
      <c r="R452" s="2" t="inlineStr"/>
    </row>
    <row r="453" ht="15" customHeight="1">
      <c r="A453" t="inlineStr">
        <is>
          <t>A 59356-2024</t>
        </is>
      </c>
      <c r="B453" s="1" t="n">
        <v>45638.31543981482</v>
      </c>
      <c r="C453" s="1" t="n">
        <v>45934</v>
      </c>
      <c r="D453" t="inlineStr">
        <is>
          <t>DALARNAS LÄN</t>
        </is>
      </c>
      <c r="E453" t="inlineStr">
        <is>
          <t>LUDVIKA</t>
        </is>
      </c>
      <c r="G453" t="n">
        <v>1.2</v>
      </c>
      <c r="H453" t="n">
        <v>0</v>
      </c>
      <c r="I453" t="n">
        <v>0</v>
      </c>
      <c r="J453" t="n">
        <v>0</v>
      </c>
      <c r="K453" t="n">
        <v>0</v>
      </c>
      <c r="L453" t="n">
        <v>0</v>
      </c>
      <c r="M453" t="n">
        <v>0</v>
      </c>
      <c r="N453" t="n">
        <v>0</v>
      </c>
      <c r="O453" t="n">
        <v>0</v>
      </c>
      <c r="P453" t="n">
        <v>0</v>
      </c>
      <c r="Q453" t="n">
        <v>0</v>
      </c>
      <c r="R453" s="2" t="inlineStr"/>
    </row>
    <row r="454" ht="15" customHeight="1">
      <c r="A454" t="inlineStr">
        <is>
          <t>A 24081-2025</t>
        </is>
      </c>
      <c r="B454" s="1" t="n">
        <v>45796.5571875</v>
      </c>
      <c r="C454" s="1" t="n">
        <v>45934</v>
      </c>
      <c r="D454" t="inlineStr">
        <is>
          <t>DALARNAS LÄN</t>
        </is>
      </c>
      <c r="E454" t="inlineStr">
        <is>
          <t>LUDVIKA</t>
        </is>
      </c>
      <c r="G454" t="n">
        <v>1.4</v>
      </c>
      <c r="H454" t="n">
        <v>0</v>
      </c>
      <c r="I454" t="n">
        <v>0</v>
      </c>
      <c r="J454" t="n">
        <v>0</v>
      </c>
      <c r="K454" t="n">
        <v>0</v>
      </c>
      <c r="L454" t="n">
        <v>0</v>
      </c>
      <c r="M454" t="n">
        <v>0</v>
      </c>
      <c r="N454" t="n">
        <v>0</v>
      </c>
      <c r="O454" t="n">
        <v>0</v>
      </c>
      <c r="P454" t="n">
        <v>0</v>
      </c>
      <c r="Q454" t="n">
        <v>0</v>
      </c>
      <c r="R454" s="2" t="inlineStr"/>
    </row>
    <row r="455" ht="15" customHeight="1">
      <c r="A455" t="inlineStr">
        <is>
          <t>A 23097-2025</t>
        </is>
      </c>
      <c r="B455" s="1" t="n">
        <v>45791.3471875</v>
      </c>
      <c r="C455" s="1" t="n">
        <v>45934</v>
      </c>
      <c r="D455" t="inlineStr">
        <is>
          <t>DALARNAS LÄN</t>
        </is>
      </c>
      <c r="E455" t="inlineStr">
        <is>
          <t>LUDVIKA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44881-2024</t>
        </is>
      </c>
      <c r="B456" s="1" t="n">
        <v>45575.35040509259</v>
      </c>
      <c r="C456" s="1" t="n">
        <v>45934</v>
      </c>
      <c r="D456" t="inlineStr">
        <is>
          <t>DALARNAS LÄN</t>
        </is>
      </c>
      <c r="E456" t="inlineStr">
        <is>
          <t>LUDVIKA</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44885-2024</t>
        </is>
      </c>
      <c r="B457" s="1" t="n">
        <v>45575</v>
      </c>
      <c r="C457" s="1" t="n">
        <v>45934</v>
      </c>
      <c r="D457" t="inlineStr">
        <is>
          <t>DALARNAS LÄN</t>
        </is>
      </c>
      <c r="E457" t="inlineStr">
        <is>
          <t>LUDVIKA</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23443-2024</t>
        </is>
      </c>
      <c r="B458" s="1" t="n">
        <v>45453</v>
      </c>
      <c r="C458" s="1" t="n">
        <v>45934</v>
      </c>
      <c r="D458" t="inlineStr">
        <is>
          <t>DALARNAS LÄN</t>
        </is>
      </c>
      <c r="E458" t="inlineStr">
        <is>
          <t>LUDVIKA</t>
        </is>
      </c>
      <c r="F458" t="inlineStr">
        <is>
          <t>Bergvik skog väst AB</t>
        </is>
      </c>
      <c r="G458" t="n">
        <v>3.2</v>
      </c>
      <c r="H458" t="n">
        <v>0</v>
      </c>
      <c r="I458" t="n">
        <v>0</v>
      </c>
      <c r="J458" t="n">
        <v>0</v>
      </c>
      <c r="K458" t="n">
        <v>0</v>
      </c>
      <c r="L458" t="n">
        <v>0</v>
      </c>
      <c r="M458" t="n">
        <v>0</v>
      </c>
      <c r="N458" t="n">
        <v>0</v>
      </c>
      <c r="O458" t="n">
        <v>0</v>
      </c>
      <c r="P458" t="n">
        <v>0</v>
      </c>
      <c r="Q458" t="n">
        <v>0</v>
      </c>
      <c r="R458" s="2" t="inlineStr"/>
    </row>
    <row r="459" ht="15" customHeight="1">
      <c r="A459" t="inlineStr">
        <is>
          <t>A 37549-2024</t>
        </is>
      </c>
      <c r="B459" s="1" t="n">
        <v>45541.43202546296</v>
      </c>
      <c r="C459" s="1" t="n">
        <v>45934</v>
      </c>
      <c r="D459" t="inlineStr">
        <is>
          <t>DALARNAS LÄN</t>
        </is>
      </c>
      <c r="E459" t="inlineStr">
        <is>
          <t>LUDVIKA</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7526-2025</t>
        </is>
      </c>
      <c r="B460" s="1" t="n">
        <v>45705.54684027778</v>
      </c>
      <c r="C460" s="1" t="n">
        <v>45934</v>
      </c>
      <c r="D460" t="inlineStr">
        <is>
          <t>DALARNAS LÄN</t>
        </is>
      </c>
      <c r="E460" t="inlineStr">
        <is>
          <t>LUDVIKA</t>
        </is>
      </c>
      <c r="G460" t="n">
        <v>0.3</v>
      </c>
      <c r="H460" t="n">
        <v>0</v>
      </c>
      <c r="I460" t="n">
        <v>0</v>
      </c>
      <c r="J460" t="n">
        <v>0</v>
      </c>
      <c r="K460" t="n">
        <v>0</v>
      </c>
      <c r="L460" t="n">
        <v>0</v>
      </c>
      <c r="M460" t="n">
        <v>0</v>
      </c>
      <c r="N460" t="n">
        <v>0</v>
      </c>
      <c r="O460" t="n">
        <v>0</v>
      </c>
      <c r="P460" t="n">
        <v>0</v>
      </c>
      <c r="Q460" t="n">
        <v>0</v>
      </c>
      <c r="R460" s="2" t="inlineStr"/>
    </row>
    <row r="461" ht="15" customHeight="1">
      <c r="A461" t="inlineStr">
        <is>
          <t>A 20642-2025</t>
        </is>
      </c>
      <c r="B461" s="1" t="n">
        <v>45776.37806712963</v>
      </c>
      <c r="C461" s="1" t="n">
        <v>45934</v>
      </c>
      <c r="D461" t="inlineStr">
        <is>
          <t>DALARNAS LÄN</t>
        </is>
      </c>
      <c r="E461" t="inlineStr">
        <is>
          <t>LUDVIKA</t>
        </is>
      </c>
      <c r="G461" t="n">
        <v>0.8</v>
      </c>
      <c r="H461" t="n">
        <v>0</v>
      </c>
      <c r="I461" t="n">
        <v>0</v>
      </c>
      <c r="J461" t="n">
        <v>0</v>
      </c>
      <c r="K461" t="n">
        <v>0</v>
      </c>
      <c r="L461" t="n">
        <v>0</v>
      </c>
      <c r="M461" t="n">
        <v>0</v>
      </c>
      <c r="N461" t="n">
        <v>0</v>
      </c>
      <c r="O461" t="n">
        <v>0</v>
      </c>
      <c r="P461" t="n">
        <v>0</v>
      </c>
      <c r="Q461" t="n">
        <v>0</v>
      </c>
      <c r="R461" s="2" t="inlineStr"/>
    </row>
    <row r="462" ht="15" customHeight="1">
      <c r="A462" t="inlineStr">
        <is>
          <t>A 23111-2025</t>
        </is>
      </c>
      <c r="B462" s="1" t="n">
        <v>45791.36640046296</v>
      </c>
      <c r="C462" s="1" t="n">
        <v>45934</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32854-2023</t>
        </is>
      </c>
      <c r="B463" s="1" t="n">
        <v>45112</v>
      </c>
      <c r="C463" s="1" t="n">
        <v>45934</v>
      </c>
      <c r="D463" t="inlineStr">
        <is>
          <t>DALARNAS LÄN</t>
        </is>
      </c>
      <c r="E463" t="inlineStr">
        <is>
          <t>LUDVIKA</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46620-2023</t>
        </is>
      </c>
      <c r="B464" s="1" t="n">
        <v>45198.41046296297</v>
      </c>
      <c r="C464" s="1" t="n">
        <v>45934</v>
      </c>
      <c r="D464" t="inlineStr">
        <is>
          <t>DALARNAS LÄN</t>
        </is>
      </c>
      <c r="E464" t="inlineStr">
        <is>
          <t>LUDVIKA</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24027-2025</t>
        </is>
      </c>
      <c r="B465" s="1" t="n">
        <v>45796</v>
      </c>
      <c r="C465" s="1" t="n">
        <v>45934</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61507-2023</t>
        </is>
      </c>
      <c r="B466" s="1" t="n">
        <v>45265</v>
      </c>
      <c r="C466" s="1" t="n">
        <v>45934</v>
      </c>
      <c r="D466" t="inlineStr">
        <is>
          <t>DALARNAS LÄN</t>
        </is>
      </c>
      <c r="E466" t="inlineStr">
        <is>
          <t>LUDVIKA</t>
        </is>
      </c>
      <c r="G466" t="n">
        <v>3</v>
      </c>
      <c r="H466" t="n">
        <v>0</v>
      </c>
      <c r="I466" t="n">
        <v>0</v>
      </c>
      <c r="J466" t="n">
        <v>0</v>
      </c>
      <c r="K466" t="n">
        <v>0</v>
      </c>
      <c r="L466" t="n">
        <v>0</v>
      </c>
      <c r="M466" t="n">
        <v>0</v>
      </c>
      <c r="N466" t="n">
        <v>0</v>
      </c>
      <c r="O466" t="n">
        <v>0</v>
      </c>
      <c r="P466" t="n">
        <v>0</v>
      </c>
      <c r="Q466" t="n">
        <v>0</v>
      </c>
      <c r="R466" s="2" t="inlineStr"/>
    </row>
    <row r="467" ht="15" customHeight="1">
      <c r="A467" t="inlineStr">
        <is>
          <t>A 24783-2025</t>
        </is>
      </c>
      <c r="B467" s="1" t="n">
        <v>45799</v>
      </c>
      <c r="C467" s="1" t="n">
        <v>45934</v>
      </c>
      <c r="D467" t="inlineStr">
        <is>
          <t>DALARNAS LÄN</t>
        </is>
      </c>
      <c r="E467" t="inlineStr">
        <is>
          <t>LUDVIKA</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24789-2025</t>
        </is>
      </c>
      <c r="B468" s="1" t="n">
        <v>45799</v>
      </c>
      <c r="C468" s="1" t="n">
        <v>45934</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23117-2025</t>
        </is>
      </c>
      <c r="B469" s="1" t="n">
        <v>45791.37006944444</v>
      </c>
      <c r="C469" s="1" t="n">
        <v>45934</v>
      </c>
      <c r="D469" t="inlineStr">
        <is>
          <t>DALARNAS LÄN</t>
        </is>
      </c>
      <c r="E469" t="inlineStr">
        <is>
          <t>LUDVIKA</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23139-2025</t>
        </is>
      </c>
      <c r="B470" s="1" t="n">
        <v>45791.3942824074</v>
      </c>
      <c r="C470" s="1" t="n">
        <v>45934</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49951-2022</t>
        </is>
      </c>
      <c r="B471" s="1" t="n">
        <v>44865.36378472222</v>
      </c>
      <c r="C471" s="1" t="n">
        <v>45934</v>
      </c>
      <c r="D471" t="inlineStr">
        <is>
          <t>DALARNAS LÄN</t>
        </is>
      </c>
      <c r="E471" t="inlineStr">
        <is>
          <t>LUDVIKA</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24628-2025</t>
        </is>
      </c>
      <c r="B472" s="1" t="n">
        <v>45798.59552083333</v>
      </c>
      <c r="C472" s="1" t="n">
        <v>45934</v>
      </c>
      <c r="D472" t="inlineStr">
        <is>
          <t>DALARNAS LÄN</t>
        </is>
      </c>
      <c r="E472" t="inlineStr">
        <is>
          <t>LUDVIKA</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24848-2025</t>
        </is>
      </c>
      <c r="B473" s="1" t="n">
        <v>45799</v>
      </c>
      <c r="C473" s="1" t="n">
        <v>45934</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24939-2025</t>
        </is>
      </c>
      <c r="B474" s="1" t="n">
        <v>45799</v>
      </c>
      <c r="C474" s="1" t="n">
        <v>45934</v>
      </c>
      <c r="D474" t="inlineStr">
        <is>
          <t>DALARNAS LÄN</t>
        </is>
      </c>
      <c r="E474" t="inlineStr">
        <is>
          <t>LUDVIKA</t>
        </is>
      </c>
      <c r="F474" t="inlineStr">
        <is>
          <t>Bergvik skog väst AB</t>
        </is>
      </c>
      <c r="G474" t="n">
        <v>15.6</v>
      </c>
      <c r="H474" t="n">
        <v>0</v>
      </c>
      <c r="I474" t="n">
        <v>0</v>
      </c>
      <c r="J474" t="n">
        <v>0</v>
      </c>
      <c r="K474" t="n">
        <v>0</v>
      </c>
      <c r="L474" t="n">
        <v>0</v>
      </c>
      <c r="M474" t="n">
        <v>0</v>
      </c>
      <c r="N474" t="n">
        <v>0</v>
      </c>
      <c r="O474" t="n">
        <v>0</v>
      </c>
      <c r="P474" t="n">
        <v>0</v>
      </c>
      <c r="Q474" t="n">
        <v>0</v>
      </c>
      <c r="R474" s="2" t="inlineStr"/>
    </row>
    <row r="475" ht="15" customHeight="1">
      <c r="A475" t="inlineStr">
        <is>
          <t>A 9386-2023</t>
        </is>
      </c>
      <c r="B475" s="1" t="n">
        <v>44981.40171296296</v>
      </c>
      <c r="C475" s="1" t="n">
        <v>45934</v>
      </c>
      <c r="D475" t="inlineStr">
        <is>
          <t>DALARNAS LÄN</t>
        </is>
      </c>
      <c r="E475" t="inlineStr">
        <is>
          <t>LUDVIKA</t>
        </is>
      </c>
      <c r="G475" t="n">
        <v>6.2</v>
      </c>
      <c r="H475" t="n">
        <v>0</v>
      </c>
      <c r="I475" t="n">
        <v>0</v>
      </c>
      <c r="J475" t="n">
        <v>0</v>
      </c>
      <c r="K475" t="n">
        <v>0</v>
      </c>
      <c r="L475" t="n">
        <v>0</v>
      </c>
      <c r="M475" t="n">
        <v>0</v>
      </c>
      <c r="N475" t="n">
        <v>0</v>
      </c>
      <c r="O475" t="n">
        <v>0</v>
      </c>
      <c r="P475" t="n">
        <v>0</v>
      </c>
      <c r="Q475" t="n">
        <v>0</v>
      </c>
      <c r="R475" s="2" t="inlineStr"/>
    </row>
    <row r="476" ht="15" customHeight="1">
      <c r="A476" t="inlineStr">
        <is>
          <t>A 30977-2024</t>
        </is>
      </c>
      <c r="B476" s="1" t="n">
        <v>45499</v>
      </c>
      <c r="C476" s="1" t="n">
        <v>45934</v>
      </c>
      <c r="D476" t="inlineStr">
        <is>
          <t>DALARNAS LÄN</t>
        </is>
      </c>
      <c r="E476" t="inlineStr">
        <is>
          <t>LUDVIKA</t>
        </is>
      </c>
      <c r="G476" t="n">
        <v>3.3</v>
      </c>
      <c r="H476" t="n">
        <v>0</v>
      </c>
      <c r="I476" t="n">
        <v>0</v>
      </c>
      <c r="J476" t="n">
        <v>0</v>
      </c>
      <c r="K476" t="n">
        <v>0</v>
      </c>
      <c r="L476" t="n">
        <v>0</v>
      </c>
      <c r="M476" t="n">
        <v>0</v>
      </c>
      <c r="N476" t="n">
        <v>0</v>
      </c>
      <c r="O476" t="n">
        <v>0</v>
      </c>
      <c r="P476" t="n">
        <v>0</v>
      </c>
      <c r="Q476" t="n">
        <v>0</v>
      </c>
      <c r="R476" s="2" t="inlineStr"/>
    </row>
    <row r="477" ht="15" customHeight="1">
      <c r="A477" t="inlineStr">
        <is>
          <t>A 25004-2025</t>
        </is>
      </c>
      <c r="B477" s="1" t="n">
        <v>45799</v>
      </c>
      <c r="C477" s="1" t="n">
        <v>45934</v>
      </c>
      <c r="D477" t="inlineStr">
        <is>
          <t>DALARNAS LÄN</t>
        </is>
      </c>
      <c r="E477" t="inlineStr">
        <is>
          <t>LUDVIKA</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24697-2025</t>
        </is>
      </c>
      <c r="B478" s="1" t="n">
        <v>45798</v>
      </c>
      <c r="C478" s="1" t="n">
        <v>45934</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24696-2025</t>
        </is>
      </c>
      <c r="B479" s="1" t="n">
        <v>45798</v>
      </c>
      <c r="C479" s="1" t="n">
        <v>45934</v>
      </c>
      <c r="D479" t="inlineStr">
        <is>
          <t>DALARNAS LÄN</t>
        </is>
      </c>
      <c r="E479" t="inlineStr">
        <is>
          <t>LUDVIKA</t>
        </is>
      </c>
      <c r="F479" t="inlineStr">
        <is>
          <t>Bergvik skog väst AB</t>
        </is>
      </c>
      <c r="G479" t="n">
        <v>7.1</v>
      </c>
      <c r="H479" t="n">
        <v>0</v>
      </c>
      <c r="I479" t="n">
        <v>0</v>
      </c>
      <c r="J479" t="n">
        <v>0</v>
      </c>
      <c r="K479" t="n">
        <v>0</v>
      </c>
      <c r="L479" t="n">
        <v>0</v>
      </c>
      <c r="M479" t="n">
        <v>0</v>
      </c>
      <c r="N479" t="n">
        <v>0</v>
      </c>
      <c r="O479" t="n">
        <v>0</v>
      </c>
      <c r="P479" t="n">
        <v>0</v>
      </c>
      <c r="Q479" t="n">
        <v>0</v>
      </c>
      <c r="R479" s="2" t="inlineStr"/>
    </row>
    <row r="480" ht="15" customHeight="1">
      <c r="A480" t="inlineStr">
        <is>
          <t>A 29114-2024</t>
        </is>
      </c>
      <c r="B480" s="1" t="n">
        <v>45481.9578125</v>
      </c>
      <c r="C480" s="1" t="n">
        <v>45934</v>
      </c>
      <c r="D480" t="inlineStr">
        <is>
          <t>DALARNAS LÄN</t>
        </is>
      </c>
      <c r="E480" t="inlineStr">
        <is>
          <t>LUDVIKA</t>
        </is>
      </c>
      <c r="G480" t="n">
        <v>1</v>
      </c>
      <c r="H480" t="n">
        <v>0</v>
      </c>
      <c r="I480" t="n">
        <v>0</v>
      </c>
      <c r="J480" t="n">
        <v>0</v>
      </c>
      <c r="K480" t="n">
        <v>0</v>
      </c>
      <c r="L480" t="n">
        <v>0</v>
      </c>
      <c r="M480" t="n">
        <v>0</v>
      </c>
      <c r="N480" t="n">
        <v>0</v>
      </c>
      <c r="O480" t="n">
        <v>0</v>
      </c>
      <c r="P480" t="n">
        <v>0</v>
      </c>
      <c r="Q480" t="n">
        <v>0</v>
      </c>
      <c r="R480" s="2" t="inlineStr"/>
    </row>
    <row r="481" ht="15" customHeight="1">
      <c r="A481" t="inlineStr">
        <is>
          <t>A 42106-2024</t>
        </is>
      </c>
      <c r="B481" s="1" t="n">
        <v>45562.36709490741</v>
      </c>
      <c r="C481" s="1" t="n">
        <v>45934</v>
      </c>
      <c r="D481" t="inlineStr">
        <is>
          <t>DALARNAS LÄN</t>
        </is>
      </c>
      <c r="E481" t="inlineStr">
        <is>
          <t>LUDVIKA</t>
        </is>
      </c>
      <c r="F481" t="inlineStr">
        <is>
          <t>Bergvik skog väst AB</t>
        </is>
      </c>
      <c r="G481" t="n">
        <v>6</v>
      </c>
      <c r="H481" t="n">
        <v>0</v>
      </c>
      <c r="I481" t="n">
        <v>0</v>
      </c>
      <c r="J481" t="n">
        <v>0</v>
      </c>
      <c r="K481" t="n">
        <v>0</v>
      </c>
      <c r="L481" t="n">
        <v>0</v>
      </c>
      <c r="M481" t="n">
        <v>0</v>
      </c>
      <c r="N481" t="n">
        <v>0</v>
      </c>
      <c r="O481" t="n">
        <v>0</v>
      </c>
      <c r="P481" t="n">
        <v>0</v>
      </c>
      <c r="Q481" t="n">
        <v>0</v>
      </c>
      <c r="R481" s="2" t="inlineStr"/>
    </row>
    <row r="482" ht="15" customHeight="1">
      <c r="A482" t="inlineStr">
        <is>
          <t>A 54154-2024</t>
        </is>
      </c>
      <c r="B482" s="1" t="n">
        <v>45616.60813657408</v>
      </c>
      <c r="C482" s="1" t="n">
        <v>45934</v>
      </c>
      <c r="D482" t="inlineStr">
        <is>
          <t>DALARNAS LÄN</t>
        </is>
      </c>
      <c r="E482" t="inlineStr">
        <is>
          <t>LUDVIKA</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60668-2024</t>
        </is>
      </c>
      <c r="B483" s="1" t="n">
        <v>45644.45210648148</v>
      </c>
      <c r="C483" s="1" t="n">
        <v>45934</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25619-2025</t>
        </is>
      </c>
      <c r="B484" s="1" t="n">
        <v>45803</v>
      </c>
      <c r="C484" s="1" t="n">
        <v>45934</v>
      </c>
      <c r="D484" t="inlineStr">
        <is>
          <t>DALARNAS LÄN</t>
        </is>
      </c>
      <c r="E484" t="inlineStr">
        <is>
          <t>LUDVIKA</t>
        </is>
      </c>
      <c r="F484" t="inlineStr">
        <is>
          <t>Bergvik skog väst AB</t>
        </is>
      </c>
      <c r="G484" t="n">
        <v>2.5</v>
      </c>
      <c r="H484" t="n">
        <v>0</v>
      </c>
      <c r="I484" t="n">
        <v>0</v>
      </c>
      <c r="J484" t="n">
        <v>0</v>
      </c>
      <c r="K484" t="n">
        <v>0</v>
      </c>
      <c r="L484" t="n">
        <v>0</v>
      </c>
      <c r="M484" t="n">
        <v>0</v>
      </c>
      <c r="N484" t="n">
        <v>0</v>
      </c>
      <c r="O484" t="n">
        <v>0</v>
      </c>
      <c r="P484" t="n">
        <v>0</v>
      </c>
      <c r="Q484" t="n">
        <v>0</v>
      </c>
      <c r="R484" s="2" t="inlineStr"/>
    </row>
    <row r="485" ht="15" customHeight="1">
      <c r="A485" t="inlineStr">
        <is>
          <t>A 25644-2025</t>
        </is>
      </c>
      <c r="B485" s="1" t="n">
        <v>45803</v>
      </c>
      <c r="C485" s="1" t="n">
        <v>45934</v>
      </c>
      <c r="D485" t="inlineStr">
        <is>
          <t>DALARNAS LÄN</t>
        </is>
      </c>
      <c r="E485" t="inlineStr">
        <is>
          <t>LUDVIKA</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25627-2025</t>
        </is>
      </c>
      <c r="B486" s="1" t="n">
        <v>45803</v>
      </c>
      <c r="C486" s="1" t="n">
        <v>45934</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16814-2024</t>
        </is>
      </c>
      <c r="B487" s="1" t="n">
        <v>45411.46208333333</v>
      </c>
      <c r="C487" s="1" t="n">
        <v>45934</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3170-2025</t>
        </is>
      </c>
      <c r="B488" s="1" t="n">
        <v>45679.36682870371</v>
      </c>
      <c r="C488" s="1" t="n">
        <v>45934</v>
      </c>
      <c r="D488" t="inlineStr">
        <is>
          <t>DALARNAS LÄN</t>
        </is>
      </c>
      <c r="E488" t="inlineStr">
        <is>
          <t>LUDVIKA</t>
        </is>
      </c>
      <c r="G488" t="n">
        <v>5.4</v>
      </c>
      <c r="H488" t="n">
        <v>0</v>
      </c>
      <c r="I488" t="n">
        <v>0</v>
      </c>
      <c r="J488" t="n">
        <v>0</v>
      </c>
      <c r="K488" t="n">
        <v>0</v>
      </c>
      <c r="L488" t="n">
        <v>0</v>
      </c>
      <c r="M488" t="n">
        <v>0</v>
      </c>
      <c r="N488" t="n">
        <v>0</v>
      </c>
      <c r="O488" t="n">
        <v>0</v>
      </c>
      <c r="P488" t="n">
        <v>0</v>
      </c>
      <c r="Q488" t="n">
        <v>0</v>
      </c>
      <c r="R488" s="2" t="inlineStr"/>
    </row>
    <row r="489" ht="15" customHeight="1">
      <c r="A489" t="inlineStr">
        <is>
          <t>A 25140-2025</t>
        </is>
      </c>
      <c r="B489" s="1" t="n">
        <v>45800</v>
      </c>
      <c r="C489" s="1" t="n">
        <v>45934</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31270-2022</t>
        </is>
      </c>
      <c r="B490" s="1" t="n">
        <v>44771.61702546296</v>
      </c>
      <c r="C490" s="1" t="n">
        <v>45934</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25133-2025</t>
        </is>
      </c>
      <c r="B491" s="1" t="n">
        <v>45800</v>
      </c>
      <c r="C491" s="1" t="n">
        <v>45934</v>
      </c>
      <c r="D491" t="inlineStr">
        <is>
          <t>DALARNAS LÄN</t>
        </is>
      </c>
      <c r="E491" t="inlineStr">
        <is>
          <t>LUDVIKA</t>
        </is>
      </c>
      <c r="G491" t="n">
        <v>4.1</v>
      </c>
      <c r="H491" t="n">
        <v>0</v>
      </c>
      <c r="I491" t="n">
        <v>0</v>
      </c>
      <c r="J491" t="n">
        <v>0</v>
      </c>
      <c r="K491" t="n">
        <v>0</v>
      </c>
      <c r="L491" t="n">
        <v>0</v>
      </c>
      <c r="M491" t="n">
        <v>0</v>
      </c>
      <c r="N491" t="n">
        <v>0</v>
      </c>
      <c r="O491" t="n">
        <v>0</v>
      </c>
      <c r="P491" t="n">
        <v>0</v>
      </c>
      <c r="Q491" t="n">
        <v>0</v>
      </c>
      <c r="R491" s="2" t="inlineStr"/>
    </row>
    <row r="492" ht="15" customHeight="1">
      <c r="A492" t="inlineStr">
        <is>
          <t>A 25277-2025</t>
        </is>
      </c>
      <c r="B492" s="1" t="n">
        <v>45800</v>
      </c>
      <c r="C492" s="1" t="n">
        <v>45934</v>
      </c>
      <c r="D492" t="inlineStr">
        <is>
          <t>DALARNAS LÄN</t>
        </is>
      </c>
      <c r="E492" t="inlineStr">
        <is>
          <t>LUDVIKA</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25113-2025</t>
        </is>
      </c>
      <c r="B493" s="1" t="n">
        <v>45800</v>
      </c>
      <c r="C493" s="1" t="n">
        <v>45934</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25235-2025</t>
        </is>
      </c>
      <c r="B494" s="1" t="n">
        <v>45800</v>
      </c>
      <c r="C494" s="1" t="n">
        <v>45934</v>
      </c>
      <c r="D494" t="inlineStr">
        <is>
          <t>DALARNAS LÄN</t>
        </is>
      </c>
      <c r="E494" t="inlineStr">
        <is>
          <t>LUDVIKA</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56203-2024</t>
        </is>
      </c>
      <c r="B495" s="1" t="n">
        <v>45624.59535879629</v>
      </c>
      <c r="C495" s="1" t="n">
        <v>45934</v>
      </c>
      <c r="D495" t="inlineStr">
        <is>
          <t>DALARNAS LÄN</t>
        </is>
      </c>
      <c r="E495" t="inlineStr">
        <is>
          <t>LUDVIKA</t>
        </is>
      </c>
      <c r="G495" t="n">
        <v>2.3</v>
      </c>
      <c r="H495" t="n">
        <v>0</v>
      </c>
      <c r="I495" t="n">
        <v>0</v>
      </c>
      <c r="J495" t="n">
        <v>0</v>
      </c>
      <c r="K495" t="n">
        <v>0</v>
      </c>
      <c r="L495" t="n">
        <v>0</v>
      </c>
      <c r="M495" t="n">
        <v>0</v>
      </c>
      <c r="N495" t="n">
        <v>0</v>
      </c>
      <c r="O495" t="n">
        <v>0</v>
      </c>
      <c r="P495" t="n">
        <v>0</v>
      </c>
      <c r="Q495" t="n">
        <v>0</v>
      </c>
      <c r="R495" s="2" t="inlineStr"/>
    </row>
    <row r="496" ht="15" customHeight="1">
      <c r="A496" t="inlineStr">
        <is>
          <t>A 25150-2025</t>
        </is>
      </c>
      <c r="B496" s="1" t="n">
        <v>45800</v>
      </c>
      <c r="C496" s="1" t="n">
        <v>45934</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28507-2023</t>
        </is>
      </c>
      <c r="B497" s="1" t="n">
        <v>45103.46510416667</v>
      </c>
      <c r="C497" s="1" t="n">
        <v>45934</v>
      </c>
      <c r="D497" t="inlineStr">
        <is>
          <t>DALARNAS LÄN</t>
        </is>
      </c>
      <c r="E497" t="inlineStr">
        <is>
          <t>LUDVIKA</t>
        </is>
      </c>
      <c r="G497" t="n">
        <v>2.4</v>
      </c>
      <c r="H497" t="n">
        <v>0</v>
      </c>
      <c r="I497" t="n">
        <v>0</v>
      </c>
      <c r="J497" t="n">
        <v>0</v>
      </c>
      <c r="K497" t="n">
        <v>0</v>
      </c>
      <c r="L497" t="n">
        <v>0</v>
      </c>
      <c r="M497" t="n">
        <v>0</v>
      </c>
      <c r="N497" t="n">
        <v>0</v>
      </c>
      <c r="O497" t="n">
        <v>0</v>
      </c>
      <c r="P497" t="n">
        <v>0</v>
      </c>
      <c r="Q497" t="n">
        <v>0</v>
      </c>
      <c r="R497" s="2" t="inlineStr"/>
    </row>
    <row r="498" ht="15" customHeight="1">
      <c r="A498" t="inlineStr">
        <is>
          <t>A 25157-2025</t>
        </is>
      </c>
      <c r="B498" s="1" t="n">
        <v>45800</v>
      </c>
      <c r="C498" s="1" t="n">
        <v>45934</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20427-2025</t>
        </is>
      </c>
      <c r="B499" s="1" t="n">
        <v>45775</v>
      </c>
      <c r="C499" s="1" t="n">
        <v>45934</v>
      </c>
      <c r="D499" t="inlineStr">
        <is>
          <t>DALARNAS LÄN</t>
        </is>
      </c>
      <c r="E499" t="inlineStr">
        <is>
          <t>LUDVIKA</t>
        </is>
      </c>
      <c r="F499" t="inlineStr">
        <is>
          <t>Bergvik skog väst AB</t>
        </is>
      </c>
      <c r="G499" t="n">
        <v>4.2</v>
      </c>
      <c r="H499" t="n">
        <v>0</v>
      </c>
      <c r="I499" t="n">
        <v>0</v>
      </c>
      <c r="J499" t="n">
        <v>0</v>
      </c>
      <c r="K499" t="n">
        <v>0</v>
      </c>
      <c r="L499" t="n">
        <v>0</v>
      </c>
      <c r="M499" t="n">
        <v>0</v>
      </c>
      <c r="N499" t="n">
        <v>0</v>
      </c>
      <c r="O499" t="n">
        <v>0</v>
      </c>
      <c r="P499" t="n">
        <v>0</v>
      </c>
      <c r="Q499" t="n">
        <v>0</v>
      </c>
      <c r="R499" s="2" t="inlineStr"/>
    </row>
    <row r="500" ht="15" customHeight="1">
      <c r="A500" t="inlineStr">
        <is>
          <t>A 39437-2023</t>
        </is>
      </c>
      <c r="B500" s="1" t="n">
        <v>45166.70038194444</v>
      </c>
      <c r="C500" s="1" t="n">
        <v>45934</v>
      </c>
      <c r="D500" t="inlineStr">
        <is>
          <t>DALARNAS LÄN</t>
        </is>
      </c>
      <c r="E500" t="inlineStr">
        <is>
          <t>LUDVIKA</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57230-2024</t>
        </is>
      </c>
      <c r="B501" s="1" t="n">
        <v>45629.54122685185</v>
      </c>
      <c r="C501" s="1" t="n">
        <v>45934</v>
      </c>
      <c r="D501" t="inlineStr">
        <is>
          <t>DALARNAS LÄN</t>
        </is>
      </c>
      <c r="E501" t="inlineStr">
        <is>
          <t>LUDVIKA</t>
        </is>
      </c>
      <c r="F501" t="inlineStr">
        <is>
          <t>Bergvik skog väst AB</t>
        </is>
      </c>
      <c r="G501" t="n">
        <v>3.9</v>
      </c>
      <c r="H501" t="n">
        <v>0</v>
      </c>
      <c r="I501" t="n">
        <v>0</v>
      </c>
      <c r="J501" t="n">
        <v>0</v>
      </c>
      <c r="K501" t="n">
        <v>0</v>
      </c>
      <c r="L501" t="n">
        <v>0</v>
      </c>
      <c r="M501" t="n">
        <v>0</v>
      </c>
      <c r="N501" t="n">
        <v>0</v>
      </c>
      <c r="O501" t="n">
        <v>0</v>
      </c>
      <c r="P501" t="n">
        <v>0</v>
      </c>
      <c r="Q501" t="n">
        <v>0</v>
      </c>
      <c r="R501" s="2" t="inlineStr"/>
    </row>
    <row r="502" ht="15" customHeight="1">
      <c r="A502" t="inlineStr">
        <is>
          <t>A 33839-2024</t>
        </is>
      </c>
      <c r="B502" s="1" t="n">
        <v>45520.63197916667</v>
      </c>
      <c r="C502" s="1" t="n">
        <v>45934</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26150-2025</t>
        </is>
      </c>
      <c r="B503" s="1" t="n">
        <v>45805</v>
      </c>
      <c r="C503" s="1" t="n">
        <v>45934</v>
      </c>
      <c r="D503" t="inlineStr">
        <is>
          <t>DALARNAS LÄN</t>
        </is>
      </c>
      <c r="E503" t="inlineStr">
        <is>
          <t>LUDVIKA</t>
        </is>
      </c>
      <c r="F503" t="inlineStr">
        <is>
          <t>Bergvik skog väst AB</t>
        </is>
      </c>
      <c r="G503" t="n">
        <v>3.9</v>
      </c>
      <c r="H503" t="n">
        <v>0</v>
      </c>
      <c r="I503" t="n">
        <v>0</v>
      </c>
      <c r="J503" t="n">
        <v>0</v>
      </c>
      <c r="K503" t="n">
        <v>0</v>
      </c>
      <c r="L503" t="n">
        <v>0</v>
      </c>
      <c r="M503" t="n">
        <v>0</v>
      </c>
      <c r="N503" t="n">
        <v>0</v>
      </c>
      <c r="O503" t="n">
        <v>0</v>
      </c>
      <c r="P503" t="n">
        <v>0</v>
      </c>
      <c r="Q503" t="n">
        <v>0</v>
      </c>
      <c r="R503" s="2" t="inlineStr"/>
    </row>
    <row r="504" ht="15" customHeight="1">
      <c r="A504" t="inlineStr">
        <is>
          <t>A 26320-2025</t>
        </is>
      </c>
      <c r="B504" s="1" t="n">
        <v>45805.65954861111</v>
      </c>
      <c r="C504" s="1" t="n">
        <v>45934</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54730-2022</t>
        </is>
      </c>
      <c r="B505" s="1" t="n">
        <v>44883</v>
      </c>
      <c r="C505" s="1" t="n">
        <v>45934</v>
      </c>
      <c r="D505" t="inlineStr">
        <is>
          <t>DALARNAS LÄN</t>
        </is>
      </c>
      <c r="E505" t="inlineStr">
        <is>
          <t>LUDVIKA</t>
        </is>
      </c>
      <c r="F505" t="inlineStr">
        <is>
          <t>Bergvik skog väst AB</t>
        </is>
      </c>
      <c r="G505" t="n">
        <v>2.4</v>
      </c>
      <c r="H505" t="n">
        <v>0</v>
      </c>
      <c r="I505" t="n">
        <v>0</v>
      </c>
      <c r="J505" t="n">
        <v>0</v>
      </c>
      <c r="K505" t="n">
        <v>0</v>
      </c>
      <c r="L505" t="n">
        <v>0</v>
      </c>
      <c r="M505" t="n">
        <v>0</v>
      </c>
      <c r="N505" t="n">
        <v>0</v>
      </c>
      <c r="O505" t="n">
        <v>0</v>
      </c>
      <c r="P505" t="n">
        <v>0</v>
      </c>
      <c r="Q505" t="n">
        <v>0</v>
      </c>
      <c r="R505" s="2" t="inlineStr"/>
    </row>
    <row r="506" ht="15" customHeight="1">
      <c r="A506" t="inlineStr">
        <is>
          <t>A 26433-2025</t>
        </is>
      </c>
      <c r="B506" s="1" t="n">
        <v>45807.39702546296</v>
      </c>
      <c r="C506" s="1" t="n">
        <v>45934</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45934</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26698-2025</t>
        </is>
      </c>
      <c r="B508" s="1" t="n">
        <v>45810.44368055555</v>
      </c>
      <c r="C508" s="1" t="n">
        <v>45934</v>
      </c>
      <c r="D508" t="inlineStr">
        <is>
          <t>DALARNAS LÄN</t>
        </is>
      </c>
      <c r="E508" t="inlineStr">
        <is>
          <t>LUDVIKA</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26719-2025</t>
        </is>
      </c>
      <c r="B509" s="1" t="n">
        <v>45810</v>
      </c>
      <c r="C509" s="1" t="n">
        <v>45934</v>
      </c>
      <c r="D509" t="inlineStr">
        <is>
          <t>DALARNAS LÄN</t>
        </is>
      </c>
      <c r="E509" t="inlineStr">
        <is>
          <t>LUDVIKA</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26794-2025</t>
        </is>
      </c>
      <c r="B510" s="1" t="n">
        <v>45810.59527777778</v>
      </c>
      <c r="C510" s="1" t="n">
        <v>45934</v>
      </c>
      <c r="D510" t="inlineStr">
        <is>
          <t>DALARNAS LÄN</t>
        </is>
      </c>
      <c r="E510" t="inlineStr">
        <is>
          <t>LUDVIKA</t>
        </is>
      </c>
      <c r="F510" t="inlineStr">
        <is>
          <t>Kommuner</t>
        </is>
      </c>
      <c r="G510" t="n">
        <v>3.1</v>
      </c>
      <c r="H510" t="n">
        <v>0</v>
      </c>
      <c r="I510" t="n">
        <v>0</v>
      </c>
      <c r="J510" t="n">
        <v>0</v>
      </c>
      <c r="K510" t="n">
        <v>0</v>
      </c>
      <c r="L510" t="n">
        <v>0</v>
      </c>
      <c r="M510" t="n">
        <v>0</v>
      </c>
      <c r="N510" t="n">
        <v>0</v>
      </c>
      <c r="O510" t="n">
        <v>0</v>
      </c>
      <c r="P510" t="n">
        <v>0</v>
      </c>
      <c r="Q510" t="n">
        <v>0</v>
      </c>
      <c r="R510" s="2" t="inlineStr"/>
    </row>
    <row r="511" ht="15" customHeight="1">
      <c r="A511" t="inlineStr">
        <is>
          <t>A 26628-2025</t>
        </is>
      </c>
      <c r="B511" s="1" t="n">
        <v>45810.34362268518</v>
      </c>
      <c r="C511" s="1" t="n">
        <v>45934</v>
      </c>
      <c r="D511" t="inlineStr">
        <is>
          <t>DALARNAS LÄN</t>
        </is>
      </c>
      <c r="E511" t="inlineStr">
        <is>
          <t>LUDVIKA</t>
        </is>
      </c>
      <c r="F511" t="inlineStr">
        <is>
          <t>Bergvik skog väst AB</t>
        </is>
      </c>
      <c r="G511" t="n">
        <v>0.7</v>
      </c>
      <c r="H511" t="n">
        <v>0</v>
      </c>
      <c r="I511" t="n">
        <v>0</v>
      </c>
      <c r="J511" t="n">
        <v>0</v>
      </c>
      <c r="K511" t="n">
        <v>0</v>
      </c>
      <c r="L511" t="n">
        <v>0</v>
      </c>
      <c r="M511" t="n">
        <v>0</v>
      </c>
      <c r="N511" t="n">
        <v>0</v>
      </c>
      <c r="O511" t="n">
        <v>0</v>
      </c>
      <c r="P511" t="n">
        <v>0</v>
      </c>
      <c r="Q511" t="n">
        <v>0</v>
      </c>
      <c r="R511" s="2" t="inlineStr"/>
    </row>
    <row r="512" ht="15" customHeight="1">
      <c r="A512" t="inlineStr">
        <is>
          <t>A 43700-2024</t>
        </is>
      </c>
      <c r="B512" s="1" t="n">
        <v>45569.59005787037</v>
      </c>
      <c r="C512" s="1" t="n">
        <v>45934</v>
      </c>
      <c r="D512" t="inlineStr">
        <is>
          <t>DALARNAS LÄN</t>
        </is>
      </c>
      <c r="E512" t="inlineStr">
        <is>
          <t>LUDVIKA</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21152-2023</t>
        </is>
      </c>
      <c r="B513" s="1" t="n">
        <v>45062.39581018518</v>
      </c>
      <c r="C513" s="1" t="n">
        <v>45934</v>
      </c>
      <c r="D513" t="inlineStr">
        <is>
          <t>DALARNAS LÄN</t>
        </is>
      </c>
      <c r="E513" t="inlineStr">
        <is>
          <t>LUDVIKA</t>
        </is>
      </c>
      <c r="F513" t="inlineStr">
        <is>
          <t>Bergvik skog väst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27021-2025</t>
        </is>
      </c>
      <c r="B514" s="1" t="n">
        <v>45811.57329861111</v>
      </c>
      <c r="C514" s="1" t="n">
        <v>45934</v>
      </c>
      <c r="D514" t="inlineStr">
        <is>
          <t>DALARNAS LÄN</t>
        </is>
      </c>
      <c r="E514" t="inlineStr">
        <is>
          <t>LUDVIKA</t>
        </is>
      </c>
      <c r="G514" t="n">
        <v>3.5</v>
      </c>
      <c r="H514" t="n">
        <v>0</v>
      </c>
      <c r="I514" t="n">
        <v>0</v>
      </c>
      <c r="J514" t="n">
        <v>0</v>
      </c>
      <c r="K514" t="n">
        <v>0</v>
      </c>
      <c r="L514" t="n">
        <v>0</v>
      </c>
      <c r="M514" t="n">
        <v>0</v>
      </c>
      <c r="N514" t="n">
        <v>0</v>
      </c>
      <c r="O514" t="n">
        <v>0</v>
      </c>
      <c r="P514" t="n">
        <v>0</v>
      </c>
      <c r="Q514" t="n">
        <v>0</v>
      </c>
      <c r="R514" s="2" t="inlineStr"/>
    </row>
    <row r="515" ht="15" customHeight="1">
      <c r="A515" t="inlineStr">
        <is>
          <t>A 39849-2023</t>
        </is>
      </c>
      <c r="B515" s="1" t="n">
        <v>45168.36769675926</v>
      </c>
      <c r="C515" s="1" t="n">
        <v>45934</v>
      </c>
      <c r="D515" t="inlineStr">
        <is>
          <t>DALARNAS LÄN</t>
        </is>
      </c>
      <c r="E515" t="inlineStr">
        <is>
          <t>LUDVIKA</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27506-2025</t>
        </is>
      </c>
      <c r="B516" s="1" t="n">
        <v>45813</v>
      </c>
      <c r="C516" s="1" t="n">
        <v>45934</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53996-2024</t>
        </is>
      </c>
      <c r="B517" s="1" t="n">
        <v>45616.35984953704</v>
      </c>
      <c r="C517" s="1" t="n">
        <v>45934</v>
      </c>
      <c r="D517" t="inlineStr">
        <is>
          <t>DALARNAS LÄN</t>
        </is>
      </c>
      <c r="E517" t="inlineStr">
        <is>
          <t>LUDVIKA</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19071-2025</t>
        </is>
      </c>
      <c r="B518" s="1" t="n">
        <v>45765.67115740741</v>
      </c>
      <c r="C518" s="1" t="n">
        <v>45934</v>
      </c>
      <c r="D518" t="inlineStr">
        <is>
          <t>DALARNAS LÄN</t>
        </is>
      </c>
      <c r="E518" t="inlineStr">
        <is>
          <t>LUDVIKA</t>
        </is>
      </c>
      <c r="G518" t="n">
        <v>4.6</v>
      </c>
      <c r="H518" t="n">
        <v>0</v>
      </c>
      <c r="I518" t="n">
        <v>0</v>
      </c>
      <c r="J518" t="n">
        <v>0</v>
      </c>
      <c r="K518" t="n">
        <v>0</v>
      </c>
      <c r="L518" t="n">
        <v>0</v>
      </c>
      <c r="M518" t="n">
        <v>0</v>
      </c>
      <c r="N518" t="n">
        <v>0</v>
      </c>
      <c r="O518" t="n">
        <v>0</v>
      </c>
      <c r="P518" t="n">
        <v>0</v>
      </c>
      <c r="Q518" t="n">
        <v>0</v>
      </c>
      <c r="R518" s="2" t="inlineStr"/>
    </row>
    <row r="519" ht="15" customHeight="1">
      <c r="A519" t="inlineStr">
        <is>
          <t>A 49045-2024</t>
        </is>
      </c>
      <c r="B519" s="1" t="n">
        <v>45594.57032407408</v>
      </c>
      <c r="C519" s="1" t="n">
        <v>45934</v>
      </c>
      <c r="D519" t="inlineStr">
        <is>
          <t>DALARNAS LÄN</t>
        </is>
      </c>
      <c r="E519" t="inlineStr">
        <is>
          <t>LUDVIKA</t>
        </is>
      </c>
      <c r="F519" t="inlineStr">
        <is>
          <t>Naturvårdsverket</t>
        </is>
      </c>
      <c r="G519" t="n">
        <v>2</v>
      </c>
      <c r="H519" t="n">
        <v>0</v>
      </c>
      <c r="I519" t="n">
        <v>0</v>
      </c>
      <c r="J519" t="n">
        <v>0</v>
      </c>
      <c r="K519" t="n">
        <v>0</v>
      </c>
      <c r="L519" t="n">
        <v>0</v>
      </c>
      <c r="M519" t="n">
        <v>0</v>
      </c>
      <c r="N519" t="n">
        <v>0</v>
      </c>
      <c r="O519" t="n">
        <v>0</v>
      </c>
      <c r="P519" t="n">
        <v>0</v>
      </c>
      <c r="Q519" t="n">
        <v>0</v>
      </c>
      <c r="R519" s="2" t="inlineStr"/>
    </row>
    <row r="520" ht="15" customHeight="1">
      <c r="A520" t="inlineStr">
        <is>
          <t>A 27616-2025</t>
        </is>
      </c>
      <c r="B520" s="1" t="n">
        <v>45813</v>
      </c>
      <c r="C520" s="1" t="n">
        <v>45934</v>
      </c>
      <c r="D520" t="inlineStr">
        <is>
          <t>DALARNAS LÄN</t>
        </is>
      </c>
      <c r="E520" t="inlineStr">
        <is>
          <t>LUDVIKA</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27448-2025</t>
        </is>
      </c>
      <c r="B521" s="1" t="n">
        <v>45813</v>
      </c>
      <c r="C521" s="1" t="n">
        <v>45934</v>
      </c>
      <c r="D521" t="inlineStr">
        <is>
          <t>DALARNAS LÄN</t>
        </is>
      </c>
      <c r="E521" t="inlineStr">
        <is>
          <t>LUDVIKA</t>
        </is>
      </c>
      <c r="F521" t="inlineStr">
        <is>
          <t>Bergvik skog väst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27525-2025</t>
        </is>
      </c>
      <c r="B522" s="1" t="n">
        <v>45813</v>
      </c>
      <c r="C522" s="1" t="n">
        <v>45934</v>
      </c>
      <c r="D522" t="inlineStr">
        <is>
          <t>DALARNAS LÄN</t>
        </is>
      </c>
      <c r="E522" t="inlineStr">
        <is>
          <t>LUDVIKA</t>
        </is>
      </c>
      <c r="F522" t="inlineStr">
        <is>
          <t>Bergvik skog väst AB</t>
        </is>
      </c>
      <c r="G522" t="n">
        <v>5.6</v>
      </c>
      <c r="H522" t="n">
        <v>0</v>
      </c>
      <c r="I522" t="n">
        <v>0</v>
      </c>
      <c r="J522" t="n">
        <v>0</v>
      </c>
      <c r="K522" t="n">
        <v>0</v>
      </c>
      <c r="L522" t="n">
        <v>0</v>
      </c>
      <c r="M522" t="n">
        <v>0</v>
      </c>
      <c r="N522" t="n">
        <v>0</v>
      </c>
      <c r="O522" t="n">
        <v>0</v>
      </c>
      <c r="P522" t="n">
        <v>0</v>
      </c>
      <c r="Q522" t="n">
        <v>0</v>
      </c>
      <c r="R522" s="2" t="inlineStr"/>
    </row>
    <row r="523" ht="15" customHeight="1">
      <c r="A523" t="inlineStr">
        <is>
          <t>A 47940-2023</t>
        </is>
      </c>
      <c r="B523" s="1" t="n">
        <v>45204</v>
      </c>
      <c r="C523" s="1" t="n">
        <v>45934</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27435-2025</t>
        </is>
      </c>
      <c r="B524" s="1" t="n">
        <v>45813</v>
      </c>
      <c r="C524" s="1" t="n">
        <v>45934</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14046-2025</t>
        </is>
      </c>
      <c r="B525" s="1" t="n">
        <v>45740.37754629629</v>
      </c>
      <c r="C525" s="1" t="n">
        <v>45934</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27532-2025</t>
        </is>
      </c>
      <c r="B526" s="1" t="n">
        <v>45813</v>
      </c>
      <c r="C526" s="1" t="n">
        <v>45934</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52347-2024</t>
        </is>
      </c>
      <c r="B527" s="1" t="n">
        <v>45609</v>
      </c>
      <c r="C527" s="1" t="n">
        <v>45934</v>
      </c>
      <c r="D527" t="inlineStr">
        <is>
          <t>DALARNAS LÄN</t>
        </is>
      </c>
      <c r="E527" t="inlineStr">
        <is>
          <t>LUDVIKA</t>
        </is>
      </c>
      <c r="F527" t="inlineStr">
        <is>
          <t>Bergvik skog väst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52461-2023</t>
        </is>
      </c>
      <c r="B528" s="1" t="n">
        <v>45225.40709490741</v>
      </c>
      <c r="C528" s="1" t="n">
        <v>45934</v>
      </c>
      <c r="D528" t="inlineStr">
        <is>
          <t>DALARNAS LÄN</t>
        </is>
      </c>
      <c r="E528" t="inlineStr">
        <is>
          <t>LUDVIKA</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52466-2023</t>
        </is>
      </c>
      <c r="B529" s="1" t="n">
        <v>45225.41042824074</v>
      </c>
      <c r="C529" s="1" t="n">
        <v>45934</v>
      </c>
      <c r="D529" t="inlineStr">
        <is>
          <t>DALARNAS LÄN</t>
        </is>
      </c>
      <c r="E529" t="inlineStr">
        <is>
          <t>LUDVIKA</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400-2023</t>
        </is>
      </c>
      <c r="B530" s="1" t="n">
        <v>44929.61017361111</v>
      </c>
      <c r="C530" s="1" t="n">
        <v>45934</v>
      </c>
      <c r="D530" t="inlineStr">
        <is>
          <t>DALARNAS LÄN</t>
        </is>
      </c>
      <c r="E530" t="inlineStr">
        <is>
          <t>LUDVIKA</t>
        </is>
      </c>
      <c r="G530" t="n">
        <v>3.6</v>
      </c>
      <c r="H530" t="n">
        <v>0</v>
      </c>
      <c r="I530" t="n">
        <v>0</v>
      </c>
      <c r="J530" t="n">
        <v>0</v>
      </c>
      <c r="K530" t="n">
        <v>0</v>
      </c>
      <c r="L530" t="n">
        <v>0</v>
      </c>
      <c r="M530" t="n">
        <v>0</v>
      </c>
      <c r="N530" t="n">
        <v>0</v>
      </c>
      <c r="O530" t="n">
        <v>0</v>
      </c>
      <c r="P530" t="n">
        <v>0</v>
      </c>
      <c r="Q530" t="n">
        <v>0</v>
      </c>
      <c r="R530" s="2" t="inlineStr"/>
    </row>
    <row r="531" ht="15" customHeight="1">
      <c r="A531" t="inlineStr">
        <is>
          <t>A 44880-2024</t>
        </is>
      </c>
      <c r="B531" s="1" t="n">
        <v>45575.34820601852</v>
      </c>
      <c r="C531" s="1" t="n">
        <v>45934</v>
      </c>
      <c r="D531" t="inlineStr">
        <is>
          <t>DALARNAS LÄN</t>
        </is>
      </c>
      <c r="E531" t="inlineStr">
        <is>
          <t>LUDVIKA</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55633-2021</t>
        </is>
      </c>
      <c r="B532" s="1" t="n">
        <v>44476</v>
      </c>
      <c r="C532" s="1" t="n">
        <v>45934</v>
      </c>
      <c r="D532" t="inlineStr">
        <is>
          <t>DALARNAS LÄN</t>
        </is>
      </c>
      <c r="E532" t="inlineStr">
        <is>
          <t>LUDVIKA</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28435-2025</t>
        </is>
      </c>
      <c r="B533" s="1" t="n">
        <v>45819</v>
      </c>
      <c r="C533" s="1" t="n">
        <v>45934</v>
      </c>
      <c r="D533" t="inlineStr">
        <is>
          <t>DALARNAS LÄN</t>
        </is>
      </c>
      <c r="E533" t="inlineStr">
        <is>
          <t>LUDVIKA</t>
        </is>
      </c>
      <c r="F533" t="inlineStr">
        <is>
          <t>Bergvik skog väst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70046-2021</t>
        </is>
      </c>
      <c r="B534" s="1" t="n">
        <v>44533</v>
      </c>
      <c r="C534" s="1" t="n">
        <v>45934</v>
      </c>
      <c r="D534" t="inlineStr">
        <is>
          <t>DALARNAS LÄN</t>
        </is>
      </c>
      <c r="E534" t="inlineStr">
        <is>
          <t>LUDVIKA</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28737-2025</t>
        </is>
      </c>
      <c r="B535" s="1" t="n">
        <v>45820.38174768518</v>
      </c>
      <c r="C535" s="1" t="n">
        <v>45934</v>
      </c>
      <c r="D535" t="inlineStr">
        <is>
          <t>DALARNAS LÄN</t>
        </is>
      </c>
      <c r="E535" t="inlineStr">
        <is>
          <t>LUDVIKA</t>
        </is>
      </c>
      <c r="G535" t="n">
        <v>1.4</v>
      </c>
      <c r="H535" t="n">
        <v>0</v>
      </c>
      <c r="I535" t="n">
        <v>0</v>
      </c>
      <c r="J535" t="n">
        <v>0</v>
      </c>
      <c r="K535" t="n">
        <v>0</v>
      </c>
      <c r="L535" t="n">
        <v>0</v>
      </c>
      <c r="M535" t="n">
        <v>0</v>
      </c>
      <c r="N535" t="n">
        <v>0</v>
      </c>
      <c r="O535" t="n">
        <v>0</v>
      </c>
      <c r="P535" t="n">
        <v>0</v>
      </c>
      <c r="Q535" t="n">
        <v>0</v>
      </c>
      <c r="R535" s="2" t="inlineStr"/>
    </row>
    <row r="536" ht="15" customHeight="1">
      <c r="A536" t="inlineStr">
        <is>
          <t>A 43704-2024</t>
        </is>
      </c>
      <c r="B536" s="1" t="n">
        <v>45569.59278935185</v>
      </c>
      <c r="C536" s="1" t="n">
        <v>45934</v>
      </c>
      <c r="D536" t="inlineStr">
        <is>
          <t>DALARNAS LÄN</t>
        </is>
      </c>
      <c r="E536" t="inlineStr">
        <is>
          <t>LUDVIKA</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29578-2025</t>
        </is>
      </c>
      <c r="B537" s="1" t="n">
        <v>45825.37844907407</v>
      </c>
      <c r="C537" s="1" t="n">
        <v>45934</v>
      </c>
      <c r="D537" t="inlineStr">
        <is>
          <t>DALARNAS LÄN</t>
        </is>
      </c>
      <c r="E537" t="inlineStr">
        <is>
          <t>LUDVIKA</t>
        </is>
      </c>
      <c r="G537" t="n">
        <v>3.8</v>
      </c>
      <c r="H537" t="n">
        <v>0</v>
      </c>
      <c r="I537" t="n">
        <v>0</v>
      </c>
      <c r="J537" t="n">
        <v>0</v>
      </c>
      <c r="K537" t="n">
        <v>0</v>
      </c>
      <c r="L537" t="n">
        <v>0</v>
      </c>
      <c r="M537" t="n">
        <v>0</v>
      </c>
      <c r="N537" t="n">
        <v>0</v>
      </c>
      <c r="O537" t="n">
        <v>0</v>
      </c>
      <c r="P537" t="n">
        <v>0</v>
      </c>
      <c r="Q537" t="n">
        <v>0</v>
      </c>
      <c r="R537" s="2" t="inlineStr"/>
    </row>
    <row r="538" ht="15" customHeight="1">
      <c r="A538" t="inlineStr">
        <is>
          <t>A 17998-2025</t>
        </is>
      </c>
      <c r="B538" s="1" t="n">
        <v>45761</v>
      </c>
      <c r="C538" s="1" t="n">
        <v>45934</v>
      </c>
      <c r="D538" t="inlineStr">
        <is>
          <t>DALARNAS LÄN</t>
        </is>
      </c>
      <c r="E538" t="inlineStr">
        <is>
          <t>LUDVIKA</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29443-2025</t>
        </is>
      </c>
      <c r="B539" s="1" t="n">
        <v>45824.66146990741</v>
      </c>
      <c r="C539" s="1" t="n">
        <v>45934</v>
      </c>
      <c r="D539" t="inlineStr">
        <is>
          <t>DALARNAS LÄN</t>
        </is>
      </c>
      <c r="E539" t="inlineStr">
        <is>
          <t>LUDVIKA</t>
        </is>
      </c>
      <c r="G539" t="n">
        <v>1.3</v>
      </c>
      <c r="H539" t="n">
        <v>0</v>
      </c>
      <c r="I539" t="n">
        <v>0</v>
      </c>
      <c r="J539" t="n">
        <v>0</v>
      </c>
      <c r="K539" t="n">
        <v>0</v>
      </c>
      <c r="L539" t="n">
        <v>0</v>
      </c>
      <c r="M539" t="n">
        <v>0</v>
      </c>
      <c r="N539" t="n">
        <v>0</v>
      </c>
      <c r="O539" t="n">
        <v>0</v>
      </c>
      <c r="P539" t="n">
        <v>0</v>
      </c>
      <c r="Q539" t="n">
        <v>0</v>
      </c>
      <c r="R539" s="2" t="inlineStr"/>
    </row>
    <row r="540" ht="15" customHeight="1">
      <c r="A540" t="inlineStr">
        <is>
          <t>A 48003-2024</t>
        </is>
      </c>
      <c r="B540" s="1" t="n">
        <v>45589.44950231481</v>
      </c>
      <c r="C540" s="1" t="n">
        <v>45934</v>
      </c>
      <c r="D540" t="inlineStr">
        <is>
          <t>DALARNAS LÄN</t>
        </is>
      </c>
      <c r="E540" t="inlineStr">
        <is>
          <t>LUDVIKA</t>
        </is>
      </c>
      <c r="G540" t="n">
        <v>3.9</v>
      </c>
      <c r="H540" t="n">
        <v>0</v>
      </c>
      <c r="I540" t="n">
        <v>0</v>
      </c>
      <c r="J540" t="n">
        <v>0</v>
      </c>
      <c r="K540" t="n">
        <v>0</v>
      </c>
      <c r="L540" t="n">
        <v>0</v>
      </c>
      <c r="M540" t="n">
        <v>0</v>
      </c>
      <c r="N540" t="n">
        <v>0</v>
      </c>
      <c r="O540" t="n">
        <v>0</v>
      </c>
      <c r="P540" t="n">
        <v>0</v>
      </c>
      <c r="Q540" t="n">
        <v>0</v>
      </c>
      <c r="R540" s="2" t="inlineStr"/>
    </row>
    <row r="541" ht="15" customHeight="1">
      <c r="A541" t="inlineStr">
        <is>
          <t>A 31478-2023</t>
        </is>
      </c>
      <c r="B541" s="1" t="n">
        <v>45114</v>
      </c>
      <c r="C541" s="1" t="n">
        <v>45934</v>
      </c>
      <c r="D541" t="inlineStr">
        <is>
          <t>DALARNAS LÄN</t>
        </is>
      </c>
      <c r="E541" t="inlineStr">
        <is>
          <t>LUDVIKA</t>
        </is>
      </c>
      <c r="G541" t="n">
        <v>6.2</v>
      </c>
      <c r="H541" t="n">
        <v>0</v>
      </c>
      <c r="I541" t="n">
        <v>0</v>
      </c>
      <c r="J541" t="n">
        <v>0</v>
      </c>
      <c r="K541" t="n">
        <v>0</v>
      </c>
      <c r="L541" t="n">
        <v>0</v>
      </c>
      <c r="M541" t="n">
        <v>0</v>
      </c>
      <c r="N541" t="n">
        <v>0</v>
      </c>
      <c r="O541" t="n">
        <v>0</v>
      </c>
      <c r="P541" t="n">
        <v>0</v>
      </c>
      <c r="Q541" t="n">
        <v>0</v>
      </c>
      <c r="R541" s="2" t="inlineStr"/>
    </row>
    <row r="542" ht="15" customHeight="1">
      <c r="A542" t="inlineStr">
        <is>
          <t>A 30123-2023</t>
        </is>
      </c>
      <c r="B542" s="1" t="n">
        <v>45110.48509259259</v>
      </c>
      <c r="C542" s="1" t="n">
        <v>45934</v>
      </c>
      <c r="D542" t="inlineStr">
        <is>
          <t>DALARNAS LÄN</t>
        </is>
      </c>
      <c r="E542" t="inlineStr">
        <is>
          <t>LUDVIKA</t>
        </is>
      </c>
      <c r="G542" t="n">
        <v>1.9</v>
      </c>
      <c r="H542" t="n">
        <v>0</v>
      </c>
      <c r="I542" t="n">
        <v>0</v>
      </c>
      <c r="J542" t="n">
        <v>0</v>
      </c>
      <c r="K542" t="n">
        <v>0</v>
      </c>
      <c r="L542" t="n">
        <v>0</v>
      </c>
      <c r="M542" t="n">
        <v>0</v>
      </c>
      <c r="N542" t="n">
        <v>0</v>
      </c>
      <c r="O542" t="n">
        <v>0</v>
      </c>
      <c r="P542" t="n">
        <v>0</v>
      </c>
      <c r="Q542" t="n">
        <v>0</v>
      </c>
      <c r="R542" s="2" t="inlineStr"/>
    </row>
    <row r="543" ht="15" customHeight="1">
      <c r="A543" t="inlineStr">
        <is>
          <t>A 30283-2025</t>
        </is>
      </c>
      <c r="B543" s="1" t="n">
        <v>45827</v>
      </c>
      <c r="C543" s="1" t="n">
        <v>45934</v>
      </c>
      <c r="D543" t="inlineStr">
        <is>
          <t>DALARNAS LÄN</t>
        </is>
      </c>
      <c r="E543" t="inlineStr">
        <is>
          <t>LUDVIKA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30288-2025</t>
        </is>
      </c>
      <c r="B544" s="1" t="n">
        <v>45827</v>
      </c>
      <c r="C544" s="1" t="n">
        <v>45934</v>
      </c>
      <c r="D544" t="inlineStr">
        <is>
          <t>DALARNAS LÄN</t>
        </is>
      </c>
      <c r="E544" t="inlineStr">
        <is>
          <t>LUDVIKA</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30324-2025</t>
        </is>
      </c>
      <c r="B545" s="1" t="n">
        <v>45827</v>
      </c>
      <c r="C545" s="1" t="n">
        <v>45934</v>
      </c>
      <c r="D545" t="inlineStr">
        <is>
          <t>DALARNAS LÄN</t>
        </is>
      </c>
      <c r="E545" t="inlineStr">
        <is>
          <t>LUDVIKA</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29966-2025</t>
        </is>
      </c>
      <c r="B546" s="1" t="n">
        <v>45826</v>
      </c>
      <c r="C546" s="1" t="n">
        <v>45934</v>
      </c>
      <c r="D546" t="inlineStr">
        <is>
          <t>DALARNAS LÄN</t>
        </is>
      </c>
      <c r="E546" t="inlineStr">
        <is>
          <t>LUDVIKA</t>
        </is>
      </c>
      <c r="F546" t="inlineStr">
        <is>
          <t>Bergvik skog väst AB</t>
        </is>
      </c>
      <c r="G546" t="n">
        <v>4.8</v>
      </c>
      <c r="H546" t="n">
        <v>0</v>
      </c>
      <c r="I546" t="n">
        <v>0</v>
      </c>
      <c r="J546" t="n">
        <v>0</v>
      </c>
      <c r="K546" t="n">
        <v>0</v>
      </c>
      <c r="L546" t="n">
        <v>0</v>
      </c>
      <c r="M546" t="n">
        <v>0</v>
      </c>
      <c r="N546" t="n">
        <v>0</v>
      </c>
      <c r="O546" t="n">
        <v>0</v>
      </c>
      <c r="P546" t="n">
        <v>0</v>
      </c>
      <c r="Q546" t="n">
        <v>0</v>
      </c>
      <c r="R546" s="2" t="inlineStr"/>
    </row>
    <row r="547" ht="15" customHeight="1">
      <c r="A547" t="inlineStr">
        <is>
          <t>A 29918-2025</t>
        </is>
      </c>
      <c r="B547" s="1" t="n">
        <v>45826</v>
      </c>
      <c r="C547" s="1" t="n">
        <v>45934</v>
      </c>
      <c r="D547" t="inlineStr">
        <is>
          <t>DALARNAS LÄN</t>
        </is>
      </c>
      <c r="E547" t="inlineStr">
        <is>
          <t>LUDVIKA</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30417-2025</t>
        </is>
      </c>
      <c r="B548" s="1" t="n">
        <v>45827</v>
      </c>
      <c r="C548" s="1" t="n">
        <v>45934</v>
      </c>
      <c r="D548" t="inlineStr">
        <is>
          <t>DALARNAS LÄN</t>
        </is>
      </c>
      <c r="E548" t="inlineStr">
        <is>
          <t>LUDVIKA</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30399-2025</t>
        </is>
      </c>
      <c r="B549" s="1" t="n">
        <v>45827</v>
      </c>
      <c r="C549" s="1" t="n">
        <v>45934</v>
      </c>
      <c r="D549" t="inlineStr">
        <is>
          <t>DALARNAS LÄN</t>
        </is>
      </c>
      <c r="E549" t="inlineStr">
        <is>
          <t>LUDVIKA</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39400-2023</t>
        </is>
      </c>
      <c r="B550" s="1" t="n">
        <v>45166.66240740741</v>
      </c>
      <c r="C550" s="1" t="n">
        <v>45934</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31550-2021</t>
        </is>
      </c>
      <c r="B551" s="1" t="n">
        <v>44369</v>
      </c>
      <c r="C551" s="1" t="n">
        <v>45934</v>
      </c>
      <c r="D551" t="inlineStr">
        <is>
          <t>DALARNAS LÄN</t>
        </is>
      </c>
      <c r="E551" t="inlineStr">
        <is>
          <t>LUDVIKA</t>
        </is>
      </c>
      <c r="G551" t="n">
        <v>2.8</v>
      </c>
      <c r="H551" t="n">
        <v>0</v>
      </c>
      <c r="I551" t="n">
        <v>0</v>
      </c>
      <c r="J551" t="n">
        <v>0</v>
      </c>
      <c r="K551" t="n">
        <v>0</v>
      </c>
      <c r="L551" t="n">
        <v>0</v>
      </c>
      <c r="M551" t="n">
        <v>0</v>
      </c>
      <c r="N551" t="n">
        <v>0</v>
      </c>
      <c r="O551" t="n">
        <v>0</v>
      </c>
      <c r="P551" t="n">
        <v>0</v>
      </c>
      <c r="Q551" t="n">
        <v>0</v>
      </c>
      <c r="R551" s="2" t="inlineStr"/>
    </row>
    <row r="552" ht="15" customHeight="1">
      <c r="A552" t="inlineStr">
        <is>
          <t>A 30760-2025</t>
        </is>
      </c>
      <c r="B552" s="1" t="n">
        <v>45831.59947916667</v>
      </c>
      <c r="C552" s="1" t="n">
        <v>45934</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30748-2025</t>
        </is>
      </c>
      <c r="B553" s="1" t="n">
        <v>45831.58627314815</v>
      </c>
      <c r="C553" s="1" t="n">
        <v>45934</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30813-2025</t>
        </is>
      </c>
      <c r="B554" s="1" t="n">
        <v>45831.6599537037</v>
      </c>
      <c r="C554" s="1" t="n">
        <v>45934</v>
      </c>
      <c r="D554" t="inlineStr">
        <is>
          <t>DALARNAS LÄN</t>
        </is>
      </c>
      <c r="E554" t="inlineStr">
        <is>
          <t>LUDVIKA</t>
        </is>
      </c>
      <c r="G554" t="n">
        <v>0.9</v>
      </c>
      <c r="H554" t="n">
        <v>0</v>
      </c>
      <c r="I554" t="n">
        <v>0</v>
      </c>
      <c r="J554" t="n">
        <v>0</v>
      </c>
      <c r="K554" t="n">
        <v>0</v>
      </c>
      <c r="L554" t="n">
        <v>0</v>
      </c>
      <c r="M554" t="n">
        <v>0</v>
      </c>
      <c r="N554" t="n">
        <v>0</v>
      </c>
      <c r="O554" t="n">
        <v>0</v>
      </c>
      <c r="P554" t="n">
        <v>0</v>
      </c>
      <c r="Q554" t="n">
        <v>0</v>
      </c>
      <c r="R554" s="2" t="inlineStr"/>
    </row>
    <row r="555" ht="15" customHeight="1">
      <c r="A555" t="inlineStr">
        <is>
          <t>A 32119-2023</t>
        </is>
      </c>
      <c r="B555" s="1" t="n">
        <v>45119.6334375</v>
      </c>
      <c r="C555" s="1" t="n">
        <v>45934</v>
      </c>
      <c r="D555" t="inlineStr">
        <is>
          <t>DALARNAS LÄN</t>
        </is>
      </c>
      <c r="E555" t="inlineStr">
        <is>
          <t>LUDVIKA</t>
        </is>
      </c>
      <c r="F555" t="inlineStr">
        <is>
          <t>Naturvårdsverket</t>
        </is>
      </c>
      <c r="G555" t="n">
        <v>1</v>
      </c>
      <c r="H555" t="n">
        <v>0</v>
      </c>
      <c r="I555" t="n">
        <v>0</v>
      </c>
      <c r="J555" t="n">
        <v>0</v>
      </c>
      <c r="K555" t="n">
        <v>0</v>
      </c>
      <c r="L555" t="n">
        <v>0</v>
      </c>
      <c r="M555" t="n">
        <v>0</v>
      </c>
      <c r="N555" t="n">
        <v>0</v>
      </c>
      <c r="O555" t="n">
        <v>0</v>
      </c>
      <c r="P555" t="n">
        <v>0</v>
      </c>
      <c r="Q555" t="n">
        <v>0</v>
      </c>
      <c r="R555" s="2" t="inlineStr"/>
    </row>
    <row r="556" ht="15" customHeight="1">
      <c r="A556" t="inlineStr">
        <is>
          <t>A 30562-2025</t>
        </is>
      </c>
      <c r="B556" s="1" t="n">
        <v>45831</v>
      </c>
      <c r="C556" s="1" t="n">
        <v>45934</v>
      </c>
      <c r="D556" t="inlineStr">
        <is>
          <t>DALARNAS LÄN</t>
        </is>
      </c>
      <c r="E556" t="inlineStr">
        <is>
          <t>LUDVIKA</t>
        </is>
      </c>
      <c r="F556" t="inlineStr">
        <is>
          <t>Bergvik skog väst AB</t>
        </is>
      </c>
      <c r="G556" t="n">
        <v>3.4</v>
      </c>
      <c r="H556" t="n">
        <v>0</v>
      </c>
      <c r="I556" t="n">
        <v>0</v>
      </c>
      <c r="J556" t="n">
        <v>0</v>
      </c>
      <c r="K556" t="n">
        <v>0</v>
      </c>
      <c r="L556" t="n">
        <v>0</v>
      </c>
      <c r="M556" t="n">
        <v>0</v>
      </c>
      <c r="N556" t="n">
        <v>0</v>
      </c>
      <c r="O556" t="n">
        <v>0</v>
      </c>
      <c r="P556" t="n">
        <v>0</v>
      </c>
      <c r="Q556" t="n">
        <v>0</v>
      </c>
      <c r="R556" s="2" t="inlineStr"/>
    </row>
    <row r="557" ht="15" customHeight="1">
      <c r="A557" t="inlineStr">
        <is>
          <t>A 31001-2025</t>
        </is>
      </c>
      <c r="B557" s="1" t="n">
        <v>45832</v>
      </c>
      <c r="C557" s="1" t="n">
        <v>45934</v>
      </c>
      <c r="D557" t="inlineStr">
        <is>
          <t>DALARNAS LÄN</t>
        </is>
      </c>
      <c r="E557" t="inlineStr">
        <is>
          <t>LUDVIKA</t>
        </is>
      </c>
      <c r="F557" t="inlineStr">
        <is>
          <t>Bergvik skog väst AB</t>
        </is>
      </c>
      <c r="G557" t="n">
        <v>1</v>
      </c>
      <c r="H557" t="n">
        <v>0</v>
      </c>
      <c r="I557" t="n">
        <v>0</v>
      </c>
      <c r="J557" t="n">
        <v>0</v>
      </c>
      <c r="K557" t="n">
        <v>0</v>
      </c>
      <c r="L557" t="n">
        <v>0</v>
      </c>
      <c r="M557" t="n">
        <v>0</v>
      </c>
      <c r="N557" t="n">
        <v>0</v>
      </c>
      <c r="O557" t="n">
        <v>0</v>
      </c>
      <c r="P557" t="n">
        <v>0</v>
      </c>
      <c r="Q557" t="n">
        <v>0</v>
      </c>
      <c r="R557" s="2" t="inlineStr"/>
    </row>
    <row r="558" ht="15" customHeight="1">
      <c r="A558" t="inlineStr">
        <is>
          <t>A 31039-2025</t>
        </is>
      </c>
      <c r="B558" s="1" t="n">
        <v>45832</v>
      </c>
      <c r="C558" s="1" t="n">
        <v>45934</v>
      </c>
      <c r="D558" t="inlineStr">
        <is>
          <t>DALARNAS LÄN</t>
        </is>
      </c>
      <c r="E558" t="inlineStr">
        <is>
          <t>LUDVIKA</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31380-2025</t>
        </is>
      </c>
      <c r="B559" s="1" t="n">
        <v>45833</v>
      </c>
      <c r="C559" s="1" t="n">
        <v>45934</v>
      </c>
      <c r="D559" t="inlineStr">
        <is>
          <t>DALARNAS LÄN</t>
        </is>
      </c>
      <c r="E559" t="inlineStr">
        <is>
          <t>LUDVIKA</t>
        </is>
      </c>
      <c r="G559" t="n">
        <v>2.6</v>
      </c>
      <c r="H559" t="n">
        <v>0</v>
      </c>
      <c r="I559" t="n">
        <v>0</v>
      </c>
      <c r="J559" t="n">
        <v>0</v>
      </c>
      <c r="K559" t="n">
        <v>0</v>
      </c>
      <c r="L559" t="n">
        <v>0</v>
      </c>
      <c r="M559" t="n">
        <v>0</v>
      </c>
      <c r="N559" t="n">
        <v>0</v>
      </c>
      <c r="O559" t="n">
        <v>0</v>
      </c>
      <c r="P559" t="n">
        <v>0</v>
      </c>
      <c r="Q559" t="n">
        <v>0</v>
      </c>
      <c r="R559" s="2" t="inlineStr"/>
    </row>
    <row r="560" ht="15" customHeight="1">
      <c r="A560" t="inlineStr">
        <is>
          <t>A 34845-2024</t>
        </is>
      </c>
      <c r="B560" s="1" t="n">
        <v>45526</v>
      </c>
      <c r="C560" s="1" t="n">
        <v>45934</v>
      </c>
      <c r="D560" t="inlineStr">
        <is>
          <t>DALARNAS LÄN</t>
        </is>
      </c>
      <c r="E560" t="inlineStr">
        <is>
          <t>LUDVIKA</t>
        </is>
      </c>
      <c r="G560" t="n">
        <v>0.5</v>
      </c>
      <c r="H560" t="n">
        <v>0</v>
      </c>
      <c r="I560" t="n">
        <v>0</v>
      </c>
      <c r="J560" t="n">
        <v>0</v>
      </c>
      <c r="K560" t="n">
        <v>0</v>
      </c>
      <c r="L560" t="n">
        <v>0</v>
      </c>
      <c r="M560" t="n">
        <v>0</v>
      </c>
      <c r="N560" t="n">
        <v>0</v>
      </c>
      <c r="O560" t="n">
        <v>0</v>
      </c>
      <c r="P560" t="n">
        <v>0</v>
      </c>
      <c r="Q560" t="n">
        <v>0</v>
      </c>
      <c r="R560" s="2" t="inlineStr"/>
    </row>
    <row r="561" ht="15" customHeight="1">
      <c r="A561" t="inlineStr">
        <is>
          <t>A 25299-2022</t>
        </is>
      </c>
      <c r="B561" s="1" t="n">
        <v>44730.99318287037</v>
      </c>
      <c r="C561" s="1" t="n">
        <v>45934</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31144-2025</t>
        </is>
      </c>
      <c r="B562" s="1" t="n">
        <v>45832</v>
      </c>
      <c r="C562" s="1" t="n">
        <v>45934</v>
      </c>
      <c r="D562" t="inlineStr">
        <is>
          <t>DALARNAS LÄN</t>
        </is>
      </c>
      <c r="E562" t="inlineStr">
        <is>
          <t>LUDVIKA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31818-2025</t>
        </is>
      </c>
      <c r="B563" s="1" t="n">
        <v>45834.57716435185</v>
      </c>
      <c r="C563" s="1" t="n">
        <v>45934</v>
      </c>
      <c r="D563" t="inlineStr">
        <is>
          <t>DALARNAS LÄN</t>
        </is>
      </c>
      <c r="E563" t="inlineStr">
        <is>
          <t>LUDVIKA</t>
        </is>
      </c>
      <c r="G563" t="n">
        <v>2.5</v>
      </c>
      <c r="H563" t="n">
        <v>0</v>
      </c>
      <c r="I563" t="n">
        <v>0</v>
      </c>
      <c r="J563" t="n">
        <v>0</v>
      </c>
      <c r="K563" t="n">
        <v>0</v>
      </c>
      <c r="L563" t="n">
        <v>0</v>
      </c>
      <c r="M563" t="n">
        <v>0</v>
      </c>
      <c r="N563" t="n">
        <v>0</v>
      </c>
      <c r="O563" t="n">
        <v>0</v>
      </c>
      <c r="P563" t="n">
        <v>0</v>
      </c>
      <c r="Q563" t="n">
        <v>0</v>
      </c>
      <c r="R563" s="2" t="inlineStr"/>
    </row>
    <row r="564" ht="15" customHeight="1">
      <c r="A564" t="inlineStr">
        <is>
          <t>A 11632-2024</t>
        </is>
      </c>
      <c r="B564" s="1" t="n">
        <v>45373.4712037037</v>
      </c>
      <c r="C564" s="1" t="n">
        <v>45934</v>
      </c>
      <c r="D564" t="inlineStr">
        <is>
          <t>DALARNAS LÄN</t>
        </is>
      </c>
      <c r="E564" t="inlineStr">
        <is>
          <t>LUDVIKA</t>
        </is>
      </c>
      <c r="G564" t="n">
        <v>5.1</v>
      </c>
      <c r="H564" t="n">
        <v>0</v>
      </c>
      <c r="I564" t="n">
        <v>0</v>
      </c>
      <c r="J564" t="n">
        <v>0</v>
      </c>
      <c r="K564" t="n">
        <v>0</v>
      </c>
      <c r="L564" t="n">
        <v>0</v>
      </c>
      <c r="M564" t="n">
        <v>0</v>
      </c>
      <c r="N564" t="n">
        <v>0</v>
      </c>
      <c r="O564" t="n">
        <v>0</v>
      </c>
      <c r="P564" t="n">
        <v>0</v>
      </c>
      <c r="Q564" t="n">
        <v>0</v>
      </c>
      <c r="R564" s="2" t="inlineStr"/>
    </row>
    <row r="565" ht="15" customHeight="1">
      <c r="A565" t="inlineStr">
        <is>
          <t>A 32224-2025</t>
        </is>
      </c>
      <c r="B565" s="1" t="n">
        <v>45835</v>
      </c>
      <c r="C565" s="1" t="n">
        <v>45934</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32019-2025</t>
        </is>
      </c>
      <c r="B566" s="1" t="n">
        <v>45835</v>
      </c>
      <c r="C566" s="1" t="n">
        <v>45934</v>
      </c>
      <c r="D566" t="inlineStr">
        <is>
          <t>DALARNAS LÄN</t>
        </is>
      </c>
      <c r="E566" t="inlineStr">
        <is>
          <t>LUDVIKA</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56672-2023</t>
        </is>
      </c>
      <c r="B567" s="1" t="n">
        <v>45243.89579861111</v>
      </c>
      <c r="C567" s="1" t="n">
        <v>45934</v>
      </c>
      <c r="D567" t="inlineStr">
        <is>
          <t>DALARNAS LÄN</t>
        </is>
      </c>
      <c r="E567" t="inlineStr">
        <is>
          <t>LUDVIKA</t>
        </is>
      </c>
      <c r="G567" t="n">
        <v>2.9</v>
      </c>
      <c r="H567" t="n">
        <v>0</v>
      </c>
      <c r="I567" t="n">
        <v>0</v>
      </c>
      <c r="J567" t="n">
        <v>0</v>
      </c>
      <c r="K567" t="n">
        <v>0</v>
      </c>
      <c r="L567" t="n">
        <v>0</v>
      </c>
      <c r="M567" t="n">
        <v>0</v>
      </c>
      <c r="N567" t="n">
        <v>0</v>
      </c>
      <c r="O567" t="n">
        <v>0</v>
      </c>
      <c r="P567" t="n">
        <v>0</v>
      </c>
      <c r="Q567" t="n">
        <v>0</v>
      </c>
      <c r="R567" s="2" t="inlineStr"/>
    </row>
    <row r="568" ht="15" customHeight="1">
      <c r="A568" t="inlineStr">
        <is>
          <t>A 32305-2024</t>
        </is>
      </c>
      <c r="B568" s="1" t="n">
        <v>45512</v>
      </c>
      <c r="C568" s="1" t="n">
        <v>45934</v>
      </c>
      <c r="D568" t="inlineStr">
        <is>
          <t>DALARNAS LÄN</t>
        </is>
      </c>
      <c r="E568" t="inlineStr">
        <is>
          <t>LUDVIKA</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32424-2025</t>
        </is>
      </c>
      <c r="B569" s="1" t="n">
        <v>45838</v>
      </c>
      <c r="C569" s="1" t="n">
        <v>45934</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33249-2025</t>
        </is>
      </c>
      <c r="B570" s="1" t="n">
        <v>45840</v>
      </c>
      <c r="C570" s="1" t="n">
        <v>45934</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33063-2025</t>
        </is>
      </c>
      <c r="B571" s="1" t="n">
        <v>45840</v>
      </c>
      <c r="C571" s="1" t="n">
        <v>45934</v>
      </c>
      <c r="D571" t="inlineStr">
        <is>
          <t>DALARNAS LÄN</t>
        </is>
      </c>
      <c r="E571" t="inlineStr">
        <is>
          <t>LUDVIKA</t>
        </is>
      </c>
      <c r="G571" t="n">
        <v>0.7</v>
      </c>
      <c r="H571" t="n">
        <v>0</v>
      </c>
      <c r="I571" t="n">
        <v>0</v>
      </c>
      <c r="J571" t="n">
        <v>0</v>
      </c>
      <c r="K571" t="n">
        <v>0</v>
      </c>
      <c r="L571" t="n">
        <v>0</v>
      </c>
      <c r="M571" t="n">
        <v>0</v>
      </c>
      <c r="N571" t="n">
        <v>0</v>
      </c>
      <c r="O571" t="n">
        <v>0</v>
      </c>
      <c r="P571" t="n">
        <v>0</v>
      </c>
      <c r="Q571" t="n">
        <v>0</v>
      </c>
      <c r="R571" s="2" t="inlineStr"/>
    </row>
    <row r="572" ht="15" customHeight="1">
      <c r="A572" t="inlineStr">
        <is>
          <t>A 34555-2023</t>
        </is>
      </c>
      <c r="B572" s="1" t="n">
        <v>45140.50491898148</v>
      </c>
      <c r="C572" s="1" t="n">
        <v>45934</v>
      </c>
      <c r="D572" t="inlineStr">
        <is>
          <t>DALARNAS LÄN</t>
        </is>
      </c>
      <c r="E572" t="inlineStr">
        <is>
          <t>LUDVIKA</t>
        </is>
      </c>
      <c r="F572" t="inlineStr">
        <is>
          <t>Bergvik skog väst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33244-2025</t>
        </is>
      </c>
      <c r="B573" s="1" t="n">
        <v>45840</v>
      </c>
      <c r="C573" s="1" t="n">
        <v>45934</v>
      </c>
      <c r="D573" t="inlineStr">
        <is>
          <t>DALARNAS LÄN</t>
        </is>
      </c>
      <c r="E573" t="inlineStr">
        <is>
          <t>LUDVIKA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34067-2025</t>
        </is>
      </c>
      <c r="B574" s="1" t="n">
        <v>45845</v>
      </c>
      <c r="C574" s="1" t="n">
        <v>45934</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61309-2022</t>
        </is>
      </c>
      <c r="B575" s="1" t="n">
        <v>44915.64177083333</v>
      </c>
      <c r="C575" s="1" t="n">
        <v>45934</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29780-2024</t>
        </is>
      </c>
      <c r="B576" s="1" t="n">
        <v>45485.45513888889</v>
      </c>
      <c r="C576" s="1" t="n">
        <v>45934</v>
      </c>
      <c r="D576" t="inlineStr">
        <is>
          <t>DALARNAS LÄN</t>
        </is>
      </c>
      <c r="E576" t="inlineStr">
        <is>
          <t>LUDVIKA</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31043-2024</t>
        </is>
      </c>
      <c r="B577" s="1" t="n">
        <v>45502.30283564814</v>
      </c>
      <c r="C577" s="1" t="n">
        <v>45934</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60788-2024</t>
        </is>
      </c>
      <c r="B578" s="1" t="n">
        <v>45644.59341435185</v>
      </c>
      <c r="C578" s="1" t="n">
        <v>45934</v>
      </c>
      <c r="D578" t="inlineStr">
        <is>
          <t>DALARNAS LÄN</t>
        </is>
      </c>
      <c r="E578" t="inlineStr">
        <is>
          <t>LUDVIKA</t>
        </is>
      </c>
      <c r="G578" t="n">
        <v>1.9</v>
      </c>
      <c r="H578" t="n">
        <v>0</v>
      </c>
      <c r="I578" t="n">
        <v>0</v>
      </c>
      <c r="J578" t="n">
        <v>0</v>
      </c>
      <c r="K578" t="n">
        <v>0</v>
      </c>
      <c r="L578" t="n">
        <v>0</v>
      </c>
      <c r="M578" t="n">
        <v>0</v>
      </c>
      <c r="N578" t="n">
        <v>0</v>
      </c>
      <c r="O578" t="n">
        <v>0</v>
      </c>
      <c r="P578" t="n">
        <v>0</v>
      </c>
      <c r="Q578" t="n">
        <v>0</v>
      </c>
      <c r="R578" s="2" t="inlineStr"/>
    </row>
    <row r="579" ht="15" customHeight="1">
      <c r="A579" t="inlineStr">
        <is>
          <t>A 43115-2021</t>
        </is>
      </c>
      <c r="B579" s="1" t="n">
        <v>44431.63481481482</v>
      </c>
      <c r="C579" s="1" t="n">
        <v>45934</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51043-2024</t>
        </is>
      </c>
      <c r="B580" s="1" t="n">
        <v>45603.43526620371</v>
      </c>
      <c r="C580" s="1" t="n">
        <v>45934</v>
      </c>
      <c r="D580" t="inlineStr">
        <is>
          <t>DALARNAS LÄN</t>
        </is>
      </c>
      <c r="E580" t="inlineStr">
        <is>
          <t>LUDVIKA</t>
        </is>
      </c>
      <c r="F580" t="inlineStr">
        <is>
          <t>Bergvik skog väst AB</t>
        </is>
      </c>
      <c r="G580" t="n">
        <v>17.9</v>
      </c>
      <c r="H580" t="n">
        <v>0</v>
      </c>
      <c r="I580" t="n">
        <v>0</v>
      </c>
      <c r="J580" t="n">
        <v>0</v>
      </c>
      <c r="K580" t="n">
        <v>0</v>
      </c>
      <c r="L580" t="n">
        <v>0</v>
      </c>
      <c r="M580" t="n">
        <v>0</v>
      </c>
      <c r="N580" t="n">
        <v>0</v>
      </c>
      <c r="O580" t="n">
        <v>0</v>
      </c>
      <c r="P580" t="n">
        <v>0</v>
      </c>
      <c r="Q580" t="n">
        <v>0</v>
      </c>
      <c r="R580" s="2" t="inlineStr"/>
    </row>
    <row r="581" ht="15" customHeight="1">
      <c r="A581" t="inlineStr">
        <is>
          <t>A 55034-2024</t>
        </is>
      </c>
      <c r="B581" s="1" t="n">
        <v>45621.38265046296</v>
      </c>
      <c r="C581" s="1" t="n">
        <v>45934</v>
      </c>
      <c r="D581" t="inlineStr">
        <is>
          <t>DALARNAS LÄN</t>
        </is>
      </c>
      <c r="E581" t="inlineStr">
        <is>
          <t>LUDVIKA</t>
        </is>
      </c>
      <c r="F581" t="inlineStr">
        <is>
          <t>Naturvårdsverket</t>
        </is>
      </c>
      <c r="G581" t="n">
        <v>6.6</v>
      </c>
      <c r="H581" t="n">
        <v>0</v>
      </c>
      <c r="I581" t="n">
        <v>0</v>
      </c>
      <c r="J581" t="n">
        <v>0</v>
      </c>
      <c r="K581" t="n">
        <v>0</v>
      </c>
      <c r="L581" t="n">
        <v>0</v>
      </c>
      <c r="M581" t="n">
        <v>0</v>
      </c>
      <c r="N581" t="n">
        <v>0</v>
      </c>
      <c r="O581" t="n">
        <v>0</v>
      </c>
      <c r="P581" t="n">
        <v>0</v>
      </c>
      <c r="Q581" t="n">
        <v>0</v>
      </c>
      <c r="R581" s="2" t="inlineStr"/>
    </row>
    <row r="582" ht="15" customHeight="1">
      <c r="A582" t="inlineStr">
        <is>
          <t>A 2614-2023</t>
        </is>
      </c>
      <c r="B582" s="1" t="n">
        <v>44942</v>
      </c>
      <c r="C582" s="1" t="n">
        <v>45934</v>
      </c>
      <c r="D582" t="inlineStr">
        <is>
          <t>DALARNAS LÄN</t>
        </is>
      </c>
      <c r="E582" t="inlineStr">
        <is>
          <t>LUDVIKA</t>
        </is>
      </c>
      <c r="G582" t="n">
        <v>13.1</v>
      </c>
      <c r="H582" t="n">
        <v>0</v>
      </c>
      <c r="I582" t="n">
        <v>0</v>
      </c>
      <c r="J582" t="n">
        <v>0</v>
      </c>
      <c r="K582" t="n">
        <v>0</v>
      </c>
      <c r="L582" t="n">
        <v>0</v>
      </c>
      <c r="M582" t="n">
        <v>0</v>
      </c>
      <c r="N582" t="n">
        <v>0</v>
      </c>
      <c r="O582" t="n">
        <v>0</v>
      </c>
      <c r="P582" t="n">
        <v>0</v>
      </c>
      <c r="Q582" t="n">
        <v>0</v>
      </c>
      <c r="R582" s="2" t="inlineStr"/>
    </row>
    <row r="583" ht="15" customHeight="1">
      <c r="A583" t="inlineStr">
        <is>
          <t>A 15100-2024</t>
        </is>
      </c>
      <c r="B583" s="1" t="n">
        <v>45399.66118055556</v>
      </c>
      <c r="C583" s="1" t="n">
        <v>45934</v>
      </c>
      <c r="D583" t="inlineStr">
        <is>
          <t>DALARNAS LÄN</t>
        </is>
      </c>
      <c r="E583" t="inlineStr">
        <is>
          <t>LUDVIKA</t>
        </is>
      </c>
      <c r="F583" t="inlineStr">
        <is>
          <t>Bergvik skog väst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34070-2025</t>
        </is>
      </c>
      <c r="B584" s="1" t="n">
        <v>45845</v>
      </c>
      <c r="C584" s="1" t="n">
        <v>45934</v>
      </c>
      <c r="D584" t="inlineStr">
        <is>
          <t>DALARNAS LÄN</t>
        </is>
      </c>
      <c r="E584" t="inlineStr">
        <is>
          <t>LUDVIKA</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34403-2025</t>
        </is>
      </c>
      <c r="B585" s="1" t="n">
        <v>45846</v>
      </c>
      <c r="C585" s="1" t="n">
        <v>45934</v>
      </c>
      <c r="D585" t="inlineStr">
        <is>
          <t>DALARNAS LÄN</t>
        </is>
      </c>
      <c r="E585" t="inlineStr">
        <is>
          <t>LUDVIKA</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34522-2025</t>
        </is>
      </c>
      <c r="B586" s="1" t="n">
        <v>45847</v>
      </c>
      <c r="C586" s="1" t="n">
        <v>45934</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2603-2024</t>
        </is>
      </c>
      <c r="B587" s="1" t="n">
        <v>45313.73107638889</v>
      </c>
      <c r="C587" s="1" t="n">
        <v>45934</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34492-2025</t>
        </is>
      </c>
      <c r="B588" s="1" t="n">
        <v>45847</v>
      </c>
      <c r="C588" s="1" t="n">
        <v>45934</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34862-2025</t>
        </is>
      </c>
      <c r="B589" s="1" t="n">
        <v>45849</v>
      </c>
      <c r="C589" s="1" t="n">
        <v>45934</v>
      </c>
      <c r="D589" t="inlineStr">
        <is>
          <t>DALARNAS LÄN</t>
        </is>
      </c>
      <c r="E589" t="inlineStr">
        <is>
          <t>LUDVIKA</t>
        </is>
      </c>
      <c r="F589" t="inlineStr">
        <is>
          <t>Bergvik skog väst AB</t>
        </is>
      </c>
      <c r="G589" t="n">
        <v>3.6</v>
      </c>
      <c r="H589" t="n">
        <v>0</v>
      </c>
      <c r="I589" t="n">
        <v>0</v>
      </c>
      <c r="J589" t="n">
        <v>0</v>
      </c>
      <c r="K589" t="n">
        <v>0</v>
      </c>
      <c r="L589" t="n">
        <v>0</v>
      </c>
      <c r="M589" t="n">
        <v>0</v>
      </c>
      <c r="N589" t="n">
        <v>0</v>
      </c>
      <c r="O589" t="n">
        <v>0</v>
      </c>
      <c r="P589" t="n">
        <v>0</v>
      </c>
      <c r="Q589" t="n">
        <v>0</v>
      </c>
      <c r="R589" s="2" t="inlineStr"/>
    </row>
    <row r="590" ht="15" customHeight="1">
      <c r="A590" t="inlineStr">
        <is>
          <t>A 34860-2025</t>
        </is>
      </c>
      <c r="B590" s="1" t="n">
        <v>45849</v>
      </c>
      <c r="C590" s="1" t="n">
        <v>45934</v>
      </c>
      <c r="D590" t="inlineStr">
        <is>
          <t>DALARNAS LÄN</t>
        </is>
      </c>
      <c r="E590" t="inlineStr">
        <is>
          <t>LUDVIKA</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34861-2025</t>
        </is>
      </c>
      <c r="B591" s="1" t="n">
        <v>45849</v>
      </c>
      <c r="C591" s="1" t="n">
        <v>45934</v>
      </c>
      <c r="D591" t="inlineStr">
        <is>
          <t>DALARNAS LÄN</t>
        </is>
      </c>
      <c r="E591" t="inlineStr">
        <is>
          <t>LUDVIKA</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34455-2024</t>
        </is>
      </c>
      <c r="B592" s="1" t="n">
        <v>45525.56513888889</v>
      </c>
      <c r="C592" s="1" t="n">
        <v>45934</v>
      </c>
      <c r="D592" t="inlineStr">
        <is>
          <t>DALARNAS LÄN</t>
        </is>
      </c>
      <c r="E592" t="inlineStr">
        <is>
          <t>LUDVIKA</t>
        </is>
      </c>
      <c r="G592" t="n">
        <v>0.9</v>
      </c>
      <c r="H592" t="n">
        <v>0</v>
      </c>
      <c r="I592" t="n">
        <v>0</v>
      </c>
      <c r="J592" t="n">
        <v>0</v>
      </c>
      <c r="K592" t="n">
        <v>0</v>
      </c>
      <c r="L592" t="n">
        <v>0</v>
      </c>
      <c r="M592" t="n">
        <v>0</v>
      </c>
      <c r="N592" t="n">
        <v>0</v>
      </c>
      <c r="O592" t="n">
        <v>0</v>
      </c>
      <c r="P592" t="n">
        <v>0</v>
      </c>
      <c r="Q592" t="n">
        <v>0</v>
      </c>
      <c r="R592" s="2" t="inlineStr"/>
    </row>
    <row r="593" ht="15" customHeight="1">
      <c r="A593" t="inlineStr">
        <is>
          <t>A 44534-2024</t>
        </is>
      </c>
      <c r="B593" s="1" t="n">
        <v>45574.45234953704</v>
      </c>
      <c r="C593" s="1" t="n">
        <v>45934</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44537-2024</t>
        </is>
      </c>
      <c r="B594" s="1" t="n">
        <v>45574.45362268519</v>
      </c>
      <c r="C594" s="1" t="n">
        <v>45934</v>
      </c>
      <c r="D594" t="inlineStr">
        <is>
          <t>DALARNAS LÄN</t>
        </is>
      </c>
      <c r="E594" t="inlineStr">
        <is>
          <t>LUDVIKA</t>
        </is>
      </c>
      <c r="F594" t="inlineStr">
        <is>
          <t>Bergvik skog väst AB</t>
        </is>
      </c>
      <c r="G594" t="n">
        <v>1.1</v>
      </c>
      <c r="H594" t="n">
        <v>0</v>
      </c>
      <c r="I594" t="n">
        <v>0</v>
      </c>
      <c r="J594" t="n">
        <v>0</v>
      </c>
      <c r="K594" t="n">
        <v>0</v>
      </c>
      <c r="L594" t="n">
        <v>0</v>
      </c>
      <c r="M594" t="n">
        <v>0</v>
      </c>
      <c r="N594" t="n">
        <v>0</v>
      </c>
      <c r="O594" t="n">
        <v>0</v>
      </c>
      <c r="P594" t="n">
        <v>0</v>
      </c>
      <c r="Q594" t="n">
        <v>0</v>
      </c>
      <c r="R594" s="2" t="inlineStr"/>
    </row>
    <row r="595" ht="15" customHeight="1">
      <c r="A595" t="inlineStr">
        <is>
          <t>A 51895-2020</t>
        </is>
      </c>
      <c r="B595" s="1" t="n">
        <v>44116</v>
      </c>
      <c r="C595" s="1" t="n">
        <v>45934</v>
      </c>
      <c r="D595" t="inlineStr">
        <is>
          <t>DALARNAS LÄN</t>
        </is>
      </c>
      <c r="E595" t="inlineStr">
        <is>
          <t>LUDVIKA</t>
        </is>
      </c>
      <c r="F595" t="inlineStr">
        <is>
          <t>Bergvik skog väst AB</t>
        </is>
      </c>
      <c r="G595" t="n">
        <v>2.5</v>
      </c>
      <c r="H595" t="n">
        <v>0</v>
      </c>
      <c r="I595" t="n">
        <v>0</v>
      </c>
      <c r="J595" t="n">
        <v>0</v>
      </c>
      <c r="K595" t="n">
        <v>0</v>
      </c>
      <c r="L595" t="n">
        <v>0</v>
      </c>
      <c r="M595" t="n">
        <v>0</v>
      </c>
      <c r="N595" t="n">
        <v>0</v>
      </c>
      <c r="O595" t="n">
        <v>0</v>
      </c>
      <c r="P595" t="n">
        <v>0</v>
      </c>
      <c r="Q595" t="n">
        <v>0</v>
      </c>
      <c r="R595" s="2" t="inlineStr"/>
    </row>
    <row r="596" ht="15" customHeight="1">
      <c r="A596" t="inlineStr">
        <is>
          <t>A 40246-2025</t>
        </is>
      </c>
      <c r="B596" s="1" t="n">
        <v>45895.00098379629</v>
      </c>
      <c r="C596" s="1" t="n">
        <v>45934</v>
      </c>
      <c r="D596" t="inlineStr">
        <is>
          <t>DALARNAS LÄN</t>
        </is>
      </c>
      <c r="E596" t="inlineStr">
        <is>
          <t>LUDVIKA</t>
        </is>
      </c>
      <c r="G596" t="n">
        <v>1</v>
      </c>
      <c r="H596" t="n">
        <v>0</v>
      </c>
      <c r="I596" t="n">
        <v>0</v>
      </c>
      <c r="J596" t="n">
        <v>0</v>
      </c>
      <c r="K596" t="n">
        <v>0</v>
      </c>
      <c r="L596" t="n">
        <v>0</v>
      </c>
      <c r="M596" t="n">
        <v>0</v>
      </c>
      <c r="N596" t="n">
        <v>0</v>
      </c>
      <c r="O596" t="n">
        <v>0</v>
      </c>
      <c r="P596" t="n">
        <v>0</v>
      </c>
      <c r="Q596" t="n">
        <v>0</v>
      </c>
      <c r="R596" s="2" t="inlineStr"/>
    </row>
    <row r="597" ht="15" customHeight="1">
      <c r="A597" t="inlineStr">
        <is>
          <t>A 32054-2021</t>
        </is>
      </c>
      <c r="B597" s="1" t="n">
        <v>44370</v>
      </c>
      <c r="C597" s="1" t="n">
        <v>45934</v>
      </c>
      <c r="D597" t="inlineStr">
        <is>
          <t>DALARNAS LÄN</t>
        </is>
      </c>
      <c r="E597" t="inlineStr">
        <is>
          <t>LUDVIKA</t>
        </is>
      </c>
      <c r="G597" t="n">
        <v>28.7</v>
      </c>
      <c r="H597" t="n">
        <v>0</v>
      </c>
      <c r="I597" t="n">
        <v>0</v>
      </c>
      <c r="J597" t="n">
        <v>0</v>
      </c>
      <c r="K597" t="n">
        <v>0</v>
      </c>
      <c r="L597" t="n">
        <v>0</v>
      </c>
      <c r="M597" t="n">
        <v>0</v>
      </c>
      <c r="N597" t="n">
        <v>0</v>
      </c>
      <c r="O597" t="n">
        <v>0</v>
      </c>
      <c r="P597" t="n">
        <v>0</v>
      </c>
      <c r="Q597" t="n">
        <v>0</v>
      </c>
      <c r="R597" s="2" t="inlineStr"/>
    </row>
    <row r="598" ht="15" customHeight="1">
      <c r="A598" t="inlineStr">
        <is>
          <t>A 52351-2024</t>
        </is>
      </c>
      <c r="B598" s="1" t="n">
        <v>45609</v>
      </c>
      <c r="C598" s="1" t="n">
        <v>45934</v>
      </c>
      <c r="D598" t="inlineStr">
        <is>
          <t>DALARNAS LÄN</t>
        </is>
      </c>
      <c r="E598" t="inlineStr">
        <is>
          <t>LUDVIKA</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53756-2020</t>
        </is>
      </c>
      <c r="B599" s="1" t="n">
        <v>44124</v>
      </c>
      <c r="C599" s="1" t="n">
        <v>45934</v>
      </c>
      <c r="D599" t="inlineStr">
        <is>
          <t>DALARNAS LÄN</t>
        </is>
      </c>
      <c r="E599" t="inlineStr">
        <is>
          <t>LUDVIKA</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33505-2021</t>
        </is>
      </c>
      <c r="B600" s="1" t="n">
        <v>44377</v>
      </c>
      <c r="C600" s="1" t="n">
        <v>45934</v>
      </c>
      <c r="D600" t="inlineStr">
        <is>
          <t>DALARNAS LÄN</t>
        </is>
      </c>
      <c r="E600" t="inlineStr">
        <is>
          <t>LUDVIKA</t>
        </is>
      </c>
      <c r="F600" t="inlineStr">
        <is>
          <t>Bergvik skog väst AB</t>
        </is>
      </c>
      <c r="G600" t="n">
        <v>3.4</v>
      </c>
      <c r="H600" t="n">
        <v>0</v>
      </c>
      <c r="I600" t="n">
        <v>0</v>
      </c>
      <c r="J600" t="n">
        <v>0</v>
      </c>
      <c r="K600" t="n">
        <v>0</v>
      </c>
      <c r="L600" t="n">
        <v>0</v>
      </c>
      <c r="M600" t="n">
        <v>0</v>
      </c>
      <c r="N600" t="n">
        <v>0</v>
      </c>
      <c r="O600" t="n">
        <v>0</v>
      </c>
      <c r="P600" t="n">
        <v>0</v>
      </c>
      <c r="Q600" t="n">
        <v>0</v>
      </c>
      <c r="R600" s="2" t="inlineStr"/>
    </row>
    <row r="601" ht="15" customHeight="1">
      <c r="A601" t="inlineStr">
        <is>
          <t>A 45443-2024</t>
        </is>
      </c>
      <c r="B601" s="1" t="n">
        <v>45576</v>
      </c>
      <c r="C601" s="1" t="n">
        <v>45934</v>
      </c>
      <c r="D601" t="inlineStr">
        <is>
          <t>DALARNAS LÄN</t>
        </is>
      </c>
      <c r="E601" t="inlineStr">
        <is>
          <t>LUDVIKA</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16768-2025</t>
        </is>
      </c>
      <c r="B602" s="1" t="n">
        <v>45754</v>
      </c>
      <c r="C602" s="1" t="n">
        <v>45934</v>
      </c>
      <c r="D602" t="inlineStr">
        <is>
          <t>DALARNAS LÄN</t>
        </is>
      </c>
      <c r="E602" t="inlineStr">
        <is>
          <t>LUDVIKA</t>
        </is>
      </c>
      <c r="F602" t="inlineStr">
        <is>
          <t>Naturvårdsverket</t>
        </is>
      </c>
      <c r="G602" t="n">
        <v>4.8</v>
      </c>
      <c r="H602" t="n">
        <v>0</v>
      </c>
      <c r="I602" t="n">
        <v>0</v>
      </c>
      <c r="J602" t="n">
        <v>0</v>
      </c>
      <c r="K602" t="n">
        <v>0</v>
      </c>
      <c r="L602" t="n">
        <v>0</v>
      </c>
      <c r="M602" t="n">
        <v>0</v>
      </c>
      <c r="N602" t="n">
        <v>0</v>
      </c>
      <c r="O602" t="n">
        <v>0</v>
      </c>
      <c r="P602" t="n">
        <v>0</v>
      </c>
      <c r="Q602" t="n">
        <v>0</v>
      </c>
      <c r="R602" s="2" t="inlineStr"/>
    </row>
    <row r="603" ht="15" customHeight="1">
      <c r="A603" t="inlineStr">
        <is>
          <t>A 26823-2025</t>
        </is>
      </c>
      <c r="B603" s="1" t="n">
        <v>45810</v>
      </c>
      <c r="C603" s="1" t="n">
        <v>45934</v>
      </c>
      <c r="D603" t="inlineStr">
        <is>
          <t>DALARNAS LÄN</t>
        </is>
      </c>
      <c r="E603" t="inlineStr">
        <is>
          <t>LUDVIKA</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29654-2025</t>
        </is>
      </c>
      <c r="B604" s="1" t="n">
        <v>45825</v>
      </c>
      <c r="C604" s="1" t="n">
        <v>45934</v>
      </c>
      <c r="D604" t="inlineStr">
        <is>
          <t>DALARNAS LÄN</t>
        </is>
      </c>
      <c r="E604" t="inlineStr">
        <is>
          <t>LUDVIKA</t>
        </is>
      </c>
      <c r="F604" t="inlineStr">
        <is>
          <t>Bergvik skog väst AB</t>
        </is>
      </c>
      <c r="G604" t="n">
        <v>0.8</v>
      </c>
      <c r="H604" t="n">
        <v>0</v>
      </c>
      <c r="I604" t="n">
        <v>0</v>
      </c>
      <c r="J604" t="n">
        <v>0</v>
      </c>
      <c r="K604" t="n">
        <v>0</v>
      </c>
      <c r="L604" t="n">
        <v>0</v>
      </c>
      <c r="M604" t="n">
        <v>0</v>
      </c>
      <c r="N604" t="n">
        <v>0</v>
      </c>
      <c r="O604" t="n">
        <v>0</v>
      </c>
      <c r="P604" t="n">
        <v>0</v>
      </c>
      <c r="Q604" t="n">
        <v>0</v>
      </c>
      <c r="R604" s="2" t="inlineStr"/>
    </row>
    <row r="605" ht="15" customHeight="1">
      <c r="A605" t="inlineStr">
        <is>
          <t>A 5970-2022</t>
        </is>
      </c>
      <c r="B605" s="1" t="n">
        <v>44599</v>
      </c>
      <c r="C605" s="1" t="n">
        <v>45934</v>
      </c>
      <c r="D605" t="inlineStr">
        <is>
          <t>DALARNAS LÄN</t>
        </is>
      </c>
      <c r="E605" t="inlineStr">
        <is>
          <t>LUDVIKA</t>
        </is>
      </c>
      <c r="G605" t="n">
        <v>8.4</v>
      </c>
      <c r="H605" t="n">
        <v>0</v>
      </c>
      <c r="I605" t="n">
        <v>0</v>
      </c>
      <c r="J605" t="n">
        <v>0</v>
      </c>
      <c r="K605" t="n">
        <v>0</v>
      </c>
      <c r="L605" t="n">
        <v>0</v>
      </c>
      <c r="M605" t="n">
        <v>0</v>
      </c>
      <c r="N605" t="n">
        <v>0</v>
      </c>
      <c r="O605" t="n">
        <v>0</v>
      </c>
      <c r="P605" t="n">
        <v>0</v>
      </c>
      <c r="Q605" t="n">
        <v>0</v>
      </c>
      <c r="R605" s="2" t="inlineStr"/>
    </row>
    <row r="606" ht="15" customHeight="1">
      <c r="A606" t="inlineStr">
        <is>
          <t>A 35544-2025</t>
        </is>
      </c>
      <c r="B606" s="1" t="n">
        <v>45856</v>
      </c>
      <c r="C606" s="1" t="n">
        <v>45934</v>
      </c>
      <c r="D606" t="inlineStr">
        <is>
          <t>DALARNAS LÄN</t>
        </is>
      </c>
      <c r="E606" t="inlineStr">
        <is>
          <t>LUDVIKA</t>
        </is>
      </c>
      <c r="F606" t="inlineStr">
        <is>
          <t>Bergvik skog väst AB</t>
        </is>
      </c>
      <c r="G606" t="n">
        <v>8</v>
      </c>
      <c r="H606" t="n">
        <v>0</v>
      </c>
      <c r="I606" t="n">
        <v>0</v>
      </c>
      <c r="J606" t="n">
        <v>0</v>
      </c>
      <c r="K606" t="n">
        <v>0</v>
      </c>
      <c r="L606" t="n">
        <v>0</v>
      </c>
      <c r="M606" t="n">
        <v>0</v>
      </c>
      <c r="N606" t="n">
        <v>0</v>
      </c>
      <c r="O606" t="n">
        <v>0</v>
      </c>
      <c r="P606" t="n">
        <v>0</v>
      </c>
      <c r="Q606" t="n">
        <v>0</v>
      </c>
      <c r="R606" s="2" t="inlineStr"/>
    </row>
    <row r="607" ht="15" customHeight="1">
      <c r="A607" t="inlineStr">
        <is>
          <t>A 54096-2024</t>
        </is>
      </c>
      <c r="B607" s="1" t="n">
        <v>45616.51402777778</v>
      </c>
      <c r="C607" s="1" t="n">
        <v>45934</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41394-2025</t>
        </is>
      </c>
      <c r="B608" s="1" t="n">
        <v>45901.31774305556</v>
      </c>
      <c r="C608" s="1" t="n">
        <v>45934</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56818-2023</t>
        </is>
      </c>
      <c r="B609" s="1" t="n">
        <v>45244.45287037037</v>
      </c>
      <c r="C609" s="1" t="n">
        <v>45934</v>
      </c>
      <c r="D609" t="inlineStr">
        <is>
          <t>DALARNAS LÄN</t>
        </is>
      </c>
      <c r="E609" t="inlineStr">
        <is>
          <t>LUDVIKA</t>
        </is>
      </c>
      <c r="G609" t="n">
        <v>1.4</v>
      </c>
      <c r="H609" t="n">
        <v>0</v>
      </c>
      <c r="I609" t="n">
        <v>0</v>
      </c>
      <c r="J609" t="n">
        <v>0</v>
      </c>
      <c r="K609" t="n">
        <v>0</v>
      </c>
      <c r="L609" t="n">
        <v>0</v>
      </c>
      <c r="M609" t="n">
        <v>0</v>
      </c>
      <c r="N609" t="n">
        <v>0</v>
      </c>
      <c r="O609" t="n">
        <v>0</v>
      </c>
      <c r="P609" t="n">
        <v>0</v>
      </c>
      <c r="Q609" t="n">
        <v>0</v>
      </c>
      <c r="R609" s="2" t="inlineStr"/>
    </row>
    <row r="610" ht="15" customHeight="1">
      <c r="A610" t="inlineStr">
        <is>
          <t>A 41254-2025</t>
        </is>
      </c>
      <c r="B610" s="1" t="n">
        <v>45898.60778935185</v>
      </c>
      <c r="C610" s="1" t="n">
        <v>45934</v>
      </c>
      <c r="D610" t="inlineStr">
        <is>
          <t>DALARNAS LÄN</t>
        </is>
      </c>
      <c r="E610" t="inlineStr">
        <is>
          <t>LUDVIKA</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7173-2023</t>
        </is>
      </c>
      <c r="B611" s="1" t="n">
        <v>44970.50298611111</v>
      </c>
      <c r="C611" s="1" t="n">
        <v>45934</v>
      </c>
      <c r="D611" t="inlineStr">
        <is>
          <t>DALARNAS LÄN</t>
        </is>
      </c>
      <c r="E611" t="inlineStr">
        <is>
          <t>LUDVIKA</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46656-2023</t>
        </is>
      </c>
      <c r="B612" s="1" t="n">
        <v>45198.46518518519</v>
      </c>
      <c r="C612" s="1" t="n">
        <v>45934</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41848-2025</t>
        </is>
      </c>
      <c r="B613" s="1" t="n">
        <v>45902.78278935186</v>
      </c>
      <c r="C613" s="1" t="n">
        <v>45934</v>
      </c>
      <c r="D613" t="inlineStr">
        <is>
          <t>DALARNAS LÄN</t>
        </is>
      </c>
      <c r="E613" t="inlineStr">
        <is>
          <t>LUDVIKA</t>
        </is>
      </c>
      <c r="G613" t="n">
        <v>2.9</v>
      </c>
      <c r="H613" t="n">
        <v>0</v>
      </c>
      <c r="I613" t="n">
        <v>0</v>
      </c>
      <c r="J613" t="n">
        <v>0</v>
      </c>
      <c r="K613" t="n">
        <v>0</v>
      </c>
      <c r="L613" t="n">
        <v>0</v>
      </c>
      <c r="M613" t="n">
        <v>0</v>
      </c>
      <c r="N613" t="n">
        <v>0</v>
      </c>
      <c r="O613" t="n">
        <v>0</v>
      </c>
      <c r="P613" t="n">
        <v>0</v>
      </c>
      <c r="Q613" t="n">
        <v>0</v>
      </c>
      <c r="R613" s="2" t="inlineStr"/>
    </row>
    <row r="614" ht="15" customHeight="1">
      <c r="A614" t="inlineStr">
        <is>
          <t>A 41916-2025</t>
        </is>
      </c>
      <c r="B614" s="1" t="n">
        <v>45903.41763888889</v>
      </c>
      <c r="C614" s="1" t="n">
        <v>45934</v>
      </c>
      <c r="D614" t="inlineStr">
        <is>
          <t>DALARNAS LÄN</t>
        </is>
      </c>
      <c r="E614" t="inlineStr">
        <is>
          <t>LUDVIKA</t>
        </is>
      </c>
      <c r="F614" t="inlineStr">
        <is>
          <t>Bergvik skog väst AB</t>
        </is>
      </c>
      <c r="G614" t="n">
        <v>5.6</v>
      </c>
      <c r="H614" t="n">
        <v>0</v>
      </c>
      <c r="I614" t="n">
        <v>0</v>
      </c>
      <c r="J614" t="n">
        <v>0</v>
      </c>
      <c r="K614" t="n">
        <v>0</v>
      </c>
      <c r="L614" t="n">
        <v>0</v>
      </c>
      <c r="M614" t="n">
        <v>0</v>
      </c>
      <c r="N614" t="n">
        <v>0</v>
      </c>
      <c r="O614" t="n">
        <v>0</v>
      </c>
      <c r="P614" t="n">
        <v>0</v>
      </c>
      <c r="Q614" t="n">
        <v>0</v>
      </c>
      <c r="R614" s="2" t="inlineStr"/>
    </row>
    <row r="615" ht="15" customHeight="1">
      <c r="A615" t="inlineStr">
        <is>
          <t>A 42005-2025</t>
        </is>
      </c>
      <c r="B615" s="1" t="n">
        <v>45903.55486111111</v>
      </c>
      <c r="C615" s="1" t="n">
        <v>45934</v>
      </c>
      <c r="D615" t="inlineStr">
        <is>
          <t>DALARNAS LÄN</t>
        </is>
      </c>
      <c r="E615" t="inlineStr">
        <is>
          <t>LUDVIKA</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32329-2024</t>
        </is>
      </c>
      <c r="B616" s="1" t="n">
        <v>45512</v>
      </c>
      <c r="C616" s="1" t="n">
        <v>45934</v>
      </c>
      <c r="D616" t="inlineStr">
        <is>
          <t>DALARNAS LÄN</t>
        </is>
      </c>
      <c r="E616" t="inlineStr">
        <is>
          <t>LUDVIKA</t>
        </is>
      </c>
      <c r="F616" t="inlineStr">
        <is>
          <t>Bergvik skog väst AB</t>
        </is>
      </c>
      <c r="G616" t="n">
        <v>6</v>
      </c>
      <c r="H616" t="n">
        <v>0</v>
      </c>
      <c r="I616" t="n">
        <v>0</v>
      </c>
      <c r="J616" t="n">
        <v>0</v>
      </c>
      <c r="K616" t="n">
        <v>0</v>
      </c>
      <c r="L616" t="n">
        <v>0</v>
      </c>
      <c r="M616" t="n">
        <v>0</v>
      </c>
      <c r="N616" t="n">
        <v>0</v>
      </c>
      <c r="O616" t="n">
        <v>0</v>
      </c>
      <c r="P616" t="n">
        <v>0</v>
      </c>
      <c r="Q616" t="n">
        <v>0</v>
      </c>
      <c r="R616" s="2" t="inlineStr"/>
    </row>
    <row r="617" ht="15" customHeight="1">
      <c r="A617" t="inlineStr">
        <is>
          <t>A 41900-2025</t>
        </is>
      </c>
      <c r="B617" s="1" t="n">
        <v>45903.39708333334</v>
      </c>
      <c r="C617" s="1" t="n">
        <v>45934</v>
      </c>
      <c r="D617" t="inlineStr">
        <is>
          <t>DALARNAS LÄN</t>
        </is>
      </c>
      <c r="E617" t="inlineStr">
        <is>
          <t>LUDVIKA</t>
        </is>
      </c>
      <c r="F617" t="inlineStr">
        <is>
          <t>Bergvik skog väst AB</t>
        </is>
      </c>
      <c r="G617" t="n">
        <v>4</v>
      </c>
      <c r="H617" t="n">
        <v>0</v>
      </c>
      <c r="I617" t="n">
        <v>0</v>
      </c>
      <c r="J617" t="n">
        <v>0</v>
      </c>
      <c r="K617" t="n">
        <v>0</v>
      </c>
      <c r="L617" t="n">
        <v>0</v>
      </c>
      <c r="M617" t="n">
        <v>0</v>
      </c>
      <c r="N617" t="n">
        <v>0</v>
      </c>
      <c r="O617" t="n">
        <v>0</v>
      </c>
      <c r="P617" t="n">
        <v>0</v>
      </c>
      <c r="Q617" t="n">
        <v>0</v>
      </c>
      <c r="R617" s="2" t="inlineStr"/>
    </row>
    <row r="618" ht="15" customHeight="1">
      <c r="A618" t="inlineStr">
        <is>
          <t>A 41828-2025</t>
        </is>
      </c>
      <c r="B618" s="1" t="n">
        <v>45902.67721064815</v>
      </c>
      <c r="C618" s="1" t="n">
        <v>45934</v>
      </c>
      <c r="D618" t="inlineStr">
        <is>
          <t>DALARNAS LÄN</t>
        </is>
      </c>
      <c r="E618" t="inlineStr">
        <is>
          <t>LUDVIKA</t>
        </is>
      </c>
      <c r="G618" t="n">
        <v>1.7</v>
      </c>
      <c r="H618" t="n">
        <v>0</v>
      </c>
      <c r="I618" t="n">
        <v>0</v>
      </c>
      <c r="J618" t="n">
        <v>0</v>
      </c>
      <c r="K618" t="n">
        <v>0</v>
      </c>
      <c r="L618" t="n">
        <v>0</v>
      </c>
      <c r="M618" t="n">
        <v>0</v>
      </c>
      <c r="N618" t="n">
        <v>0</v>
      </c>
      <c r="O618" t="n">
        <v>0</v>
      </c>
      <c r="P618" t="n">
        <v>0</v>
      </c>
      <c r="Q618" t="n">
        <v>0</v>
      </c>
      <c r="R618" s="2" t="inlineStr"/>
    </row>
    <row r="619" ht="15" customHeight="1">
      <c r="A619" t="inlineStr">
        <is>
          <t>A 4170-2025</t>
        </is>
      </c>
      <c r="B619" s="1" t="n">
        <v>45685.42325231482</v>
      </c>
      <c r="C619" s="1" t="n">
        <v>45934</v>
      </c>
      <c r="D619" t="inlineStr">
        <is>
          <t>DALARNAS LÄN</t>
        </is>
      </c>
      <c r="E619" t="inlineStr">
        <is>
          <t>LUDVIKA</t>
        </is>
      </c>
      <c r="G619" t="n">
        <v>0.9</v>
      </c>
      <c r="H619" t="n">
        <v>0</v>
      </c>
      <c r="I619" t="n">
        <v>0</v>
      </c>
      <c r="J619" t="n">
        <v>0</v>
      </c>
      <c r="K619" t="n">
        <v>0</v>
      </c>
      <c r="L619" t="n">
        <v>0</v>
      </c>
      <c r="M619" t="n">
        <v>0</v>
      </c>
      <c r="N619" t="n">
        <v>0</v>
      </c>
      <c r="O619" t="n">
        <v>0</v>
      </c>
      <c r="P619" t="n">
        <v>0</v>
      </c>
      <c r="Q619" t="n">
        <v>0</v>
      </c>
      <c r="R619" s="2" t="inlineStr"/>
    </row>
    <row r="620" ht="15" customHeight="1">
      <c r="A620" t="inlineStr">
        <is>
          <t>A 42264-2025</t>
        </is>
      </c>
      <c r="B620" s="1" t="n">
        <v>45904.59947916667</v>
      </c>
      <c r="C620" s="1" t="n">
        <v>45934</v>
      </c>
      <c r="D620" t="inlineStr">
        <is>
          <t>DALARNAS LÄN</t>
        </is>
      </c>
      <c r="E620" t="inlineStr">
        <is>
          <t>LUDVIKA</t>
        </is>
      </c>
      <c r="F620" t="inlineStr">
        <is>
          <t>Bergvik skog väst AB</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35958-2025</t>
        </is>
      </c>
      <c r="B621" s="1" t="n">
        <v>45863</v>
      </c>
      <c r="C621" s="1" t="n">
        <v>45934</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35962-2025</t>
        </is>
      </c>
      <c r="B622" s="1" t="n">
        <v>45863</v>
      </c>
      <c r="C622" s="1" t="n">
        <v>45934</v>
      </c>
      <c r="D622" t="inlineStr">
        <is>
          <t>DALARNAS LÄN</t>
        </is>
      </c>
      <c r="E622" t="inlineStr">
        <is>
          <t>LUDVIKA</t>
        </is>
      </c>
      <c r="F622" t="inlineStr">
        <is>
          <t>Bergvik skog väst AB</t>
        </is>
      </c>
      <c r="G622" t="n">
        <v>10.9</v>
      </c>
      <c r="H622" t="n">
        <v>0</v>
      </c>
      <c r="I622" t="n">
        <v>0</v>
      </c>
      <c r="J622" t="n">
        <v>0</v>
      </c>
      <c r="K622" t="n">
        <v>0</v>
      </c>
      <c r="L622" t="n">
        <v>0</v>
      </c>
      <c r="M622" t="n">
        <v>0</v>
      </c>
      <c r="N622" t="n">
        <v>0</v>
      </c>
      <c r="O622" t="n">
        <v>0</v>
      </c>
      <c r="P622" t="n">
        <v>0</v>
      </c>
      <c r="Q622" t="n">
        <v>0</v>
      </c>
      <c r="R622" s="2" t="inlineStr"/>
    </row>
    <row r="623" ht="15" customHeight="1">
      <c r="A623" t="inlineStr">
        <is>
          <t>A 35876-2025</t>
        </is>
      </c>
      <c r="B623" s="1" t="n">
        <v>45862</v>
      </c>
      <c r="C623" s="1" t="n">
        <v>45934</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35957-2025</t>
        </is>
      </c>
      <c r="B624" s="1" t="n">
        <v>45863</v>
      </c>
      <c r="C624" s="1" t="n">
        <v>45934</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42337-2025</t>
        </is>
      </c>
      <c r="B625" s="1" t="n">
        <v>45904.70763888889</v>
      </c>
      <c r="C625" s="1" t="n">
        <v>45934</v>
      </c>
      <c r="D625" t="inlineStr">
        <is>
          <t>DALARNAS LÄN</t>
        </is>
      </c>
      <c r="E625" t="inlineStr">
        <is>
          <t>LUDVIKA</t>
        </is>
      </c>
      <c r="G625" t="n">
        <v>9.4</v>
      </c>
      <c r="H625" t="n">
        <v>0</v>
      </c>
      <c r="I625" t="n">
        <v>0</v>
      </c>
      <c r="J625" t="n">
        <v>0</v>
      </c>
      <c r="K625" t="n">
        <v>0</v>
      </c>
      <c r="L625" t="n">
        <v>0</v>
      </c>
      <c r="M625" t="n">
        <v>0</v>
      </c>
      <c r="N625" t="n">
        <v>0</v>
      </c>
      <c r="O625" t="n">
        <v>0</v>
      </c>
      <c r="P625" t="n">
        <v>0</v>
      </c>
      <c r="Q625" t="n">
        <v>0</v>
      </c>
      <c r="R625" s="2" t="inlineStr"/>
    </row>
    <row r="626" ht="15" customHeight="1">
      <c r="A626" t="inlineStr">
        <is>
          <t>A 42346-2025</t>
        </is>
      </c>
      <c r="B626" s="1" t="n">
        <v>45904.75224537037</v>
      </c>
      <c r="C626" s="1" t="n">
        <v>45934</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31010-2025</t>
        </is>
      </c>
      <c r="B627" s="1" t="n">
        <v>45832</v>
      </c>
      <c r="C627" s="1" t="n">
        <v>45934</v>
      </c>
      <c r="D627" t="inlineStr">
        <is>
          <t>DALARNAS LÄN</t>
        </is>
      </c>
      <c r="E627" t="inlineStr">
        <is>
          <t>LUDVIKA</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31057-2025</t>
        </is>
      </c>
      <c r="B628" s="1" t="n">
        <v>45832</v>
      </c>
      <c r="C628" s="1" t="n">
        <v>45934</v>
      </c>
      <c r="D628" t="inlineStr">
        <is>
          <t>DALARNAS LÄN</t>
        </is>
      </c>
      <c r="E628" t="inlineStr">
        <is>
          <t>LUDVIKA</t>
        </is>
      </c>
      <c r="F628" t="inlineStr">
        <is>
          <t>Bergvik skog väst AB</t>
        </is>
      </c>
      <c r="G628" t="n">
        <v>6.2</v>
      </c>
      <c r="H628" t="n">
        <v>0</v>
      </c>
      <c r="I628" t="n">
        <v>0</v>
      </c>
      <c r="J628" t="n">
        <v>0</v>
      </c>
      <c r="K628" t="n">
        <v>0</v>
      </c>
      <c r="L628" t="n">
        <v>0</v>
      </c>
      <c r="M628" t="n">
        <v>0</v>
      </c>
      <c r="N628" t="n">
        <v>0</v>
      </c>
      <c r="O628" t="n">
        <v>0</v>
      </c>
      <c r="P628" t="n">
        <v>0</v>
      </c>
      <c r="Q628" t="n">
        <v>0</v>
      </c>
      <c r="R628" s="2" t="inlineStr"/>
    </row>
    <row r="629" ht="15" customHeight="1">
      <c r="A629" t="inlineStr">
        <is>
          <t>A 31050-2025</t>
        </is>
      </c>
      <c r="B629" s="1" t="n">
        <v>45832</v>
      </c>
      <c r="C629" s="1" t="n">
        <v>45934</v>
      </c>
      <c r="D629" t="inlineStr">
        <is>
          <t>DALARNAS LÄN</t>
        </is>
      </c>
      <c r="E629" t="inlineStr">
        <is>
          <t>LUDVIKA</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33001-2025</t>
        </is>
      </c>
      <c r="B630" s="1" t="n">
        <v>45840</v>
      </c>
      <c r="C630" s="1" t="n">
        <v>45934</v>
      </c>
      <c r="D630" t="inlineStr">
        <is>
          <t>DALARNAS LÄN</t>
        </is>
      </c>
      <c r="E630" t="inlineStr">
        <is>
          <t>LUDVIKA</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33122-2025</t>
        </is>
      </c>
      <c r="B631" s="1" t="n">
        <v>45840</v>
      </c>
      <c r="C631" s="1" t="n">
        <v>45934</v>
      </c>
      <c r="D631" t="inlineStr">
        <is>
          <t>DALARNAS LÄN</t>
        </is>
      </c>
      <c r="E631" t="inlineStr">
        <is>
          <t>LUDVIKA</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42996-2025</t>
        </is>
      </c>
      <c r="B632" s="1" t="n">
        <v>45909.45607638889</v>
      </c>
      <c r="C632" s="1" t="n">
        <v>45934</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53620-2022</t>
        </is>
      </c>
      <c r="B633" s="1" t="n">
        <v>44879.81773148148</v>
      </c>
      <c r="C633" s="1" t="n">
        <v>45934</v>
      </c>
      <c r="D633" t="inlineStr">
        <is>
          <t>DALARNAS LÄN</t>
        </is>
      </c>
      <c r="E633" t="inlineStr">
        <is>
          <t>LUDVIKA</t>
        </is>
      </c>
      <c r="G633" t="n">
        <v>3.7</v>
      </c>
      <c r="H633" t="n">
        <v>0</v>
      </c>
      <c r="I633" t="n">
        <v>0</v>
      </c>
      <c r="J633" t="n">
        <v>0</v>
      </c>
      <c r="K633" t="n">
        <v>0</v>
      </c>
      <c r="L633" t="n">
        <v>0</v>
      </c>
      <c r="M633" t="n">
        <v>0</v>
      </c>
      <c r="N633" t="n">
        <v>0</v>
      </c>
      <c r="O633" t="n">
        <v>0</v>
      </c>
      <c r="P633" t="n">
        <v>0</v>
      </c>
      <c r="Q633" t="n">
        <v>0</v>
      </c>
      <c r="R633" s="2" t="inlineStr"/>
    </row>
    <row r="634" ht="15" customHeight="1">
      <c r="A634" t="inlineStr">
        <is>
          <t>A 34823-2025</t>
        </is>
      </c>
      <c r="B634" s="1" t="n">
        <v>45849</v>
      </c>
      <c r="C634" s="1" t="n">
        <v>45934</v>
      </c>
      <c r="D634" t="inlineStr">
        <is>
          <t>DALARNAS LÄN</t>
        </is>
      </c>
      <c r="E634" t="inlineStr">
        <is>
          <t>LUDVIKA</t>
        </is>
      </c>
      <c r="F634" t="inlineStr">
        <is>
          <t>Bergvik skog väst AB</t>
        </is>
      </c>
      <c r="G634" t="n">
        <v>2.7</v>
      </c>
      <c r="H634" t="n">
        <v>0</v>
      </c>
      <c r="I634" t="n">
        <v>0</v>
      </c>
      <c r="J634" t="n">
        <v>0</v>
      </c>
      <c r="K634" t="n">
        <v>0</v>
      </c>
      <c r="L634" t="n">
        <v>0</v>
      </c>
      <c r="M634" t="n">
        <v>0</v>
      </c>
      <c r="N634" t="n">
        <v>0</v>
      </c>
      <c r="O634" t="n">
        <v>0</v>
      </c>
      <c r="P634" t="n">
        <v>0</v>
      </c>
      <c r="Q634" t="n">
        <v>0</v>
      </c>
      <c r="R634" s="2" t="inlineStr"/>
    </row>
    <row r="635" ht="15" customHeight="1">
      <c r="A635" t="inlineStr">
        <is>
          <t>A 42985-2025</t>
        </is>
      </c>
      <c r="B635" s="1" t="n">
        <v>45909.44322916667</v>
      </c>
      <c r="C635" s="1" t="n">
        <v>45934</v>
      </c>
      <c r="D635" t="inlineStr">
        <is>
          <t>DALARNAS LÄN</t>
        </is>
      </c>
      <c r="E635" t="inlineStr">
        <is>
          <t>LUDVIKA</t>
        </is>
      </c>
      <c r="G635" t="n">
        <v>1.7</v>
      </c>
      <c r="H635" t="n">
        <v>0</v>
      </c>
      <c r="I635" t="n">
        <v>0</v>
      </c>
      <c r="J635" t="n">
        <v>0</v>
      </c>
      <c r="K635" t="n">
        <v>0</v>
      </c>
      <c r="L635" t="n">
        <v>0</v>
      </c>
      <c r="M635" t="n">
        <v>0</v>
      </c>
      <c r="N635" t="n">
        <v>0</v>
      </c>
      <c r="O635" t="n">
        <v>0</v>
      </c>
      <c r="P635" t="n">
        <v>0</v>
      </c>
      <c r="Q635" t="n">
        <v>0</v>
      </c>
      <c r="R635" s="2" t="inlineStr"/>
    </row>
    <row r="636" ht="15" customHeight="1">
      <c r="A636" t="inlineStr">
        <is>
          <t>A 33127-2025</t>
        </is>
      </c>
      <c r="B636" s="1" t="n">
        <v>45840</v>
      </c>
      <c r="C636" s="1" t="n">
        <v>45934</v>
      </c>
      <c r="D636" t="inlineStr">
        <is>
          <t>DALARNAS LÄN</t>
        </is>
      </c>
      <c r="E636" t="inlineStr">
        <is>
          <t>LUDVIKA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17677-2022</t>
        </is>
      </c>
      <c r="B637" s="1" t="n">
        <v>44680</v>
      </c>
      <c r="C637" s="1" t="n">
        <v>45934</v>
      </c>
      <c r="D637" t="inlineStr">
        <is>
          <t>DALARNAS LÄN</t>
        </is>
      </c>
      <c r="E637" t="inlineStr">
        <is>
          <t>LUDVIKA</t>
        </is>
      </c>
      <c r="F637" t="inlineStr">
        <is>
          <t>Bergvik skog väst AB</t>
        </is>
      </c>
      <c r="G637" t="n">
        <v>5.5</v>
      </c>
      <c r="H637" t="n">
        <v>0</v>
      </c>
      <c r="I637" t="n">
        <v>0</v>
      </c>
      <c r="J637" t="n">
        <v>0</v>
      </c>
      <c r="K637" t="n">
        <v>0</v>
      </c>
      <c r="L637" t="n">
        <v>0</v>
      </c>
      <c r="M637" t="n">
        <v>0</v>
      </c>
      <c r="N637" t="n">
        <v>0</v>
      </c>
      <c r="O637" t="n">
        <v>0</v>
      </c>
      <c r="P637" t="n">
        <v>0</v>
      </c>
      <c r="Q637" t="n">
        <v>0</v>
      </c>
      <c r="R637" s="2" t="inlineStr"/>
    </row>
    <row r="638" ht="15" customHeight="1">
      <c r="A638" t="inlineStr">
        <is>
          <t>A 36523-2025</t>
        </is>
      </c>
      <c r="B638" s="1" t="n">
        <v>45869</v>
      </c>
      <c r="C638" s="1" t="n">
        <v>45934</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36338-2025</t>
        </is>
      </c>
      <c r="B639" s="1" t="n">
        <v>45868.4570949074</v>
      </c>
      <c r="C639" s="1" t="n">
        <v>45934</v>
      </c>
      <c r="D639" t="inlineStr">
        <is>
          <t>DALARNAS LÄN</t>
        </is>
      </c>
      <c r="E639" t="inlineStr">
        <is>
          <t>LUDVIKA</t>
        </is>
      </c>
      <c r="G639" t="n">
        <v>0.2</v>
      </c>
      <c r="H639" t="n">
        <v>0</v>
      </c>
      <c r="I639" t="n">
        <v>0</v>
      </c>
      <c r="J639" t="n">
        <v>0</v>
      </c>
      <c r="K639" t="n">
        <v>0</v>
      </c>
      <c r="L639" t="n">
        <v>0</v>
      </c>
      <c r="M639" t="n">
        <v>0</v>
      </c>
      <c r="N639" t="n">
        <v>0</v>
      </c>
      <c r="O639" t="n">
        <v>0</v>
      </c>
      <c r="P639" t="n">
        <v>0</v>
      </c>
      <c r="Q639" t="n">
        <v>0</v>
      </c>
      <c r="R639" s="2" t="inlineStr"/>
    </row>
    <row r="640" ht="15" customHeight="1">
      <c r="A640" t="inlineStr">
        <is>
          <t>A 36435-2025</t>
        </is>
      </c>
      <c r="B640" s="1" t="n">
        <v>45869</v>
      </c>
      <c r="C640" s="1" t="n">
        <v>45934</v>
      </c>
      <c r="D640" t="inlineStr">
        <is>
          <t>DALARNAS LÄN</t>
        </is>
      </c>
      <c r="E640" t="inlineStr">
        <is>
          <t>LUDVIKA</t>
        </is>
      </c>
      <c r="F640" t="inlineStr">
        <is>
          <t>Bergvik skog väst AB</t>
        </is>
      </c>
      <c r="G640" t="n">
        <v>7.1</v>
      </c>
      <c r="H640" t="n">
        <v>0</v>
      </c>
      <c r="I640" t="n">
        <v>0</v>
      </c>
      <c r="J640" t="n">
        <v>0</v>
      </c>
      <c r="K640" t="n">
        <v>0</v>
      </c>
      <c r="L640" t="n">
        <v>0</v>
      </c>
      <c r="M640" t="n">
        <v>0</v>
      </c>
      <c r="N640" t="n">
        <v>0</v>
      </c>
      <c r="O640" t="n">
        <v>0</v>
      </c>
      <c r="P640" t="n">
        <v>0</v>
      </c>
      <c r="Q640" t="n">
        <v>0</v>
      </c>
      <c r="R640" s="2" t="inlineStr"/>
    </row>
    <row r="641" ht="15" customHeight="1">
      <c r="A641" t="inlineStr">
        <is>
          <t>A 36437-2025</t>
        </is>
      </c>
      <c r="B641" s="1" t="n">
        <v>45869</v>
      </c>
      <c r="C641" s="1" t="n">
        <v>45934</v>
      </c>
      <c r="D641" t="inlineStr">
        <is>
          <t>DALARNAS LÄN</t>
        </is>
      </c>
      <c r="E641" t="inlineStr">
        <is>
          <t>LUDVIKA</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41890-2025</t>
        </is>
      </c>
      <c r="B642" s="1" t="n">
        <v>45903</v>
      </c>
      <c r="C642" s="1" t="n">
        <v>45934</v>
      </c>
      <c r="D642" t="inlineStr">
        <is>
          <t>DALARNAS LÄN</t>
        </is>
      </c>
      <c r="E642" t="inlineStr">
        <is>
          <t>LUDVIKA</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41449-2024</t>
        </is>
      </c>
      <c r="B643" s="1" t="n">
        <v>45560.40314814815</v>
      </c>
      <c r="C643" s="1" t="n">
        <v>45934</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43348-2025</t>
        </is>
      </c>
      <c r="B644" s="1" t="n">
        <v>45910.91788194444</v>
      </c>
      <c r="C644" s="1" t="n">
        <v>45934</v>
      </c>
      <c r="D644" t="inlineStr">
        <is>
          <t>DALARNAS LÄN</t>
        </is>
      </c>
      <c r="E644" t="inlineStr">
        <is>
          <t>LUDVIKA</t>
        </is>
      </c>
      <c r="G644" t="n">
        <v>4.3</v>
      </c>
      <c r="H644" t="n">
        <v>0</v>
      </c>
      <c r="I644" t="n">
        <v>0</v>
      </c>
      <c r="J644" t="n">
        <v>0</v>
      </c>
      <c r="K644" t="n">
        <v>0</v>
      </c>
      <c r="L644" t="n">
        <v>0</v>
      </c>
      <c r="M644" t="n">
        <v>0</v>
      </c>
      <c r="N644" t="n">
        <v>0</v>
      </c>
      <c r="O644" t="n">
        <v>0</v>
      </c>
      <c r="P644" t="n">
        <v>0</v>
      </c>
      <c r="Q644" t="n">
        <v>0</v>
      </c>
      <c r="R644" s="2" t="inlineStr"/>
    </row>
    <row r="645" ht="15" customHeight="1">
      <c r="A645" t="inlineStr">
        <is>
          <t>A 43473-2025</t>
        </is>
      </c>
      <c r="B645" s="1" t="n">
        <v>45911.48769675926</v>
      </c>
      <c r="C645" s="1" t="n">
        <v>45934</v>
      </c>
      <c r="D645" t="inlineStr">
        <is>
          <t>DALARNAS LÄN</t>
        </is>
      </c>
      <c r="E645" t="inlineStr">
        <is>
          <t>LUDVIKA</t>
        </is>
      </c>
      <c r="F645" t="inlineStr">
        <is>
          <t>Bergvik skog väst AB</t>
        </is>
      </c>
      <c r="G645" t="n">
        <v>1.4</v>
      </c>
      <c r="H645" t="n">
        <v>0</v>
      </c>
      <c r="I645" t="n">
        <v>0</v>
      </c>
      <c r="J645" t="n">
        <v>0</v>
      </c>
      <c r="K645" t="n">
        <v>0</v>
      </c>
      <c r="L645" t="n">
        <v>0</v>
      </c>
      <c r="M645" t="n">
        <v>0</v>
      </c>
      <c r="N645" t="n">
        <v>0</v>
      </c>
      <c r="O645" t="n">
        <v>0</v>
      </c>
      <c r="P645" t="n">
        <v>0</v>
      </c>
      <c r="Q645" t="n">
        <v>0</v>
      </c>
      <c r="R645" s="2" t="inlineStr"/>
    </row>
    <row r="646" ht="15" customHeight="1">
      <c r="A646" t="inlineStr">
        <is>
          <t>A 43479-2025</t>
        </is>
      </c>
      <c r="B646" s="1" t="n">
        <v>45911.49506944444</v>
      </c>
      <c r="C646" s="1" t="n">
        <v>45934</v>
      </c>
      <c r="D646" t="inlineStr">
        <is>
          <t>DALARNAS LÄN</t>
        </is>
      </c>
      <c r="E646" t="inlineStr">
        <is>
          <t>LUDVIKA</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35708-2025</t>
        </is>
      </c>
      <c r="B647" s="1" t="n">
        <v>45860</v>
      </c>
      <c r="C647" s="1" t="n">
        <v>45934</v>
      </c>
      <c r="D647" t="inlineStr">
        <is>
          <t>DALARNAS LÄN</t>
        </is>
      </c>
      <c r="E647" t="inlineStr">
        <is>
          <t>LUDVIKA</t>
        </is>
      </c>
      <c r="F647" t="inlineStr">
        <is>
          <t>Bergvik skog väst AB</t>
        </is>
      </c>
      <c r="G647" t="n">
        <v>2.7</v>
      </c>
      <c r="H647" t="n">
        <v>0</v>
      </c>
      <c r="I647" t="n">
        <v>0</v>
      </c>
      <c r="J647" t="n">
        <v>0</v>
      </c>
      <c r="K647" t="n">
        <v>0</v>
      </c>
      <c r="L647" t="n">
        <v>0</v>
      </c>
      <c r="M647" t="n">
        <v>0</v>
      </c>
      <c r="N647" t="n">
        <v>0</v>
      </c>
      <c r="O647" t="n">
        <v>0</v>
      </c>
      <c r="P647" t="n">
        <v>0</v>
      </c>
      <c r="Q647" t="n">
        <v>0</v>
      </c>
      <c r="R647" s="2" t="inlineStr"/>
    </row>
    <row r="648" ht="15" customHeight="1">
      <c r="A648" t="inlineStr">
        <is>
          <t>A 57969-2024</t>
        </is>
      </c>
      <c r="B648" s="1" t="n">
        <v>45631.60126157408</v>
      </c>
      <c r="C648" s="1" t="n">
        <v>45934</v>
      </c>
      <c r="D648" t="inlineStr">
        <is>
          <t>DALARNAS LÄN</t>
        </is>
      </c>
      <c r="E648" t="inlineStr">
        <is>
          <t>LUDVIKA</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43539-2025</t>
        </is>
      </c>
      <c r="B649" s="1" t="n">
        <v>45911</v>
      </c>
      <c r="C649" s="1" t="n">
        <v>45934</v>
      </c>
      <c r="D649" t="inlineStr">
        <is>
          <t>DALARNAS LÄN</t>
        </is>
      </c>
      <c r="E649" t="inlineStr">
        <is>
          <t>LUDVIKA</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43253-2025</t>
        </is>
      </c>
      <c r="B650" s="1" t="n">
        <v>45910</v>
      </c>
      <c r="C650" s="1" t="n">
        <v>45934</v>
      </c>
      <c r="D650" t="inlineStr">
        <is>
          <t>DALARNAS LÄN</t>
        </is>
      </c>
      <c r="E650" t="inlineStr">
        <is>
          <t>LUDVIKA</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43439-2025</t>
        </is>
      </c>
      <c r="B651" s="1" t="n">
        <v>45911.43902777778</v>
      </c>
      <c r="C651" s="1" t="n">
        <v>45934</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43055-2024</t>
        </is>
      </c>
      <c r="B652" s="1" t="n">
        <v>45567.45354166667</v>
      </c>
      <c r="C652" s="1" t="n">
        <v>45934</v>
      </c>
      <c r="D652" t="inlineStr">
        <is>
          <t>DALARNAS LÄN</t>
        </is>
      </c>
      <c r="E652" t="inlineStr">
        <is>
          <t>LUDVIKA</t>
        </is>
      </c>
      <c r="F652" t="inlineStr">
        <is>
          <t>Bergvik skog väst AB</t>
        </is>
      </c>
      <c r="G652" t="n">
        <v>1.3</v>
      </c>
      <c r="H652" t="n">
        <v>0</v>
      </c>
      <c r="I652" t="n">
        <v>0</v>
      </c>
      <c r="J652" t="n">
        <v>0</v>
      </c>
      <c r="K652" t="n">
        <v>0</v>
      </c>
      <c r="L652" t="n">
        <v>0</v>
      </c>
      <c r="M652" t="n">
        <v>0</v>
      </c>
      <c r="N652" t="n">
        <v>0</v>
      </c>
      <c r="O652" t="n">
        <v>0</v>
      </c>
      <c r="P652" t="n">
        <v>0</v>
      </c>
      <c r="Q652" t="n">
        <v>0</v>
      </c>
      <c r="R652" s="2" t="inlineStr"/>
    </row>
    <row r="653" ht="15" customHeight="1">
      <c r="A653" t="inlineStr">
        <is>
          <t>A 43437-2025</t>
        </is>
      </c>
      <c r="B653" s="1" t="n">
        <v>45911.43200231482</v>
      </c>
      <c r="C653" s="1" t="n">
        <v>45934</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41099-2025</t>
        </is>
      </c>
      <c r="B654" s="1" t="n">
        <v>45898</v>
      </c>
      <c r="C654" s="1" t="n">
        <v>45934</v>
      </c>
      <c r="D654" t="inlineStr">
        <is>
          <t>DALARNAS LÄN</t>
        </is>
      </c>
      <c r="E654" t="inlineStr">
        <is>
          <t>LUDVIKA</t>
        </is>
      </c>
      <c r="F654" t="inlineStr">
        <is>
          <t>Bergvik skog väst AB</t>
        </is>
      </c>
      <c r="G654" t="n">
        <v>4.8</v>
      </c>
      <c r="H654" t="n">
        <v>0</v>
      </c>
      <c r="I654" t="n">
        <v>0</v>
      </c>
      <c r="J654" t="n">
        <v>0</v>
      </c>
      <c r="K654" t="n">
        <v>0</v>
      </c>
      <c r="L654" t="n">
        <v>0</v>
      </c>
      <c r="M654" t="n">
        <v>0</v>
      </c>
      <c r="N654" t="n">
        <v>0</v>
      </c>
      <c r="O654" t="n">
        <v>0</v>
      </c>
      <c r="P654" t="n">
        <v>0</v>
      </c>
      <c r="Q654" t="n">
        <v>0</v>
      </c>
      <c r="R654" s="2" t="inlineStr"/>
    </row>
    <row r="655" ht="15" customHeight="1">
      <c r="A655" t="inlineStr">
        <is>
          <t>A 41109-2025</t>
        </is>
      </c>
      <c r="B655" s="1" t="n">
        <v>45898</v>
      </c>
      <c r="C655" s="1" t="n">
        <v>45934</v>
      </c>
      <c r="D655" t="inlineStr">
        <is>
          <t>DALARNAS LÄN</t>
        </is>
      </c>
      <c r="E655" t="inlineStr">
        <is>
          <t>LUDVIKA</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36436-2025</t>
        </is>
      </c>
      <c r="B656" s="1" t="n">
        <v>45869</v>
      </c>
      <c r="C656" s="1" t="n">
        <v>45934</v>
      </c>
      <c r="D656" t="inlineStr">
        <is>
          <t>DALARNAS LÄN</t>
        </is>
      </c>
      <c r="E656" t="inlineStr">
        <is>
          <t>LUDVIKA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43145-2025</t>
        </is>
      </c>
      <c r="B657" s="1" t="n">
        <v>45910.3044212963</v>
      </c>
      <c r="C657" s="1" t="n">
        <v>45934</v>
      </c>
      <c r="D657" t="inlineStr">
        <is>
          <t>DALARNAS LÄN</t>
        </is>
      </c>
      <c r="E657" t="inlineStr">
        <is>
          <t>LUDVIKA</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43345-2025</t>
        </is>
      </c>
      <c r="B658" s="1" t="n">
        <v>45910.86336805556</v>
      </c>
      <c r="C658" s="1" t="n">
        <v>45934</v>
      </c>
      <c r="D658" t="inlineStr">
        <is>
          <t>DALARNAS LÄN</t>
        </is>
      </c>
      <c r="E658" t="inlineStr">
        <is>
          <t>LUDVIKA</t>
        </is>
      </c>
      <c r="G658" t="n">
        <v>4.6</v>
      </c>
      <c r="H658" t="n">
        <v>0</v>
      </c>
      <c r="I658" t="n">
        <v>0</v>
      </c>
      <c r="J658" t="n">
        <v>0</v>
      </c>
      <c r="K658" t="n">
        <v>0</v>
      </c>
      <c r="L658" t="n">
        <v>0</v>
      </c>
      <c r="M658" t="n">
        <v>0</v>
      </c>
      <c r="N658" t="n">
        <v>0</v>
      </c>
      <c r="O658" t="n">
        <v>0</v>
      </c>
      <c r="P658" t="n">
        <v>0</v>
      </c>
      <c r="Q658" t="n">
        <v>0</v>
      </c>
      <c r="R658" s="2" t="inlineStr"/>
    </row>
    <row r="659" ht="15" customHeight="1">
      <c r="A659" t="inlineStr">
        <is>
          <t>A 39761-2022</t>
        </is>
      </c>
      <c r="B659" s="1" t="n">
        <v>44819.43425925926</v>
      </c>
      <c r="C659" s="1" t="n">
        <v>45934</v>
      </c>
      <c r="D659" t="inlineStr">
        <is>
          <t>DALARNAS LÄN</t>
        </is>
      </c>
      <c r="E659" t="inlineStr">
        <is>
          <t>LUDVIKA</t>
        </is>
      </c>
      <c r="F659" t="inlineStr">
        <is>
          <t>Naturvårdsverket</t>
        </is>
      </c>
      <c r="G659" t="n">
        <v>1</v>
      </c>
      <c r="H659" t="n">
        <v>0</v>
      </c>
      <c r="I659" t="n">
        <v>0</v>
      </c>
      <c r="J659" t="n">
        <v>0</v>
      </c>
      <c r="K659" t="n">
        <v>0</v>
      </c>
      <c r="L659" t="n">
        <v>0</v>
      </c>
      <c r="M659" t="n">
        <v>0</v>
      </c>
      <c r="N659" t="n">
        <v>0</v>
      </c>
      <c r="O659" t="n">
        <v>0</v>
      </c>
      <c r="P659" t="n">
        <v>0</v>
      </c>
      <c r="Q659" t="n">
        <v>0</v>
      </c>
      <c r="R659" s="2" t="inlineStr"/>
    </row>
    <row r="660">
      <c r="A660" t="inlineStr">
        <is>
          <t>A 41866-2025</t>
        </is>
      </c>
      <c r="B660" s="1" t="n">
        <v>45903</v>
      </c>
      <c r="C660" s="1" t="n">
        <v>45934</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2025-10-04T12:40:10Z</dcterms:created>
  <dcterms:modified xmlns:dcterms="http://purl.org/dc/terms/" xmlns:xsi="http://www.w3.org/2001/XMLSchema-instance" xsi:type="dcterms:W3CDTF">2025-10-04T12:40:10Z</dcterms:modified>
</cp:coreProperties>
</file>
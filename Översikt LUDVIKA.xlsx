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45983</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45983</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45983</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45983</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45983</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45983</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45983</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45983</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45983</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45983</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45983</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45983</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45983</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45983</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45983</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53931-2025</t>
        </is>
      </c>
      <c r="B19" s="1" t="n">
        <v>45961</v>
      </c>
      <c r="C19" s="1" t="n">
        <v>45983</v>
      </c>
      <c r="D19" t="inlineStr">
        <is>
          <t>DALARNAS LÄN</t>
        </is>
      </c>
      <c r="E19" t="inlineStr">
        <is>
          <t>LUDVIKA</t>
        </is>
      </c>
      <c r="F19" t="inlineStr">
        <is>
          <t>Bergvik skog väst AB</t>
        </is>
      </c>
      <c r="G19" t="n">
        <v>22.8</v>
      </c>
      <c r="H19" t="n">
        <v>0</v>
      </c>
      <c r="I19" t="n">
        <v>1</v>
      </c>
      <c r="J19" t="n">
        <v>4</v>
      </c>
      <c r="K19" t="n">
        <v>0</v>
      </c>
      <c r="L19" t="n">
        <v>0</v>
      </c>
      <c r="M19" t="n">
        <v>0</v>
      </c>
      <c r="N19" t="n">
        <v>0</v>
      </c>
      <c r="O19" t="n">
        <v>4</v>
      </c>
      <c r="P19" t="n">
        <v>0</v>
      </c>
      <c r="Q19" t="n">
        <v>5</v>
      </c>
      <c r="R19" s="2" t="inlineStr">
        <is>
          <t>Dvärgbägarlav
Garnlav
Kortskaftad ärgspik
Vedskivlav
Nästlav</t>
        </is>
      </c>
      <c r="S19">
        <f>HYPERLINK("https://klasma.github.io/Logging_2085/artfynd/A 53931-2025 artfynd.xlsx", "A 53931-2025")</f>
        <v/>
      </c>
      <c r="T19">
        <f>HYPERLINK("https://klasma.github.io/Logging_2085/kartor/A 53931-2025 karta.png", "A 53931-2025")</f>
        <v/>
      </c>
      <c r="V19">
        <f>HYPERLINK("https://klasma.github.io/Logging_2085/klagomål/A 53931-2025 FSC-klagomål.docx", "A 53931-2025")</f>
        <v/>
      </c>
      <c r="W19">
        <f>HYPERLINK("https://klasma.github.io/Logging_2085/klagomålsmail/A 53931-2025 FSC-klagomål mail.docx", "A 53931-2025")</f>
        <v/>
      </c>
      <c r="X19">
        <f>HYPERLINK("https://klasma.github.io/Logging_2085/tillsyn/A 53931-2025 tillsynsbegäran.docx", "A 53931-2025")</f>
        <v/>
      </c>
      <c r="Y19">
        <f>HYPERLINK("https://klasma.github.io/Logging_2085/tillsynsmail/A 53931-2025 tillsynsbegäran mail.docx", "A 53931-2025")</f>
        <v/>
      </c>
    </row>
    <row r="20" ht="15" customHeight="1">
      <c r="A20" t="inlineStr">
        <is>
          <t>A 34913-2025</t>
        </is>
      </c>
      <c r="B20" s="1" t="n">
        <v>45849.53956018519</v>
      </c>
      <c r="C20" s="1" t="n">
        <v>45983</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53053-2024</t>
        </is>
      </c>
      <c r="B21" s="1" t="n">
        <v>45611.45895833334</v>
      </c>
      <c r="C21" s="1" t="n">
        <v>45983</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45983</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45983</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45983</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45983</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45983</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45983</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45983</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45983</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45983</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45983</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45983</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25448-2024</t>
        </is>
      </c>
      <c r="B33" s="1" t="n">
        <v>45463</v>
      </c>
      <c r="C33" s="1" t="n">
        <v>45983</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25293-2025</t>
        </is>
      </c>
      <c r="B34" s="1" t="n">
        <v>45800</v>
      </c>
      <c r="C34" s="1" t="n">
        <v>45983</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45983</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55406-2025</t>
        </is>
      </c>
      <c r="B36" s="1" t="n">
        <v>45971</v>
      </c>
      <c r="C36" s="1" t="n">
        <v>45983</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49763-2025</t>
        </is>
      </c>
      <c r="B37" s="1" t="n">
        <v>45940</v>
      </c>
      <c r="C37" s="1" t="n">
        <v>45983</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45983</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12093-2023</t>
        </is>
      </c>
      <c r="B39" s="1" t="n">
        <v>44998.36106481482</v>
      </c>
      <c r="C39" s="1" t="n">
        <v>45983</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45983</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45983</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45983</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45983</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45983</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45983</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23085-2025</t>
        </is>
      </c>
      <c r="B46" s="1" t="n">
        <v>45791</v>
      </c>
      <c r="C46" s="1" t="n">
        <v>45983</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45983</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42558-2022</t>
        </is>
      </c>
      <c r="B48" s="1" t="n">
        <v>44831</v>
      </c>
      <c r="C48" s="1" t="n">
        <v>45983</v>
      </c>
      <c r="D48" t="inlineStr">
        <is>
          <t>DALARNAS LÄN</t>
        </is>
      </c>
      <c r="E48" t="inlineStr">
        <is>
          <t>LUDVIKA</t>
        </is>
      </c>
      <c r="F48" t="inlineStr">
        <is>
          <t>Naturvårdsverket</t>
        </is>
      </c>
      <c r="G48" t="n">
        <v>4.9</v>
      </c>
      <c r="H48" t="n">
        <v>0</v>
      </c>
      <c r="I48" t="n">
        <v>0</v>
      </c>
      <c r="J48" t="n">
        <v>0</v>
      </c>
      <c r="K48" t="n">
        <v>1</v>
      </c>
      <c r="L48" t="n">
        <v>0</v>
      </c>
      <c r="M48" t="n">
        <v>0</v>
      </c>
      <c r="N48" t="n">
        <v>0</v>
      </c>
      <c r="O48" t="n">
        <v>1</v>
      </c>
      <c r="P48" t="n">
        <v>1</v>
      </c>
      <c r="Q48" t="n">
        <v>1</v>
      </c>
      <c r="R48" s="2" t="inlineStr">
        <is>
          <t>Gräddporing</t>
        </is>
      </c>
      <c r="S48">
        <f>HYPERLINK("https://klasma.github.io/Logging_2085/artfynd/A 42558-2022 artfynd.xlsx", "A 42558-2022")</f>
        <v/>
      </c>
      <c r="T48">
        <f>HYPERLINK("https://klasma.github.io/Logging_2085/kartor/A 42558-2022 karta.png", "A 42558-2022")</f>
        <v/>
      </c>
      <c r="V48">
        <f>HYPERLINK("https://klasma.github.io/Logging_2085/klagomål/A 42558-2022 FSC-klagomål.docx", "A 42558-2022")</f>
        <v/>
      </c>
      <c r="W48">
        <f>HYPERLINK("https://klasma.github.io/Logging_2085/klagomålsmail/A 42558-2022 FSC-klagomål mail.docx", "A 42558-2022")</f>
        <v/>
      </c>
      <c r="X48">
        <f>HYPERLINK("https://klasma.github.io/Logging_2085/tillsyn/A 42558-2022 tillsynsbegäran.docx", "A 42558-2022")</f>
        <v/>
      </c>
      <c r="Y48">
        <f>HYPERLINK("https://klasma.github.io/Logging_2085/tillsynsmail/A 42558-2022 tillsynsbegäran mail.docx", "A 42558-2022")</f>
        <v/>
      </c>
    </row>
    <row r="49" ht="15" customHeight="1">
      <c r="A49" t="inlineStr">
        <is>
          <t>A 23107-2025</t>
        </is>
      </c>
      <c r="B49" s="1" t="n">
        <v>45791.36149305556</v>
      </c>
      <c r="C49" s="1" t="n">
        <v>45983</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25282-2025</t>
        </is>
      </c>
      <c r="B50" s="1" t="n">
        <v>45800</v>
      </c>
      <c r="C50" s="1" t="n">
        <v>45983</v>
      </c>
      <c r="D50" t="inlineStr">
        <is>
          <t>DALARNAS LÄN</t>
        </is>
      </c>
      <c r="E50" t="inlineStr">
        <is>
          <t>LUDVIKA</t>
        </is>
      </c>
      <c r="F50" t="inlineStr">
        <is>
          <t>Bergvik skog väst AB</t>
        </is>
      </c>
      <c r="G50" t="n">
        <v>4.8</v>
      </c>
      <c r="H50" t="n">
        <v>0</v>
      </c>
      <c r="I50" t="n">
        <v>0</v>
      </c>
      <c r="J50" t="n">
        <v>1</v>
      </c>
      <c r="K50" t="n">
        <v>0</v>
      </c>
      <c r="L50" t="n">
        <v>0</v>
      </c>
      <c r="M50" t="n">
        <v>0</v>
      </c>
      <c r="N50" t="n">
        <v>0</v>
      </c>
      <c r="O50" t="n">
        <v>1</v>
      </c>
      <c r="P50" t="n">
        <v>0</v>
      </c>
      <c r="Q50" t="n">
        <v>1</v>
      </c>
      <c r="R50" s="2" t="inlineStr">
        <is>
          <t>Garnlav</t>
        </is>
      </c>
      <c r="S50">
        <f>HYPERLINK("https://klasma.github.io/Logging_2085/artfynd/A 25282-2025 artfynd.xlsx", "A 25282-2025")</f>
        <v/>
      </c>
      <c r="T50">
        <f>HYPERLINK("https://klasma.github.io/Logging_2085/kartor/A 25282-2025 karta.png", "A 25282-2025")</f>
        <v/>
      </c>
      <c r="V50">
        <f>HYPERLINK("https://klasma.github.io/Logging_2085/klagomål/A 25282-2025 FSC-klagomål.docx", "A 25282-2025")</f>
        <v/>
      </c>
      <c r="W50">
        <f>HYPERLINK("https://klasma.github.io/Logging_2085/klagomålsmail/A 25282-2025 FSC-klagomål mail.docx", "A 25282-2025")</f>
        <v/>
      </c>
      <c r="X50">
        <f>HYPERLINK("https://klasma.github.io/Logging_2085/tillsyn/A 25282-2025 tillsynsbegäran.docx", "A 25282-2025")</f>
        <v/>
      </c>
      <c r="Y50">
        <f>HYPERLINK("https://klasma.github.io/Logging_2085/tillsynsmail/A 25282-2025 tillsynsbegäran mail.docx", "A 25282-2025")</f>
        <v/>
      </c>
    </row>
    <row r="51" ht="15" customHeight="1">
      <c r="A51" t="inlineStr">
        <is>
          <t>A 45225-2024</t>
        </is>
      </c>
      <c r="B51" s="1" t="n">
        <v>45575.77649305556</v>
      </c>
      <c r="C51" s="1" t="n">
        <v>45983</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50170-2025</t>
        </is>
      </c>
      <c r="B52" s="1" t="n">
        <v>45943</v>
      </c>
      <c r="C52" s="1" t="n">
        <v>45983</v>
      </c>
      <c r="D52" t="inlineStr">
        <is>
          <t>DALARNAS LÄN</t>
        </is>
      </c>
      <c r="E52" t="inlineStr">
        <is>
          <t>LUDVIKA</t>
        </is>
      </c>
      <c r="F52" t="inlineStr">
        <is>
          <t>Bergvik skog väst AB</t>
        </is>
      </c>
      <c r="G52" t="n">
        <v>2.5</v>
      </c>
      <c r="H52" t="n">
        <v>0</v>
      </c>
      <c r="I52" t="n">
        <v>1</v>
      </c>
      <c r="J52" t="n">
        <v>0</v>
      </c>
      <c r="K52" t="n">
        <v>0</v>
      </c>
      <c r="L52" t="n">
        <v>0</v>
      </c>
      <c r="M52" t="n">
        <v>0</v>
      </c>
      <c r="N52" t="n">
        <v>0</v>
      </c>
      <c r="O52" t="n">
        <v>0</v>
      </c>
      <c r="P52" t="n">
        <v>0</v>
      </c>
      <c r="Q52" t="n">
        <v>1</v>
      </c>
      <c r="R52" s="2" t="inlineStr">
        <is>
          <t>Gulnål</t>
        </is>
      </c>
      <c r="S52">
        <f>HYPERLINK("https://klasma.github.io/Logging_2085/artfynd/A 50170-2025 artfynd.xlsx", "A 50170-2025")</f>
        <v/>
      </c>
      <c r="T52">
        <f>HYPERLINK("https://klasma.github.io/Logging_2085/kartor/A 50170-2025 karta.png", "A 50170-2025")</f>
        <v/>
      </c>
      <c r="V52">
        <f>HYPERLINK("https://klasma.github.io/Logging_2085/klagomål/A 50170-2025 FSC-klagomål.docx", "A 50170-2025")</f>
        <v/>
      </c>
      <c r="W52">
        <f>HYPERLINK("https://klasma.github.io/Logging_2085/klagomålsmail/A 50170-2025 FSC-klagomål mail.docx", "A 50170-2025")</f>
        <v/>
      </c>
      <c r="X52">
        <f>HYPERLINK("https://klasma.github.io/Logging_2085/tillsyn/A 50170-2025 tillsynsbegäran.docx", "A 50170-2025")</f>
        <v/>
      </c>
      <c r="Y52">
        <f>HYPERLINK("https://klasma.github.io/Logging_2085/tillsynsmail/A 50170-2025 tillsynsbegäran mail.docx", "A 50170-2025")</f>
        <v/>
      </c>
    </row>
    <row r="53" ht="15" customHeight="1">
      <c r="A53" t="inlineStr">
        <is>
          <t>A 55550-2022</t>
        </is>
      </c>
      <c r="B53" s="1" t="n">
        <v>44888</v>
      </c>
      <c r="C53" s="1" t="n">
        <v>45983</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43501-2025</t>
        </is>
      </c>
      <c r="B54" s="1" t="n">
        <v>45911</v>
      </c>
      <c r="C54" s="1" t="n">
        <v>45983</v>
      </c>
      <c r="D54" t="inlineStr">
        <is>
          <t>DALARNAS LÄN</t>
        </is>
      </c>
      <c r="E54" t="inlineStr">
        <is>
          <t>LUDVIKA</t>
        </is>
      </c>
      <c r="F54" t="inlineStr">
        <is>
          <t>Bergvik skog väst AB</t>
        </is>
      </c>
      <c r="G54" t="n">
        <v>4.9</v>
      </c>
      <c r="H54" t="n">
        <v>0</v>
      </c>
      <c r="I54" t="n">
        <v>0</v>
      </c>
      <c r="J54" t="n">
        <v>1</v>
      </c>
      <c r="K54" t="n">
        <v>0</v>
      </c>
      <c r="L54" t="n">
        <v>0</v>
      </c>
      <c r="M54" t="n">
        <v>0</v>
      </c>
      <c r="N54" t="n">
        <v>0</v>
      </c>
      <c r="O54" t="n">
        <v>1</v>
      </c>
      <c r="P54" t="n">
        <v>0</v>
      </c>
      <c r="Q54" t="n">
        <v>1</v>
      </c>
      <c r="R54" s="2" t="inlineStr">
        <is>
          <t>Vedskivlav</t>
        </is>
      </c>
      <c r="S54">
        <f>HYPERLINK("https://klasma.github.io/Logging_2085/artfynd/A 43501-2025 artfynd.xlsx", "A 43501-2025")</f>
        <v/>
      </c>
      <c r="T54">
        <f>HYPERLINK("https://klasma.github.io/Logging_2085/kartor/A 43501-2025 karta.png", "A 43501-2025")</f>
        <v/>
      </c>
      <c r="V54">
        <f>HYPERLINK("https://klasma.github.io/Logging_2085/klagomål/A 43501-2025 FSC-klagomål.docx", "A 43501-2025")</f>
        <v/>
      </c>
      <c r="W54">
        <f>HYPERLINK("https://klasma.github.io/Logging_2085/klagomålsmail/A 43501-2025 FSC-klagomål mail.docx", "A 43501-2025")</f>
        <v/>
      </c>
      <c r="X54">
        <f>HYPERLINK("https://klasma.github.io/Logging_2085/tillsyn/A 43501-2025 tillsynsbegäran.docx", "A 43501-2025")</f>
        <v/>
      </c>
      <c r="Y54">
        <f>HYPERLINK("https://klasma.github.io/Logging_2085/tillsynsmail/A 43501-2025 tillsynsbegäran mail.docx", "A 43501-2025")</f>
        <v/>
      </c>
    </row>
    <row r="55" ht="15" customHeight="1">
      <c r="A55" t="inlineStr">
        <is>
          <t>A 36050-2025</t>
        </is>
      </c>
      <c r="B55" s="1" t="n">
        <v>45866</v>
      </c>
      <c r="C55" s="1" t="n">
        <v>45983</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11705-2024</t>
        </is>
      </c>
      <c r="B56" s="1" t="n">
        <v>45373.61137731482</v>
      </c>
      <c r="C56" s="1" t="n">
        <v>45983</v>
      </c>
      <c r="D56" t="inlineStr">
        <is>
          <t>DALARNAS LÄN</t>
        </is>
      </c>
      <c r="E56" t="inlineStr">
        <is>
          <t>LUDVIKA</t>
        </is>
      </c>
      <c r="G56" t="n">
        <v>35.4</v>
      </c>
      <c r="H56" t="n">
        <v>0</v>
      </c>
      <c r="I56" t="n">
        <v>0</v>
      </c>
      <c r="J56" t="n">
        <v>1</v>
      </c>
      <c r="K56" t="n">
        <v>0</v>
      </c>
      <c r="L56" t="n">
        <v>0</v>
      </c>
      <c r="M56" t="n">
        <v>0</v>
      </c>
      <c r="N56" t="n">
        <v>0</v>
      </c>
      <c r="O56" t="n">
        <v>1</v>
      </c>
      <c r="P56" t="n">
        <v>0</v>
      </c>
      <c r="Q56" t="n">
        <v>1</v>
      </c>
      <c r="R56" s="2" t="inlineStr">
        <is>
          <t>Brunpudrad nållav</t>
        </is>
      </c>
      <c r="S56">
        <f>HYPERLINK("https://klasma.github.io/Logging_2085/artfynd/A 11705-2024 artfynd.xlsx", "A 11705-2024")</f>
        <v/>
      </c>
      <c r="T56">
        <f>HYPERLINK("https://klasma.github.io/Logging_2085/kartor/A 11705-2024 karta.png", "A 11705-2024")</f>
        <v/>
      </c>
      <c r="V56">
        <f>HYPERLINK("https://klasma.github.io/Logging_2085/klagomål/A 11705-2024 FSC-klagomål.docx", "A 11705-2024")</f>
        <v/>
      </c>
      <c r="W56">
        <f>HYPERLINK("https://klasma.github.io/Logging_2085/klagomålsmail/A 11705-2024 FSC-klagomål mail.docx", "A 11705-2024")</f>
        <v/>
      </c>
      <c r="X56">
        <f>HYPERLINK("https://klasma.github.io/Logging_2085/tillsyn/A 11705-2024 tillsynsbegäran.docx", "A 11705-2024")</f>
        <v/>
      </c>
      <c r="Y56">
        <f>HYPERLINK("https://klasma.github.io/Logging_2085/tillsynsmail/A 11705-2024 tillsynsbegäran mail.docx", "A 11705-2024")</f>
        <v/>
      </c>
    </row>
    <row r="57" ht="15" customHeight="1">
      <c r="A57" t="inlineStr">
        <is>
          <t>A 26850-2023</t>
        </is>
      </c>
      <c r="B57" s="1" t="n">
        <v>45093</v>
      </c>
      <c r="C57" s="1" t="n">
        <v>45983</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29733-2025</t>
        </is>
      </c>
      <c r="B58" s="1" t="n">
        <v>45825</v>
      </c>
      <c r="C58" s="1" t="n">
        <v>45983</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45983</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46912-2025</t>
        </is>
      </c>
      <c r="B60" s="1" t="n">
        <v>45929</v>
      </c>
      <c r="C60" s="1" t="n">
        <v>45983</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74401-2021</t>
        </is>
      </c>
      <c r="B61" s="1" t="n">
        <v>44560</v>
      </c>
      <c r="C61" s="1" t="n">
        <v>45983</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44578-2023</t>
        </is>
      </c>
      <c r="B62" s="1" t="n">
        <v>45189</v>
      </c>
      <c r="C62" s="1" t="n">
        <v>45983</v>
      </c>
      <c r="D62" t="inlineStr">
        <is>
          <t>DALARNAS LÄN</t>
        </is>
      </c>
      <c r="E62" t="inlineStr">
        <is>
          <t>LUDVIKA</t>
        </is>
      </c>
      <c r="F62" t="inlineStr">
        <is>
          <t>Övriga Aktiebolag</t>
        </is>
      </c>
      <c r="G62" t="n">
        <v>12</v>
      </c>
      <c r="H62" t="n">
        <v>0</v>
      </c>
      <c r="I62" t="n">
        <v>0</v>
      </c>
      <c r="J62" t="n">
        <v>1</v>
      </c>
      <c r="K62" t="n">
        <v>0</v>
      </c>
      <c r="L62" t="n">
        <v>0</v>
      </c>
      <c r="M62" t="n">
        <v>0</v>
      </c>
      <c r="N62" t="n">
        <v>0</v>
      </c>
      <c r="O62" t="n">
        <v>1</v>
      </c>
      <c r="P62" t="n">
        <v>0</v>
      </c>
      <c r="Q62" t="n">
        <v>1</v>
      </c>
      <c r="R62" s="2" t="inlineStr">
        <is>
          <t>Dofttaggsvamp</t>
        </is>
      </c>
      <c r="S62">
        <f>HYPERLINK("https://klasma.github.io/Logging_2085/artfynd/A 44578-2023 artfynd.xlsx", "A 44578-2023")</f>
        <v/>
      </c>
      <c r="T62">
        <f>HYPERLINK("https://klasma.github.io/Logging_2085/kartor/A 44578-2023 karta.png", "A 44578-2023")</f>
        <v/>
      </c>
      <c r="V62">
        <f>HYPERLINK("https://klasma.github.io/Logging_2085/klagomål/A 44578-2023 FSC-klagomål.docx", "A 44578-2023")</f>
        <v/>
      </c>
      <c r="W62">
        <f>HYPERLINK("https://klasma.github.io/Logging_2085/klagomålsmail/A 44578-2023 FSC-klagomål mail.docx", "A 44578-2023")</f>
        <v/>
      </c>
      <c r="X62">
        <f>HYPERLINK("https://klasma.github.io/Logging_2085/tillsyn/A 44578-2023 tillsynsbegäran.docx", "A 44578-2023")</f>
        <v/>
      </c>
      <c r="Y62">
        <f>HYPERLINK("https://klasma.github.io/Logging_2085/tillsynsmail/A 44578-2023 tillsynsbegäran mail.docx", "A 44578-2023")</f>
        <v/>
      </c>
    </row>
    <row r="63" ht="15" customHeight="1">
      <c r="A63" t="inlineStr">
        <is>
          <t>A 56179-2025</t>
        </is>
      </c>
      <c r="B63" s="1" t="n">
        <v>45974</v>
      </c>
      <c r="C63" s="1" t="n">
        <v>45983</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50454-2025</t>
        </is>
      </c>
      <c r="B64" s="1" t="n">
        <v>45945</v>
      </c>
      <c r="C64" s="1" t="n">
        <v>45983</v>
      </c>
      <c r="D64" t="inlineStr">
        <is>
          <t>DALARNAS LÄN</t>
        </is>
      </c>
      <c r="E64" t="inlineStr">
        <is>
          <t>LUDVIKA</t>
        </is>
      </c>
      <c r="F64" t="inlineStr">
        <is>
          <t>Bergvik skog väst AB</t>
        </is>
      </c>
      <c r="G64" t="n">
        <v>3.3</v>
      </c>
      <c r="H64" t="n">
        <v>0</v>
      </c>
      <c r="I64" t="n">
        <v>0</v>
      </c>
      <c r="J64" t="n">
        <v>1</v>
      </c>
      <c r="K64" t="n">
        <v>0</v>
      </c>
      <c r="L64" t="n">
        <v>0</v>
      </c>
      <c r="M64" t="n">
        <v>0</v>
      </c>
      <c r="N64" t="n">
        <v>0</v>
      </c>
      <c r="O64" t="n">
        <v>1</v>
      </c>
      <c r="P64" t="n">
        <v>0</v>
      </c>
      <c r="Q64" t="n">
        <v>1</v>
      </c>
      <c r="R64" s="2" t="inlineStr">
        <is>
          <t>Brunpudrad nållav</t>
        </is>
      </c>
      <c r="S64">
        <f>HYPERLINK("https://klasma.github.io/Logging_2085/artfynd/A 50454-2025 artfynd.xlsx", "A 50454-2025")</f>
        <v/>
      </c>
      <c r="T64">
        <f>HYPERLINK("https://klasma.github.io/Logging_2085/kartor/A 50454-2025 karta.png", "A 50454-2025")</f>
        <v/>
      </c>
      <c r="V64">
        <f>HYPERLINK("https://klasma.github.io/Logging_2085/klagomål/A 50454-2025 FSC-klagomål.docx", "A 50454-2025")</f>
        <v/>
      </c>
      <c r="W64">
        <f>HYPERLINK("https://klasma.github.io/Logging_2085/klagomålsmail/A 50454-2025 FSC-klagomål mail.docx", "A 50454-2025")</f>
        <v/>
      </c>
      <c r="X64">
        <f>HYPERLINK("https://klasma.github.io/Logging_2085/tillsyn/A 50454-2025 tillsynsbegäran.docx", "A 50454-2025")</f>
        <v/>
      </c>
      <c r="Y64">
        <f>HYPERLINK("https://klasma.github.io/Logging_2085/tillsynsmail/A 50454-2025 tillsynsbegäran mail.docx", "A 50454-2025")</f>
        <v/>
      </c>
    </row>
    <row r="65" ht="15" customHeight="1">
      <c r="A65" t="inlineStr">
        <is>
          <t>A 17987-2025</t>
        </is>
      </c>
      <c r="B65" s="1" t="n">
        <v>45761.39600694444</v>
      </c>
      <c r="C65" s="1" t="n">
        <v>45983</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25588-2023</t>
        </is>
      </c>
      <c r="B66" s="1" t="n">
        <v>45089</v>
      </c>
      <c r="C66" s="1" t="n">
        <v>45983</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29144-2023</t>
        </is>
      </c>
      <c r="B67" s="1" t="n">
        <v>45105</v>
      </c>
      <c r="C67" s="1" t="n">
        <v>45983</v>
      </c>
      <c r="D67" t="inlineStr">
        <is>
          <t>DALARNAS LÄN</t>
        </is>
      </c>
      <c r="E67" t="inlineStr">
        <is>
          <t>LUDVIKA</t>
        </is>
      </c>
      <c r="F67" t="inlineStr">
        <is>
          <t>Allmännings- och besparingsskogar</t>
        </is>
      </c>
      <c r="G67" t="n">
        <v>6.2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33155-2024</t>
        </is>
      </c>
      <c r="B68" s="1" t="n">
        <v>45518.38504629629</v>
      </c>
      <c r="C68" s="1" t="n">
        <v>45983</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21499-2022</t>
        </is>
      </c>
      <c r="B69" s="1" t="n">
        <v>44706</v>
      </c>
      <c r="C69" s="1" t="n">
        <v>45983</v>
      </c>
      <c r="D69" t="inlineStr">
        <is>
          <t>DALARNAS LÄN</t>
        </is>
      </c>
      <c r="E69" t="inlineStr">
        <is>
          <t>LUDVIKA</t>
        </is>
      </c>
      <c r="G69" t="n">
        <v>4.3</v>
      </c>
      <c r="H69" t="n">
        <v>0</v>
      </c>
      <c r="I69" t="n">
        <v>1</v>
      </c>
      <c r="J69" t="n">
        <v>0</v>
      </c>
      <c r="K69" t="n">
        <v>0</v>
      </c>
      <c r="L69" t="n">
        <v>0</v>
      </c>
      <c r="M69" t="n">
        <v>0</v>
      </c>
      <c r="N69" t="n">
        <v>0</v>
      </c>
      <c r="O69" t="n">
        <v>0</v>
      </c>
      <c r="P69" t="n">
        <v>0</v>
      </c>
      <c r="Q69" t="n">
        <v>1</v>
      </c>
      <c r="R69" s="2" t="inlineStr">
        <is>
          <t>Strimspindling</t>
        </is>
      </c>
      <c r="S69">
        <f>HYPERLINK("https://klasma.github.io/Logging_2085/artfynd/A 21499-2022 artfynd.xlsx", "A 21499-2022")</f>
        <v/>
      </c>
      <c r="T69">
        <f>HYPERLINK("https://klasma.github.io/Logging_2085/kartor/A 21499-2022 karta.png", "A 21499-2022")</f>
        <v/>
      </c>
      <c r="V69">
        <f>HYPERLINK("https://klasma.github.io/Logging_2085/klagomål/A 21499-2022 FSC-klagomål.docx", "A 21499-2022")</f>
        <v/>
      </c>
      <c r="W69">
        <f>HYPERLINK("https://klasma.github.io/Logging_2085/klagomålsmail/A 21499-2022 FSC-klagomål mail.docx", "A 21499-2022")</f>
        <v/>
      </c>
      <c r="X69">
        <f>HYPERLINK("https://klasma.github.io/Logging_2085/tillsyn/A 21499-2022 tillsynsbegäran.docx", "A 21499-2022")</f>
        <v/>
      </c>
      <c r="Y69">
        <f>HYPERLINK("https://klasma.github.io/Logging_2085/tillsynsmail/A 21499-2022 tillsynsbegäran mail.docx", "A 21499-2022")</f>
        <v/>
      </c>
    </row>
    <row r="70" ht="15" customHeight="1">
      <c r="A70" t="inlineStr">
        <is>
          <t>A 3809-2024</t>
        </is>
      </c>
      <c r="B70" s="1" t="n">
        <v>45321</v>
      </c>
      <c r="C70" s="1" t="n">
        <v>45983</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45983</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49660-2024</t>
        </is>
      </c>
      <c r="B72" s="1" t="n">
        <v>45596.63347222222</v>
      </c>
      <c r="C72" s="1" t="n">
        <v>45983</v>
      </c>
      <c r="D72" t="inlineStr">
        <is>
          <t>DALARNAS LÄN</t>
        </is>
      </c>
      <c r="E72" t="inlineStr">
        <is>
          <t>LUDVIKA</t>
        </is>
      </c>
      <c r="F72" t="inlineStr">
        <is>
          <t>Bergvik skog väst AB</t>
        </is>
      </c>
      <c r="G72" t="n">
        <v>0.9</v>
      </c>
      <c r="H72" t="n">
        <v>0</v>
      </c>
      <c r="I72" t="n">
        <v>1</v>
      </c>
      <c r="J72" t="n">
        <v>0</v>
      </c>
      <c r="K72" t="n">
        <v>0</v>
      </c>
      <c r="L72" t="n">
        <v>0</v>
      </c>
      <c r="M72" t="n">
        <v>0</v>
      </c>
      <c r="N72" t="n">
        <v>0</v>
      </c>
      <c r="O72" t="n">
        <v>0</v>
      </c>
      <c r="P72" t="n">
        <v>0</v>
      </c>
      <c r="Q72" t="n">
        <v>1</v>
      </c>
      <c r="R72" s="2" t="inlineStr">
        <is>
          <t>Mörk husmossa</t>
        </is>
      </c>
      <c r="S72">
        <f>HYPERLINK("https://klasma.github.io/Logging_2085/artfynd/A 49660-2024 artfynd.xlsx", "A 49660-2024")</f>
        <v/>
      </c>
      <c r="T72">
        <f>HYPERLINK("https://klasma.github.io/Logging_2085/kartor/A 49660-2024 karta.png", "A 49660-2024")</f>
        <v/>
      </c>
      <c r="V72">
        <f>HYPERLINK("https://klasma.github.io/Logging_2085/klagomål/A 49660-2024 FSC-klagomål.docx", "A 49660-2024")</f>
        <v/>
      </c>
      <c r="W72">
        <f>HYPERLINK("https://klasma.github.io/Logging_2085/klagomålsmail/A 49660-2024 FSC-klagomål mail.docx", "A 49660-2024")</f>
        <v/>
      </c>
      <c r="X72">
        <f>HYPERLINK("https://klasma.github.io/Logging_2085/tillsyn/A 49660-2024 tillsynsbegäran.docx", "A 49660-2024")</f>
        <v/>
      </c>
      <c r="Y72">
        <f>HYPERLINK("https://klasma.github.io/Logging_2085/tillsynsmail/A 49660-2024 tillsynsbegäran mail.docx", "A 49660-2024")</f>
        <v/>
      </c>
    </row>
    <row r="73" ht="15" customHeight="1">
      <c r="A73" t="inlineStr">
        <is>
          <t>A 37639-2024</t>
        </is>
      </c>
      <c r="B73" s="1" t="n">
        <v>45541.54527777778</v>
      </c>
      <c r="C73" s="1" t="n">
        <v>45983</v>
      </c>
      <c r="D73" t="inlineStr">
        <is>
          <t>DALARNAS LÄN</t>
        </is>
      </c>
      <c r="E73" t="inlineStr">
        <is>
          <t>LUDVIKA</t>
        </is>
      </c>
      <c r="F73" t="inlineStr">
        <is>
          <t>Bergvik skog väst AB</t>
        </is>
      </c>
      <c r="G73" t="n">
        <v>1.6</v>
      </c>
      <c r="H73" t="n">
        <v>0</v>
      </c>
      <c r="I73" t="n">
        <v>1</v>
      </c>
      <c r="J73" t="n">
        <v>0</v>
      </c>
      <c r="K73" t="n">
        <v>0</v>
      </c>
      <c r="L73" t="n">
        <v>0</v>
      </c>
      <c r="M73" t="n">
        <v>0</v>
      </c>
      <c r="N73" t="n">
        <v>0</v>
      </c>
      <c r="O73" t="n">
        <v>0</v>
      </c>
      <c r="P73" t="n">
        <v>0</v>
      </c>
      <c r="Q73" t="n">
        <v>1</v>
      </c>
      <c r="R73" s="2" t="inlineStr">
        <is>
          <t>Gulnål</t>
        </is>
      </c>
      <c r="S73">
        <f>HYPERLINK("https://klasma.github.io/Logging_2085/artfynd/A 37639-2024 artfynd.xlsx", "A 37639-2024")</f>
        <v/>
      </c>
      <c r="T73">
        <f>HYPERLINK("https://klasma.github.io/Logging_2085/kartor/A 37639-2024 karta.png", "A 37639-2024")</f>
        <v/>
      </c>
      <c r="V73">
        <f>HYPERLINK("https://klasma.github.io/Logging_2085/klagomål/A 37639-2024 FSC-klagomål.docx", "A 37639-2024")</f>
        <v/>
      </c>
      <c r="W73">
        <f>HYPERLINK("https://klasma.github.io/Logging_2085/klagomålsmail/A 37639-2024 FSC-klagomål mail.docx", "A 37639-2024")</f>
        <v/>
      </c>
      <c r="X73">
        <f>HYPERLINK("https://klasma.github.io/Logging_2085/tillsyn/A 37639-2024 tillsynsbegäran.docx", "A 37639-2024")</f>
        <v/>
      </c>
      <c r="Y73">
        <f>HYPERLINK("https://klasma.github.io/Logging_2085/tillsynsmail/A 37639-2024 tillsynsbegäran mail.docx", "A 37639-2024")</f>
        <v/>
      </c>
    </row>
    <row r="74" ht="15" customHeight="1">
      <c r="A74" t="inlineStr">
        <is>
          <t>A 17959-2025</t>
        </is>
      </c>
      <c r="B74" s="1" t="n">
        <v>45761</v>
      </c>
      <c r="C74" s="1" t="n">
        <v>45983</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45983</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45983</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18025-2021</t>
        </is>
      </c>
      <c r="B77" s="1" t="n">
        <v>44302</v>
      </c>
      <c r="C77" s="1" t="n">
        <v>45983</v>
      </c>
      <c r="D77" t="inlineStr">
        <is>
          <t>DALARNAS LÄN</t>
        </is>
      </c>
      <c r="E77" t="inlineStr">
        <is>
          <t>LUDVIKA</t>
        </is>
      </c>
      <c r="G77" t="n">
        <v>0.8</v>
      </c>
      <c r="H77" t="n">
        <v>0</v>
      </c>
      <c r="I77" t="n">
        <v>0</v>
      </c>
      <c r="J77" t="n">
        <v>0</v>
      </c>
      <c r="K77" t="n">
        <v>0</v>
      </c>
      <c r="L77" t="n">
        <v>0</v>
      </c>
      <c r="M77" t="n">
        <v>0</v>
      </c>
      <c r="N77" t="n">
        <v>0</v>
      </c>
      <c r="O77" t="n">
        <v>0</v>
      </c>
      <c r="P77" t="n">
        <v>0</v>
      </c>
      <c r="Q77" t="n">
        <v>0</v>
      </c>
      <c r="R77" s="2" t="inlineStr"/>
    </row>
    <row r="78" ht="15" customHeight="1">
      <c r="A78" t="inlineStr">
        <is>
          <t>A 15020-2021</t>
        </is>
      </c>
      <c r="B78" s="1" t="n">
        <v>44281.58608796296</v>
      </c>
      <c r="C78" s="1" t="n">
        <v>45983</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45983</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45983</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45983</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45983</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45983</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45983</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45983</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45983</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45983</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45983</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45983</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45983</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45983</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45983</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45983</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45983</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45983</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45983</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45983</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45983</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45983</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45983</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45983</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45983</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45983</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45983</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45983</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45983</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45983</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45983</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45983</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45983</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45983</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33416-2021</t>
        </is>
      </c>
      <c r="B112" s="1" t="n">
        <v>44377</v>
      </c>
      <c r="C112" s="1" t="n">
        <v>45983</v>
      </c>
      <c r="D112" t="inlineStr">
        <is>
          <t>DALARNAS LÄN</t>
        </is>
      </c>
      <c r="E112" t="inlineStr">
        <is>
          <t>LUDVIKA</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63799-2020</t>
        </is>
      </c>
      <c r="B113" s="1" t="n">
        <v>44165</v>
      </c>
      <c r="C113" s="1" t="n">
        <v>45983</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45983</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45983</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45983</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45983</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45983</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45983</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45983</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45983</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45983</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45983</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45983</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45983</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45983</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45983</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45983</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35731-2021</t>
        </is>
      </c>
      <c r="B129" s="1" t="n">
        <v>44386</v>
      </c>
      <c r="C129" s="1" t="n">
        <v>45983</v>
      </c>
      <c r="D129" t="inlineStr">
        <is>
          <t>DALARNAS LÄN</t>
        </is>
      </c>
      <c r="E129" t="inlineStr">
        <is>
          <t>LUDVIKA</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45983</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7073-2021</t>
        </is>
      </c>
      <c r="B131" s="1" t="n">
        <v>44237</v>
      </c>
      <c r="C131" s="1" t="n">
        <v>45983</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57002-2021</t>
        </is>
      </c>
      <c r="B132" s="1" t="n">
        <v>44482.46922453704</v>
      </c>
      <c r="C132" s="1" t="n">
        <v>45983</v>
      </c>
      <c r="D132" t="inlineStr">
        <is>
          <t>DALARNAS LÄN</t>
        </is>
      </c>
      <c r="E132" t="inlineStr">
        <is>
          <t>LUDVIKA</t>
        </is>
      </c>
      <c r="G132" t="n">
        <v>3.5</v>
      </c>
      <c r="H132" t="n">
        <v>0</v>
      </c>
      <c r="I132" t="n">
        <v>0</v>
      </c>
      <c r="J132" t="n">
        <v>0</v>
      </c>
      <c r="K132" t="n">
        <v>0</v>
      </c>
      <c r="L132" t="n">
        <v>0</v>
      </c>
      <c r="M132" t="n">
        <v>0</v>
      </c>
      <c r="N132" t="n">
        <v>0</v>
      </c>
      <c r="O132" t="n">
        <v>0</v>
      </c>
      <c r="P132" t="n">
        <v>0</v>
      </c>
      <c r="Q132" t="n">
        <v>0</v>
      </c>
      <c r="R132" s="2" t="inlineStr"/>
    </row>
    <row r="133" ht="15" customHeight="1">
      <c r="A133" t="inlineStr">
        <is>
          <t>A 63267-2021</t>
        </is>
      </c>
      <c r="B133" s="1" t="n">
        <v>44508</v>
      </c>
      <c r="C133" s="1" t="n">
        <v>45983</v>
      </c>
      <c r="D133" t="inlineStr">
        <is>
          <t>DALARNAS LÄN</t>
        </is>
      </c>
      <c r="E133" t="inlineStr">
        <is>
          <t>LUDVIKA</t>
        </is>
      </c>
      <c r="F133" t="inlineStr">
        <is>
          <t>Bergvik skog väst AB</t>
        </is>
      </c>
      <c r="G133" t="n">
        <v>0.2</v>
      </c>
      <c r="H133" t="n">
        <v>0</v>
      </c>
      <c r="I133" t="n">
        <v>0</v>
      </c>
      <c r="J133" t="n">
        <v>0</v>
      </c>
      <c r="K133" t="n">
        <v>0</v>
      </c>
      <c r="L133" t="n">
        <v>0</v>
      </c>
      <c r="M133" t="n">
        <v>0</v>
      </c>
      <c r="N133" t="n">
        <v>0</v>
      </c>
      <c r="O133" t="n">
        <v>0</v>
      </c>
      <c r="P133" t="n">
        <v>0</v>
      </c>
      <c r="Q133" t="n">
        <v>0</v>
      </c>
      <c r="R133" s="2" t="inlineStr"/>
    </row>
    <row r="134" ht="15" customHeight="1">
      <c r="A134" t="inlineStr">
        <is>
          <t>A 54279-2021</t>
        </is>
      </c>
      <c r="B134" s="1" t="n">
        <v>44470</v>
      </c>
      <c r="C134" s="1" t="n">
        <v>45983</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45983</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45983</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45983</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45983</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45983</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15939-2024</t>
        </is>
      </c>
      <c r="B140" s="1" t="n">
        <v>45405</v>
      </c>
      <c r="C140" s="1" t="n">
        <v>45983</v>
      </c>
      <c r="D140" t="inlineStr">
        <is>
          <t>DALARNAS LÄN</t>
        </is>
      </c>
      <c r="E140" t="inlineStr">
        <is>
          <t>LUDVIKA</t>
        </is>
      </c>
      <c r="G140" t="n">
        <v>1.3</v>
      </c>
      <c r="H140" t="n">
        <v>0</v>
      </c>
      <c r="I140" t="n">
        <v>0</v>
      </c>
      <c r="J140" t="n">
        <v>0</v>
      </c>
      <c r="K140" t="n">
        <v>0</v>
      </c>
      <c r="L140" t="n">
        <v>0</v>
      </c>
      <c r="M140" t="n">
        <v>0</v>
      </c>
      <c r="N140" t="n">
        <v>0</v>
      </c>
      <c r="O140" t="n">
        <v>0</v>
      </c>
      <c r="P140" t="n">
        <v>0</v>
      </c>
      <c r="Q140" t="n">
        <v>0</v>
      </c>
      <c r="R140" s="2" t="inlineStr"/>
      <c r="U140">
        <f>HYPERLINK("https://klasma.github.io/Logging_2085/knärot/A 15939-2024 karta knärot.png", "A 15939-2024")</f>
        <v/>
      </c>
      <c r="V140">
        <f>HYPERLINK("https://klasma.github.io/Logging_2085/klagomål/A 15939-2024 FSC-klagomål.docx", "A 15939-2024")</f>
        <v/>
      </c>
      <c r="W140">
        <f>HYPERLINK("https://klasma.github.io/Logging_2085/klagomålsmail/A 15939-2024 FSC-klagomål mail.docx", "A 15939-2024")</f>
        <v/>
      </c>
      <c r="X140">
        <f>HYPERLINK("https://klasma.github.io/Logging_2085/tillsyn/A 15939-2024 tillsynsbegäran.docx", "A 15939-2024")</f>
        <v/>
      </c>
      <c r="Y140">
        <f>HYPERLINK("https://klasma.github.io/Logging_2085/tillsynsmail/A 15939-2024 tillsynsbegäran mail.docx", "A 15939-2024")</f>
        <v/>
      </c>
    </row>
    <row r="141" ht="15" customHeight="1">
      <c r="A141" t="inlineStr">
        <is>
          <t>A 41090-2022</t>
        </is>
      </c>
      <c r="B141" s="1" t="n">
        <v>44825.64709490741</v>
      </c>
      <c r="C141" s="1" t="n">
        <v>45983</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47366-2023</t>
        </is>
      </c>
      <c r="B142" s="1" t="n">
        <v>45202.59850694444</v>
      </c>
      <c r="C142" s="1" t="n">
        <v>45983</v>
      </c>
      <c r="D142" t="inlineStr">
        <is>
          <t>DALARNAS LÄN</t>
        </is>
      </c>
      <c r="E142" t="inlineStr">
        <is>
          <t>LUDVIKA</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5841-2024</t>
        </is>
      </c>
      <c r="B143" s="1" t="n">
        <v>45335.60587962963</v>
      </c>
      <c r="C143" s="1" t="n">
        <v>45983</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22555-2023</t>
        </is>
      </c>
      <c r="B144" s="1" t="n">
        <v>45071.44364583334</v>
      </c>
      <c r="C144" s="1" t="n">
        <v>45983</v>
      </c>
      <c r="D144" t="inlineStr">
        <is>
          <t>DALARNAS LÄN</t>
        </is>
      </c>
      <c r="E144" t="inlineStr">
        <is>
          <t>LUDVIKA</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34845-2024</t>
        </is>
      </c>
      <c r="B145" s="1" t="n">
        <v>45526</v>
      </c>
      <c r="C145" s="1" t="n">
        <v>45983</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41158-2022</t>
        </is>
      </c>
      <c r="B146" s="1" t="n">
        <v>44825.88506944444</v>
      </c>
      <c r="C146" s="1" t="n">
        <v>45983</v>
      </c>
      <c r="D146" t="inlineStr">
        <is>
          <t>DALARNAS LÄN</t>
        </is>
      </c>
      <c r="E146" t="inlineStr">
        <is>
          <t>LUDVIKA</t>
        </is>
      </c>
      <c r="G146" t="n">
        <v>2.1</v>
      </c>
      <c r="H146" t="n">
        <v>0</v>
      </c>
      <c r="I146" t="n">
        <v>0</v>
      </c>
      <c r="J146" t="n">
        <v>0</v>
      </c>
      <c r="K146" t="n">
        <v>0</v>
      </c>
      <c r="L146" t="n">
        <v>0</v>
      </c>
      <c r="M146" t="n">
        <v>0</v>
      </c>
      <c r="N146" t="n">
        <v>0</v>
      </c>
      <c r="O146" t="n">
        <v>0</v>
      </c>
      <c r="P146" t="n">
        <v>0</v>
      </c>
      <c r="Q146" t="n">
        <v>0</v>
      </c>
      <c r="R146" s="2" t="inlineStr"/>
    </row>
    <row r="147" ht="15" customHeight="1">
      <c r="A147" t="inlineStr">
        <is>
          <t>A 41400-2022</t>
        </is>
      </c>
      <c r="B147" s="1" t="n">
        <v>44826</v>
      </c>
      <c r="C147" s="1" t="n">
        <v>45983</v>
      </c>
      <c r="D147" t="inlineStr">
        <is>
          <t>DALARNAS LÄN</t>
        </is>
      </c>
      <c r="E147" t="inlineStr">
        <is>
          <t>LUDVIKA</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48715-2022</t>
        </is>
      </c>
      <c r="B148" s="1" t="n">
        <v>44859.49887731481</v>
      </c>
      <c r="C148" s="1" t="n">
        <v>45983</v>
      </c>
      <c r="D148" t="inlineStr">
        <is>
          <t>DALARNAS LÄN</t>
        </is>
      </c>
      <c r="E148" t="inlineStr">
        <is>
          <t>LUDVIKA</t>
        </is>
      </c>
      <c r="F148" t="inlineStr">
        <is>
          <t>Naturvårdsverket</t>
        </is>
      </c>
      <c r="G148" t="n">
        <v>1.2</v>
      </c>
      <c r="H148" t="n">
        <v>0</v>
      </c>
      <c r="I148" t="n">
        <v>0</v>
      </c>
      <c r="J148" t="n">
        <v>0</v>
      </c>
      <c r="K148" t="n">
        <v>0</v>
      </c>
      <c r="L148" t="n">
        <v>0</v>
      </c>
      <c r="M148" t="n">
        <v>0</v>
      </c>
      <c r="N148" t="n">
        <v>0</v>
      </c>
      <c r="O148" t="n">
        <v>0</v>
      </c>
      <c r="P148" t="n">
        <v>0</v>
      </c>
      <c r="Q148" t="n">
        <v>0</v>
      </c>
      <c r="R148" s="2" t="inlineStr"/>
    </row>
    <row r="149" ht="15" customHeight="1">
      <c r="A149" t="inlineStr">
        <is>
          <t>A 11436-2024</t>
        </is>
      </c>
      <c r="B149" s="1" t="n">
        <v>45372.5358912037</v>
      </c>
      <c r="C149" s="1" t="n">
        <v>45983</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45983</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15100-2024</t>
        </is>
      </c>
      <c r="B151" s="1" t="n">
        <v>45399.66118055556</v>
      </c>
      <c r="C151" s="1" t="n">
        <v>45983</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52868-2023</t>
        </is>
      </c>
      <c r="B152" s="1" t="n">
        <v>45226.4590625</v>
      </c>
      <c r="C152" s="1" t="n">
        <v>45983</v>
      </c>
      <c r="D152" t="inlineStr">
        <is>
          <t>DALARNAS LÄN</t>
        </is>
      </c>
      <c r="E152" t="inlineStr">
        <is>
          <t>LUDVIKA</t>
        </is>
      </c>
      <c r="F152" t="inlineStr">
        <is>
          <t>Bergvik skog väst AB</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42421-2024</t>
        </is>
      </c>
      <c r="B153" s="1" t="n">
        <v>45565.38796296297</v>
      </c>
      <c r="C153" s="1" t="n">
        <v>45983</v>
      </c>
      <c r="D153" t="inlineStr">
        <is>
          <t>DALARNAS LÄN</t>
        </is>
      </c>
      <c r="E153" t="inlineStr">
        <is>
          <t>LUDVIKA</t>
        </is>
      </c>
      <c r="G153" t="n">
        <v>5.3</v>
      </c>
      <c r="H153" t="n">
        <v>0</v>
      </c>
      <c r="I153" t="n">
        <v>0</v>
      </c>
      <c r="J153" t="n">
        <v>0</v>
      </c>
      <c r="K153" t="n">
        <v>0</v>
      </c>
      <c r="L153" t="n">
        <v>0</v>
      </c>
      <c r="M153" t="n">
        <v>0</v>
      </c>
      <c r="N153" t="n">
        <v>0</v>
      </c>
      <c r="O153" t="n">
        <v>0</v>
      </c>
      <c r="P153" t="n">
        <v>0</v>
      </c>
      <c r="Q153" t="n">
        <v>0</v>
      </c>
      <c r="R153" s="2" t="inlineStr"/>
    </row>
    <row r="154" ht="15" customHeight="1">
      <c r="A154" t="inlineStr">
        <is>
          <t>A 24712-2024</t>
        </is>
      </c>
      <c r="B154" s="1" t="n">
        <v>45460.62337962963</v>
      </c>
      <c r="C154" s="1" t="n">
        <v>45983</v>
      </c>
      <c r="D154" t="inlineStr">
        <is>
          <t>DALARNAS LÄN</t>
        </is>
      </c>
      <c r="E154" t="inlineStr">
        <is>
          <t>LUDVIKA</t>
        </is>
      </c>
      <c r="G154" t="n">
        <v>4.2</v>
      </c>
      <c r="H154" t="n">
        <v>0</v>
      </c>
      <c r="I154" t="n">
        <v>0</v>
      </c>
      <c r="J154" t="n">
        <v>0</v>
      </c>
      <c r="K154" t="n">
        <v>0</v>
      </c>
      <c r="L154" t="n">
        <v>0</v>
      </c>
      <c r="M154" t="n">
        <v>0</v>
      </c>
      <c r="N154" t="n">
        <v>0</v>
      </c>
      <c r="O154" t="n">
        <v>0</v>
      </c>
      <c r="P154" t="n">
        <v>0</v>
      </c>
      <c r="Q154" t="n">
        <v>0</v>
      </c>
      <c r="R154" s="2" t="inlineStr"/>
    </row>
    <row r="155" ht="15" customHeight="1">
      <c r="A155" t="inlineStr">
        <is>
          <t>A 53602-2023</t>
        </is>
      </c>
      <c r="B155" s="1" t="n">
        <v>45230.56142361111</v>
      </c>
      <c r="C155" s="1" t="n">
        <v>45983</v>
      </c>
      <c r="D155" t="inlineStr">
        <is>
          <t>DALARNAS LÄN</t>
        </is>
      </c>
      <c r="E155" t="inlineStr">
        <is>
          <t>LUDVIKA</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24033-2021</t>
        </is>
      </c>
      <c r="B156" s="1" t="n">
        <v>44336.3533912037</v>
      </c>
      <c r="C156" s="1" t="n">
        <v>45983</v>
      </c>
      <c r="D156" t="inlineStr">
        <is>
          <t>DALARNAS LÄN</t>
        </is>
      </c>
      <c r="E156" t="inlineStr">
        <is>
          <t>LUDVIKA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46095-2024</t>
        </is>
      </c>
      <c r="B157" s="1" t="n">
        <v>45581.36174768519</v>
      </c>
      <c r="C157" s="1" t="n">
        <v>45983</v>
      </c>
      <c r="D157" t="inlineStr">
        <is>
          <t>DALARNAS LÄN</t>
        </is>
      </c>
      <c r="E157" t="inlineStr">
        <is>
          <t>LUDVIKA</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48522-2023</t>
        </is>
      </c>
      <c r="B158" s="1" t="n">
        <v>45208.35689814815</v>
      </c>
      <c r="C158" s="1" t="n">
        <v>45983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52359-2024</t>
        </is>
      </c>
      <c r="B159" s="1" t="n">
        <v>45609.37012731482</v>
      </c>
      <c r="C159" s="1" t="n">
        <v>45983</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42215-2024</t>
        </is>
      </c>
      <c r="B160" s="1" t="n">
        <v>45562.53986111111</v>
      </c>
      <c r="C160" s="1" t="n">
        <v>45983</v>
      </c>
      <c r="D160" t="inlineStr">
        <is>
          <t>DALARNAS LÄN</t>
        </is>
      </c>
      <c r="E160" t="inlineStr">
        <is>
          <t>LUDVIKA</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38625-2025</t>
        </is>
      </c>
      <c r="B161" s="1" t="n">
        <v>45884</v>
      </c>
      <c r="C161" s="1" t="n">
        <v>45983</v>
      </c>
      <c r="D161" t="inlineStr">
        <is>
          <t>DALARNAS LÄN</t>
        </is>
      </c>
      <c r="E161" t="inlineStr">
        <is>
          <t>LUDVIKA</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38630-2025</t>
        </is>
      </c>
      <c r="B162" s="1" t="n">
        <v>45884</v>
      </c>
      <c r="C162" s="1" t="n">
        <v>45983</v>
      </c>
      <c r="D162" t="inlineStr">
        <is>
          <t>DALARNAS LÄN</t>
        </is>
      </c>
      <c r="E162" t="inlineStr">
        <is>
          <t>LUDVIKA</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45983</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46093-2024</t>
        </is>
      </c>
      <c r="B164" s="1" t="n">
        <v>45581.35516203703</v>
      </c>
      <c r="C164" s="1" t="n">
        <v>45983</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23103-2024</t>
        </is>
      </c>
      <c r="B165" s="1" t="n">
        <v>45450</v>
      </c>
      <c r="C165" s="1" t="n">
        <v>45983</v>
      </c>
      <c r="D165" t="inlineStr">
        <is>
          <t>DALARNAS LÄN</t>
        </is>
      </c>
      <c r="E165" t="inlineStr">
        <is>
          <t>LUDVIKA</t>
        </is>
      </c>
      <c r="G165" t="n">
        <v>0.6</v>
      </c>
      <c r="H165" t="n">
        <v>0</v>
      </c>
      <c r="I165" t="n">
        <v>0</v>
      </c>
      <c r="J165" t="n">
        <v>0</v>
      </c>
      <c r="K165" t="n">
        <v>0</v>
      </c>
      <c r="L165" t="n">
        <v>0</v>
      </c>
      <c r="M165" t="n">
        <v>0</v>
      </c>
      <c r="N165" t="n">
        <v>0</v>
      </c>
      <c r="O165" t="n">
        <v>0</v>
      </c>
      <c r="P165" t="n">
        <v>0</v>
      </c>
      <c r="Q165" t="n">
        <v>0</v>
      </c>
      <c r="R165" s="2" t="inlineStr"/>
    </row>
    <row r="166" ht="15" customHeight="1">
      <c r="A166" t="inlineStr">
        <is>
          <t>A 22328-2025</t>
        </is>
      </c>
      <c r="B166" s="1" t="n">
        <v>45786</v>
      </c>
      <c r="C166" s="1" t="n">
        <v>45983</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33914-2023</t>
        </is>
      </c>
      <c r="B167" s="1" t="n">
        <v>45134.43274305556</v>
      </c>
      <c r="C167" s="1" t="n">
        <v>45983</v>
      </c>
      <c r="D167" t="inlineStr">
        <is>
          <t>DALARNAS LÄN</t>
        </is>
      </c>
      <c r="E167" t="inlineStr">
        <is>
          <t>LUDVIKA</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22606-2025</t>
        </is>
      </c>
      <c r="B168" s="1" t="n">
        <v>45789</v>
      </c>
      <c r="C168" s="1" t="n">
        <v>45983</v>
      </c>
      <c r="D168" t="inlineStr">
        <is>
          <t>DALARNAS LÄN</t>
        </is>
      </c>
      <c r="E168" t="inlineStr">
        <is>
          <t>LUDVIKA</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22610-2025</t>
        </is>
      </c>
      <c r="B169" s="1" t="n">
        <v>45789</v>
      </c>
      <c r="C169" s="1" t="n">
        <v>45983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50240-2024</t>
        </is>
      </c>
      <c r="B170" s="1" t="n">
        <v>45600.56336805555</v>
      </c>
      <c r="C170" s="1" t="n">
        <v>45983</v>
      </c>
      <c r="D170" t="inlineStr">
        <is>
          <t>DALARNAS LÄN</t>
        </is>
      </c>
      <c r="E170" t="inlineStr">
        <is>
          <t>LUDVIKA</t>
        </is>
      </c>
      <c r="G170" t="n">
        <v>2.2</v>
      </c>
      <c r="H170" t="n">
        <v>0</v>
      </c>
      <c r="I170" t="n">
        <v>0</v>
      </c>
      <c r="J170" t="n">
        <v>0</v>
      </c>
      <c r="K170" t="n">
        <v>0</v>
      </c>
      <c r="L170" t="n">
        <v>0</v>
      </c>
      <c r="M170" t="n">
        <v>0</v>
      </c>
      <c r="N170" t="n">
        <v>0</v>
      </c>
      <c r="O170" t="n">
        <v>0</v>
      </c>
      <c r="P170" t="n">
        <v>0</v>
      </c>
      <c r="Q170" t="n">
        <v>0</v>
      </c>
      <c r="R170" s="2" t="inlineStr"/>
    </row>
    <row r="171" ht="15" customHeight="1">
      <c r="A171" t="inlineStr">
        <is>
          <t>A 22330-2025</t>
        </is>
      </c>
      <c r="B171" s="1" t="n">
        <v>45786</v>
      </c>
      <c r="C171" s="1" t="n">
        <v>45983</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36066-2024</t>
        </is>
      </c>
      <c r="B172" s="1" t="n">
        <v>45533.64466435185</v>
      </c>
      <c r="C172" s="1" t="n">
        <v>45983</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43702-2024</t>
        </is>
      </c>
      <c r="B173" s="1" t="n">
        <v>45569.59144675926</v>
      </c>
      <c r="C173" s="1" t="n">
        <v>45983</v>
      </c>
      <c r="D173" t="inlineStr">
        <is>
          <t>DALARNAS LÄN</t>
        </is>
      </c>
      <c r="E173" t="inlineStr">
        <is>
          <t>LUDVIKA</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22801-2025</t>
        </is>
      </c>
      <c r="B174" s="1" t="n">
        <v>45789.66861111111</v>
      </c>
      <c r="C174" s="1" t="n">
        <v>45983</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22599-2025</t>
        </is>
      </c>
      <c r="B175" s="1" t="n">
        <v>45789</v>
      </c>
      <c r="C175" s="1" t="n">
        <v>45983</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29882-2024</t>
        </is>
      </c>
      <c r="B176" s="1" t="n">
        <v>45486</v>
      </c>
      <c r="C176" s="1" t="n">
        <v>45983</v>
      </c>
      <c r="D176" t="inlineStr">
        <is>
          <t>DALARNAS LÄN</t>
        </is>
      </c>
      <c r="E176" t="inlineStr">
        <is>
          <t>LUDVIKA</t>
        </is>
      </c>
      <c r="G176" t="n">
        <v>1.3</v>
      </c>
      <c r="H176" t="n">
        <v>0</v>
      </c>
      <c r="I176" t="n">
        <v>0</v>
      </c>
      <c r="J176" t="n">
        <v>0</v>
      </c>
      <c r="K176" t="n">
        <v>0</v>
      </c>
      <c r="L176" t="n">
        <v>0</v>
      </c>
      <c r="M176" t="n">
        <v>0</v>
      </c>
      <c r="N176" t="n">
        <v>0</v>
      </c>
      <c r="O176" t="n">
        <v>0</v>
      </c>
      <c r="P176" t="n">
        <v>0</v>
      </c>
      <c r="Q176" t="n">
        <v>0</v>
      </c>
      <c r="R176" s="2" t="inlineStr"/>
    </row>
    <row r="177" ht="15" customHeight="1">
      <c r="A177" t="inlineStr">
        <is>
          <t>A 22594-2025</t>
        </is>
      </c>
      <c r="B177" s="1" t="n">
        <v>45789</v>
      </c>
      <c r="C177" s="1" t="n">
        <v>45983</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22850-2025</t>
        </is>
      </c>
      <c r="B178" s="1" t="n">
        <v>45790.34148148148</v>
      </c>
      <c r="C178" s="1" t="n">
        <v>45983</v>
      </c>
      <c r="D178" t="inlineStr">
        <is>
          <t>DALARNAS LÄN</t>
        </is>
      </c>
      <c r="E178" t="inlineStr">
        <is>
          <t>LUDVIKA</t>
        </is>
      </c>
      <c r="F178" t="inlineStr">
        <is>
          <t>Övriga Aktiebolag</t>
        </is>
      </c>
      <c r="G178" t="n">
        <v>2.4</v>
      </c>
      <c r="H178" t="n">
        <v>0</v>
      </c>
      <c r="I178" t="n">
        <v>0</v>
      </c>
      <c r="J178" t="n">
        <v>0</v>
      </c>
      <c r="K178" t="n">
        <v>0</v>
      </c>
      <c r="L178" t="n">
        <v>0</v>
      </c>
      <c r="M178" t="n">
        <v>0</v>
      </c>
      <c r="N178" t="n">
        <v>0</v>
      </c>
      <c r="O178" t="n">
        <v>0</v>
      </c>
      <c r="P178" t="n">
        <v>0</v>
      </c>
      <c r="Q178" t="n">
        <v>0</v>
      </c>
      <c r="R178" s="2" t="inlineStr"/>
    </row>
    <row r="179" ht="15" customHeight="1">
      <c r="A179" t="inlineStr">
        <is>
          <t>A 47233-2024</t>
        </is>
      </c>
      <c r="B179" s="1" t="n">
        <v>45586.68033564815</v>
      </c>
      <c r="C179" s="1" t="n">
        <v>45983</v>
      </c>
      <c r="D179" t="inlineStr">
        <is>
          <t>DALARNAS LÄN</t>
        </is>
      </c>
      <c r="E179" t="inlineStr">
        <is>
          <t>LUDVIKA</t>
        </is>
      </c>
      <c r="G179" t="n">
        <v>9.5</v>
      </c>
      <c r="H179" t="n">
        <v>0</v>
      </c>
      <c r="I179" t="n">
        <v>0</v>
      </c>
      <c r="J179" t="n">
        <v>0</v>
      </c>
      <c r="K179" t="n">
        <v>0</v>
      </c>
      <c r="L179" t="n">
        <v>0</v>
      </c>
      <c r="M179" t="n">
        <v>0</v>
      </c>
      <c r="N179" t="n">
        <v>0</v>
      </c>
      <c r="O179" t="n">
        <v>0</v>
      </c>
      <c r="P179" t="n">
        <v>0</v>
      </c>
      <c r="Q179" t="n">
        <v>0</v>
      </c>
      <c r="R179" s="2" t="inlineStr"/>
    </row>
    <row r="180" ht="15" customHeight="1">
      <c r="A180" t="inlineStr">
        <is>
          <t>A 46107-2024</t>
        </is>
      </c>
      <c r="B180" s="1" t="n">
        <v>45581.37739583333</v>
      </c>
      <c r="C180" s="1" t="n">
        <v>45983</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33505-2021</t>
        </is>
      </c>
      <c r="B181" s="1" t="n">
        <v>44377</v>
      </c>
      <c r="C181" s="1" t="n">
        <v>45983</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38446-2025</t>
        </is>
      </c>
      <c r="B182" s="1" t="n">
        <v>45883.65762731482</v>
      </c>
      <c r="C182" s="1" t="n">
        <v>45983</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22325-2025</t>
        </is>
      </c>
      <c r="B183" s="1" t="n">
        <v>45786</v>
      </c>
      <c r="C183" s="1" t="n">
        <v>45983</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41539-2024</t>
        </is>
      </c>
      <c r="B184" s="1" t="n">
        <v>45560.50243055556</v>
      </c>
      <c r="C184" s="1" t="n">
        <v>45983</v>
      </c>
      <c r="D184" t="inlineStr">
        <is>
          <t>DALARNAS LÄN</t>
        </is>
      </c>
      <c r="E184" t="inlineStr">
        <is>
          <t>LUDVIKA</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47496-2022</t>
        </is>
      </c>
      <c r="B185" s="1" t="n">
        <v>44853</v>
      </c>
      <c r="C185" s="1" t="n">
        <v>45983</v>
      </c>
      <c r="D185" t="inlineStr">
        <is>
          <t>DALARNAS LÄN</t>
        </is>
      </c>
      <c r="E185" t="inlineStr">
        <is>
          <t>LUDVIKA</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23082-2025</t>
        </is>
      </c>
      <c r="B186" s="1" t="n">
        <v>45791</v>
      </c>
      <c r="C186" s="1" t="n">
        <v>45983</v>
      </c>
      <c r="D186" t="inlineStr">
        <is>
          <t>DALARNAS LÄN</t>
        </is>
      </c>
      <c r="E186" t="inlineStr">
        <is>
          <t>LUDVIKA</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23088-2025</t>
        </is>
      </c>
      <c r="B187" s="1" t="n">
        <v>45791.34212962963</v>
      </c>
      <c r="C187" s="1" t="n">
        <v>45983</v>
      </c>
      <c r="D187" t="inlineStr">
        <is>
          <t>DALARNAS LÄN</t>
        </is>
      </c>
      <c r="E187" t="inlineStr">
        <is>
          <t>LUDVIKA</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23521-2025</t>
        </is>
      </c>
      <c r="B188" s="1" t="n">
        <v>45792</v>
      </c>
      <c r="C188" s="1" t="n">
        <v>45983</v>
      </c>
      <c r="D188" t="inlineStr">
        <is>
          <t>DALARNAS LÄN</t>
        </is>
      </c>
      <c r="E188" t="inlineStr">
        <is>
          <t>LUDVIKA</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22686-2025</t>
        </is>
      </c>
      <c r="B189" s="1" t="n">
        <v>45786</v>
      </c>
      <c r="C189" s="1" t="n">
        <v>45983</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31702-2023</t>
        </is>
      </c>
      <c r="B190" s="1" t="n">
        <v>45105</v>
      </c>
      <c r="C190" s="1" t="n">
        <v>45983</v>
      </c>
      <c r="D190" t="inlineStr">
        <is>
          <t>DALARNAS LÄN</t>
        </is>
      </c>
      <c r="E190" t="inlineStr">
        <is>
          <t>LUDVIKA</t>
        </is>
      </c>
      <c r="G190" t="n">
        <v>2.3</v>
      </c>
      <c r="H190" t="n">
        <v>0</v>
      </c>
      <c r="I190" t="n">
        <v>0</v>
      </c>
      <c r="J190" t="n">
        <v>0</v>
      </c>
      <c r="K190" t="n">
        <v>0</v>
      </c>
      <c r="L190" t="n">
        <v>0</v>
      </c>
      <c r="M190" t="n">
        <v>0</v>
      </c>
      <c r="N190" t="n">
        <v>0</v>
      </c>
      <c r="O190" t="n">
        <v>0</v>
      </c>
      <c r="P190" t="n">
        <v>0</v>
      </c>
      <c r="Q190" t="n">
        <v>0</v>
      </c>
      <c r="R190" s="2" t="inlineStr"/>
    </row>
    <row r="191" ht="15" customHeight="1">
      <c r="A191" t="inlineStr">
        <is>
          <t>A 32119-2023</t>
        </is>
      </c>
      <c r="B191" s="1" t="n">
        <v>45119.6334375</v>
      </c>
      <c r="C191" s="1" t="n">
        <v>45983</v>
      </c>
      <c r="D191" t="inlineStr">
        <is>
          <t>DALARNAS LÄN</t>
        </is>
      </c>
      <c r="E191" t="inlineStr">
        <is>
          <t>LUDVIKA</t>
        </is>
      </c>
      <c r="F191" t="inlineStr">
        <is>
          <t>Naturvårdsverket</t>
        </is>
      </c>
      <c r="G191" t="n">
        <v>1</v>
      </c>
      <c r="H191" t="n">
        <v>0</v>
      </c>
      <c r="I191" t="n">
        <v>0</v>
      </c>
      <c r="J191" t="n">
        <v>0</v>
      </c>
      <c r="K191" t="n">
        <v>0</v>
      </c>
      <c r="L191" t="n">
        <v>0</v>
      </c>
      <c r="M191" t="n">
        <v>0</v>
      </c>
      <c r="N191" t="n">
        <v>0</v>
      </c>
      <c r="O191" t="n">
        <v>0</v>
      </c>
      <c r="P191" t="n">
        <v>0</v>
      </c>
      <c r="Q191" t="n">
        <v>0</v>
      </c>
      <c r="R191" s="2" t="inlineStr"/>
    </row>
    <row r="192" ht="15" customHeight="1">
      <c r="A192" t="inlineStr">
        <is>
          <t>A 23086-2025</t>
        </is>
      </c>
      <c r="B192" s="1" t="n">
        <v>45791</v>
      </c>
      <c r="C192" s="1" t="n">
        <v>45983</v>
      </c>
      <c r="D192" t="inlineStr">
        <is>
          <t>DALARNAS LÄN</t>
        </is>
      </c>
      <c r="E192" t="inlineStr">
        <is>
          <t>LUDVIKA</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23087-2025</t>
        </is>
      </c>
      <c r="B193" s="1" t="n">
        <v>45791.3395949074</v>
      </c>
      <c r="C193" s="1" t="n">
        <v>45983</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37538-2024</t>
        </is>
      </c>
      <c r="B194" s="1" t="n">
        <v>45541.41780092593</v>
      </c>
      <c r="C194" s="1" t="n">
        <v>45983</v>
      </c>
      <c r="D194" t="inlineStr">
        <is>
          <t>DALARNAS LÄN</t>
        </is>
      </c>
      <c r="E194" t="inlineStr">
        <is>
          <t>LUDVIKA</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27644-2025</t>
        </is>
      </c>
      <c r="B195" s="1" t="n">
        <v>45813</v>
      </c>
      <c r="C195" s="1" t="n">
        <v>45983</v>
      </c>
      <c r="D195" t="inlineStr">
        <is>
          <t>DALARNAS LÄN</t>
        </is>
      </c>
      <c r="E195" t="inlineStr">
        <is>
          <t>LUDVIKA</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34280-2024</t>
        </is>
      </c>
      <c r="B196" s="1" t="n">
        <v>45524.62398148148</v>
      </c>
      <c r="C196" s="1" t="n">
        <v>45983</v>
      </c>
      <c r="D196" t="inlineStr">
        <is>
          <t>DALARNAS LÄN</t>
        </is>
      </c>
      <c r="E196" t="inlineStr">
        <is>
          <t>LUDVIKA</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24974-2025</t>
        </is>
      </c>
      <c r="B197" s="1" t="n">
        <v>45799</v>
      </c>
      <c r="C197" s="1" t="n">
        <v>45983</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32277-2024</t>
        </is>
      </c>
      <c r="B198" s="1" t="n">
        <v>45512.3703125</v>
      </c>
      <c r="C198" s="1" t="n">
        <v>45983</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23103-2025</t>
        </is>
      </c>
      <c r="B199" s="1" t="n">
        <v>45791</v>
      </c>
      <c r="C199" s="1" t="n">
        <v>45983</v>
      </c>
      <c r="D199" t="inlineStr">
        <is>
          <t>DALARNAS LÄN</t>
        </is>
      </c>
      <c r="E199" t="inlineStr">
        <is>
          <t>LUDVIKA</t>
        </is>
      </c>
      <c r="F199" t="inlineStr">
        <is>
          <t>Bergvik skog väst AB</t>
        </is>
      </c>
      <c r="G199" t="n">
        <v>15.9</v>
      </c>
      <c r="H199" t="n">
        <v>0</v>
      </c>
      <c r="I199" t="n">
        <v>0</v>
      </c>
      <c r="J199" t="n">
        <v>0</v>
      </c>
      <c r="K199" t="n">
        <v>0</v>
      </c>
      <c r="L199" t="n">
        <v>0</v>
      </c>
      <c r="M199" t="n">
        <v>0</v>
      </c>
      <c r="N199" t="n">
        <v>0</v>
      </c>
      <c r="O199" t="n">
        <v>0</v>
      </c>
      <c r="P199" t="n">
        <v>0</v>
      </c>
      <c r="Q199" t="n">
        <v>0</v>
      </c>
      <c r="R199" s="2" t="inlineStr"/>
    </row>
    <row r="200" ht="15" customHeight="1">
      <c r="A200" t="inlineStr">
        <is>
          <t>A 23105-2025</t>
        </is>
      </c>
      <c r="B200" s="1" t="n">
        <v>45791</v>
      </c>
      <c r="C200" s="1" t="n">
        <v>45983</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36527-2024</t>
        </is>
      </c>
      <c r="B201" s="1" t="n">
        <v>45537.44119212963</v>
      </c>
      <c r="C201" s="1" t="n">
        <v>45983</v>
      </c>
      <c r="D201" t="inlineStr">
        <is>
          <t>DALARNAS LÄN</t>
        </is>
      </c>
      <c r="E201" t="inlineStr">
        <is>
          <t>LUDVIKA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43057-2024</t>
        </is>
      </c>
      <c r="B202" s="1" t="n">
        <v>45567.46006944445</v>
      </c>
      <c r="C202" s="1" t="n">
        <v>45983</v>
      </c>
      <c r="D202" t="inlineStr">
        <is>
          <t>DALARNAS LÄN</t>
        </is>
      </c>
      <c r="E202" t="inlineStr">
        <is>
          <t>LUDVIKA</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44881-2024</t>
        </is>
      </c>
      <c r="B203" s="1" t="n">
        <v>45575.35040509259</v>
      </c>
      <c r="C203" s="1" t="n">
        <v>45983</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44885-2024</t>
        </is>
      </c>
      <c r="B204" s="1" t="n">
        <v>45575</v>
      </c>
      <c r="C204" s="1" t="n">
        <v>45983</v>
      </c>
      <c r="D204" t="inlineStr">
        <is>
          <t>DALARNAS LÄN</t>
        </is>
      </c>
      <c r="E204" t="inlineStr">
        <is>
          <t>LUDVIKA</t>
        </is>
      </c>
      <c r="F204" t="inlineStr">
        <is>
          <t>Bergvik skog väst AB</t>
        </is>
      </c>
      <c r="G204" t="n">
        <v>7.1</v>
      </c>
      <c r="H204" t="n">
        <v>0</v>
      </c>
      <c r="I204" t="n">
        <v>0</v>
      </c>
      <c r="J204" t="n">
        <v>0</v>
      </c>
      <c r="K204" t="n">
        <v>0</v>
      </c>
      <c r="L204" t="n">
        <v>0</v>
      </c>
      <c r="M204" t="n">
        <v>0</v>
      </c>
      <c r="N204" t="n">
        <v>0</v>
      </c>
      <c r="O204" t="n">
        <v>0</v>
      </c>
      <c r="P204" t="n">
        <v>0</v>
      </c>
      <c r="Q204" t="n">
        <v>0</v>
      </c>
      <c r="R204" s="2" t="inlineStr"/>
    </row>
    <row r="205" ht="15" customHeight="1">
      <c r="A205" t="inlineStr">
        <is>
          <t>A 23443-2024</t>
        </is>
      </c>
      <c r="B205" s="1" t="n">
        <v>45453</v>
      </c>
      <c r="C205" s="1" t="n">
        <v>45983</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37549-2024</t>
        </is>
      </c>
      <c r="B206" s="1" t="n">
        <v>45541.43202546296</v>
      </c>
      <c r="C206" s="1" t="n">
        <v>45983</v>
      </c>
      <c r="D206" t="inlineStr">
        <is>
          <t>DALARNAS LÄN</t>
        </is>
      </c>
      <c r="E206" t="inlineStr">
        <is>
          <t>LUDVIKA</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51704-2024</t>
        </is>
      </c>
      <c r="B207" s="1" t="n">
        <v>45607.36243055556</v>
      </c>
      <c r="C207" s="1" t="n">
        <v>45983</v>
      </c>
      <c r="D207" t="inlineStr">
        <is>
          <t>DALARNAS LÄN</t>
        </is>
      </c>
      <c r="E207" t="inlineStr">
        <is>
          <t>LUDVIKA</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21369-2023</t>
        </is>
      </c>
      <c r="B208" s="1" t="n">
        <v>45063</v>
      </c>
      <c r="C208" s="1" t="n">
        <v>45983</v>
      </c>
      <c r="D208" t="inlineStr">
        <is>
          <t>DALARNAS LÄN</t>
        </is>
      </c>
      <c r="E208" t="inlineStr">
        <is>
          <t>LUDVIKA</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24081-2025</t>
        </is>
      </c>
      <c r="B209" s="1" t="n">
        <v>45796.5571875</v>
      </c>
      <c r="C209" s="1" t="n">
        <v>45983</v>
      </c>
      <c r="D209" t="inlineStr">
        <is>
          <t>DALARNAS LÄN</t>
        </is>
      </c>
      <c r="E209" t="inlineStr">
        <is>
          <t>LUDVIKA</t>
        </is>
      </c>
      <c r="G209" t="n">
        <v>1.4</v>
      </c>
      <c r="H209" t="n">
        <v>0</v>
      </c>
      <c r="I209" t="n">
        <v>0</v>
      </c>
      <c r="J209" t="n">
        <v>0</v>
      </c>
      <c r="K209" t="n">
        <v>0</v>
      </c>
      <c r="L209" t="n">
        <v>0</v>
      </c>
      <c r="M209" t="n">
        <v>0</v>
      </c>
      <c r="N209" t="n">
        <v>0</v>
      </c>
      <c r="O209" t="n">
        <v>0</v>
      </c>
      <c r="P209" t="n">
        <v>0</v>
      </c>
      <c r="Q209" t="n">
        <v>0</v>
      </c>
      <c r="R209" s="2" t="inlineStr"/>
    </row>
    <row r="210" ht="15" customHeight="1">
      <c r="A210" t="inlineStr">
        <is>
          <t>A 24027-2025</t>
        </is>
      </c>
      <c r="B210" s="1" t="n">
        <v>45796</v>
      </c>
      <c r="C210" s="1" t="n">
        <v>45983</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45983</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39828-2025</t>
        </is>
      </c>
      <c r="B212" s="1" t="n">
        <v>45891.55704861111</v>
      </c>
      <c r="C212" s="1" t="n">
        <v>45983</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61278-2022</t>
        </is>
      </c>
      <c r="B213" s="1" t="n">
        <v>44915.6166087963</v>
      </c>
      <c r="C213" s="1" t="n">
        <v>45983</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30977-2024</t>
        </is>
      </c>
      <c r="B214" s="1" t="n">
        <v>45499</v>
      </c>
      <c r="C214" s="1" t="n">
        <v>45983</v>
      </c>
      <c r="D214" t="inlineStr">
        <is>
          <t>DALARNAS LÄN</t>
        </is>
      </c>
      <c r="E214" t="inlineStr">
        <is>
          <t>LUDVIKA</t>
        </is>
      </c>
      <c r="G214" t="n">
        <v>3.3</v>
      </c>
      <c r="H214" t="n">
        <v>0</v>
      </c>
      <c r="I214" t="n">
        <v>0</v>
      </c>
      <c r="J214" t="n">
        <v>0</v>
      </c>
      <c r="K214" t="n">
        <v>0</v>
      </c>
      <c r="L214" t="n">
        <v>0</v>
      </c>
      <c r="M214" t="n">
        <v>0</v>
      </c>
      <c r="N214" t="n">
        <v>0</v>
      </c>
      <c r="O214" t="n">
        <v>0</v>
      </c>
      <c r="P214" t="n">
        <v>0</v>
      </c>
      <c r="Q214" t="n">
        <v>0</v>
      </c>
      <c r="R214" s="2" t="inlineStr"/>
    </row>
    <row r="215" ht="15" customHeight="1">
      <c r="A215" t="inlineStr">
        <is>
          <t>A 47071-2022</t>
        </is>
      </c>
      <c r="B215" s="1" t="n">
        <v>44852</v>
      </c>
      <c r="C215" s="1" t="n">
        <v>45983</v>
      </c>
      <c r="D215" t="inlineStr">
        <is>
          <t>DALARNAS LÄN</t>
        </is>
      </c>
      <c r="E215" t="inlineStr">
        <is>
          <t>LUDVIKA</t>
        </is>
      </c>
      <c r="G215" t="n">
        <v>1.2</v>
      </c>
      <c r="H215" t="n">
        <v>0</v>
      </c>
      <c r="I215" t="n">
        <v>0</v>
      </c>
      <c r="J215" t="n">
        <v>0</v>
      </c>
      <c r="K215" t="n">
        <v>0</v>
      </c>
      <c r="L215" t="n">
        <v>0</v>
      </c>
      <c r="M215" t="n">
        <v>0</v>
      </c>
      <c r="N215" t="n">
        <v>0</v>
      </c>
      <c r="O215" t="n">
        <v>0</v>
      </c>
      <c r="P215" t="n">
        <v>0</v>
      </c>
      <c r="Q215" t="n">
        <v>0</v>
      </c>
      <c r="R215" s="2" t="inlineStr"/>
    </row>
    <row r="216" ht="15" customHeight="1">
      <c r="A216" t="inlineStr">
        <is>
          <t>A 39833-2025</t>
        </is>
      </c>
      <c r="B216" s="1" t="n">
        <v>45891.56180555555</v>
      </c>
      <c r="C216" s="1" t="n">
        <v>45983</v>
      </c>
      <c r="D216" t="inlineStr">
        <is>
          <t>DALARNAS LÄN</t>
        </is>
      </c>
      <c r="E216" t="inlineStr">
        <is>
          <t>LUDVIKA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24696-2025</t>
        </is>
      </c>
      <c r="B217" s="1" t="n">
        <v>45798</v>
      </c>
      <c r="C217" s="1" t="n">
        <v>45983</v>
      </c>
      <c r="D217" t="inlineStr">
        <is>
          <t>DALARNAS LÄN</t>
        </is>
      </c>
      <c r="E217" t="inlineStr">
        <is>
          <t>LUDVIKA</t>
        </is>
      </c>
      <c r="F217" t="inlineStr">
        <is>
          <t>Bergvik skog väst AB</t>
        </is>
      </c>
      <c r="G217" t="n">
        <v>7.1</v>
      </c>
      <c r="H217" t="n">
        <v>0</v>
      </c>
      <c r="I217" t="n">
        <v>0</v>
      </c>
      <c r="J217" t="n">
        <v>0</v>
      </c>
      <c r="K217" t="n">
        <v>0</v>
      </c>
      <c r="L217" t="n">
        <v>0</v>
      </c>
      <c r="M217" t="n">
        <v>0</v>
      </c>
      <c r="N217" t="n">
        <v>0</v>
      </c>
      <c r="O217" t="n">
        <v>0</v>
      </c>
      <c r="P217" t="n">
        <v>0</v>
      </c>
      <c r="Q217" t="n">
        <v>0</v>
      </c>
      <c r="R217" s="2" t="inlineStr"/>
    </row>
    <row r="218" ht="15" customHeight="1">
      <c r="A218" t="inlineStr">
        <is>
          <t>A 35713-2025</t>
        </is>
      </c>
      <c r="B218" s="1" t="n">
        <v>45860</v>
      </c>
      <c r="C218" s="1" t="n">
        <v>45983</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23097-2025</t>
        </is>
      </c>
      <c r="B219" s="1" t="n">
        <v>45791.3471875</v>
      </c>
      <c r="C219" s="1" t="n">
        <v>45983</v>
      </c>
      <c r="D219" t="inlineStr">
        <is>
          <t>DALARNAS LÄN</t>
        </is>
      </c>
      <c r="E219" t="inlineStr">
        <is>
          <t>LUDVIKA</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23111-2025</t>
        </is>
      </c>
      <c r="B220" s="1" t="n">
        <v>45791.36640046296</v>
      </c>
      <c r="C220" s="1" t="n">
        <v>45983</v>
      </c>
      <c r="D220" t="inlineStr">
        <is>
          <t>DALARNAS LÄN</t>
        </is>
      </c>
      <c r="E220" t="inlineStr">
        <is>
          <t>LUDVIKA</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23117-2025</t>
        </is>
      </c>
      <c r="B221" s="1" t="n">
        <v>45791.37006944444</v>
      </c>
      <c r="C221" s="1" t="n">
        <v>45983</v>
      </c>
      <c r="D221" t="inlineStr">
        <is>
          <t>DALARNAS LÄN</t>
        </is>
      </c>
      <c r="E221" t="inlineStr">
        <is>
          <t>LUDVIKA</t>
        </is>
      </c>
      <c r="F221" t="inlineStr">
        <is>
          <t>Bergvik skog väst AB</t>
        </is>
      </c>
      <c r="G221" t="n">
        <v>1.5</v>
      </c>
      <c r="H221" t="n">
        <v>0</v>
      </c>
      <c r="I221" t="n">
        <v>0</v>
      </c>
      <c r="J221" t="n">
        <v>0</v>
      </c>
      <c r="K221" t="n">
        <v>0</v>
      </c>
      <c r="L221" t="n">
        <v>0</v>
      </c>
      <c r="M221" t="n">
        <v>0</v>
      </c>
      <c r="N221" t="n">
        <v>0</v>
      </c>
      <c r="O221" t="n">
        <v>0</v>
      </c>
      <c r="P221" t="n">
        <v>0</v>
      </c>
      <c r="Q221" t="n">
        <v>0</v>
      </c>
      <c r="R221" s="2" t="inlineStr"/>
    </row>
    <row r="222" ht="15" customHeight="1">
      <c r="A222" t="inlineStr">
        <is>
          <t>A 39754-2025</t>
        </is>
      </c>
      <c r="B222" s="1" t="n">
        <v>45891.41975694444</v>
      </c>
      <c r="C222" s="1" t="n">
        <v>45983</v>
      </c>
      <c r="D222" t="inlineStr">
        <is>
          <t>DALARNAS LÄN</t>
        </is>
      </c>
      <c r="E222" t="inlineStr">
        <is>
          <t>LUDVIKA</t>
        </is>
      </c>
      <c r="F222" t="inlineStr">
        <is>
          <t>Bergvik skog väst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24697-2025</t>
        </is>
      </c>
      <c r="B223" s="1" t="n">
        <v>45798</v>
      </c>
      <c r="C223" s="1" t="n">
        <v>45983</v>
      </c>
      <c r="D223" t="inlineStr">
        <is>
          <t>DALARNAS LÄN</t>
        </is>
      </c>
      <c r="E223" t="inlineStr">
        <is>
          <t>LUDVIKA</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20642-2025</t>
        </is>
      </c>
      <c r="B224" s="1" t="n">
        <v>45776.37806712963</v>
      </c>
      <c r="C224" s="1" t="n">
        <v>45983</v>
      </c>
      <c r="D224" t="inlineStr">
        <is>
          <t>DALARNAS LÄN</t>
        </is>
      </c>
      <c r="E224" t="inlineStr">
        <is>
          <t>LUDVIKA</t>
        </is>
      </c>
      <c r="G224" t="n">
        <v>0.8</v>
      </c>
      <c r="H224" t="n">
        <v>0</v>
      </c>
      <c r="I224" t="n">
        <v>0</v>
      </c>
      <c r="J224" t="n">
        <v>0</v>
      </c>
      <c r="K224" t="n">
        <v>0</v>
      </c>
      <c r="L224" t="n">
        <v>0</v>
      </c>
      <c r="M224" t="n">
        <v>0</v>
      </c>
      <c r="N224" t="n">
        <v>0</v>
      </c>
      <c r="O224" t="n">
        <v>0</v>
      </c>
      <c r="P224" t="n">
        <v>0</v>
      </c>
      <c r="Q224" t="n">
        <v>0</v>
      </c>
      <c r="R224" s="2" t="inlineStr"/>
    </row>
    <row r="225" ht="15" customHeight="1">
      <c r="A225" t="inlineStr">
        <is>
          <t>A 23137-2025</t>
        </is>
      </c>
      <c r="B225" s="1" t="n">
        <v>45791.39229166666</v>
      </c>
      <c r="C225" s="1" t="n">
        <v>45983</v>
      </c>
      <c r="D225" t="inlineStr">
        <is>
          <t>DALARNAS LÄN</t>
        </is>
      </c>
      <c r="E225" t="inlineStr">
        <is>
          <t>LUDVIKA</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23139-2025</t>
        </is>
      </c>
      <c r="B226" s="1" t="n">
        <v>45791.3942824074</v>
      </c>
      <c r="C226" s="1" t="n">
        <v>45983</v>
      </c>
      <c r="D226" t="inlineStr">
        <is>
          <t>DALARNAS LÄN</t>
        </is>
      </c>
      <c r="E226" t="inlineStr">
        <is>
          <t>LUDVIKA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20449-2025</t>
        </is>
      </c>
      <c r="B227" s="1" t="n">
        <v>45775</v>
      </c>
      <c r="C227" s="1" t="n">
        <v>45983</v>
      </c>
      <c r="D227" t="inlineStr">
        <is>
          <t>DALARNAS LÄN</t>
        </is>
      </c>
      <c r="E227" t="inlineStr">
        <is>
          <t>LUDVIKA</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24628-2025</t>
        </is>
      </c>
      <c r="B228" s="1" t="n">
        <v>45798.59552083333</v>
      </c>
      <c r="C228" s="1" t="n">
        <v>45983</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19677-2025</t>
        </is>
      </c>
      <c r="B229" s="1" t="n">
        <v>45770.75799768518</v>
      </c>
      <c r="C229" s="1" t="n">
        <v>45983</v>
      </c>
      <c r="D229" t="inlineStr">
        <is>
          <t>DALARNAS LÄN</t>
        </is>
      </c>
      <c r="E229" t="inlineStr">
        <is>
          <t>LUDVIKA</t>
        </is>
      </c>
      <c r="G229" t="n">
        <v>1.8</v>
      </c>
      <c r="H229" t="n">
        <v>0</v>
      </c>
      <c r="I229" t="n">
        <v>0</v>
      </c>
      <c r="J229" t="n">
        <v>0</v>
      </c>
      <c r="K229" t="n">
        <v>0</v>
      </c>
      <c r="L229" t="n">
        <v>0</v>
      </c>
      <c r="M229" t="n">
        <v>0</v>
      </c>
      <c r="N229" t="n">
        <v>0</v>
      </c>
      <c r="O229" t="n">
        <v>0</v>
      </c>
      <c r="P229" t="n">
        <v>0</v>
      </c>
      <c r="Q229" t="n">
        <v>0</v>
      </c>
      <c r="R229" s="2" t="inlineStr"/>
    </row>
    <row r="230" ht="15" customHeight="1">
      <c r="A230" t="inlineStr">
        <is>
          <t>A 40246-2025</t>
        </is>
      </c>
      <c r="B230" s="1" t="n">
        <v>45895.00098379629</v>
      </c>
      <c r="C230" s="1" t="n">
        <v>45983</v>
      </c>
      <c r="D230" t="inlineStr">
        <is>
          <t>DALARNAS LÄN</t>
        </is>
      </c>
      <c r="E230" t="inlineStr">
        <is>
          <t>LUDVIKA</t>
        </is>
      </c>
      <c r="G230" t="n">
        <v>1</v>
      </c>
      <c r="H230" t="n">
        <v>0</v>
      </c>
      <c r="I230" t="n">
        <v>0</v>
      </c>
      <c r="J230" t="n">
        <v>0</v>
      </c>
      <c r="K230" t="n">
        <v>0</v>
      </c>
      <c r="L230" t="n">
        <v>0</v>
      </c>
      <c r="M230" t="n">
        <v>0</v>
      </c>
      <c r="N230" t="n">
        <v>0</v>
      </c>
      <c r="O230" t="n">
        <v>0</v>
      </c>
      <c r="P230" t="n">
        <v>0</v>
      </c>
      <c r="Q230" t="n">
        <v>0</v>
      </c>
      <c r="R230" s="2" t="inlineStr"/>
    </row>
    <row r="231" ht="15" customHeight="1">
      <c r="A231" t="inlineStr">
        <is>
          <t>A 25235-2025</t>
        </is>
      </c>
      <c r="B231" s="1" t="n">
        <v>45800</v>
      </c>
      <c r="C231" s="1" t="n">
        <v>45983</v>
      </c>
      <c r="D231" t="inlineStr">
        <is>
          <t>DALARNAS LÄN</t>
        </is>
      </c>
      <c r="E231" t="inlineStr">
        <is>
          <t>LUDVIKA</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22807-2025</t>
        </is>
      </c>
      <c r="B232" s="1" t="n">
        <v>45789.67512731482</v>
      </c>
      <c r="C232" s="1" t="n">
        <v>45983</v>
      </c>
      <c r="D232" t="inlineStr">
        <is>
          <t>DALARNAS LÄN</t>
        </is>
      </c>
      <c r="E232" t="inlineStr">
        <is>
          <t>LUDVIKA</t>
        </is>
      </c>
      <c r="G232" t="n">
        <v>4.2</v>
      </c>
      <c r="H232" t="n">
        <v>0</v>
      </c>
      <c r="I232" t="n">
        <v>0</v>
      </c>
      <c r="J232" t="n">
        <v>0</v>
      </c>
      <c r="K232" t="n">
        <v>0</v>
      </c>
      <c r="L232" t="n">
        <v>0</v>
      </c>
      <c r="M232" t="n">
        <v>0</v>
      </c>
      <c r="N232" t="n">
        <v>0</v>
      </c>
      <c r="O232" t="n">
        <v>0</v>
      </c>
      <c r="P232" t="n">
        <v>0</v>
      </c>
      <c r="Q232" t="n">
        <v>0</v>
      </c>
      <c r="R232" s="2" t="inlineStr"/>
    </row>
    <row r="233" ht="15" customHeight="1">
      <c r="A233" t="inlineStr">
        <is>
          <t>A 25277-2025</t>
        </is>
      </c>
      <c r="B233" s="1" t="n">
        <v>45800</v>
      </c>
      <c r="C233" s="1" t="n">
        <v>45983</v>
      </c>
      <c r="D233" t="inlineStr">
        <is>
          <t>DALARNAS LÄN</t>
        </is>
      </c>
      <c r="E233" t="inlineStr">
        <is>
          <t>LUDVIKA</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25150-2025</t>
        </is>
      </c>
      <c r="B234" s="1" t="n">
        <v>45800</v>
      </c>
      <c r="C234" s="1" t="n">
        <v>45983</v>
      </c>
      <c r="D234" t="inlineStr">
        <is>
          <t>DALARNAS LÄN</t>
        </is>
      </c>
      <c r="E234" t="inlineStr">
        <is>
          <t>LUDVIKA</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24789-2025</t>
        </is>
      </c>
      <c r="B235" s="1" t="n">
        <v>45799</v>
      </c>
      <c r="C235" s="1" t="n">
        <v>45983</v>
      </c>
      <c r="D235" t="inlineStr">
        <is>
          <t>DALARNAS LÄN</t>
        </is>
      </c>
      <c r="E235" t="inlineStr">
        <is>
          <t>LUDVIKA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45983</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24783-2025</t>
        </is>
      </c>
      <c r="B237" s="1" t="n">
        <v>45799</v>
      </c>
      <c r="C237" s="1" t="n">
        <v>45983</v>
      </c>
      <c r="D237" t="inlineStr">
        <is>
          <t>DALARNAS LÄN</t>
        </is>
      </c>
      <c r="E237" t="inlineStr">
        <is>
          <t>LUDVIKA</t>
        </is>
      </c>
      <c r="F237" t="inlineStr">
        <is>
          <t>Bergvik skog väst AB</t>
        </is>
      </c>
      <c r="G237" t="n">
        <v>2.6</v>
      </c>
      <c r="H237" t="n">
        <v>0</v>
      </c>
      <c r="I237" t="n">
        <v>0</v>
      </c>
      <c r="J237" t="n">
        <v>0</v>
      </c>
      <c r="K237" t="n">
        <v>0</v>
      </c>
      <c r="L237" t="n">
        <v>0</v>
      </c>
      <c r="M237" t="n">
        <v>0</v>
      </c>
      <c r="N237" t="n">
        <v>0</v>
      </c>
      <c r="O237" t="n">
        <v>0</v>
      </c>
      <c r="P237" t="n">
        <v>0</v>
      </c>
      <c r="Q237" t="n">
        <v>0</v>
      </c>
      <c r="R237" s="2" t="inlineStr"/>
    </row>
    <row r="238" ht="15" customHeight="1">
      <c r="A238" t="inlineStr">
        <is>
          <t>A 25133-2025</t>
        </is>
      </c>
      <c r="B238" s="1" t="n">
        <v>45800</v>
      </c>
      <c r="C238" s="1" t="n">
        <v>45983</v>
      </c>
      <c r="D238" t="inlineStr">
        <is>
          <t>DALARNAS LÄN</t>
        </is>
      </c>
      <c r="E238" t="inlineStr">
        <is>
          <t>LUDVIKA</t>
        </is>
      </c>
      <c r="G238" t="n">
        <v>4.1</v>
      </c>
      <c r="H238" t="n">
        <v>0</v>
      </c>
      <c r="I238" t="n">
        <v>0</v>
      </c>
      <c r="J238" t="n">
        <v>0</v>
      </c>
      <c r="K238" t="n">
        <v>0</v>
      </c>
      <c r="L238" t="n">
        <v>0</v>
      </c>
      <c r="M238" t="n">
        <v>0</v>
      </c>
      <c r="N238" t="n">
        <v>0</v>
      </c>
      <c r="O238" t="n">
        <v>0</v>
      </c>
      <c r="P238" t="n">
        <v>0</v>
      </c>
      <c r="Q238" t="n">
        <v>0</v>
      </c>
      <c r="R238" s="2" t="inlineStr"/>
    </row>
    <row r="239" ht="15" customHeight="1">
      <c r="A239" t="inlineStr">
        <is>
          <t>A 41109-2025</t>
        </is>
      </c>
      <c r="B239" s="1" t="n">
        <v>45898</v>
      </c>
      <c r="C239" s="1" t="n">
        <v>45983</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31100-2024</t>
        </is>
      </c>
      <c r="B240" s="1" t="n">
        <v>45502</v>
      </c>
      <c r="C240" s="1" t="n">
        <v>45983</v>
      </c>
      <c r="D240" t="inlineStr">
        <is>
          <t>DALARNAS LÄN</t>
        </is>
      </c>
      <c r="E240" t="inlineStr">
        <is>
          <t>LUDVIKA</t>
        </is>
      </c>
      <c r="G240" t="n">
        <v>1.7</v>
      </c>
      <c r="H240" t="n">
        <v>0</v>
      </c>
      <c r="I240" t="n">
        <v>0</v>
      </c>
      <c r="J240" t="n">
        <v>0</v>
      </c>
      <c r="K240" t="n">
        <v>0</v>
      </c>
      <c r="L240" t="n">
        <v>0</v>
      </c>
      <c r="M240" t="n">
        <v>0</v>
      </c>
      <c r="N240" t="n">
        <v>0</v>
      </c>
      <c r="O240" t="n">
        <v>0</v>
      </c>
      <c r="P240" t="n">
        <v>0</v>
      </c>
      <c r="Q240" t="n">
        <v>0</v>
      </c>
      <c r="R240" s="2" t="inlineStr"/>
    </row>
    <row r="241" ht="15" customHeight="1">
      <c r="A241" t="inlineStr">
        <is>
          <t>A 41099-2025</t>
        </is>
      </c>
      <c r="B241" s="1" t="n">
        <v>45898</v>
      </c>
      <c r="C241" s="1" t="n">
        <v>45983</v>
      </c>
      <c r="D241" t="inlineStr">
        <is>
          <t>DALARNAS LÄN</t>
        </is>
      </c>
      <c r="E241" t="inlineStr">
        <is>
          <t>LUDVIKA</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24848-2025</t>
        </is>
      </c>
      <c r="B242" s="1" t="n">
        <v>45799</v>
      </c>
      <c r="C242" s="1" t="n">
        <v>45983</v>
      </c>
      <c r="D242" t="inlineStr">
        <is>
          <t>DALARNAS LÄN</t>
        </is>
      </c>
      <c r="E242" t="inlineStr">
        <is>
          <t>LUDVIKA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25157-2025</t>
        </is>
      </c>
      <c r="B243" s="1" t="n">
        <v>45800</v>
      </c>
      <c r="C243" s="1" t="n">
        <v>45983</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25004-2025</t>
        </is>
      </c>
      <c r="B244" s="1" t="n">
        <v>45799</v>
      </c>
      <c r="C244" s="1" t="n">
        <v>45983</v>
      </c>
      <c r="D244" t="inlineStr">
        <is>
          <t>DALARNAS LÄN</t>
        </is>
      </c>
      <c r="E244" t="inlineStr">
        <is>
          <t>LUDVIKA</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41249-2025</t>
        </is>
      </c>
      <c r="B245" s="1" t="n">
        <v>45898</v>
      </c>
      <c r="C245" s="1" t="n">
        <v>45983</v>
      </c>
      <c r="D245" t="inlineStr">
        <is>
          <t>DALARNAS LÄN</t>
        </is>
      </c>
      <c r="E245" t="inlineStr">
        <is>
          <t>LUDVIKA</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41254-2025</t>
        </is>
      </c>
      <c r="B246" s="1" t="n">
        <v>45898.60778935185</v>
      </c>
      <c r="C246" s="1" t="n">
        <v>45983</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25113-2025</t>
        </is>
      </c>
      <c r="B247" s="1" t="n">
        <v>45800</v>
      </c>
      <c r="C247" s="1" t="n">
        <v>45983</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41269-2025</t>
        </is>
      </c>
      <c r="B248" s="1" t="n">
        <v>45898</v>
      </c>
      <c r="C248" s="1" t="n">
        <v>45983</v>
      </c>
      <c r="D248" t="inlineStr">
        <is>
          <t>DALARNAS LÄN</t>
        </is>
      </c>
      <c r="E248" t="inlineStr">
        <is>
          <t>LUDVIKA</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25140-2025</t>
        </is>
      </c>
      <c r="B249" s="1" t="n">
        <v>45800</v>
      </c>
      <c r="C249" s="1" t="n">
        <v>45983</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24939-2025</t>
        </is>
      </c>
      <c r="B250" s="1" t="n">
        <v>45799</v>
      </c>
      <c r="C250" s="1" t="n">
        <v>45983</v>
      </c>
      <c r="D250" t="inlineStr">
        <is>
          <t>DALARNAS LÄN</t>
        </is>
      </c>
      <c r="E250" t="inlineStr">
        <is>
          <t>LUDVIKA</t>
        </is>
      </c>
      <c r="F250" t="inlineStr">
        <is>
          <t>Bergvik skog väst AB</t>
        </is>
      </c>
      <c r="G250" t="n">
        <v>15.6</v>
      </c>
      <c r="H250" t="n">
        <v>0</v>
      </c>
      <c r="I250" t="n">
        <v>0</v>
      </c>
      <c r="J250" t="n">
        <v>0</v>
      </c>
      <c r="K250" t="n">
        <v>0</v>
      </c>
      <c r="L250" t="n">
        <v>0</v>
      </c>
      <c r="M250" t="n">
        <v>0</v>
      </c>
      <c r="N250" t="n">
        <v>0</v>
      </c>
      <c r="O250" t="n">
        <v>0</v>
      </c>
      <c r="P250" t="n">
        <v>0</v>
      </c>
      <c r="Q250" t="n">
        <v>0</v>
      </c>
      <c r="R250" s="2" t="inlineStr"/>
    </row>
    <row r="251" ht="15" customHeight="1">
      <c r="A251" t="inlineStr">
        <is>
          <t>A 25619-2025</t>
        </is>
      </c>
      <c r="B251" s="1" t="n">
        <v>45803</v>
      </c>
      <c r="C251" s="1" t="n">
        <v>45983</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45983</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45983</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25627-2025</t>
        </is>
      </c>
      <c r="B254" s="1" t="n">
        <v>45803</v>
      </c>
      <c r="C254" s="1" t="n">
        <v>45983</v>
      </c>
      <c r="D254" t="inlineStr">
        <is>
          <t>DALARNAS LÄN</t>
        </is>
      </c>
      <c r="E254" t="inlineStr">
        <is>
          <t>LUDVIKA</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53509-2022</t>
        </is>
      </c>
      <c r="B255" s="1" t="n">
        <v>44879</v>
      </c>
      <c r="C255" s="1" t="n">
        <v>45983</v>
      </c>
      <c r="D255" t="inlineStr">
        <is>
          <t>DALARNAS LÄN</t>
        </is>
      </c>
      <c r="E255" t="inlineStr">
        <is>
          <t>LUDVIKA</t>
        </is>
      </c>
      <c r="F255" t="inlineStr">
        <is>
          <t>Naturvårdsverket</t>
        </is>
      </c>
      <c r="G255" t="n">
        <v>4.9</v>
      </c>
      <c r="H255" t="n">
        <v>0</v>
      </c>
      <c r="I255" t="n">
        <v>0</v>
      </c>
      <c r="J255" t="n">
        <v>0</v>
      </c>
      <c r="K255" t="n">
        <v>0</v>
      </c>
      <c r="L255" t="n">
        <v>0</v>
      </c>
      <c r="M255" t="n">
        <v>0</v>
      </c>
      <c r="N255" t="n">
        <v>0</v>
      </c>
      <c r="O255" t="n">
        <v>0</v>
      </c>
      <c r="P255" t="n">
        <v>0</v>
      </c>
      <c r="Q255" t="n">
        <v>0</v>
      </c>
      <c r="R255" s="2" t="inlineStr"/>
    </row>
    <row r="256" ht="15" customHeight="1">
      <c r="A256" t="inlineStr">
        <is>
          <t>A 25644-2025</t>
        </is>
      </c>
      <c r="B256" s="1" t="n">
        <v>45803</v>
      </c>
      <c r="C256" s="1" t="n">
        <v>45983</v>
      </c>
      <c r="D256" t="inlineStr">
        <is>
          <t>DALARNAS LÄN</t>
        </is>
      </c>
      <c r="E256" t="inlineStr">
        <is>
          <t>LUDVIKA</t>
        </is>
      </c>
      <c r="F256" t="inlineStr">
        <is>
          <t>Bergvik skog väst AB</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57193-2022</t>
        </is>
      </c>
      <c r="B257" s="1" t="n">
        <v>44895</v>
      </c>
      <c r="C257" s="1" t="n">
        <v>45983</v>
      </c>
      <c r="D257" t="inlineStr">
        <is>
          <t>DALARNAS LÄN</t>
        </is>
      </c>
      <c r="E257" t="inlineStr">
        <is>
          <t>LUDVIKA</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41394-2025</t>
        </is>
      </c>
      <c r="B258" s="1" t="n">
        <v>45901.31774305556</v>
      </c>
      <c r="C258" s="1" t="n">
        <v>45983</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32305-2024</t>
        </is>
      </c>
      <c r="B259" s="1" t="n">
        <v>45512</v>
      </c>
      <c r="C259" s="1" t="n">
        <v>45983</v>
      </c>
      <c r="D259" t="inlineStr">
        <is>
          <t>DALARNAS LÄN</t>
        </is>
      </c>
      <c r="E259" t="inlineStr">
        <is>
          <t>LUDVIKA</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32332-2024</t>
        </is>
      </c>
      <c r="B260" s="1" t="n">
        <v>45512.48011574074</v>
      </c>
      <c r="C260" s="1" t="n">
        <v>45983</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26320-2025</t>
        </is>
      </c>
      <c r="B261" s="1" t="n">
        <v>45805.65954861111</v>
      </c>
      <c r="C261" s="1" t="n">
        <v>45983</v>
      </c>
      <c r="D261" t="inlineStr">
        <is>
          <t>DALARNAS LÄN</t>
        </is>
      </c>
      <c r="E261" t="inlineStr">
        <is>
          <t>LUDVIKA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57230-2024</t>
        </is>
      </c>
      <c r="B262" s="1" t="n">
        <v>45629.54122685185</v>
      </c>
      <c r="C262" s="1" t="n">
        <v>45983</v>
      </c>
      <c r="D262" t="inlineStr">
        <is>
          <t>DALARNAS LÄN</t>
        </is>
      </c>
      <c r="E262" t="inlineStr">
        <is>
          <t>LUDVIKA</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26150-2025</t>
        </is>
      </c>
      <c r="B263" s="1" t="n">
        <v>45805</v>
      </c>
      <c r="C263" s="1" t="n">
        <v>45983</v>
      </c>
      <c r="D263" t="inlineStr">
        <is>
          <t>DALARNAS LÄN</t>
        </is>
      </c>
      <c r="E263" t="inlineStr">
        <is>
          <t>LUDVIKA</t>
        </is>
      </c>
      <c r="F263" t="inlineStr">
        <is>
          <t>Bergvik skog väst AB</t>
        </is>
      </c>
      <c r="G263" t="n">
        <v>3.9</v>
      </c>
      <c r="H263" t="n">
        <v>0</v>
      </c>
      <c r="I263" t="n">
        <v>0</v>
      </c>
      <c r="J263" t="n">
        <v>0</v>
      </c>
      <c r="K263" t="n">
        <v>0</v>
      </c>
      <c r="L263" t="n">
        <v>0</v>
      </c>
      <c r="M263" t="n">
        <v>0</v>
      </c>
      <c r="N263" t="n">
        <v>0</v>
      </c>
      <c r="O263" t="n">
        <v>0</v>
      </c>
      <c r="P263" t="n">
        <v>0</v>
      </c>
      <c r="Q263" t="n">
        <v>0</v>
      </c>
      <c r="R263" s="2" t="inlineStr"/>
    </row>
    <row r="264" ht="15" customHeight="1">
      <c r="A264" t="inlineStr">
        <is>
          <t>A 11797-2023</t>
        </is>
      </c>
      <c r="B264" s="1" t="n">
        <v>44994</v>
      </c>
      <c r="C264" s="1" t="n">
        <v>45983</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8703-2023</t>
        </is>
      </c>
      <c r="B265" s="1" t="n">
        <v>44978</v>
      </c>
      <c r="C265" s="1" t="n">
        <v>45983</v>
      </c>
      <c r="D265" t="inlineStr">
        <is>
          <t>DALARNAS LÄN</t>
        </is>
      </c>
      <c r="E265" t="inlineStr">
        <is>
          <t>LUDVIKA</t>
        </is>
      </c>
      <c r="G265" t="n">
        <v>0.5</v>
      </c>
      <c r="H265" t="n">
        <v>0</v>
      </c>
      <c r="I265" t="n">
        <v>0</v>
      </c>
      <c r="J265" t="n">
        <v>0</v>
      </c>
      <c r="K265" t="n">
        <v>0</v>
      </c>
      <c r="L265" t="n">
        <v>0</v>
      </c>
      <c r="M265" t="n">
        <v>0</v>
      </c>
      <c r="N265" t="n">
        <v>0</v>
      </c>
      <c r="O265" t="n">
        <v>0</v>
      </c>
      <c r="P265" t="n">
        <v>0</v>
      </c>
      <c r="Q265" t="n">
        <v>0</v>
      </c>
      <c r="R265" s="2" t="inlineStr"/>
    </row>
    <row r="266" ht="15" customHeight="1">
      <c r="A266" t="inlineStr">
        <is>
          <t>A 41828-2025</t>
        </is>
      </c>
      <c r="B266" s="1" t="n">
        <v>45902.67721064815</v>
      </c>
      <c r="C266" s="1" t="n">
        <v>45983</v>
      </c>
      <c r="D266" t="inlineStr">
        <is>
          <t>DALARNAS LÄN</t>
        </is>
      </c>
      <c r="E266" t="inlineStr">
        <is>
          <t>LUDVIKA</t>
        </is>
      </c>
      <c r="G266" t="n">
        <v>1.7</v>
      </c>
      <c r="H266" t="n">
        <v>0</v>
      </c>
      <c r="I266" t="n">
        <v>0</v>
      </c>
      <c r="J266" t="n">
        <v>0</v>
      </c>
      <c r="K266" t="n">
        <v>0</v>
      </c>
      <c r="L266" t="n">
        <v>0</v>
      </c>
      <c r="M266" t="n">
        <v>0</v>
      </c>
      <c r="N266" t="n">
        <v>0</v>
      </c>
      <c r="O266" t="n">
        <v>0</v>
      </c>
      <c r="P266" t="n">
        <v>0</v>
      </c>
      <c r="Q266" t="n">
        <v>0</v>
      </c>
      <c r="R266" s="2" t="inlineStr"/>
    </row>
    <row r="267" ht="15" customHeight="1">
      <c r="A267" t="inlineStr">
        <is>
          <t>A 74432-2021</t>
        </is>
      </c>
      <c r="B267" s="1" t="n">
        <v>44560.4366087963</v>
      </c>
      <c r="C267" s="1" t="n">
        <v>45983</v>
      </c>
      <c r="D267" t="inlineStr">
        <is>
          <t>DALARNAS LÄN</t>
        </is>
      </c>
      <c r="E267" t="inlineStr">
        <is>
          <t>LUDVIKA</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41731-2025</t>
        </is>
      </c>
      <c r="B268" s="1" t="n">
        <v>45902</v>
      </c>
      <c r="C268" s="1" t="n">
        <v>45983</v>
      </c>
      <c r="D268" t="inlineStr">
        <is>
          <t>DALARNAS LÄN</t>
        </is>
      </c>
      <c r="E268" t="inlineStr">
        <is>
          <t>LUDVIKA</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65195-2021</t>
        </is>
      </c>
      <c r="B269" s="1" t="n">
        <v>44515.48929398148</v>
      </c>
      <c r="C269" s="1" t="n">
        <v>45983</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11755-2023</t>
        </is>
      </c>
      <c r="B270" s="1" t="n">
        <v>44994</v>
      </c>
      <c r="C270" s="1" t="n">
        <v>45983</v>
      </c>
      <c r="D270" t="inlineStr">
        <is>
          <t>DALARNAS LÄN</t>
        </is>
      </c>
      <c r="E270" t="inlineStr">
        <is>
          <t>LUDVIKA</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41890-2025</t>
        </is>
      </c>
      <c r="B271" s="1" t="n">
        <v>45903</v>
      </c>
      <c r="C271" s="1" t="n">
        <v>45983</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41900-2025</t>
        </is>
      </c>
      <c r="B272" s="1" t="n">
        <v>45903.39708333334</v>
      </c>
      <c r="C272" s="1" t="n">
        <v>45983</v>
      </c>
      <c r="D272" t="inlineStr">
        <is>
          <t>DALARNAS LÄN</t>
        </is>
      </c>
      <c r="E272" t="inlineStr">
        <is>
          <t>LUDVIKA</t>
        </is>
      </c>
      <c r="F272" t="inlineStr">
        <is>
          <t>Bergvik skog väst AB</t>
        </is>
      </c>
      <c r="G272" t="n">
        <v>4</v>
      </c>
      <c r="H272" t="n">
        <v>0</v>
      </c>
      <c r="I272" t="n">
        <v>0</v>
      </c>
      <c r="J272" t="n">
        <v>0</v>
      </c>
      <c r="K272" t="n">
        <v>0</v>
      </c>
      <c r="L272" t="n">
        <v>0</v>
      </c>
      <c r="M272" t="n">
        <v>0</v>
      </c>
      <c r="N272" t="n">
        <v>0</v>
      </c>
      <c r="O272" t="n">
        <v>0</v>
      </c>
      <c r="P272" t="n">
        <v>0</v>
      </c>
      <c r="Q272" t="n">
        <v>0</v>
      </c>
      <c r="R272" s="2" t="inlineStr"/>
    </row>
    <row r="273" ht="15" customHeight="1">
      <c r="A273" t="inlineStr">
        <is>
          <t>A 26698-2025</t>
        </is>
      </c>
      <c r="B273" s="1" t="n">
        <v>45810.44368055555</v>
      </c>
      <c r="C273" s="1" t="n">
        <v>45983</v>
      </c>
      <c r="D273" t="inlineStr">
        <is>
          <t>DALARNAS LÄN</t>
        </is>
      </c>
      <c r="E273" t="inlineStr">
        <is>
          <t>LUDVIKA</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45983</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42213-2024</t>
        </is>
      </c>
      <c r="B275" s="1" t="n">
        <v>45562.53810185185</v>
      </c>
      <c r="C275" s="1" t="n">
        <v>45983</v>
      </c>
      <c r="D275" t="inlineStr">
        <is>
          <t>DALARNAS LÄN</t>
        </is>
      </c>
      <c r="E275" t="inlineStr">
        <is>
          <t>LUDVIKA</t>
        </is>
      </c>
      <c r="F275" t="inlineStr">
        <is>
          <t>Bergvik skog väst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42254-2024</t>
        </is>
      </c>
      <c r="B276" s="1" t="n">
        <v>45562.58427083334</v>
      </c>
      <c r="C276" s="1" t="n">
        <v>45983</v>
      </c>
      <c r="D276" t="inlineStr">
        <is>
          <t>DALARNAS LÄN</t>
        </is>
      </c>
      <c r="E276" t="inlineStr">
        <is>
          <t>LUDVIKA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42264-2025</t>
        </is>
      </c>
      <c r="B277" s="1" t="n">
        <v>45904.59947916667</v>
      </c>
      <c r="C277" s="1" t="n">
        <v>45983</v>
      </c>
      <c r="D277" t="inlineStr">
        <is>
          <t>DALARNAS LÄN</t>
        </is>
      </c>
      <c r="E277" t="inlineStr">
        <is>
          <t>LUDVIKA</t>
        </is>
      </c>
      <c r="F277" t="inlineStr">
        <is>
          <t>Bergvik skog väst AB</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26628-2025</t>
        </is>
      </c>
      <c r="B278" s="1" t="n">
        <v>45810.34362268518</v>
      </c>
      <c r="C278" s="1" t="n">
        <v>45983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26719-2025</t>
        </is>
      </c>
      <c r="B279" s="1" t="n">
        <v>45810</v>
      </c>
      <c r="C279" s="1" t="n">
        <v>45983</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26433-2025</t>
        </is>
      </c>
      <c r="B280" s="1" t="n">
        <v>45807.39702546296</v>
      </c>
      <c r="C280" s="1" t="n">
        <v>45983</v>
      </c>
      <c r="D280" t="inlineStr">
        <is>
          <t>DALARNAS LÄN</t>
        </is>
      </c>
      <c r="E280" t="inlineStr">
        <is>
          <t>LUDVIKA</t>
        </is>
      </c>
      <c r="G280" t="n">
        <v>0.6</v>
      </c>
      <c r="H280" t="n">
        <v>0</v>
      </c>
      <c r="I280" t="n">
        <v>0</v>
      </c>
      <c r="J280" t="n">
        <v>0</v>
      </c>
      <c r="K280" t="n">
        <v>0</v>
      </c>
      <c r="L280" t="n">
        <v>0</v>
      </c>
      <c r="M280" t="n">
        <v>0</v>
      </c>
      <c r="N280" t="n">
        <v>0</v>
      </c>
      <c r="O280" t="n">
        <v>0</v>
      </c>
      <c r="P280" t="n">
        <v>0</v>
      </c>
      <c r="Q280" t="n">
        <v>0</v>
      </c>
      <c r="R280" s="2" t="inlineStr"/>
    </row>
    <row r="281" ht="15" customHeight="1">
      <c r="A281" t="inlineStr">
        <is>
          <t>A 26794-2025</t>
        </is>
      </c>
      <c r="B281" s="1" t="n">
        <v>45810.59527777778</v>
      </c>
      <c r="C281" s="1" t="n">
        <v>45983</v>
      </c>
      <c r="D281" t="inlineStr">
        <is>
          <t>DALARNAS LÄN</t>
        </is>
      </c>
      <c r="E281" t="inlineStr">
        <is>
          <t>LUDVIKA</t>
        </is>
      </c>
      <c r="F281" t="inlineStr">
        <is>
          <t>Kommuner</t>
        </is>
      </c>
      <c r="G281" t="n">
        <v>3.1</v>
      </c>
      <c r="H281" t="n">
        <v>0</v>
      </c>
      <c r="I281" t="n">
        <v>0</v>
      </c>
      <c r="J281" t="n">
        <v>0</v>
      </c>
      <c r="K281" t="n">
        <v>0</v>
      </c>
      <c r="L281" t="n">
        <v>0</v>
      </c>
      <c r="M281" t="n">
        <v>0</v>
      </c>
      <c r="N281" t="n">
        <v>0</v>
      </c>
      <c r="O281" t="n">
        <v>0</v>
      </c>
      <c r="P281" t="n">
        <v>0</v>
      </c>
      <c r="Q281" t="n">
        <v>0</v>
      </c>
      <c r="R281" s="2" t="inlineStr"/>
    </row>
    <row r="282" ht="15" customHeight="1">
      <c r="A282" t="inlineStr">
        <is>
          <t>A 50444-2025</t>
        </is>
      </c>
      <c r="B282" s="1" t="n">
        <v>45944.93016203704</v>
      </c>
      <c r="C282" s="1" t="n">
        <v>45983</v>
      </c>
      <c r="D282" t="inlineStr">
        <is>
          <t>DALARNAS LÄN</t>
        </is>
      </c>
      <c r="E282" t="inlineStr">
        <is>
          <t>LUDVIKA</t>
        </is>
      </c>
      <c r="G282" t="n">
        <v>2.7</v>
      </c>
      <c r="H282" t="n">
        <v>0</v>
      </c>
      <c r="I282" t="n">
        <v>0</v>
      </c>
      <c r="J282" t="n">
        <v>0</v>
      </c>
      <c r="K282" t="n">
        <v>0</v>
      </c>
      <c r="L282" t="n">
        <v>0</v>
      </c>
      <c r="M282" t="n">
        <v>0</v>
      </c>
      <c r="N282" t="n">
        <v>0</v>
      </c>
      <c r="O282" t="n">
        <v>0</v>
      </c>
      <c r="P282" t="n">
        <v>0</v>
      </c>
      <c r="Q282" t="n">
        <v>0</v>
      </c>
      <c r="R282" s="2" t="inlineStr"/>
    </row>
    <row r="283" ht="15" customHeight="1">
      <c r="A283" t="inlineStr">
        <is>
          <t>A 44880-2024</t>
        </is>
      </c>
      <c r="B283" s="1" t="n">
        <v>45575.34820601852</v>
      </c>
      <c r="C283" s="1" t="n">
        <v>45983</v>
      </c>
      <c r="D283" t="inlineStr">
        <is>
          <t>DALARNAS LÄN</t>
        </is>
      </c>
      <c r="E283" t="inlineStr">
        <is>
          <t>LUDVIKA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41848-2025</t>
        </is>
      </c>
      <c r="B284" s="1" t="n">
        <v>45902.78278935186</v>
      </c>
      <c r="C284" s="1" t="n">
        <v>45983</v>
      </c>
      <c r="D284" t="inlineStr">
        <is>
          <t>DALARNAS LÄN</t>
        </is>
      </c>
      <c r="E284" t="inlineStr">
        <is>
          <t>LUDVIKA</t>
        </is>
      </c>
      <c r="G284" t="n">
        <v>2.9</v>
      </c>
      <c r="H284" t="n">
        <v>0</v>
      </c>
      <c r="I284" t="n">
        <v>0</v>
      </c>
      <c r="J284" t="n">
        <v>0</v>
      </c>
      <c r="K284" t="n">
        <v>0</v>
      </c>
      <c r="L284" t="n">
        <v>0</v>
      </c>
      <c r="M284" t="n">
        <v>0</v>
      </c>
      <c r="N284" t="n">
        <v>0</v>
      </c>
      <c r="O284" t="n">
        <v>0</v>
      </c>
      <c r="P284" t="n">
        <v>0</v>
      </c>
      <c r="Q284" t="n">
        <v>0</v>
      </c>
      <c r="R284" s="2" t="inlineStr"/>
    </row>
    <row r="285" ht="15" customHeight="1">
      <c r="A285" t="inlineStr">
        <is>
          <t>A 8162-2024</t>
        </is>
      </c>
      <c r="B285" s="1" t="n">
        <v>45349</v>
      </c>
      <c r="C285" s="1" t="n">
        <v>45983</v>
      </c>
      <c r="D285" t="inlineStr">
        <is>
          <t>DALARNAS LÄN</t>
        </is>
      </c>
      <c r="E285" t="inlineStr">
        <is>
          <t>LUDVIKA</t>
        </is>
      </c>
      <c r="F285" t="inlineStr">
        <is>
          <t>Allmännings- och besparingsskogar</t>
        </is>
      </c>
      <c r="G285" t="n">
        <v>6.9</v>
      </c>
      <c r="H285" t="n">
        <v>0</v>
      </c>
      <c r="I285" t="n">
        <v>0</v>
      </c>
      <c r="J285" t="n">
        <v>0</v>
      </c>
      <c r="K285" t="n">
        <v>0</v>
      </c>
      <c r="L285" t="n">
        <v>0</v>
      </c>
      <c r="M285" t="n">
        <v>0</v>
      </c>
      <c r="N285" t="n">
        <v>0</v>
      </c>
      <c r="O285" t="n">
        <v>0</v>
      </c>
      <c r="P285" t="n">
        <v>0</v>
      </c>
      <c r="Q285" t="n">
        <v>0</v>
      </c>
      <c r="R285" s="2" t="inlineStr"/>
      <c r="U285">
        <f>HYPERLINK("https://klasma.github.io/Logging_2085/knärot/A 8162-2024 karta knärot.png", "A 8162-2024")</f>
        <v/>
      </c>
      <c r="V285">
        <f>HYPERLINK("https://klasma.github.io/Logging_2085/klagomål/A 8162-2024 FSC-klagomål.docx", "A 8162-2024")</f>
        <v/>
      </c>
      <c r="W285">
        <f>HYPERLINK("https://klasma.github.io/Logging_2085/klagomålsmail/A 8162-2024 FSC-klagomål mail.docx", "A 8162-2024")</f>
        <v/>
      </c>
      <c r="X285">
        <f>HYPERLINK("https://klasma.github.io/Logging_2085/tillsyn/A 8162-2024 tillsynsbegäran.docx", "A 8162-2024")</f>
        <v/>
      </c>
      <c r="Y285">
        <f>HYPERLINK("https://klasma.github.io/Logging_2085/tillsynsmail/A 8162-2024 tillsynsbegäran mail.docx", "A 8162-2024")</f>
        <v/>
      </c>
    </row>
    <row r="286" ht="15" customHeight="1">
      <c r="A286" t="inlineStr">
        <is>
          <t>A 41866-2025</t>
        </is>
      </c>
      <c r="B286" s="1" t="n">
        <v>45903</v>
      </c>
      <c r="C286" s="1" t="n">
        <v>45983</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41916-2025</t>
        </is>
      </c>
      <c r="B287" s="1" t="n">
        <v>45903.41763888889</v>
      </c>
      <c r="C287" s="1" t="n">
        <v>45983</v>
      </c>
      <c r="D287" t="inlineStr">
        <is>
          <t>DALARNAS LÄN</t>
        </is>
      </c>
      <c r="E287" t="inlineStr">
        <is>
          <t>LUDVIKA</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33330-2024</t>
        </is>
      </c>
      <c r="B288" s="1" t="n">
        <v>45519</v>
      </c>
      <c r="C288" s="1" t="n">
        <v>45983</v>
      </c>
      <c r="D288" t="inlineStr">
        <is>
          <t>DALARNAS LÄN</t>
        </is>
      </c>
      <c r="E288" t="inlineStr">
        <is>
          <t>LUDVIKA</t>
        </is>
      </c>
      <c r="G288" t="n">
        <v>4.9</v>
      </c>
      <c r="H288" t="n">
        <v>0</v>
      </c>
      <c r="I288" t="n">
        <v>0</v>
      </c>
      <c r="J288" t="n">
        <v>0</v>
      </c>
      <c r="K288" t="n">
        <v>0</v>
      </c>
      <c r="L288" t="n">
        <v>0</v>
      </c>
      <c r="M288" t="n">
        <v>0</v>
      </c>
      <c r="N288" t="n">
        <v>0</v>
      </c>
      <c r="O288" t="n">
        <v>0</v>
      </c>
      <c r="P288" t="n">
        <v>0</v>
      </c>
      <c r="Q288" t="n">
        <v>0</v>
      </c>
      <c r="R288" s="2" t="inlineStr"/>
    </row>
    <row r="289" ht="15" customHeight="1">
      <c r="A289" t="inlineStr">
        <is>
          <t>A 42005-2025</t>
        </is>
      </c>
      <c r="B289" s="1" t="n">
        <v>45903.55486111111</v>
      </c>
      <c r="C289" s="1" t="n">
        <v>45983</v>
      </c>
      <c r="D289" t="inlineStr">
        <is>
          <t>DALARNAS LÄN</t>
        </is>
      </c>
      <c r="E289" t="inlineStr">
        <is>
          <t>LUDVIKA</t>
        </is>
      </c>
      <c r="F289" t="inlineStr">
        <is>
          <t>Bergvik skog väst AB</t>
        </is>
      </c>
      <c r="G289" t="n">
        <v>1.9</v>
      </c>
      <c r="H289" t="n">
        <v>0</v>
      </c>
      <c r="I289" t="n">
        <v>0</v>
      </c>
      <c r="J289" t="n">
        <v>0</v>
      </c>
      <c r="K289" t="n">
        <v>0</v>
      </c>
      <c r="L289" t="n">
        <v>0</v>
      </c>
      <c r="M289" t="n">
        <v>0</v>
      </c>
      <c r="N289" t="n">
        <v>0</v>
      </c>
      <c r="O289" t="n">
        <v>0</v>
      </c>
      <c r="P289" t="n">
        <v>0</v>
      </c>
      <c r="Q289" t="n">
        <v>0</v>
      </c>
      <c r="R289" s="2" t="inlineStr"/>
    </row>
    <row r="290" ht="15" customHeight="1">
      <c r="A290" t="inlineStr">
        <is>
          <t>A 27021-2025</t>
        </is>
      </c>
      <c r="B290" s="1" t="n">
        <v>45811.57329861111</v>
      </c>
      <c r="C290" s="1" t="n">
        <v>45983</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26942-2025</t>
        </is>
      </c>
      <c r="B291" s="1" t="n">
        <v>45811.42434027778</v>
      </c>
      <c r="C291" s="1" t="n">
        <v>45983</v>
      </c>
      <c r="D291" t="inlineStr">
        <is>
          <t>DALARNAS LÄN</t>
        </is>
      </c>
      <c r="E291" t="inlineStr">
        <is>
          <t>LUDVIKA</t>
        </is>
      </c>
      <c r="G291" t="n">
        <v>1.5</v>
      </c>
      <c r="H291" t="n">
        <v>0</v>
      </c>
      <c r="I291" t="n">
        <v>0</v>
      </c>
      <c r="J291" t="n">
        <v>0</v>
      </c>
      <c r="K291" t="n">
        <v>0</v>
      </c>
      <c r="L291" t="n">
        <v>0</v>
      </c>
      <c r="M291" t="n">
        <v>0</v>
      </c>
      <c r="N291" t="n">
        <v>0</v>
      </c>
      <c r="O291" t="n">
        <v>0</v>
      </c>
      <c r="P291" t="n">
        <v>0</v>
      </c>
      <c r="Q291" t="n">
        <v>0</v>
      </c>
      <c r="R291" s="2" t="inlineStr"/>
    </row>
    <row r="292" ht="15" customHeight="1">
      <c r="A292" t="inlineStr">
        <is>
          <t>A 43700-2024</t>
        </is>
      </c>
      <c r="B292" s="1" t="n">
        <v>45569.59005787037</v>
      </c>
      <c r="C292" s="1" t="n">
        <v>45983</v>
      </c>
      <c r="D292" t="inlineStr">
        <is>
          <t>DALARNAS LÄN</t>
        </is>
      </c>
      <c r="E292" t="inlineStr">
        <is>
          <t>LUDVIKA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27525-2025</t>
        </is>
      </c>
      <c r="B293" s="1" t="n">
        <v>45813</v>
      </c>
      <c r="C293" s="1" t="n">
        <v>45983</v>
      </c>
      <c r="D293" t="inlineStr">
        <is>
          <t>DALARNAS LÄN</t>
        </is>
      </c>
      <c r="E293" t="inlineStr">
        <is>
          <t>LUDVIKA</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27532-2025</t>
        </is>
      </c>
      <c r="B294" s="1" t="n">
        <v>45813</v>
      </c>
      <c r="C294" s="1" t="n">
        <v>45983</v>
      </c>
      <c r="D294" t="inlineStr">
        <is>
          <t>DALARNAS LÄN</t>
        </is>
      </c>
      <c r="E294" t="inlineStr">
        <is>
          <t>LUDVIKA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60668-2024</t>
        </is>
      </c>
      <c r="B295" s="1" t="n">
        <v>45644.45210648148</v>
      </c>
      <c r="C295" s="1" t="n">
        <v>45983</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56680-2022</t>
        </is>
      </c>
      <c r="B296" s="1" t="n">
        <v>44893.67267361111</v>
      </c>
      <c r="C296" s="1" t="n">
        <v>45983</v>
      </c>
      <c r="D296" t="inlineStr">
        <is>
          <t>DALARNAS LÄN</t>
        </is>
      </c>
      <c r="E296" t="inlineStr">
        <is>
          <t>LUDVIKA</t>
        </is>
      </c>
      <c r="G296" t="n">
        <v>0.4</v>
      </c>
      <c r="H296" t="n">
        <v>0</v>
      </c>
      <c r="I296" t="n">
        <v>0</v>
      </c>
      <c r="J296" t="n">
        <v>0</v>
      </c>
      <c r="K296" t="n">
        <v>0</v>
      </c>
      <c r="L296" t="n">
        <v>0</v>
      </c>
      <c r="M296" t="n">
        <v>0</v>
      </c>
      <c r="N296" t="n">
        <v>0</v>
      </c>
      <c r="O296" t="n">
        <v>0</v>
      </c>
      <c r="P296" t="n">
        <v>0</v>
      </c>
      <c r="Q296" t="n">
        <v>0</v>
      </c>
      <c r="R296" s="2" t="inlineStr"/>
    </row>
    <row r="297" ht="15" customHeight="1">
      <c r="A297" t="inlineStr">
        <is>
          <t>A 56685-2022</t>
        </is>
      </c>
      <c r="B297" s="1" t="n">
        <v>44893.675</v>
      </c>
      <c r="C297" s="1" t="n">
        <v>45983</v>
      </c>
      <c r="D297" t="inlineStr">
        <is>
          <t>DALARNAS LÄN</t>
        </is>
      </c>
      <c r="E297" t="inlineStr">
        <is>
          <t>LUDVIKA</t>
        </is>
      </c>
      <c r="G297" t="n">
        <v>0.6</v>
      </c>
      <c r="H297" t="n">
        <v>0</v>
      </c>
      <c r="I297" t="n">
        <v>0</v>
      </c>
      <c r="J297" t="n">
        <v>0</v>
      </c>
      <c r="K297" t="n">
        <v>0</v>
      </c>
      <c r="L297" t="n">
        <v>0</v>
      </c>
      <c r="M297" t="n">
        <v>0</v>
      </c>
      <c r="N297" t="n">
        <v>0</v>
      </c>
      <c r="O297" t="n">
        <v>0</v>
      </c>
      <c r="P297" t="n">
        <v>0</v>
      </c>
      <c r="Q297" t="n">
        <v>0</v>
      </c>
      <c r="R297" s="2" t="inlineStr"/>
    </row>
    <row r="298" ht="15" customHeight="1">
      <c r="A298" t="inlineStr">
        <is>
          <t>A 27506-2025</t>
        </is>
      </c>
      <c r="B298" s="1" t="n">
        <v>45813</v>
      </c>
      <c r="C298" s="1" t="n">
        <v>45983</v>
      </c>
      <c r="D298" t="inlineStr">
        <is>
          <t>DALARNAS LÄN</t>
        </is>
      </c>
      <c r="E298" t="inlineStr">
        <is>
          <t>LUDVIKA</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27616-2025</t>
        </is>
      </c>
      <c r="B299" s="1" t="n">
        <v>45813</v>
      </c>
      <c r="C299" s="1" t="n">
        <v>45983</v>
      </c>
      <c r="D299" t="inlineStr">
        <is>
          <t>DALARNAS LÄN</t>
        </is>
      </c>
      <c r="E299" t="inlineStr">
        <is>
          <t>LUDVIKA</t>
        </is>
      </c>
      <c r="F299" t="inlineStr">
        <is>
          <t>Bergvik skog väst AB</t>
        </is>
      </c>
      <c r="G299" t="n">
        <v>2.9</v>
      </c>
      <c r="H299" t="n">
        <v>0</v>
      </c>
      <c r="I299" t="n">
        <v>0</v>
      </c>
      <c r="J299" t="n">
        <v>0</v>
      </c>
      <c r="K299" t="n">
        <v>0</v>
      </c>
      <c r="L299" t="n">
        <v>0</v>
      </c>
      <c r="M299" t="n">
        <v>0</v>
      </c>
      <c r="N299" t="n">
        <v>0</v>
      </c>
      <c r="O299" t="n">
        <v>0</v>
      </c>
      <c r="P299" t="n">
        <v>0</v>
      </c>
      <c r="Q299" t="n">
        <v>0</v>
      </c>
      <c r="R299" s="2" t="inlineStr"/>
    </row>
    <row r="300" ht="15" customHeight="1">
      <c r="A300" t="inlineStr">
        <is>
          <t>A 27448-2025</t>
        </is>
      </c>
      <c r="B300" s="1" t="n">
        <v>45813</v>
      </c>
      <c r="C300" s="1" t="n">
        <v>45983</v>
      </c>
      <c r="D300" t="inlineStr">
        <is>
          <t>DALARNAS LÄN</t>
        </is>
      </c>
      <c r="E300" t="inlineStr">
        <is>
          <t>LUDVIKA</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27435-2025</t>
        </is>
      </c>
      <c r="B301" s="1" t="n">
        <v>45813</v>
      </c>
      <c r="C301" s="1" t="n">
        <v>45983</v>
      </c>
      <c r="D301" t="inlineStr">
        <is>
          <t>DALARNAS LÄN</t>
        </is>
      </c>
      <c r="E301" t="inlineStr">
        <is>
          <t>LUDVIKA</t>
        </is>
      </c>
      <c r="F301" t="inlineStr">
        <is>
          <t>Bergvik skog väst AB</t>
        </is>
      </c>
      <c r="G301" t="n">
        <v>6</v>
      </c>
      <c r="H301" t="n">
        <v>0</v>
      </c>
      <c r="I301" t="n">
        <v>0</v>
      </c>
      <c r="J301" t="n">
        <v>0</v>
      </c>
      <c r="K301" t="n">
        <v>0</v>
      </c>
      <c r="L301" t="n">
        <v>0</v>
      </c>
      <c r="M301" t="n">
        <v>0</v>
      </c>
      <c r="N301" t="n">
        <v>0</v>
      </c>
      <c r="O301" t="n">
        <v>0</v>
      </c>
      <c r="P301" t="n">
        <v>0</v>
      </c>
      <c r="Q301" t="n">
        <v>0</v>
      </c>
      <c r="R301" s="2" t="inlineStr"/>
    </row>
    <row r="302" ht="15" customHeight="1">
      <c r="A302" t="inlineStr">
        <is>
          <t>A 42346-2025</t>
        </is>
      </c>
      <c r="B302" s="1" t="n">
        <v>45904.75224537037</v>
      </c>
      <c r="C302" s="1" t="n">
        <v>45983</v>
      </c>
      <c r="D302" t="inlineStr">
        <is>
          <t>DALARNAS LÄN</t>
        </is>
      </c>
      <c r="E302" t="inlineStr">
        <is>
          <t>LUDVIKA</t>
        </is>
      </c>
      <c r="G302" t="n">
        <v>3</v>
      </c>
      <c r="H302" t="n">
        <v>0</v>
      </c>
      <c r="I302" t="n">
        <v>0</v>
      </c>
      <c r="J302" t="n">
        <v>0</v>
      </c>
      <c r="K302" t="n">
        <v>0</v>
      </c>
      <c r="L302" t="n">
        <v>0</v>
      </c>
      <c r="M302" t="n">
        <v>0</v>
      </c>
      <c r="N302" t="n">
        <v>0</v>
      </c>
      <c r="O302" t="n">
        <v>0</v>
      </c>
      <c r="P302" t="n">
        <v>0</v>
      </c>
      <c r="Q302" t="n">
        <v>0</v>
      </c>
      <c r="R302" s="2" t="inlineStr"/>
    </row>
    <row r="303" ht="15" customHeight="1">
      <c r="A303" t="inlineStr">
        <is>
          <t>A 15421-2025</t>
        </is>
      </c>
      <c r="B303" s="1" t="n">
        <v>45747.46331018519</v>
      </c>
      <c r="C303" s="1" t="n">
        <v>45983</v>
      </c>
      <c r="D303" t="inlineStr">
        <is>
          <t>DALARNAS LÄN</t>
        </is>
      </c>
      <c r="E303" t="inlineStr">
        <is>
          <t>LUDVIKA</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36338-2025</t>
        </is>
      </c>
      <c r="B304" s="1" t="n">
        <v>45868.4570949074</v>
      </c>
      <c r="C304" s="1" t="n">
        <v>45983</v>
      </c>
      <c r="D304" t="inlineStr">
        <is>
          <t>DALARNAS LÄN</t>
        </is>
      </c>
      <c r="E304" t="inlineStr">
        <is>
          <t>LUDVIKA</t>
        </is>
      </c>
      <c r="G304" t="n">
        <v>0.2</v>
      </c>
      <c r="H304" t="n">
        <v>0</v>
      </c>
      <c r="I304" t="n">
        <v>0</v>
      </c>
      <c r="J304" t="n">
        <v>0</v>
      </c>
      <c r="K304" t="n">
        <v>0</v>
      </c>
      <c r="L304" t="n">
        <v>0</v>
      </c>
      <c r="M304" t="n">
        <v>0</v>
      </c>
      <c r="N304" t="n">
        <v>0</v>
      </c>
      <c r="O304" t="n">
        <v>0</v>
      </c>
      <c r="P304" t="n">
        <v>0</v>
      </c>
      <c r="Q304" t="n">
        <v>0</v>
      </c>
      <c r="R304" s="2" t="inlineStr"/>
    </row>
    <row r="305" ht="15" customHeight="1">
      <c r="A305" t="inlineStr">
        <is>
          <t>A 42996-2025</t>
        </is>
      </c>
      <c r="B305" s="1" t="n">
        <v>45909.45607638889</v>
      </c>
      <c r="C305" s="1" t="n">
        <v>45983</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51029-2024</t>
        </is>
      </c>
      <c r="B306" s="1" t="n">
        <v>45603.42096064815</v>
      </c>
      <c r="C306" s="1" t="n">
        <v>45983</v>
      </c>
      <c r="D306" t="inlineStr">
        <is>
          <t>DALARNAS LÄN</t>
        </is>
      </c>
      <c r="E306" t="inlineStr">
        <is>
          <t>LUDVIKA</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43253-2025</t>
        </is>
      </c>
      <c r="B307" s="1" t="n">
        <v>45910</v>
      </c>
      <c r="C307" s="1" t="n">
        <v>45983</v>
      </c>
      <c r="D307" t="inlineStr">
        <is>
          <t>DALARNAS LÄN</t>
        </is>
      </c>
      <c r="E307" t="inlineStr">
        <is>
          <t>LUDVIKA</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28435-2025</t>
        </is>
      </c>
      <c r="B308" s="1" t="n">
        <v>45819</v>
      </c>
      <c r="C308" s="1" t="n">
        <v>45983</v>
      </c>
      <c r="D308" t="inlineStr">
        <is>
          <t>DALARNAS LÄN</t>
        </is>
      </c>
      <c r="E308" t="inlineStr">
        <is>
          <t>LUDVIKA</t>
        </is>
      </c>
      <c r="F308" t="inlineStr">
        <is>
          <t>Bergvik skog väst AB</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51823-2025</t>
        </is>
      </c>
      <c r="B309" s="1" t="n">
        <v>45952.01278935185</v>
      </c>
      <c r="C309" s="1" t="n">
        <v>45983</v>
      </c>
      <c r="D309" t="inlineStr">
        <is>
          <t>DALARNAS LÄN</t>
        </is>
      </c>
      <c r="E309" t="inlineStr">
        <is>
          <t>LUDVIKA</t>
        </is>
      </c>
      <c r="G309" t="n">
        <v>3.9</v>
      </c>
      <c r="H309" t="n">
        <v>0</v>
      </c>
      <c r="I309" t="n">
        <v>0</v>
      </c>
      <c r="J309" t="n">
        <v>0</v>
      </c>
      <c r="K309" t="n">
        <v>0</v>
      </c>
      <c r="L309" t="n">
        <v>0</v>
      </c>
      <c r="M309" t="n">
        <v>0</v>
      </c>
      <c r="N309" t="n">
        <v>0</v>
      </c>
      <c r="O309" t="n">
        <v>0</v>
      </c>
      <c r="P309" t="n">
        <v>0</v>
      </c>
      <c r="Q309" t="n">
        <v>0</v>
      </c>
      <c r="R309" s="2" t="inlineStr"/>
    </row>
    <row r="310" ht="15" customHeight="1">
      <c r="A310" t="inlineStr">
        <is>
          <t>A 28737-2025</t>
        </is>
      </c>
      <c r="B310" s="1" t="n">
        <v>45820.38174768518</v>
      </c>
      <c r="C310" s="1" t="n">
        <v>45983</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43145-2025</t>
        </is>
      </c>
      <c r="B311" s="1" t="n">
        <v>45910.3044212963</v>
      </c>
      <c r="C311" s="1" t="n">
        <v>45983</v>
      </c>
      <c r="D311" t="inlineStr">
        <is>
          <t>DALARNAS LÄN</t>
        </is>
      </c>
      <c r="E311" t="inlineStr">
        <is>
          <t>LUDVIKA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51865-2025</t>
        </is>
      </c>
      <c r="B312" s="1" t="n">
        <v>45952.37715277778</v>
      </c>
      <c r="C312" s="1" t="n">
        <v>45983</v>
      </c>
      <c r="D312" t="inlineStr">
        <is>
          <t>DALARNAS LÄN</t>
        </is>
      </c>
      <c r="E312" t="inlineStr">
        <is>
          <t>LUDVIKA</t>
        </is>
      </c>
      <c r="G312" t="n">
        <v>0.4</v>
      </c>
      <c r="H312" t="n">
        <v>0</v>
      </c>
      <c r="I312" t="n">
        <v>0</v>
      </c>
      <c r="J312" t="n">
        <v>0</v>
      </c>
      <c r="K312" t="n">
        <v>0</v>
      </c>
      <c r="L312" t="n">
        <v>0</v>
      </c>
      <c r="M312" t="n">
        <v>0</v>
      </c>
      <c r="N312" t="n">
        <v>0</v>
      </c>
      <c r="O312" t="n">
        <v>0</v>
      </c>
      <c r="P312" t="n">
        <v>0</v>
      </c>
      <c r="Q312" t="n">
        <v>0</v>
      </c>
      <c r="R312" s="2" t="inlineStr"/>
    </row>
    <row r="313" ht="15" customHeight="1">
      <c r="A313" t="inlineStr">
        <is>
          <t>A 18585-2023</t>
        </is>
      </c>
      <c r="B313" s="1" t="n">
        <v>45043.39247685186</v>
      </c>
      <c r="C313" s="1" t="n">
        <v>45983</v>
      </c>
      <c r="D313" t="inlineStr">
        <is>
          <t>DALARNAS LÄN</t>
        </is>
      </c>
      <c r="E313" t="inlineStr">
        <is>
          <t>LUDVIKA</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51622-2025</t>
        </is>
      </c>
      <c r="B314" s="1" t="n">
        <v>45951.41353009259</v>
      </c>
      <c r="C314" s="1" t="n">
        <v>45983</v>
      </c>
      <c r="D314" t="inlineStr">
        <is>
          <t>DALARNAS LÄN</t>
        </is>
      </c>
      <c r="E314" t="inlineStr">
        <is>
          <t>LUDVIKA</t>
        </is>
      </c>
      <c r="G314" t="n">
        <v>1</v>
      </c>
      <c r="H314" t="n">
        <v>0</v>
      </c>
      <c r="I314" t="n">
        <v>0</v>
      </c>
      <c r="J314" t="n">
        <v>0</v>
      </c>
      <c r="K314" t="n">
        <v>0</v>
      </c>
      <c r="L314" t="n">
        <v>0</v>
      </c>
      <c r="M314" t="n">
        <v>0</v>
      </c>
      <c r="N314" t="n">
        <v>0</v>
      </c>
      <c r="O314" t="n">
        <v>0</v>
      </c>
      <c r="P314" t="n">
        <v>0</v>
      </c>
      <c r="Q314" t="n">
        <v>0</v>
      </c>
      <c r="R314" s="2" t="inlineStr"/>
    </row>
    <row r="315" ht="15" customHeight="1">
      <c r="A315" t="inlineStr">
        <is>
          <t>A 42985-2025</t>
        </is>
      </c>
      <c r="B315" s="1" t="n">
        <v>45909.44322916667</v>
      </c>
      <c r="C315" s="1" t="n">
        <v>45983</v>
      </c>
      <c r="D315" t="inlineStr">
        <is>
          <t>DALARNAS LÄN</t>
        </is>
      </c>
      <c r="E315" t="inlineStr">
        <is>
          <t>LUDVIKA</t>
        </is>
      </c>
      <c r="G315" t="n">
        <v>1.7</v>
      </c>
      <c r="H315" t="n">
        <v>0</v>
      </c>
      <c r="I315" t="n">
        <v>0</v>
      </c>
      <c r="J315" t="n">
        <v>0</v>
      </c>
      <c r="K315" t="n">
        <v>0</v>
      </c>
      <c r="L315" t="n">
        <v>0</v>
      </c>
      <c r="M315" t="n">
        <v>0</v>
      </c>
      <c r="N315" t="n">
        <v>0</v>
      </c>
      <c r="O315" t="n">
        <v>0</v>
      </c>
      <c r="P315" t="n">
        <v>0</v>
      </c>
      <c r="Q315" t="n">
        <v>0</v>
      </c>
      <c r="R315" s="2" t="inlineStr"/>
    </row>
    <row r="316" ht="15" customHeight="1">
      <c r="A316" t="inlineStr">
        <is>
          <t>A 29443-2025</t>
        </is>
      </c>
      <c r="B316" s="1" t="n">
        <v>45824.66146990741</v>
      </c>
      <c r="C316" s="1" t="n">
        <v>45983</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9292-2021</t>
        </is>
      </c>
      <c r="B317" s="1" t="n">
        <v>44249</v>
      </c>
      <c r="C317" s="1" t="n">
        <v>45983</v>
      </c>
      <c r="D317" t="inlineStr">
        <is>
          <t>DALARNAS LÄN</t>
        </is>
      </c>
      <c r="E317" t="inlineStr">
        <is>
          <t>LUDVIKA</t>
        </is>
      </c>
      <c r="G317" t="n">
        <v>5.1</v>
      </c>
      <c r="H317" t="n">
        <v>0</v>
      </c>
      <c r="I317" t="n">
        <v>0</v>
      </c>
      <c r="J317" t="n">
        <v>0</v>
      </c>
      <c r="K317" t="n">
        <v>0</v>
      </c>
      <c r="L317" t="n">
        <v>0</v>
      </c>
      <c r="M317" t="n">
        <v>0</v>
      </c>
      <c r="N317" t="n">
        <v>0</v>
      </c>
      <c r="O317" t="n">
        <v>0</v>
      </c>
      <c r="P317" t="n">
        <v>0</v>
      </c>
      <c r="Q317" t="n">
        <v>0</v>
      </c>
      <c r="R317" s="2" t="inlineStr"/>
    </row>
    <row r="318" ht="15" customHeight="1">
      <c r="A318" t="inlineStr">
        <is>
          <t>A 43345-2025</t>
        </is>
      </c>
      <c r="B318" s="1" t="n">
        <v>45910.86336805556</v>
      </c>
      <c r="C318" s="1" t="n">
        <v>45983</v>
      </c>
      <c r="D318" t="inlineStr">
        <is>
          <t>DALARNAS LÄN</t>
        </is>
      </c>
      <c r="E318" t="inlineStr">
        <is>
          <t>LUDVIKA</t>
        </is>
      </c>
      <c r="G318" t="n">
        <v>4.6</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45983</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43479-2025</t>
        </is>
      </c>
      <c r="B320" s="1" t="n">
        <v>45911.49506944444</v>
      </c>
      <c r="C320" s="1" t="n">
        <v>45983</v>
      </c>
      <c r="D320" t="inlineStr">
        <is>
          <t>DALARNAS LÄN</t>
        </is>
      </c>
      <c r="E320" t="inlineStr">
        <is>
          <t>LUDVIKA</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43437-2025</t>
        </is>
      </c>
      <c r="B321" s="1" t="n">
        <v>45911.43200231482</v>
      </c>
      <c r="C321" s="1" t="n">
        <v>45983</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41616-2024</t>
        </is>
      </c>
      <c r="B322" s="1" t="n">
        <v>45560.59856481481</v>
      </c>
      <c r="C322" s="1" t="n">
        <v>45983</v>
      </c>
      <c r="D322" t="inlineStr">
        <is>
          <t>DALARNAS LÄN</t>
        </is>
      </c>
      <c r="E322" t="inlineStr">
        <is>
          <t>LUDVIKA</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29966-2025</t>
        </is>
      </c>
      <c r="B323" s="1" t="n">
        <v>45826</v>
      </c>
      <c r="C323" s="1" t="n">
        <v>45983</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43473-2025</t>
        </is>
      </c>
      <c r="B324" s="1" t="n">
        <v>45911.48769675926</v>
      </c>
      <c r="C324" s="1" t="n">
        <v>45983</v>
      </c>
      <c r="D324" t="inlineStr">
        <is>
          <t>DALARNAS LÄN</t>
        </is>
      </c>
      <c r="E324" t="inlineStr">
        <is>
          <t>LUDVIKA</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52556-2025</t>
        </is>
      </c>
      <c r="B325" s="1" t="n">
        <v>45954.56762731481</v>
      </c>
      <c r="C325" s="1" t="n">
        <v>45983</v>
      </c>
      <c r="D325" t="inlineStr">
        <is>
          <t>DALARNAS LÄN</t>
        </is>
      </c>
      <c r="E325" t="inlineStr">
        <is>
          <t>LUDVIKA</t>
        </is>
      </c>
      <c r="G325" t="n">
        <v>0.3</v>
      </c>
      <c r="H325" t="n">
        <v>0</v>
      </c>
      <c r="I325" t="n">
        <v>0</v>
      </c>
      <c r="J325" t="n">
        <v>0</v>
      </c>
      <c r="K325" t="n">
        <v>0</v>
      </c>
      <c r="L325" t="n">
        <v>0</v>
      </c>
      <c r="M325" t="n">
        <v>0</v>
      </c>
      <c r="N325" t="n">
        <v>0</v>
      </c>
      <c r="O325" t="n">
        <v>0</v>
      </c>
      <c r="P325" t="n">
        <v>0</v>
      </c>
      <c r="Q325" t="n">
        <v>0</v>
      </c>
      <c r="R325" s="2" t="inlineStr"/>
    </row>
    <row r="326" ht="15" customHeight="1">
      <c r="A326" t="inlineStr">
        <is>
          <t>A 52459-2025</t>
        </is>
      </c>
      <c r="B326" s="1" t="n">
        <v>45954.43126157407</v>
      </c>
      <c r="C326" s="1" t="n">
        <v>45983</v>
      </c>
      <c r="D326" t="inlineStr">
        <is>
          <t>DALARNAS LÄN</t>
        </is>
      </c>
      <c r="E326" t="inlineStr">
        <is>
          <t>LUDVIKA</t>
        </is>
      </c>
      <c r="F326" t="inlineStr">
        <is>
          <t>Övriga Aktiebolag</t>
        </is>
      </c>
      <c r="G326" t="n">
        <v>0.1</v>
      </c>
      <c r="H326" t="n">
        <v>0</v>
      </c>
      <c r="I326" t="n">
        <v>0</v>
      </c>
      <c r="J326" t="n">
        <v>0</v>
      </c>
      <c r="K326" t="n">
        <v>0</v>
      </c>
      <c r="L326" t="n">
        <v>0</v>
      </c>
      <c r="M326" t="n">
        <v>0</v>
      </c>
      <c r="N326" t="n">
        <v>0</v>
      </c>
      <c r="O326" t="n">
        <v>0</v>
      </c>
      <c r="P326" t="n">
        <v>0</v>
      </c>
      <c r="Q326" t="n">
        <v>0</v>
      </c>
      <c r="R326" s="2" t="inlineStr"/>
    </row>
    <row r="327" ht="15" customHeight="1">
      <c r="A327" t="inlineStr">
        <is>
          <t>A 52440-2025</t>
        </is>
      </c>
      <c r="B327" s="1" t="n">
        <v>45954.41153935185</v>
      </c>
      <c r="C327" s="1" t="n">
        <v>45983</v>
      </c>
      <c r="D327" t="inlineStr">
        <is>
          <t>DALARNAS LÄN</t>
        </is>
      </c>
      <c r="E327" t="inlineStr">
        <is>
          <t>LUDVIKA</t>
        </is>
      </c>
      <c r="F327" t="inlineStr">
        <is>
          <t>Naturvårdsverket</t>
        </is>
      </c>
      <c r="G327" t="n">
        <v>4.1</v>
      </c>
      <c r="H327" t="n">
        <v>0</v>
      </c>
      <c r="I327" t="n">
        <v>0</v>
      </c>
      <c r="J327" t="n">
        <v>0</v>
      </c>
      <c r="K327" t="n">
        <v>0</v>
      </c>
      <c r="L327" t="n">
        <v>0</v>
      </c>
      <c r="M327" t="n">
        <v>0</v>
      </c>
      <c r="N327" t="n">
        <v>0</v>
      </c>
      <c r="O327" t="n">
        <v>0</v>
      </c>
      <c r="P327" t="n">
        <v>0</v>
      </c>
      <c r="Q327" t="n">
        <v>0</v>
      </c>
      <c r="R327" s="2" t="inlineStr"/>
    </row>
    <row r="328" ht="15" customHeight="1">
      <c r="A328" t="inlineStr">
        <is>
          <t>A 29578-2025</t>
        </is>
      </c>
      <c r="B328" s="1" t="n">
        <v>45825.37844907407</v>
      </c>
      <c r="C328" s="1" t="n">
        <v>45983</v>
      </c>
      <c r="D328" t="inlineStr">
        <is>
          <t>DALARNAS LÄN</t>
        </is>
      </c>
      <c r="E328" t="inlineStr">
        <is>
          <t>LUDVIKA</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29918-2025</t>
        </is>
      </c>
      <c r="B329" s="1" t="n">
        <v>45826</v>
      </c>
      <c r="C329" s="1" t="n">
        <v>45983</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52458-2025</t>
        </is>
      </c>
      <c r="B330" s="1" t="n">
        <v>45954.43010416667</v>
      </c>
      <c r="C330" s="1" t="n">
        <v>45983</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43449-2025</t>
        </is>
      </c>
      <c r="B331" s="1" t="n">
        <v>45911</v>
      </c>
      <c r="C331" s="1" t="n">
        <v>45983</v>
      </c>
      <c r="D331" t="inlineStr">
        <is>
          <t>DALARNAS LÄN</t>
        </is>
      </c>
      <c r="E331" t="inlineStr">
        <is>
          <t>LUDVIKA</t>
        </is>
      </c>
      <c r="F331" t="inlineStr">
        <is>
          <t>Bergvik skog väst AB</t>
        </is>
      </c>
      <c r="G331" t="n">
        <v>6.2</v>
      </c>
      <c r="H331" t="n">
        <v>0</v>
      </c>
      <c r="I331" t="n">
        <v>0</v>
      </c>
      <c r="J331" t="n">
        <v>0</v>
      </c>
      <c r="K331" t="n">
        <v>0</v>
      </c>
      <c r="L331" t="n">
        <v>0</v>
      </c>
      <c r="M331" t="n">
        <v>0</v>
      </c>
      <c r="N331" t="n">
        <v>0</v>
      </c>
      <c r="O331" t="n">
        <v>0</v>
      </c>
      <c r="P331" t="n">
        <v>0</v>
      </c>
      <c r="Q331" t="n">
        <v>0</v>
      </c>
      <c r="R331" s="2" t="inlineStr"/>
    </row>
    <row r="332" ht="15" customHeight="1">
      <c r="A332" t="inlineStr">
        <is>
          <t>A 30288-2025</t>
        </is>
      </c>
      <c r="B332" s="1" t="n">
        <v>45827</v>
      </c>
      <c r="C332" s="1" t="n">
        <v>45983</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52427-2025</t>
        </is>
      </c>
      <c r="B333" s="1" t="n">
        <v>45954.38309027778</v>
      </c>
      <c r="C333" s="1" t="n">
        <v>45983</v>
      </c>
      <c r="D333" t="inlineStr">
        <is>
          <t>DALARNAS LÄN</t>
        </is>
      </c>
      <c r="E333" t="inlineStr">
        <is>
          <t>LUDVIKA</t>
        </is>
      </c>
      <c r="G333" t="n">
        <v>1.6</v>
      </c>
      <c r="H333" t="n">
        <v>0</v>
      </c>
      <c r="I333" t="n">
        <v>0</v>
      </c>
      <c r="J333" t="n">
        <v>0</v>
      </c>
      <c r="K333" t="n">
        <v>0</v>
      </c>
      <c r="L333" t="n">
        <v>0</v>
      </c>
      <c r="M333" t="n">
        <v>0</v>
      </c>
      <c r="N333" t="n">
        <v>0</v>
      </c>
      <c r="O333" t="n">
        <v>0</v>
      </c>
      <c r="P333" t="n">
        <v>0</v>
      </c>
      <c r="Q333" t="n">
        <v>0</v>
      </c>
      <c r="R333" s="2" t="inlineStr"/>
    </row>
    <row r="334" ht="15" customHeight="1">
      <c r="A334" t="inlineStr">
        <is>
          <t>A 43348-2025</t>
        </is>
      </c>
      <c r="B334" s="1" t="n">
        <v>45910.91788194444</v>
      </c>
      <c r="C334" s="1" t="n">
        <v>45983</v>
      </c>
      <c r="D334" t="inlineStr">
        <is>
          <t>DALARNAS LÄN</t>
        </is>
      </c>
      <c r="E334" t="inlineStr">
        <is>
          <t>LUDVIKA</t>
        </is>
      </c>
      <c r="G334" t="n">
        <v>4.3</v>
      </c>
      <c r="H334" t="n">
        <v>0</v>
      </c>
      <c r="I334" t="n">
        <v>0</v>
      </c>
      <c r="J334" t="n">
        <v>0</v>
      </c>
      <c r="K334" t="n">
        <v>0</v>
      </c>
      <c r="L334" t="n">
        <v>0</v>
      </c>
      <c r="M334" t="n">
        <v>0</v>
      </c>
      <c r="N334" t="n">
        <v>0</v>
      </c>
      <c r="O334" t="n">
        <v>0</v>
      </c>
      <c r="P334" t="n">
        <v>0</v>
      </c>
      <c r="Q334" t="n">
        <v>0</v>
      </c>
      <c r="R334" s="2" t="inlineStr"/>
    </row>
    <row r="335" ht="15" customHeight="1">
      <c r="A335" t="inlineStr">
        <is>
          <t>A 30399-2025</t>
        </is>
      </c>
      <c r="B335" s="1" t="n">
        <v>45827</v>
      </c>
      <c r="C335" s="1" t="n">
        <v>45983</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30417-2025</t>
        </is>
      </c>
      <c r="B336" s="1" t="n">
        <v>45827</v>
      </c>
      <c r="C336" s="1" t="n">
        <v>45983</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52552-2025</t>
        </is>
      </c>
      <c r="B337" s="1" t="n">
        <v>45954.56233796296</v>
      </c>
      <c r="C337" s="1" t="n">
        <v>45983</v>
      </c>
      <c r="D337" t="inlineStr">
        <is>
          <t>DALARNAS LÄN</t>
        </is>
      </c>
      <c r="E337" t="inlineStr">
        <is>
          <t>LUDVIKA</t>
        </is>
      </c>
      <c r="G337" t="n">
        <v>0.7</v>
      </c>
      <c r="H337" t="n">
        <v>0</v>
      </c>
      <c r="I337" t="n">
        <v>0</v>
      </c>
      <c r="J337" t="n">
        <v>0</v>
      </c>
      <c r="K337" t="n">
        <v>0</v>
      </c>
      <c r="L337" t="n">
        <v>0</v>
      </c>
      <c r="M337" t="n">
        <v>0</v>
      </c>
      <c r="N337" t="n">
        <v>0</v>
      </c>
      <c r="O337" t="n">
        <v>0</v>
      </c>
      <c r="P337" t="n">
        <v>0</v>
      </c>
      <c r="Q337" t="n">
        <v>0</v>
      </c>
      <c r="R337" s="2" t="inlineStr"/>
    </row>
    <row r="338" ht="15" customHeight="1">
      <c r="A338" t="inlineStr">
        <is>
          <t>A 21152-2023</t>
        </is>
      </c>
      <c r="B338" s="1" t="n">
        <v>45062.39581018518</v>
      </c>
      <c r="C338" s="1" t="n">
        <v>45983</v>
      </c>
      <c r="D338" t="inlineStr">
        <is>
          <t>DALARNAS LÄN</t>
        </is>
      </c>
      <c r="E338" t="inlineStr">
        <is>
          <t>LUDVIKA</t>
        </is>
      </c>
      <c r="F338" t="inlineStr">
        <is>
          <t>Bergvik skog väst AB</t>
        </is>
      </c>
      <c r="G338" t="n">
        <v>13.6</v>
      </c>
      <c r="H338" t="n">
        <v>0</v>
      </c>
      <c r="I338" t="n">
        <v>0</v>
      </c>
      <c r="J338" t="n">
        <v>0</v>
      </c>
      <c r="K338" t="n">
        <v>0</v>
      </c>
      <c r="L338" t="n">
        <v>0</v>
      </c>
      <c r="M338" t="n">
        <v>0</v>
      </c>
      <c r="N338" t="n">
        <v>0</v>
      </c>
      <c r="O338" t="n">
        <v>0</v>
      </c>
      <c r="P338" t="n">
        <v>0</v>
      </c>
      <c r="Q338" t="n">
        <v>0</v>
      </c>
      <c r="R338" s="2" t="inlineStr"/>
    </row>
    <row r="339" ht="15" customHeight="1">
      <c r="A339" t="inlineStr">
        <is>
          <t>A 43439-2025</t>
        </is>
      </c>
      <c r="B339" s="1" t="n">
        <v>45911.43902777778</v>
      </c>
      <c r="C339" s="1" t="n">
        <v>45983</v>
      </c>
      <c r="D339" t="inlineStr">
        <is>
          <t>DALARNAS LÄN</t>
        </is>
      </c>
      <c r="E339" t="inlineStr">
        <is>
          <t>LUDVIKA</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30324-2025</t>
        </is>
      </c>
      <c r="B340" s="1" t="n">
        <v>45827</v>
      </c>
      <c r="C340" s="1" t="n">
        <v>45983</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52912-2025</t>
        </is>
      </c>
      <c r="B341" s="1" t="n">
        <v>45954</v>
      </c>
      <c r="C341" s="1" t="n">
        <v>45983</v>
      </c>
      <c r="D341" t="inlineStr">
        <is>
          <t>DALARNAS LÄN</t>
        </is>
      </c>
      <c r="E341" t="inlineStr">
        <is>
          <t>LUDVIKA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44261-2025</t>
        </is>
      </c>
      <c r="B342" s="1" t="n">
        <v>45915.99416666666</v>
      </c>
      <c r="C342" s="1" t="n">
        <v>45983</v>
      </c>
      <c r="D342" t="inlineStr">
        <is>
          <t>DALARNAS LÄN</t>
        </is>
      </c>
      <c r="E342" t="inlineStr">
        <is>
          <t>LUDVIKA</t>
        </is>
      </c>
      <c r="G342" t="n">
        <v>1.8</v>
      </c>
      <c r="H342" t="n">
        <v>0</v>
      </c>
      <c r="I342" t="n">
        <v>0</v>
      </c>
      <c r="J342" t="n">
        <v>0</v>
      </c>
      <c r="K342" t="n">
        <v>0</v>
      </c>
      <c r="L342" t="n">
        <v>0</v>
      </c>
      <c r="M342" t="n">
        <v>0</v>
      </c>
      <c r="N342" t="n">
        <v>0</v>
      </c>
      <c r="O342" t="n">
        <v>0</v>
      </c>
      <c r="P342" t="n">
        <v>0</v>
      </c>
      <c r="Q342" t="n">
        <v>0</v>
      </c>
      <c r="R342" s="2" t="inlineStr"/>
    </row>
    <row r="343" ht="15" customHeight="1">
      <c r="A343" t="inlineStr">
        <is>
          <t>A 30562-2025</t>
        </is>
      </c>
      <c r="B343" s="1" t="n">
        <v>45831</v>
      </c>
      <c r="C343" s="1" t="n">
        <v>45983</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31144-2025</t>
        </is>
      </c>
      <c r="B344" s="1" t="n">
        <v>45832</v>
      </c>
      <c r="C344" s="1" t="n">
        <v>45983</v>
      </c>
      <c r="D344" t="inlineStr">
        <is>
          <t>DALARNAS LÄN</t>
        </is>
      </c>
      <c r="E344" t="inlineStr">
        <is>
          <t>LUDVIKA</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30813-2025</t>
        </is>
      </c>
      <c r="B345" s="1" t="n">
        <v>45831.6599537037</v>
      </c>
      <c r="C345" s="1" t="n">
        <v>45983</v>
      </c>
      <c r="D345" t="inlineStr">
        <is>
          <t>DALARNAS LÄN</t>
        </is>
      </c>
      <c r="E345" t="inlineStr">
        <is>
          <t>LUDVIKA</t>
        </is>
      </c>
      <c r="G345" t="n">
        <v>0.9</v>
      </c>
      <c r="H345" t="n">
        <v>0</v>
      </c>
      <c r="I345" t="n">
        <v>0</v>
      </c>
      <c r="J345" t="n">
        <v>0</v>
      </c>
      <c r="K345" t="n">
        <v>0</v>
      </c>
      <c r="L345" t="n">
        <v>0</v>
      </c>
      <c r="M345" t="n">
        <v>0</v>
      </c>
      <c r="N345" t="n">
        <v>0</v>
      </c>
      <c r="O345" t="n">
        <v>0</v>
      </c>
      <c r="P345" t="n">
        <v>0</v>
      </c>
      <c r="Q345" t="n">
        <v>0</v>
      </c>
      <c r="R345" s="2" t="inlineStr"/>
    </row>
    <row r="346" ht="15" customHeight="1">
      <c r="A346" t="inlineStr">
        <is>
          <t>A 49177-2024</t>
        </is>
      </c>
      <c r="B346" s="1" t="n">
        <v>45595.33203703703</v>
      </c>
      <c r="C346" s="1" t="n">
        <v>45983</v>
      </c>
      <c r="D346" t="inlineStr">
        <is>
          <t>DALARNAS LÄN</t>
        </is>
      </c>
      <c r="E346" t="inlineStr">
        <is>
          <t>LUDVIKA</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31001-2025</t>
        </is>
      </c>
      <c r="B347" s="1" t="n">
        <v>45832</v>
      </c>
      <c r="C347" s="1" t="n">
        <v>45983</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48003-2024</t>
        </is>
      </c>
      <c r="B348" s="1" t="n">
        <v>45589.44950231481</v>
      </c>
      <c r="C348" s="1" t="n">
        <v>45983</v>
      </c>
      <c r="D348" t="inlineStr">
        <is>
          <t>DALARNAS LÄN</t>
        </is>
      </c>
      <c r="E348" t="inlineStr">
        <is>
          <t>LUDVIKA</t>
        </is>
      </c>
      <c r="G348" t="n">
        <v>3.9</v>
      </c>
      <c r="H348" t="n">
        <v>0</v>
      </c>
      <c r="I348" t="n">
        <v>0</v>
      </c>
      <c r="J348" t="n">
        <v>0</v>
      </c>
      <c r="K348" t="n">
        <v>0</v>
      </c>
      <c r="L348" t="n">
        <v>0</v>
      </c>
      <c r="M348" t="n">
        <v>0</v>
      </c>
      <c r="N348" t="n">
        <v>0</v>
      </c>
      <c r="O348" t="n">
        <v>0</v>
      </c>
      <c r="P348" t="n">
        <v>0</v>
      </c>
      <c r="Q348" t="n">
        <v>0</v>
      </c>
      <c r="R348" s="2" t="inlineStr"/>
    </row>
    <row r="349" ht="15" customHeight="1">
      <c r="A349" t="inlineStr">
        <is>
          <t>A 30748-2025</t>
        </is>
      </c>
      <c r="B349" s="1" t="n">
        <v>45831.58627314815</v>
      </c>
      <c r="C349" s="1" t="n">
        <v>45983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30760-2025</t>
        </is>
      </c>
      <c r="B350" s="1" t="n">
        <v>45831.59947916667</v>
      </c>
      <c r="C350" s="1" t="n">
        <v>45983</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31039-2025</t>
        </is>
      </c>
      <c r="B351" s="1" t="n">
        <v>45832</v>
      </c>
      <c r="C351" s="1" t="n">
        <v>45983</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55472-2024</t>
        </is>
      </c>
      <c r="B352" s="1" t="n">
        <v>45622.43274305556</v>
      </c>
      <c r="C352" s="1" t="n">
        <v>45983</v>
      </c>
      <c r="D352" t="inlineStr">
        <is>
          <t>DALARNAS LÄN</t>
        </is>
      </c>
      <c r="E352" t="inlineStr">
        <is>
          <t>LUDVIKA</t>
        </is>
      </c>
      <c r="F352" t="inlineStr">
        <is>
          <t>Naturvårdsverket</t>
        </is>
      </c>
      <c r="G352" t="n">
        <v>1.5</v>
      </c>
      <c r="H352" t="n">
        <v>0</v>
      </c>
      <c r="I352" t="n">
        <v>0</v>
      </c>
      <c r="J352" t="n">
        <v>0</v>
      </c>
      <c r="K352" t="n">
        <v>0</v>
      </c>
      <c r="L352" t="n">
        <v>0</v>
      </c>
      <c r="M352" t="n">
        <v>0</v>
      </c>
      <c r="N352" t="n">
        <v>0</v>
      </c>
      <c r="O352" t="n">
        <v>0</v>
      </c>
      <c r="P352" t="n">
        <v>0</v>
      </c>
      <c r="Q352" t="n">
        <v>0</v>
      </c>
      <c r="R352" s="2" t="inlineStr"/>
    </row>
    <row r="353" ht="15" customHeight="1">
      <c r="A353" t="inlineStr">
        <is>
          <t>A 55485-2024</t>
        </is>
      </c>
      <c r="B353" s="1" t="n">
        <v>45622.44318287037</v>
      </c>
      <c r="C353" s="1" t="n">
        <v>45983</v>
      </c>
      <c r="D353" t="inlineStr">
        <is>
          <t>DALARNAS LÄN</t>
        </is>
      </c>
      <c r="E353" t="inlineStr">
        <is>
          <t>LUDVIKA</t>
        </is>
      </c>
      <c r="F353" t="inlineStr">
        <is>
          <t>Naturvårdsverket</t>
        </is>
      </c>
      <c r="G353" t="n">
        <v>0.3</v>
      </c>
      <c r="H353" t="n">
        <v>0</v>
      </c>
      <c r="I353" t="n">
        <v>0</v>
      </c>
      <c r="J353" t="n">
        <v>0</v>
      </c>
      <c r="K353" t="n">
        <v>0</v>
      </c>
      <c r="L353" t="n">
        <v>0</v>
      </c>
      <c r="M353" t="n">
        <v>0</v>
      </c>
      <c r="N353" t="n">
        <v>0</v>
      </c>
      <c r="O353" t="n">
        <v>0</v>
      </c>
      <c r="P353" t="n">
        <v>0</v>
      </c>
      <c r="Q353" t="n">
        <v>0</v>
      </c>
      <c r="R353" s="2" t="inlineStr"/>
    </row>
    <row r="354" ht="15" customHeight="1">
      <c r="A354" t="inlineStr">
        <is>
          <t>A 31380-2025</t>
        </is>
      </c>
      <c r="B354" s="1" t="n">
        <v>45833</v>
      </c>
      <c r="C354" s="1" t="n">
        <v>45983</v>
      </c>
      <c r="D354" t="inlineStr">
        <is>
          <t>DALARNAS LÄN</t>
        </is>
      </c>
      <c r="E354" t="inlineStr">
        <is>
          <t>LUDVIKA</t>
        </is>
      </c>
      <c r="G354" t="n">
        <v>2.6</v>
      </c>
      <c r="H354" t="n">
        <v>0</v>
      </c>
      <c r="I354" t="n">
        <v>0</v>
      </c>
      <c r="J354" t="n">
        <v>0</v>
      </c>
      <c r="K354" t="n">
        <v>0</v>
      </c>
      <c r="L354" t="n">
        <v>0</v>
      </c>
      <c r="M354" t="n">
        <v>0</v>
      </c>
      <c r="N354" t="n">
        <v>0</v>
      </c>
      <c r="O354" t="n">
        <v>0</v>
      </c>
      <c r="P354" t="n">
        <v>0</v>
      </c>
      <c r="Q354" t="n">
        <v>0</v>
      </c>
      <c r="R354" s="2" t="inlineStr"/>
    </row>
    <row r="355" ht="15" customHeight="1">
      <c r="A355" t="inlineStr">
        <is>
          <t>A 31818-2025</t>
        </is>
      </c>
      <c r="B355" s="1" t="n">
        <v>45834.57716435185</v>
      </c>
      <c r="C355" s="1" t="n">
        <v>45983</v>
      </c>
      <c r="D355" t="inlineStr">
        <is>
          <t>DALARNAS LÄN</t>
        </is>
      </c>
      <c r="E355" t="inlineStr">
        <is>
          <t>LUDVIKA</t>
        </is>
      </c>
      <c r="G355" t="n">
        <v>2.5</v>
      </c>
      <c r="H355" t="n">
        <v>0</v>
      </c>
      <c r="I355" t="n">
        <v>0</v>
      </c>
      <c r="J355" t="n">
        <v>0</v>
      </c>
      <c r="K355" t="n">
        <v>0</v>
      </c>
      <c r="L355" t="n">
        <v>0</v>
      </c>
      <c r="M355" t="n">
        <v>0</v>
      </c>
      <c r="N355" t="n">
        <v>0</v>
      </c>
      <c r="O355" t="n">
        <v>0</v>
      </c>
      <c r="P355" t="n">
        <v>0</v>
      </c>
      <c r="Q355" t="n">
        <v>0</v>
      </c>
      <c r="R355" s="2" t="inlineStr"/>
    </row>
    <row r="356" ht="15" customHeight="1">
      <c r="A356" t="inlineStr">
        <is>
          <t>A 52724-2025</t>
        </is>
      </c>
      <c r="B356" s="1" t="n">
        <v>45957.34634259259</v>
      </c>
      <c r="C356" s="1" t="n">
        <v>45983</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17998-2025</t>
        </is>
      </c>
      <c r="B357" s="1" t="n">
        <v>45761</v>
      </c>
      <c r="C357" s="1" t="n">
        <v>45983</v>
      </c>
      <c r="D357" t="inlineStr">
        <is>
          <t>DALARNAS LÄN</t>
        </is>
      </c>
      <c r="E357" t="inlineStr">
        <is>
          <t>LUDVIKA</t>
        </is>
      </c>
      <c r="F357" t="inlineStr">
        <is>
          <t>Naturvårdsverket</t>
        </is>
      </c>
      <c r="G357" t="n">
        <v>1.8</v>
      </c>
      <c r="H357" t="n">
        <v>0</v>
      </c>
      <c r="I357" t="n">
        <v>0</v>
      </c>
      <c r="J357" t="n">
        <v>0</v>
      </c>
      <c r="K357" t="n">
        <v>0</v>
      </c>
      <c r="L357" t="n">
        <v>0</v>
      </c>
      <c r="M357" t="n">
        <v>0</v>
      </c>
      <c r="N357" t="n">
        <v>0</v>
      </c>
      <c r="O357" t="n">
        <v>0</v>
      </c>
      <c r="P357" t="n">
        <v>0</v>
      </c>
      <c r="Q357" t="n">
        <v>0</v>
      </c>
      <c r="R357" s="2" t="inlineStr"/>
    </row>
    <row r="358" ht="15" customHeight="1">
      <c r="A358" t="inlineStr">
        <is>
          <t>A 3170-2025</t>
        </is>
      </c>
      <c r="B358" s="1" t="n">
        <v>45679.36682870371</v>
      </c>
      <c r="C358" s="1" t="n">
        <v>45983</v>
      </c>
      <c r="D358" t="inlineStr">
        <is>
          <t>DALARNAS LÄN</t>
        </is>
      </c>
      <c r="E358" t="inlineStr">
        <is>
          <t>LUDVIKA</t>
        </is>
      </c>
      <c r="G358" t="n">
        <v>5.4</v>
      </c>
      <c r="H358" t="n">
        <v>0</v>
      </c>
      <c r="I358" t="n">
        <v>0</v>
      </c>
      <c r="J358" t="n">
        <v>0</v>
      </c>
      <c r="K358" t="n">
        <v>0</v>
      </c>
      <c r="L358" t="n">
        <v>0</v>
      </c>
      <c r="M358" t="n">
        <v>0</v>
      </c>
      <c r="N358" t="n">
        <v>0</v>
      </c>
      <c r="O358" t="n">
        <v>0</v>
      </c>
      <c r="P358" t="n">
        <v>0</v>
      </c>
      <c r="Q358" t="n">
        <v>0</v>
      </c>
      <c r="R358" s="2" t="inlineStr"/>
    </row>
    <row r="359" ht="15" customHeight="1">
      <c r="A359" t="inlineStr">
        <is>
          <t>A 44262-2025</t>
        </is>
      </c>
      <c r="B359" s="1" t="n">
        <v>45916.0008912037</v>
      </c>
      <c r="C359" s="1" t="n">
        <v>45983</v>
      </c>
      <c r="D359" t="inlineStr">
        <is>
          <t>DALARNAS LÄN</t>
        </is>
      </c>
      <c r="E359" t="inlineStr">
        <is>
          <t>LUDVIKA</t>
        </is>
      </c>
      <c r="G359" t="n">
        <v>3</v>
      </c>
      <c r="H359" t="n">
        <v>0</v>
      </c>
      <c r="I359" t="n">
        <v>0</v>
      </c>
      <c r="J359" t="n">
        <v>0</v>
      </c>
      <c r="K359" t="n">
        <v>0</v>
      </c>
      <c r="L359" t="n">
        <v>0</v>
      </c>
      <c r="M359" t="n">
        <v>0</v>
      </c>
      <c r="N359" t="n">
        <v>0</v>
      </c>
      <c r="O359" t="n">
        <v>0</v>
      </c>
      <c r="P359" t="n">
        <v>0</v>
      </c>
      <c r="Q359" t="n">
        <v>0</v>
      </c>
      <c r="R359" s="2" t="inlineStr"/>
    </row>
    <row r="360" ht="15" customHeight="1">
      <c r="A360" t="inlineStr">
        <is>
          <t>A 48925-2024</t>
        </is>
      </c>
      <c r="B360" s="1" t="n">
        <v>45594.37643518519</v>
      </c>
      <c r="C360" s="1" t="n">
        <v>45983</v>
      </c>
      <c r="D360" t="inlineStr">
        <is>
          <t>DALARNAS LÄN</t>
        </is>
      </c>
      <c r="E360" t="inlineStr">
        <is>
          <t>LUDVIKA</t>
        </is>
      </c>
      <c r="F360" t="inlineStr">
        <is>
          <t>Bergvik skog väst AB</t>
        </is>
      </c>
      <c r="G360" t="n">
        <v>5.9</v>
      </c>
      <c r="H360" t="n">
        <v>0</v>
      </c>
      <c r="I360" t="n">
        <v>0</v>
      </c>
      <c r="J360" t="n">
        <v>0</v>
      </c>
      <c r="K360" t="n">
        <v>0</v>
      </c>
      <c r="L360" t="n">
        <v>0</v>
      </c>
      <c r="M360" t="n">
        <v>0</v>
      </c>
      <c r="N360" t="n">
        <v>0</v>
      </c>
      <c r="O360" t="n">
        <v>0</v>
      </c>
      <c r="P360" t="n">
        <v>0</v>
      </c>
      <c r="Q360" t="n">
        <v>0</v>
      </c>
      <c r="R360" s="2" t="inlineStr"/>
    </row>
    <row r="361" ht="15" customHeight="1">
      <c r="A361" t="inlineStr">
        <is>
          <t>A 43925-2025</t>
        </is>
      </c>
      <c r="B361" s="1" t="n">
        <v>45915</v>
      </c>
      <c r="C361" s="1" t="n">
        <v>45983</v>
      </c>
      <c r="D361" t="inlineStr">
        <is>
          <t>DALARNAS LÄN</t>
        </is>
      </c>
      <c r="E361" t="inlineStr">
        <is>
          <t>LUDVIKA</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47671-2024</t>
        </is>
      </c>
      <c r="B362" s="1" t="n">
        <v>45588.39844907408</v>
      </c>
      <c r="C362" s="1" t="n">
        <v>45983</v>
      </c>
      <c r="D362" t="inlineStr">
        <is>
          <t>DALARNAS LÄN</t>
        </is>
      </c>
      <c r="E362" t="inlineStr">
        <is>
          <t>LUDVIKA</t>
        </is>
      </c>
      <c r="G362" t="n">
        <v>2.9</v>
      </c>
      <c r="H362" t="n">
        <v>0</v>
      </c>
      <c r="I362" t="n">
        <v>0</v>
      </c>
      <c r="J362" t="n">
        <v>0</v>
      </c>
      <c r="K362" t="n">
        <v>0</v>
      </c>
      <c r="L362" t="n">
        <v>0</v>
      </c>
      <c r="M362" t="n">
        <v>0</v>
      </c>
      <c r="N362" t="n">
        <v>0</v>
      </c>
      <c r="O362" t="n">
        <v>0</v>
      </c>
      <c r="P362" t="n">
        <v>0</v>
      </c>
      <c r="Q362" t="n">
        <v>0</v>
      </c>
      <c r="R362" s="2" t="inlineStr"/>
    </row>
    <row r="363" ht="15" customHeight="1">
      <c r="A363" t="inlineStr">
        <is>
          <t>A 32019-2025</t>
        </is>
      </c>
      <c r="B363" s="1" t="n">
        <v>45835</v>
      </c>
      <c r="C363" s="1" t="n">
        <v>45983</v>
      </c>
      <c r="D363" t="inlineStr">
        <is>
          <t>DALARNAS LÄN</t>
        </is>
      </c>
      <c r="E363" t="inlineStr">
        <is>
          <t>LUDVIKA</t>
        </is>
      </c>
      <c r="F363" t="inlineStr">
        <is>
          <t>Bergvik skog väst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32224-2025</t>
        </is>
      </c>
      <c r="B364" s="1" t="n">
        <v>45835</v>
      </c>
      <c r="C364" s="1" t="n">
        <v>45983</v>
      </c>
      <c r="D364" t="inlineStr">
        <is>
          <t>DALARNAS LÄN</t>
        </is>
      </c>
      <c r="E364" t="inlineStr">
        <is>
          <t>LUDVIKA</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45559-2024</t>
        </is>
      </c>
      <c r="B365" s="1" t="n">
        <v>45579.35708333334</v>
      </c>
      <c r="C365" s="1" t="n">
        <v>45983</v>
      </c>
      <c r="D365" t="inlineStr">
        <is>
          <t>DALARNAS LÄN</t>
        </is>
      </c>
      <c r="E365" t="inlineStr">
        <is>
          <t>LUDVIKA</t>
        </is>
      </c>
      <c r="G365" t="n">
        <v>0.8</v>
      </c>
      <c r="H365" t="n">
        <v>0</v>
      </c>
      <c r="I365" t="n">
        <v>0</v>
      </c>
      <c r="J365" t="n">
        <v>0</v>
      </c>
      <c r="K365" t="n">
        <v>0</v>
      </c>
      <c r="L365" t="n">
        <v>0</v>
      </c>
      <c r="M365" t="n">
        <v>0</v>
      </c>
      <c r="N365" t="n">
        <v>0</v>
      </c>
      <c r="O365" t="n">
        <v>0</v>
      </c>
      <c r="P365" t="n">
        <v>0</v>
      </c>
      <c r="Q365" t="n">
        <v>0</v>
      </c>
      <c r="R365" s="2" t="inlineStr"/>
    </row>
    <row r="366" ht="15" customHeight="1">
      <c r="A366" t="inlineStr">
        <is>
          <t>A 44987-2025</t>
        </is>
      </c>
      <c r="B366" s="1" t="n">
        <v>45918.65405092593</v>
      </c>
      <c r="C366" s="1" t="n">
        <v>45983</v>
      </c>
      <c r="D366" t="inlineStr">
        <is>
          <t>DALARNAS LÄN</t>
        </is>
      </c>
      <c r="E366" t="inlineStr">
        <is>
          <t>LUDVIKA</t>
        </is>
      </c>
      <c r="F366" t="inlineStr">
        <is>
          <t>Bergvik skog väst AB</t>
        </is>
      </c>
      <c r="G366" t="n">
        <v>12.9</v>
      </c>
      <c r="H366" t="n">
        <v>0</v>
      </c>
      <c r="I366" t="n">
        <v>0</v>
      </c>
      <c r="J366" t="n">
        <v>0</v>
      </c>
      <c r="K366" t="n">
        <v>0</v>
      </c>
      <c r="L366" t="n">
        <v>0</v>
      </c>
      <c r="M366" t="n">
        <v>0</v>
      </c>
      <c r="N366" t="n">
        <v>0</v>
      </c>
      <c r="O366" t="n">
        <v>0</v>
      </c>
      <c r="P366" t="n">
        <v>0</v>
      </c>
      <c r="Q366" t="n">
        <v>0</v>
      </c>
      <c r="R366" s="2" t="inlineStr"/>
    </row>
    <row r="367" ht="15" customHeight="1">
      <c r="A367" t="inlineStr">
        <is>
          <t>A 44690-2025</t>
        </is>
      </c>
      <c r="B367" s="1" t="n">
        <v>45917.59390046296</v>
      </c>
      <c r="C367" s="1" t="n">
        <v>45983</v>
      </c>
      <c r="D367" t="inlineStr">
        <is>
          <t>DALARNAS LÄN</t>
        </is>
      </c>
      <c r="E367" t="inlineStr">
        <is>
          <t>LUDVIKA</t>
        </is>
      </c>
      <c r="G367" t="n">
        <v>1.6</v>
      </c>
      <c r="H367" t="n">
        <v>0</v>
      </c>
      <c r="I367" t="n">
        <v>0</v>
      </c>
      <c r="J367" t="n">
        <v>0</v>
      </c>
      <c r="K367" t="n">
        <v>0</v>
      </c>
      <c r="L367" t="n">
        <v>0</v>
      </c>
      <c r="M367" t="n">
        <v>0</v>
      </c>
      <c r="N367" t="n">
        <v>0</v>
      </c>
      <c r="O367" t="n">
        <v>0</v>
      </c>
      <c r="P367" t="n">
        <v>0</v>
      </c>
      <c r="Q367" t="n">
        <v>0</v>
      </c>
      <c r="R367" s="2" t="inlineStr"/>
    </row>
    <row r="368" ht="15" customHeight="1">
      <c r="A368" t="inlineStr">
        <is>
          <t>A 32424-2025</t>
        </is>
      </c>
      <c r="B368" s="1" t="n">
        <v>45838</v>
      </c>
      <c r="C368" s="1" t="n">
        <v>45983</v>
      </c>
      <c r="D368" t="inlineStr">
        <is>
          <t>DALARNAS LÄN</t>
        </is>
      </c>
      <c r="E368" t="inlineStr">
        <is>
          <t>LUDVIKA</t>
        </is>
      </c>
      <c r="F368" t="inlineStr">
        <is>
          <t>Bergvik skog väst AB</t>
        </is>
      </c>
      <c r="G368" t="n">
        <v>10.9</v>
      </c>
      <c r="H368" t="n">
        <v>0</v>
      </c>
      <c r="I368" t="n">
        <v>0</v>
      </c>
      <c r="J368" t="n">
        <v>0</v>
      </c>
      <c r="K368" t="n">
        <v>0</v>
      </c>
      <c r="L368" t="n">
        <v>0</v>
      </c>
      <c r="M368" t="n">
        <v>0</v>
      </c>
      <c r="N368" t="n">
        <v>0</v>
      </c>
      <c r="O368" t="n">
        <v>0</v>
      </c>
      <c r="P368" t="n">
        <v>0</v>
      </c>
      <c r="Q368" t="n">
        <v>0</v>
      </c>
      <c r="R368" s="2" t="inlineStr"/>
    </row>
    <row r="369" ht="15" customHeight="1">
      <c r="A369" t="inlineStr">
        <is>
          <t>A 33244-2025</t>
        </is>
      </c>
      <c r="B369" s="1" t="n">
        <v>45840</v>
      </c>
      <c r="C369" s="1" t="n">
        <v>45983</v>
      </c>
      <c r="D369" t="inlineStr">
        <is>
          <t>DALARNAS LÄN</t>
        </is>
      </c>
      <c r="E369" t="inlineStr">
        <is>
          <t>LUDVIKA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44879-2025</t>
        </is>
      </c>
      <c r="B370" s="1" t="n">
        <v>45918.47898148148</v>
      </c>
      <c r="C370" s="1" t="n">
        <v>45983</v>
      </c>
      <c r="D370" t="inlineStr">
        <is>
          <t>DALARNAS LÄN</t>
        </is>
      </c>
      <c r="E370" t="inlineStr">
        <is>
          <t>LUDVIKA</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33249-2025</t>
        </is>
      </c>
      <c r="B371" s="1" t="n">
        <v>45840</v>
      </c>
      <c r="C371" s="1" t="n">
        <v>45983</v>
      </c>
      <c r="D371" t="inlineStr">
        <is>
          <t>DALARNAS LÄN</t>
        </is>
      </c>
      <c r="E371" t="inlineStr">
        <is>
          <t>LUDVIKA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33063-2025</t>
        </is>
      </c>
      <c r="B372" s="1" t="n">
        <v>45840</v>
      </c>
      <c r="C372" s="1" t="n">
        <v>45983</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53558-2025</t>
        </is>
      </c>
      <c r="B373" s="1" t="n">
        <v>45960</v>
      </c>
      <c r="C373" s="1" t="n">
        <v>45983</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45259-2025</t>
        </is>
      </c>
      <c r="B374" s="1" t="n">
        <v>45919</v>
      </c>
      <c r="C374" s="1" t="n">
        <v>45983</v>
      </c>
      <c r="D374" t="inlineStr">
        <is>
          <t>DALARNAS LÄN</t>
        </is>
      </c>
      <c r="E374" t="inlineStr">
        <is>
          <t>LUDVIKA</t>
        </is>
      </c>
      <c r="F374" t="inlineStr">
        <is>
          <t>Bergvik skog väst AB</t>
        </is>
      </c>
      <c r="G374" t="n">
        <v>3.3</v>
      </c>
      <c r="H374" t="n">
        <v>0</v>
      </c>
      <c r="I374" t="n">
        <v>0</v>
      </c>
      <c r="J374" t="n">
        <v>0</v>
      </c>
      <c r="K374" t="n">
        <v>0</v>
      </c>
      <c r="L374" t="n">
        <v>0</v>
      </c>
      <c r="M374" t="n">
        <v>0</v>
      </c>
      <c r="N374" t="n">
        <v>0</v>
      </c>
      <c r="O374" t="n">
        <v>0</v>
      </c>
      <c r="P374" t="n">
        <v>0</v>
      </c>
      <c r="Q374" t="n">
        <v>0</v>
      </c>
      <c r="R374" s="2" t="inlineStr"/>
    </row>
    <row r="375" ht="15" customHeight="1">
      <c r="A375" t="inlineStr">
        <is>
          <t>A 53548-2025</t>
        </is>
      </c>
      <c r="B375" s="1" t="n">
        <v>45960</v>
      </c>
      <c r="C375" s="1" t="n">
        <v>45983</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49676-2024</t>
        </is>
      </c>
      <c r="B376" s="1" t="n">
        <v>45596.66278935185</v>
      </c>
      <c r="C376" s="1" t="n">
        <v>45983</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53554-2025</t>
        </is>
      </c>
      <c r="B377" s="1" t="n">
        <v>45960</v>
      </c>
      <c r="C377" s="1" t="n">
        <v>45983</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43539-2025</t>
        </is>
      </c>
      <c r="B378" s="1" t="n">
        <v>45911</v>
      </c>
      <c r="C378" s="1" t="n">
        <v>45983</v>
      </c>
      <c r="D378" t="inlineStr">
        <is>
          <t>DALARNAS LÄN</t>
        </is>
      </c>
      <c r="E378" t="inlineStr">
        <is>
          <t>LUDVIKA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14046-2025</t>
        </is>
      </c>
      <c r="B379" s="1" t="n">
        <v>45740.37754629629</v>
      </c>
      <c r="C379" s="1" t="n">
        <v>45983</v>
      </c>
      <c r="D379" t="inlineStr">
        <is>
          <t>DALARNAS LÄN</t>
        </is>
      </c>
      <c r="E379" t="inlineStr">
        <is>
          <t>LUDVIKA</t>
        </is>
      </c>
      <c r="G379" t="n">
        <v>0.7</v>
      </c>
      <c r="H379" t="n">
        <v>0</v>
      </c>
      <c r="I379" t="n">
        <v>0</v>
      </c>
      <c r="J379" t="n">
        <v>0</v>
      </c>
      <c r="K379" t="n">
        <v>0</v>
      </c>
      <c r="L379" t="n">
        <v>0</v>
      </c>
      <c r="M379" t="n">
        <v>0</v>
      </c>
      <c r="N379" t="n">
        <v>0</v>
      </c>
      <c r="O379" t="n">
        <v>0</v>
      </c>
      <c r="P379" t="n">
        <v>0</v>
      </c>
      <c r="Q379" t="n">
        <v>0</v>
      </c>
      <c r="R379" s="2" t="inlineStr"/>
    </row>
    <row r="380" ht="15" customHeight="1">
      <c r="A380" t="inlineStr">
        <is>
          <t>A 49669-2024</t>
        </is>
      </c>
      <c r="B380" s="1" t="n">
        <v>45596.65178240741</v>
      </c>
      <c r="C380" s="1" t="n">
        <v>45983</v>
      </c>
      <c r="D380" t="inlineStr">
        <is>
          <t>DALARNAS LÄN</t>
        </is>
      </c>
      <c r="E380" t="inlineStr">
        <is>
          <t>LUDVIKA</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43839-2023</t>
        </is>
      </c>
      <c r="B381" s="1" t="n">
        <v>45187.58707175926</v>
      </c>
      <c r="C381" s="1" t="n">
        <v>45983</v>
      </c>
      <c r="D381" t="inlineStr">
        <is>
          <t>DALARNAS LÄN</t>
        </is>
      </c>
      <c r="E381" t="inlineStr">
        <is>
          <t>LUDVIKA</t>
        </is>
      </c>
      <c r="F381" t="inlineStr">
        <is>
          <t>Bergvik skog väst AB</t>
        </is>
      </c>
      <c r="G381" t="n">
        <v>2</v>
      </c>
      <c r="H381" t="n">
        <v>0</v>
      </c>
      <c r="I381" t="n">
        <v>0</v>
      </c>
      <c r="J381" t="n">
        <v>0</v>
      </c>
      <c r="K381" t="n">
        <v>0</v>
      </c>
      <c r="L381" t="n">
        <v>0</v>
      </c>
      <c r="M381" t="n">
        <v>0</v>
      </c>
      <c r="N381" t="n">
        <v>0</v>
      </c>
      <c r="O381" t="n">
        <v>0</v>
      </c>
      <c r="P381" t="n">
        <v>0</v>
      </c>
      <c r="Q381" t="n">
        <v>0</v>
      </c>
      <c r="R381" s="2" t="inlineStr"/>
    </row>
    <row r="382" ht="15" customHeight="1">
      <c r="A382" t="inlineStr">
        <is>
          <t>A 54035-2025</t>
        </is>
      </c>
      <c r="B382" s="1" t="n">
        <v>45963.40699074074</v>
      </c>
      <c r="C382" s="1" t="n">
        <v>45983</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45151-2025</t>
        </is>
      </c>
      <c r="B383" s="1" t="n">
        <v>45919</v>
      </c>
      <c r="C383" s="1" t="n">
        <v>45983</v>
      </c>
      <c r="D383" t="inlineStr">
        <is>
          <t>DALARNAS LÄN</t>
        </is>
      </c>
      <c r="E383" t="inlineStr">
        <is>
          <t>LUDVIKA</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42106-2024</t>
        </is>
      </c>
      <c r="B384" s="1" t="n">
        <v>45562.36709490741</v>
      </c>
      <c r="C384" s="1" t="n">
        <v>45983</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42108-2024</t>
        </is>
      </c>
      <c r="B385" s="1" t="n">
        <v>45562.3693287037</v>
      </c>
      <c r="C385" s="1" t="n">
        <v>45983</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34070-2025</t>
        </is>
      </c>
      <c r="B386" s="1" t="n">
        <v>45845</v>
      </c>
      <c r="C386" s="1" t="n">
        <v>45983</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54673-2025</t>
        </is>
      </c>
      <c r="B387" s="1" t="n">
        <v>45966.41693287037</v>
      </c>
      <c r="C387" s="1" t="n">
        <v>45983</v>
      </c>
      <c r="D387" t="inlineStr">
        <is>
          <t>DALARNAS LÄN</t>
        </is>
      </c>
      <c r="E387" t="inlineStr">
        <is>
          <t>LUDVIKA</t>
        </is>
      </c>
      <c r="F387" t="inlineStr">
        <is>
          <t>Bergvik skog väst AB</t>
        </is>
      </c>
      <c r="G387" t="n">
        <v>5.8</v>
      </c>
      <c r="H387" t="n">
        <v>0</v>
      </c>
      <c r="I387" t="n">
        <v>0</v>
      </c>
      <c r="J387" t="n">
        <v>0</v>
      </c>
      <c r="K387" t="n">
        <v>0</v>
      </c>
      <c r="L387" t="n">
        <v>0</v>
      </c>
      <c r="M387" t="n">
        <v>0</v>
      </c>
      <c r="N387" t="n">
        <v>0</v>
      </c>
      <c r="O387" t="n">
        <v>0</v>
      </c>
      <c r="P387" t="n">
        <v>0</v>
      </c>
      <c r="Q387" t="n">
        <v>0</v>
      </c>
      <c r="R387" s="2" t="inlineStr"/>
    </row>
    <row r="388" ht="15" customHeight="1">
      <c r="A388" t="inlineStr">
        <is>
          <t>A 55961-2024</t>
        </is>
      </c>
      <c r="B388" s="1" t="n">
        <v>45623.64104166667</v>
      </c>
      <c r="C388" s="1" t="n">
        <v>45983</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46054-2025</t>
        </is>
      </c>
      <c r="B389" s="1" t="n">
        <v>45924.46261574074</v>
      </c>
      <c r="C389" s="1" t="n">
        <v>45983</v>
      </c>
      <c r="D389" t="inlineStr">
        <is>
          <t>DALARNAS LÄN</t>
        </is>
      </c>
      <c r="E389" t="inlineStr">
        <is>
          <t>LUDVIKA</t>
        </is>
      </c>
      <c r="F389" t="inlineStr">
        <is>
          <t>Bergvik skog väst AB</t>
        </is>
      </c>
      <c r="G389" t="n">
        <v>4.5</v>
      </c>
      <c r="H389" t="n">
        <v>0</v>
      </c>
      <c r="I389" t="n">
        <v>0</v>
      </c>
      <c r="J389" t="n">
        <v>0</v>
      </c>
      <c r="K389" t="n">
        <v>0</v>
      </c>
      <c r="L389" t="n">
        <v>0</v>
      </c>
      <c r="M389" t="n">
        <v>0</v>
      </c>
      <c r="N389" t="n">
        <v>0</v>
      </c>
      <c r="O389" t="n">
        <v>0</v>
      </c>
      <c r="P389" t="n">
        <v>0</v>
      </c>
      <c r="Q389" t="n">
        <v>0</v>
      </c>
      <c r="R389" s="2" t="inlineStr"/>
    </row>
    <row r="390" ht="15" customHeight="1">
      <c r="A390" t="inlineStr">
        <is>
          <t>A 34067-2025</t>
        </is>
      </c>
      <c r="B390" s="1" t="n">
        <v>45845</v>
      </c>
      <c r="C390" s="1" t="n">
        <v>45983</v>
      </c>
      <c r="D390" t="inlineStr">
        <is>
          <t>DALARNAS LÄN</t>
        </is>
      </c>
      <c r="E390" t="inlineStr">
        <is>
          <t>LUDVIKA</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50529-2024</t>
        </is>
      </c>
      <c r="B391" s="1" t="n">
        <v>45601.56384259259</v>
      </c>
      <c r="C391" s="1" t="n">
        <v>45983</v>
      </c>
      <c r="D391" t="inlineStr">
        <is>
          <t>DALARNAS LÄN</t>
        </is>
      </c>
      <c r="E391" t="inlineStr">
        <is>
          <t>LUDVIKA</t>
        </is>
      </c>
      <c r="G391" t="n">
        <v>0.2</v>
      </c>
      <c r="H391" t="n">
        <v>0</v>
      </c>
      <c r="I391" t="n">
        <v>0</v>
      </c>
      <c r="J391" t="n">
        <v>0</v>
      </c>
      <c r="K391" t="n">
        <v>0</v>
      </c>
      <c r="L391" t="n">
        <v>0</v>
      </c>
      <c r="M391" t="n">
        <v>0</v>
      </c>
      <c r="N391" t="n">
        <v>0</v>
      </c>
      <c r="O391" t="n">
        <v>0</v>
      </c>
      <c r="P391" t="n">
        <v>0</v>
      </c>
      <c r="Q391" t="n">
        <v>0</v>
      </c>
      <c r="R391" s="2" t="inlineStr"/>
    </row>
    <row r="392" ht="15" customHeight="1">
      <c r="A392" t="inlineStr">
        <is>
          <t>A 43762-2025</t>
        </is>
      </c>
      <c r="B392" s="1" t="n">
        <v>45912</v>
      </c>
      <c r="C392" s="1" t="n">
        <v>45983</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34403-2025</t>
        </is>
      </c>
      <c r="B393" s="1" t="n">
        <v>45846</v>
      </c>
      <c r="C393" s="1" t="n">
        <v>45983</v>
      </c>
      <c r="D393" t="inlineStr">
        <is>
          <t>DALARNAS LÄN</t>
        </is>
      </c>
      <c r="E393" t="inlineStr">
        <is>
          <t>LUDVIKA</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31043-2024</t>
        </is>
      </c>
      <c r="B394" s="1" t="n">
        <v>45502.30283564814</v>
      </c>
      <c r="C394" s="1" t="n">
        <v>45983</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46040-2025</t>
        </is>
      </c>
      <c r="B395" s="1" t="n">
        <v>45924.45159722222</v>
      </c>
      <c r="C395" s="1" t="n">
        <v>45983</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34492-2025</t>
        </is>
      </c>
      <c r="B396" s="1" t="n">
        <v>45847</v>
      </c>
      <c r="C396" s="1" t="n">
        <v>45983</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46024-2025</t>
        </is>
      </c>
      <c r="B397" s="1" t="n">
        <v>45924.43376157407</v>
      </c>
      <c r="C397" s="1" t="n">
        <v>45983</v>
      </c>
      <c r="D397" t="inlineStr">
        <is>
          <t>DALARNAS LÄN</t>
        </is>
      </c>
      <c r="E397" t="inlineStr">
        <is>
          <t>LUDVIKA</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46045-2025</t>
        </is>
      </c>
      <c r="B398" s="1" t="n">
        <v>45924.45614583333</v>
      </c>
      <c r="C398" s="1" t="n">
        <v>45983</v>
      </c>
      <c r="D398" t="inlineStr">
        <is>
          <t>DALARNAS LÄN</t>
        </is>
      </c>
      <c r="E398" t="inlineStr">
        <is>
          <t>LUDVIKA</t>
        </is>
      </c>
      <c r="F398" t="inlineStr">
        <is>
          <t>Bergvik skog väst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34522-2025</t>
        </is>
      </c>
      <c r="B399" s="1" t="n">
        <v>45847</v>
      </c>
      <c r="C399" s="1" t="n">
        <v>45983</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46108-2025</t>
        </is>
      </c>
      <c r="B400" s="1" t="n">
        <v>45924.55571759259</v>
      </c>
      <c r="C400" s="1" t="n">
        <v>45983</v>
      </c>
      <c r="D400" t="inlineStr">
        <is>
          <t>DALARNAS LÄN</t>
        </is>
      </c>
      <c r="E400" t="inlineStr">
        <is>
          <t>LUDVIKA</t>
        </is>
      </c>
      <c r="F400" t="inlineStr">
        <is>
          <t>Bergvik skog väst AB</t>
        </is>
      </c>
      <c r="G400" t="n">
        <v>17.2</v>
      </c>
      <c r="H400" t="n">
        <v>0</v>
      </c>
      <c r="I400" t="n">
        <v>0</v>
      </c>
      <c r="J400" t="n">
        <v>0</v>
      </c>
      <c r="K400" t="n">
        <v>0</v>
      </c>
      <c r="L400" t="n">
        <v>0</v>
      </c>
      <c r="M400" t="n">
        <v>0</v>
      </c>
      <c r="N400" t="n">
        <v>0</v>
      </c>
      <c r="O400" t="n">
        <v>0</v>
      </c>
      <c r="P400" t="n">
        <v>0</v>
      </c>
      <c r="Q400" t="n">
        <v>0</v>
      </c>
      <c r="R400" s="2" t="inlineStr"/>
    </row>
    <row r="401" ht="15" customHeight="1">
      <c r="A401" t="inlineStr">
        <is>
          <t>A 46029-2025</t>
        </is>
      </c>
      <c r="B401" s="1" t="n">
        <v>45924.44282407407</v>
      </c>
      <c r="C401" s="1" t="n">
        <v>45983</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400-2023</t>
        </is>
      </c>
      <c r="B402" s="1" t="n">
        <v>44929.61017361111</v>
      </c>
      <c r="C402" s="1" t="n">
        <v>45983</v>
      </c>
      <c r="D402" t="inlineStr">
        <is>
          <t>DALARNAS LÄN</t>
        </is>
      </c>
      <c r="E402" t="inlineStr">
        <is>
          <t>LUDVIKA</t>
        </is>
      </c>
      <c r="G402" t="n">
        <v>3.6</v>
      </c>
      <c r="H402" t="n">
        <v>0</v>
      </c>
      <c r="I402" t="n">
        <v>0</v>
      </c>
      <c r="J402" t="n">
        <v>0</v>
      </c>
      <c r="K402" t="n">
        <v>0</v>
      </c>
      <c r="L402" t="n">
        <v>0</v>
      </c>
      <c r="M402" t="n">
        <v>0</v>
      </c>
      <c r="N402" t="n">
        <v>0</v>
      </c>
      <c r="O402" t="n">
        <v>0</v>
      </c>
      <c r="P402" t="n">
        <v>0</v>
      </c>
      <c r="Q402" t="n">
        <v>0</v>
      </c>
      <c r="R402" s="2" t="inlineStr"/>
    </row>
    <row r="403" ht="15" customHeight="1">
      <c r="A403" t="inlineStr">
        <is>
          <t>A 45791-2025</t>
        </is>
      </c>
      <c r="B403" s="1" t="n">
        <v>45923</v>
      </c>
      <c r="C403" s="1" t="n">
        <v>45983</v>
      </c>
      <c r="D403" t="inlineStr">
        <is>
          <t>DALARNAS LÄN</t>
        </is>
      </c>
      <c r="E403" t="inlineStr">
        <is>
          <t>LUDVIKA</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7173-2023</t>
        </is>
      </c>
      <c r="B404" s="1" t="n">
        <v>44970.50298611111</v>
      </c>
      <c r="C404" s="1" t="n">
        <v>45983</v>
      </c>
      <c r="D404" t="inlineStr">
        <is>
          <t>DALARNAS LÄN</t>
        </is>
      </c>
      <c r="E404" t="inlineStr">
        <is>
          <t>LUDVIKA</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31478-2023</t>
        </is>
      </c>
      <c r="B405" s="1" t="n">
        <v>45114</v>
      </c>
      <c r="C405" s="1" t="n">
        <v>45983</v>
      </c>
      <c r="D405" t="inlineStr">
        <is>
          <t>DALARNAS LÄN</t>
        </is>
      </c>
      <c r="E405" t="inlineStr">
        <is>
          <t>LUDVIKA</t>
        </is>
      </c>
      <c r="G405" t="n">
        <v>6.2</v>
      </c>
      <c r="H405" t="n">
        <v>0</v>
      </c>
      <c r="I405" t="n">
        <v>0</v>
      </c>
      <c r="J405" t="n">
        <v>0</v>
      </c>
      <c r="K405" t="n">
        <v>0</v>
      </c>
      <c r="L405" t="n">
        <v>0</v>
      </c>
      <c r="M405" t="n">
        <v>0</v>
      </c>
      <c r="N405" t="n">
        <v>0</v>
      </c>
      <c r="O405" t="n">
        <v>0</v>
      </c>
      <c r="P405" t="n">
        <v>0</v>
      </c>
      <c r="Q405" t="n">
        <v>0</v>
      </c>
      <c r="R405" s="2" t="inlineStr"/>
    </row>
    <row r="406" ht="15" customHeight="1">
      <c r="A406" t="inlineStr">
        <is>
          <t>A 54341-2025</t>
        </is>
      </c>
      <c r="B406" s="1" t="n">
        <v>45965.36070601852</v>
      </c>
      <c r="C406" s="1" t="n">
        <v>45983</v>
      </c>
      <c r="D406" t="inlineStr">
        <is>
          <t>DALARNAS LÄN</t>
        </is>
      </c>
      <c r="E406" t="inlineStr">
        <is>
          <t>LUDVIKA</t>
        </is>
      </c>
      <c r="G406" t="n">
        <v>0.6</v>
      </c>
      <c r="H406" t="n">
        <v>0</v>
      </c>
      <c r="I406" t="n">
        <v>0</v>
      </c>
      <c r="J406" t="n">
        <v>0</v>
      </c>
      <c r="K406" t="n">
        <v>0</v>
      </c>
      <c r="L406" t="n">
        <v>0</v>
      </c>
      <c r="M406" t="n">
        <v>0</v>
      </c>
      <c r="N406" t="n">
        <v>0</v>
      </c>
      <c r="O406" t="n">
        <v>0</v>
      </c>
      <c r="P406" t="n">
        <v>0</v>
      </c>
      <c r="Q406" t="n">
        <v>0</v>
      </c>
      <c r="R406" s="2" t="inlineStr"/>
    </row>
    <row r="407" ht="15" customHeight="1">
      <c r="A407" t="inlineStr">
        <is>
          <t>A 11611-2021</t>
        </is>
      </c>
      <c r="B407" s="1" t="n">
        <v>44264</v>
      </c>
      <c r="C407" s="1" t="n">
        <v>45983</v>
      </c>
      <c r="D407" t="inlineStr">
        <is>
          <t>DALARNAS LÄN</t>
        </is>
      </c>
      <c r="E407" t="inlineStr">
        <is>
          <t>LUDVIKA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22000-2022</t>
        </is>
      </c>
      <c r="B408" s="1" t="n">
        <v>44711</v>
      </c>
      <c r="C408" s="1" t="n">
        <v>45983</v>
      </c>
      <c r="D408" t="inlineStr">
        <is>
          <t>DALARNAS LÄN</t>
        </is>
      </c>
      <c r="E408" t="inlineStr">
        <is>
          <t>LUDVIKA</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54375-2025</t>
        </is>
      </c>
      <c r="B409" s="1" t="n">
        <v>45965.42407407407</v>
      </c>
      <c r="C409" s="1" t="n">
        <v>45983</v>
      </c>
      <c r="D409" t="inlineStr">
        <is>
          <t>DALARNAS LÄN</t>
        </is>
      </c>
      <c r="E409" t="inlineStr">
        <is>
          <t>LUDVIKA</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41737-2025</t>
        </is>
      </c>
      <c r="B410" s="1" t="n">
        <v>45902</v>
      </c>
      <c r="C410" s="1" t="n">
        <v>45983</v>
      </c>
      <c r="D410" t="inlineStr">
        <is>
          <t>DALARNAS LÄN</t>
        </is>
      </c>
      <c r="E410" t="inlineStr">
        <is>
          <t>LUDVIKA</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5673-2023</t>
        </is>
      </c>
      <c r="B411" s="1" t="n">
        <v>44960.65702546296</v>
      </c>
      <c r="C411" s="1" t="n">
        <v>45983</v>
      </c>
      <c r="D411" t="inlineStr">
        <is>
          <t>DALARNAS LÄN</t>
        </is>
      </c>
      <c r="E411" t="inlineStr">
        <is>
          <t>LUDVIKA</t>
        </is>
      </c>
      <c r="F411" t="inlineStr">
        <is>
          <t>Naturvårdsverket</t>
        </is>
      </c>
      <c r="G411" t="n">
        <v>0.7</v>
      </c>
      <c r="H411" t="n">
        <v>0</v>
      </c>
      <c r="I411" t="n">
        <v>0</v>
      </c>
      <c r="J411" t="n">
        <v>0</v>
      </c>
      <c r="K411" t="n">
        <v>0</v>
      </c>
      <c r="L411" t="n">
        <v>0</v>
      </c>
      <c r="M411" t="n">
        <v>0</v>
      </c>
      <c r="N411" t="n">
        <v>0</v>
      </c>
      <c r="O411" t="n">
        <v>0</v>
      </c>
      <c r="P411" t="n">
        <v>0</v>
      </c>
      <c r="Q411" t="n">
        <v>0</v>
      </c>
      <c r="R411" s="2" t="inlineStr"/>
    </row>
    <row r="412" ht="15" customHeight="1">
      <c r="A412" t="inlineStr">
        <is>
          <t>A 45858-2025</t>
        </is>
      </c>
      <c r="B412" s="1" t="n">
        <v>45923.64064814815</v>
      </c>
      <c r="C412" s="1" t="n">
        <v>45983</v>
      </c>
      <c r="D412" t="inlineStr">
        <is>
          <t>DALARNAS LÄN</t>
        </is>
      </c>
      <c r="E412" t="inlineStr">
        <is>
          <t>LUDVIKA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34860-2025</t>
        </is>
      </c>
      <c r="B413" s="1" t="n">
        <v>45849</v>
      </c>
      <c r="C413" s="1" t="n">
        <v>45983</v>
      </c>
      <c r="D413" t="inlineStr">
        <is>
          <t>DALARNAS LÄN</t>
        </is>
      </c>
      <c r="E413" t="inlineStr">
        <is>
          <t>LUDVIKA</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34861-2025</t>
        </is>
      </c>
      <c r="B414" s="1" t="n">
        <v>45849</v>
      </c>
      <c r="C414" s="1" t="n">
        <v>45983</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34862-2025</t>
        </is>
      </c>
      <c r="B415" s="1" t="n">
        <v>45849</v>
      </c>
      <c r="C415" s="1" t="n">
        <v>45983</v>
      </c>
      <c r="D415" t="inlineStr">
        <is>
          <t>DALARNAS LÄN</t>
        </is>
      </c>
      <c r="E415" t="inlineStr">
        <is>
          <t>LUDVIKA</t>
        </is>
      </c>
      <c r="F415" t="inlineStr">
        <is>
          <t>Bergvik skog väst AB</t>
        </is>
      </c>
      <c r="G415" t="n">
        <v>3.6</v>
      </c>
      <c r="H415" t="n">
        <v>0</v>
      </c>
      <c r="I415" t="n">
        <v>0</v>
      </c>
      <c r="J415" t="n">
        <v>0</v>
      </c>
      <c r="K415" t="n">
        <v>0</v>
      </c>
      <c r="L415" t="n">
        <v>0</v>
      </c>
      <c r="M415" t="n">
        <v>0</v>
      </c>
      <c r="N415" t="n">
        <v>0</v>
      </c>
      <c r="O415" t="n">
        <v>0</v>
      </c>
      <c r="P415" t="n">
        <v>0</v>
      </c>
      <c r="Q415" t="n">
        <v>0</v>
      </c>
      <c r="R415" s="2" t="inlineStr"/>
    </row>
    <row r="416" ht="15" customHeight="1">
      <c r="A416" t="inlineStr">
        <is>
          <t>A 44732-2024</t>
        </is>
      </c>
      <c r="B416" s="1" t="n">
        <v>45574</v>
      </c>
      <c r="C416" s="1" t="n">
        <v>45983</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56203-2024</t>
        </is>
      </c>
      <c r="B417" s="1" t="n">
        <v>45624.59535879629</v>
      </c>
      <c r="C417" s="1" t="n">
        <v>45983</v>
      </c>
      <c r="D417" t="inlineStr">
        <is>
          <t>DALARNAS LÄN</t>
        </is>
      </c>
      <c r="E417" t="inlineStr">
        <is>
          <t>LUDVIKA</t>
        </is>
      </c>
      <c r="G417" t="n">
        <v>2.3</v>
      </c>
      <c r="H417" t="n">
        <v>0</v>
      </c>
      <c r="I417" t="n">
        <v>0</v>
      </c>
      <c r="J417" t="n">
        <v>0</v>
      </c>
      <c r="K417" t="n">
        <v>0</v>
      </c>
      <c r="L417" t="n">
        <v>0</v>
      </c>
      <c r="M417" t="n">
        <v>0</v>
      </c>
      <c r="N417" t="n">
        <v>0</v>
      </c>
      <c r="O417" t="n">
        <v>0</v>
      </c>
      <c r="P417" t="n">
        <v>0</v>
      </c>
      <c r="Q417" t="n">
        <v>0</v>
      </c>
      <c r="R417" s="2" t="inlineStr"/>
    </row>
    <row r="418" ht="15" customHeight="1">
      <c r="A418" t="inlineStr">
        <is>
          <t>A 45649-2025</t>
        </is>
      </c>
      <c r="B418" s="1" t="n">
        <v>45923.32206018519</v>
      </c>
      <c r="C418" s="1" t="n">
        <v>45983</v>
      </c>
      <c r="D418" t="inlineStr">
        <is>
          <t>DALARNAS LÄN</t>
        </is>
      </c>
      <c r="E418" t="inlineStr">
        <is>
          <t>LUDVIKA</t>
        </is>
      </c>
      <c r="G418" t="n">
        <v>12.3</v>
      </c>
      <c r="H418" t="n">
        <v>0</v>
      </c>
      <c r="I418" t="n">
        <v>0</v>
      </c>
      <c r="J418" t="n">
        <v>0</v>
      </c>
      <c r="K418" t="n">
        <v>0</v>
      </c>
      <c r="L418" t="n">
        <v>0</v>
      </c>
      <c r="M418" t="n">
        <v>0</v>
      </c>
      <c r="N418" t="n">
        <v>0</v>
      </c>
      <c r="O418" t="n">
        <v>0</v>
      </c>
      <c r="P418" t="n">
        <v>0</v>
      </c>
      <c r="Q418" t="n">
        <v>0</v>
      </c>
      <c r="R418" s="2" t="inlineStr"/>
    </row>
    <row r="419" ht="15" customHeight="1">
      <c r="A419" t="inlineStr">
        <is>
          <t>A 34455-2024</t>
        </is>
      </c>
      <c r="B419" s="1" t="n">
        <v>45525.56513888889</v>
      </c>
      <c r="C419" s="1" t="n">
        <v>45983</v>
      </c>
      <c r="D419" t="inlineStr">
        <is>
          <t>DALARNAS LÄN</t>
        </is>
      </c>
      <c r="E419" t="inlineStr">
        <is>
          <t>LUDVIKA</t>
        </is>
      </c>
      <c r="G419" t="n">
        <v>0.9</v>
      </c>
      <c r="H419" t="n">
        <v>0</v>
      </c>
      <c r="I419" t="n">
        <v>0</v>
      </c>
      <c r="J419" t="n">
        <v>0</v>
      </c>
      <c r="K419" t="n">
        <v>0</v>
      </c>
      <c r="L419" t="n">
        <v>0</v>
      </c>
      <c r="M419" t="n">
        <v>0</v>
      </c>
      <c r="N419" t="n">
        <v>0</v>
      </c>
      <c r="O419" t="n">
        <v>0</v>
      </c>
      <c r="P419" t="n">
        <v>0</v>
      </c>
      <c r="Q419" t="n">
        <v>0</v>
      </c>
      <c r="R419" s="2" t="inlineStr"/>
    </row>
    <row r="420" ht="15" customHeight="1">
      <c r="A420" t="inlineStr">
        <is>
          <t>A 45940-2025</t>
        </is>
      </c>
      <c r="B420" s="1" t="n">
        <v>45924</v>
      </c>
      <c r="C420" s="1" t="n">
        <v>45983</v>
      </c>
      <c r="D420" t="inlineStr">
        <is>
          <t>DALARNAS LÄN</t>
        </is>
      </c>
      <c r="E420" t="inlineStr">
        <is>
          <t>LUDVIKA</t>
        </is>
      </c>
      <c r="F420" t="inlineStr">
        <is>
          <t>Bergvik skog väst AB</t>
        </is>
      </c>
      <c r="G420" t="n">
        <v>4.5</v>
      </c>
      <c r="H420" t="n">
        <v>0</v>
      </c>
      <c r="I420" t="n">
        <v>0</v>
      </c>
      <c r="J420" t="n">
        <v>0</v>
      </c>
      <c r="K420" t="n">
        <v>0</v>
      </c>
      <c r="L420" t="n">
        <v>0</v>
      </c>
      <c r="M420" t="n">
        <v>0</v>
      </c>
      <c r="N420" t="n">
        <v>0</v>
      </c>
      <c r="O420" t="n">
        <v>0</v>
      </c>
      <c r="P420" t="n">
        <v>0</v>
      </c>
      <c r="Q420" t="n">
        <v>0</v>
      </c>
      <c r="R420" s="2" t="inlineStr"/>
    </row>
    <row r="421" ht="15" customHeight="1">
      <c r="A421" t="inlineStr">
        <is>
          <t>A 46317-2025</t>
        </is>
      </c>
      <c r="B421" s="1" t="n">
        <v>45925</v>
      </c>
      <c r="C421" s="1" t="n">
        <v>45983</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45443-2024</t>
        </is>
      </c>
      <c r="B422" s="1" t="n">
        <v>45576</v>
      </c>
      <c r="C422" s="1" t="n">
        <v>45983</v>
      </c>
      <c r="D422" t="inlineStr">
        <is>
          <t>DALARNAS LÄN</t>
        </is>
      </c>
      <c r="E422" t="inlineStr">
        <is>
          <t>LUDVIKA</t>
        </is>
      </c>
      <c r="F422" t="inlineStr">
        <is>
          <t>Bergvik skog väst AB</t>
        </is>
      </c>
      <c r="G422" t="n">
        <v>2.5</v>
      </c>
      <c r="H422" t="n">
        <v>0</v>
      </c>
      <c r="I422" t="n">
        <v>0</v>
      </c>
      <c r="J422" t="n">
        <v>0</v>
      </c>
      <c r="K422" t="n">
        <v>0</v>
      </c>
      <c r="L422" t="n">
        <v>0</v>
      </c>
      <c r="M422" t="n">
        <v>0</v>
      </c>
      <c r="N422" t="n">
        <v>0</v>
      </c>
      <c r="O422" t="n">
        <v>0</v>
      </c>
      <c r="P422" t="n">
        <v>0</v>
      </c>
      <c r="Q422" t="n">
        <v>0</v>
      </c>
      <c r="R422" s="2" t="inlineStr"/>
    </row>
    <row r="423" ht="15" customHeight="1">
      <c r="A423" t="inlineStr">
        <is>
          <t>A 51043-2024</t>
        </is>
      </c>
      <c r="B423" s="1" t="n">
        <v>45603.43526620371</v>
      </c>
      <c r="C423" s="1" t="n">
        <v>45983</v>
      </c>
      <c r="D423" t="inlineStr">
        <is>
          <t>DALARNAS LÄN</t>
        </is>
      </c>
      <c r="E423" t="inlineStr">
        <is>
          <t>LUDVIKA</t>
        </is>
      </c>
      <c r="F423" t="inlineStr">
        <is>
          <t>Bergvik skog väst AB</t>
        </is>
      </c>
      <c r="G423" t="n">
        <v>17.9</v>
      </c>
      <c r="H423" t="n">
        <v>0</v>
      </c>
      <c r="I423" t="n">
        <v>0</v>
      </c>
      <c r="J423" t="n">
        <v>0</v>
      </c>
      <c r="K423" t="n">
        <v>0</v>
      </c>
      <c r="L423" t="n">
        <v>0</v>
      </c>
      <c r="M423" t="n">
        <v>0</v>
      </c>
      <c r="N423" t="n">
        <v>0</v>
      </c>
      <c r="O423" t="n">
        <v>0</v>
      </c>
      <c r="P423" t="n">
        <v>0</v>
      </c>
      <c r="Q423" t="n">
        <v>0</v>
      </c>
      <c r="R423" s="2" t="inlineStr"/>
    </row>
    <row r="424" ht="15" customHeight="1">
      <c r="A424" t="inlineStr">
        <is>
          <t>A 46598-2025</t>
        </is>
      </c>
      <c r="B424" s="1" t="n">
        <v>45926</v>
      </c>
      <c r="C424" s="1" t="n">
        <v>45983</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57217-2024</t>
        </is>
      </c>
      <c r="B425" s="1" t="n">
        <v>45629</v>
      </c>
      <c r="C425" s="1" t="n">
        <v>45983</v>
      </c>
      <c r="D425" t="inlineStr">
        <is>
          <t>DALARNAS LÄN</t>
        </is>
      </c>
      <c r="E425" t="inlineStr">
        <is>
          <t>LUDVIKA</t>
        </is>
      </c>
      <c r="F425" t="inlineStr">
        <is>
          <t>Bergvik skog väst AB</t>
        </is>
      </c>
      <c r="G425" t="n">
        <v>17.3</v>
      </c>
      <c r="H425" t="n">
        <v>0</v>
      </c>
      <c r="I425" t="n">
        <v>0</v>
      </c>
      <c r="J425" t="n">
        <v>0</v>
      </c>
      <c r="K425" t="n">
        <v>0</v>
      </c>
      <c r="L425" t="n">
        <v>0</v>
      </c>
      <c r="M425" t="n">
        <v>0</v>
      </c>
      <c r="N425" t="n">
        <v>0</v>
      </c>
      <c r="O425" t="n">
        <v>0</v>
      </c>
      <c r="P425" t="n">
        <v>0</v>
      </c>
      <c r="Q425" t="n">
        <v>0</v>
      </c>
      <c r="R425" s="2" t="inlineStr"/>
    </row>
    <row r="426" ht="15" customHeight="1">
      <c r="A426" t="inlineStr">
        <is>
          <t>A 44534-2024</t>
        </is>
      </c>
      <c r="B426" s="1" t="n">
        <v>45574.45234953704</v>
      </c>
      <c r="C426" s="1" t="n">
        <v>45983</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29654-2025</t>
        </is>
      </c>
      <c r="B427" s="1" t="n">
        <v>45825</v>
      </c>
      <c r="C427" s="1" t="n">
        <v>45983</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44537-2024</t>
        </is>
      </c>
      <c r="B428" s="1" t="n">
        <v>45574.45362268519</v>
      </c>
      <c r="C428" s="1" t="n">
        <v>45983</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35544-2025</t>
        </is>
      </c>
      <c r="B429" s="1" t="n">
        <v>45856</v>
      </c>
      <c r="C429" s="1" t="n">
        <v>45983</v>
      </c>
      <c r="D429" t="inlineStr">
        <is>
          <t>DALARNAS LÄN</t>
        </is>
      </c>
      <c r="E429" t="inlineStr">
        <is>
          <t>LUDVIKA</t>
        </is>
      </c>
      <c r="F429" t="inlineStr">
        <is>
          <t>Bergvik skog väst AB</t>
        </is>
      </c>
      <c r="G429" t="n">
        <v>8</v>
      </c>
      <c r="H429" t="n">
        <v>0</v>
      </c>
      <c r="I429" t="n">
        <v>0</v>
      </c>
      <c r="J429" t="n">
        <v>0</v>
      </c>
      <c r="K429" t="n">
        <v>0</v>
      </c>
      <c r="L429" t="n">
        <v>0</v>
      </c>
      <c r="M429" t="n">
        <v>0</v>
      </c>
      <c r="N429" t="n">
        <v>0</v>
      </c>
      <c r="O429" t="n">
        <v>0</v>
      </c>
      <c r="P429" t="n">
        <v>0</v>
      </c>
      <c r="Q429" t="n">
        <v>0</v>
      </c>
      <c r="R429" s="2" t="inlineStr"/>
    </row>
    <row r="430" ht="15" customHeight="1">
      <c r="A430" t="inlineStr">
        <is>
          <t>A 46517-2025</t>
        </is>
      </c>
      <c r="B430" s="1" t="n">
        <v>45926</v>
      </c>
      <c r="C430" s="1" t="n">
        <v>45983</v>
      </c>
      <c r="D430" t="inlineStr">
        <is>
          <t>DALARNAS LÄN</t>
        </is>
      </c>
      <c r="E430" t="inlineStr">
        <is>
          <t>LUDVIKA</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26823-2025</t>
        </is>
      </c>
      <c r="B431" s="1" t="n">
        <v>45810</v>
      </c>
      <c r="C431" s="1" t="n">
        <v>45983</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53106-2024</t>
        </is>
      </c>
      <c r="B432" s="1" t="n">
        <v>45611.55626157407</v>
      </c>
      <c r="C432" s="1" t="n">
        <v>45983</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56445-2024</t>
        </is>
      </c>
      <c r="B433" s="1" t="n">
        <v>45625.42575231481</v>
      </c>
      <c r="C433" s="1" t="n">
        <v>45983</v>
      </c>
      <c r="D433" t="inlineStr">
        <is>
          <t>DALARNAS LÄN</t>
        </is>
      </c>
      <c r="E433" t="inlineStr">
        <is>
          <t>LUDVIKA</t>
        </is>
      </c>
      <c r="G433" t="n">
        <v>2.1</v>
      </c>
      <c r="H433" t="n">
        <v>0</v>
      </c>
      <c r="I433" t="n">
        <v>0</v>
      </c>
      <c r="J433" t="n">
        <v>0</v>
      </c>
      <c r="K433" t="n">
        <v>0</v>
      </c>
      <c r="L433" t="n">
        <v>0</v>
      </c>
      <c r="M433" t="n">
        <v>0</v>
      </c>
      <c r="N433" t="n">
        <v>0</v>
      </c>
      <c r="O433" t="n">
        <v>0</v>
      </c>
      <c r="P433" t="n">
        <v>0</v>
      </c>
      <c r="Q433" t="n">
        <v>0</v>
      </c>
      <c r="R433" s="2" t="inlineStr"/>
    </row>
    <row r="434" ht="15" customHeight="1">
      <c r="A434" t="inlineStr">
        <is>
          <t>A 46721-2025</t>
        </is>
      </c>
      <c r="B434" s="1" t="n">
        <v>45926.58377314815</v>
      </c>
      <c r="C434" s="1" t="n">
        <v>45983</v>
      </c>
      <c r="D434" t="inlineStr">
        <is>
          <t>DALARNAS LÄN</t>
        </is>
      </c>
      <c r="E434" t="inlineStr">
        <is>
          <t>LUDVIKA</t>
        </is>
      </c>
      <c r="F434" t="inlineStr">
        <is>
          <t>Bergvik skog väst AB</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38921-2025</t>
        </is>
      </c>
      <c r="B435" s="1" t="n">
        <v>45887.62774305556</v>
      </c>
      <c r="C435" s="1" t="n">
        <v>45983</v>
      </c>
      <c r="D435" t="inlineStr">
        <is>
          <t>DALARNAS LÄN</t>
        </is>
      </c>
      <c r="E435" t="inlineStr">
        <is>
          <t>LUDVIKA</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918-2024</t>
        </is>
      </c>
      <c r="B436" s="1" t="n">
        <v>45301</v>
      </c>
      <c r="C436" s="1" t="n">
        <v>45983</v>
      </c>
      <c r="D436" t="inlineStr">
        <is>
          <t>DALARNAS LÄN</t>
        </is>
      </c>
      <c r="E436" t="inlineStr">
        <is>
          <t>LUDVIKA</t>
        </is>
      </c>
      <c r="G436" t="n">
        <v>6</v>
      </c>
      <c r="H436" t="n">
        <v>0</v>
      </c>
      <c r="I436" t="n">
        <v>0</v>
      </c>
      <c r="J436" t="n">
        <v>0</v>
      </c>
      <c r="K436" t="n">
        <v>0</v>
      </c>
      <c r="L436" t="n">
        <v>0</v>
      </c>
      <c r="M436" t="n">
        <v>0</v>
      </c>
      <c r="N436" t="n">
        <v>0</v>
      </c>
      <c r="O436" t="n">
        <v>0</v>
      </c>
      <c r="P436" t="n">
        <v>0</v>
      </c>
      <c r="Q436" t="n">
        <v>0</v>
      </c>
      <c r="R436" s="2" t="inlineStr"/>
    </row>
    <row r="437" ht="15" customHeight="1">
      <c r="A437" t="inlineStr">
        <is>
          <t>A 46603-2025</t>
        </is>
      </c>
      <c r="B437" s="1" t="n">
        <v>45926</v>
      </c>
      <c r="C437" s="1" t="n">
        <v>45983</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6579-2023</t>
        </is>
      </c>
      <c r="B438" s="1" t="n">
        <v>44960</v>
      </c>
      <c r="C438" s="1" t="n">
        <v>45983</v>
      </c>
      <c r="D438" t="inlineStr">
        <is>
          <t>DALARNAS LÄN</t>
        </is>
      </c>
      <c r="E438" t="inlineStr">
        <is>
          <t>LUDVIKA</t>
        </is>
      </c>
      <c r="G438" t="n">
        <v>3.4</v>
      </c>
      <c r="H438" t="n">
        <v>0</v>
      </c>
      <c r="I438" t="n">
        <v>0</v>
      </c>
      <c r="J438" t="n">
        <v>0</v>
      </c>
      <c r="K438" t="n">
        <v>0</v>
      </c>
      <c r="L438" t="n">
        <v>0</v>
      </c>
      <c r="M438" t="n">
        <v>0</v>
      </c>
      <c r="N438" t="n">
        <v>0</v>
      </c>
      <c r="O438" t="n">
        <v>0</v>
      </c>
      <c r="P438" t="n">
        <v>0</v>
      </c>
      <c r="Q438" t="n">
        <v>0</v>
      </c>
      <c r="R438" s="2" t="inlineStr"/>
    </row>
    <row r="439" ht="15" customHeight="1">
      <c r="A439" t="inlineStr">
        <is>
          <t>A 53104-2024</t>
        </is>
      </c>
      <c r="B439" s="1" t="n">
        <v>45611.551875</v>
      </c>
      <c r="C439" s="1" t="n">
        <v>45983</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33345-2024</t>
        </is>
      </c>
      <c r="B440" s="1" t="n">
        <v>45519</v>
      </c>
      <c r="C440" s="1" t="n">
        <v>45983</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48774-2024</t>
        </is>
      </c>
      <c r="B441" s="1" t="n">
        <v>45593</v>
      </c>
      <c r="C441" s="1" t="n">
        <v>45983</v>
      </c>
      <c r="D441" t="inlineStr">
        <is>
          <t>DALARNAS LÄN</t>
        </is>
      </c>
      <c r="E441" t="inlineStr">
        <is>
          <t>LUDVIKA</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32329-2024</t>
        </is>
      </c>
      <c r="B442" s="1" t="n">
        <v>45512</v>
      </c>
      <c r="C442" s="1" t="n">
        <v>45983</v>
      </c>
      <c r="D442" t="inlineStr">
        <is>
          <t>DALARNAS LÄN</t>
        </is>
      </c>
      <c r="E442" t="inlineStr">
        <is>
          <t>LUDVIKA</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35876-2025</t>
        </is>
      </c>
      <c r="B443" s="1" t="n">
        <v>45862</v>
      </c>
      <c r="C443" s="1" t="n">
        <v>45983</v>
      </c>
      <c r="D443" t="inlineStr">
        <is>
          <t>DALARNAS LÄN</t>
        </is>
      </c>
      <c r="E443" t="inlineStr">
        <is>
          <t>LUDVIKA</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31010-2025</t>
        </is>
      </c>
      <c r="B444" s="1" t="n">
        <v>45832</v>
      </c>
      <c r="C444" s="1" t="n">
        <v>45983</v>
      </c>
      <c r="D444" t="inlineStr">
        <is>
          <t>DALARNAS LÄN</t>
        </is>
      </c>
      <c r="E444" t="inlineStr">
        <is>
          <t>LUDVIKA</t>
        </is>
      </c>
      <c r="F444" t="inlineStr">
        <is>
          <t>Bergvik skog väst AB</t>
        </is>
      </c>
      <c r="G444" t="n">
        <v>5.6</v>
      </c>
      <c r="H444" t="n">
        <v>0</v>
      </c>
      <c r="I444" t="n">
        <v>0</v>
      </c>
      <c r="J444" t="n">
        <v>0</v>
      </c>
      <c r="K444" t="n">
        <v>0</v>
      </c>
      <c r="L444" t="n">
        <v>0</v>
      </c>
      <c r="M444" t="n">
        <v>0</v>
      </c>
      <c r="N444" t="n">
        <v>0</v>
      </c>
      <c r="O444" t="n">
        <v>0</v>
      </c>
      <c r="P444" t="n">
        <v>0</v>
      </c>
      <c r="Q444" t="n">
        <v>0</v>
      </c>
      <c r="R444" s="2" t="inlineStr"/>
    </row>
    <row r="445" ht="15" customHeight="1">
      <c r="A445" t="inlineStr">
        <is>
          <t>A 31050-2025</t>
        </is>
      </c>
      <c r="B445" s="1" t="n">
        <v>45832</v>
      </c>
      <c r="C445" s="1" t="n">
        <v>45983</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33001-2025</t>
        </is>
      </c>
      <c r="B446" s="1" t="n">
        <v>45840</v>
      </c>
      <c r="C446" s="1" t="n">
        <v>45983</v>
      </c>
      <c r="D446" t="inlineStr">
        <is>
          <t>DALARNAS LÄN</t>
        </is>
      </c>
      <c r="E446" t="inlineStr">
        <is>
          <t>LUDVIKA</t>
        </is>
      </c>
      <c r="F446" t="inlineStr">
        <is>
          <t>Bergvik skog väst AB</t>
        </is>
      </c>
      <c r="G446" t="n">
        <v>4.1</v>
      </c>
      <c r="H446" t="n">
        <v>0</v>
      </c>
      <c r="I446" t="n">
        <v>0</v>
      </c>
      <c r="J446" t="n">
        <v>0</v>
      </c>
      <c r="K446" t="n">
        <v>0</v>
      </c>
      <c r="L446" t="n">
        <v>0</v>
      </c>
      <c r="M446" t="n">
        <v>0</v>
      </c>
      <c r="N446" t="n">
        <v>0</v>
      </c>
      <c r="O446" t="n">
        <v>0</v>
      </c>
      <c r="P446" t="n">
        <v>0</v>
      </c>
      <c r="Q446" t="n">
        <v>0</v>
      </c>
      <c r="R446" s="2" t="inlineStr"/>
    </row>
    <row r="447" ht="15" customHeight="1">
      <c r="A447" t="inlineStr">
        <is>
          <t>A 47044-2025</t>
        </is>
      </c>
      <c r="B447" s="1" t="n">
        <v>45929.60186342592</v>
      </c>
      <c r="C447" s="1" t="n">
        <v>45983</v>
      </c>
      <c r="D447" t="inlineStr">
        <is>
          <t>DALARNAS LÄN</t>
        </is>
      </c>
      <c r="E447" t="inlineStr">
        <is>
          <t>LUDVIKA</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31057-2025</t>
        </is>
      </c>
      <c r="B448" s="1" t="n">
        <v>45832</v>
      </c>
      <c r="C448" s="1" t="n">
        <v>45983</v>
      </c>
      <c r="D448" t="inlineStr">
        <is>
          <t>DALARNAS LÄN</t>
        </is>
      </c>
      <c r="E448" t="inlineStr">
        <is>
          <t>LUDVIKA</t>
        </is>
      </c>
      <c r="F448" t="inlineStr">
        <is>
          <t>Bergvik skog väst AB</t>
        </is>
      </c>
      <c r="G448" t="n">
        <v>6.2</v>
      </c>
      <c r="H448" t="n">
        <v>0</v>
      </c>
      <c r="I448" t="n">
        <v>0</v>
      </c>
      <c r="J448" t="n">
        <v>0</v>
      </c>
      <c r="K448" t="n">
        <v>0</v>
      </c>
      <c r="L448" t="n">
        <v>0</v>
      </c>
      <c r="M448" t="n">
        <v>0</v>
      </c>
      <c r="N448" t="n">
        <v>0</v>
      </c>
      <c r="O448" t="n">
        <v>0</v>
      </c>
      <c r="P448" t="n">
        <v>0</v>
      </c>
      <c r="Q448" t="n">
        <v>0</v>
      </c>
      <c r="R448" s="2" t="inlineStr"/>
    </row>
    <row r="449" ht="15" customHeight="1">
      <c r="A449" t="inlineStr">
        <is>
          <t>A 33122-2025</t>
        </is>
      </c>
      <c r="B449" s="1" t="n">
        <v>45840</v>
      </c>
      <c r="C449" s="1" t="n">
        <v>45983</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33127-2025</t>
        </is>
      </c>
      <c r="B450" s="1" t="n">
        <v>45840</v>
      </c>
      <c r="C450" s="1" t="n">
        <v>45983</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35957-2025</t>
        </is>
      </c>
      <c r="B451" s="1" t="n">
        <v>45863</v>
      </c>
      <c r="C451" s="1" t="n">
        <v>45983</v>
      </c>
      <c r="D451" t="inlineStr">
        <is>
          <t>DALARNAS LÄN</t>
        </is>
      </c>
      <c r="E451" t="inlineStr">
        <is>
          <t>LUDVIKA</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35958-2025</t>
        </is>
      </c>
      <c r="B452" s="1" t="n">
        <v>45863</v>
      </c>
      <c r="C452" s="1" t="n">
        <v>45983</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35962-2025</t>
        </is>
      </c>
      <c r="B453" s="1" t="n">
        <v>45863</v>
      </c>
      <c r="C453" s="1" t="n">
        <v>45983</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46683-2025</t>
        </is>
      </c>
      <c r="B454" s="1" t="n">
        <v>45926</v>
      </c>
      <c r="C454" s="1" t="n">
        <v>45983</v>
      </c>
      <c r="D454" t="inlineStr">
        <is>
          <t>DALARNAS LÄN</t>
        </is>
      </c>
      <c r="E454" t="inlineStr">
        <is>
          <t>LUDVIKA</t>
        </is>
      </c>
      <c r="F454" t="inlineStr">
        <is>
          <t>Bergvik skog väst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34823-2025</t>
        </is>
      </c>
      <c r="B455" s="1" t="n">
        <v>45849</v>
      </c>
      <c r="C455" s="1" t="n">
        <v>45983</v>
      </c>
      <c r="D455" t="inlineStr">
        <is>
          <t>DALARNAS LÄN</t>
        </is>
      </c>
      <c r="E455" t="inlineStr">
        <is>
          <t>LUDVIKA</t>
        </is>
      </c>
      <c r="F455" t="inlineStr">
        <is>
          <t>Bergvik skog väst AB</t>
        </is>
      </c>
      <c r="G455" t="n">
        <v>2.7</v>
      </c>
      <c r="H455" t="n">
        <v>0</v>
      </c>
      <c r="I455" t="n">
        <v>0</v>
      </c>
      <c r="J455" t="n">
        <v>0</v>
      </c>
      <c r="K455" t="n">
        <v>0</v>
      </c>
      <c r="L455" t="n">
        <v>0</v>
      </c>
      <c r="M455" t="n">
        <v>0</v>
      </c>
      <c r="N455" t="n">
        <v>0</v>
      </c>
      <c r="O455" t="n">
        <v>0</v>
      </c>
      <c r="P455" t="n">
        <v>0</v>
      </c>
      <c r="Q455" t="n">
        <v>0</v>
      </c>
      <c r="R455" s="2" t="inlineStr"/>
    </row>
    <row r="456" ht="15" customHeight="1">
      <c r="A456" t="inlineStr">
        <is>
          <t>A 47086-2025</t>
        </is>
      </c>
      <c r="B456" s="1" t="n">
        <v>45929.6437962963</v>
      </c>
      <c r="C456" s="1" t="n">
        <v>45983</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55450-2025</t>
        </is>
      </c>
      <c r="B457" s="1" t="n">
        <v>45971.50697916667</v>
      </c>
      <c r="C457" s="1" t="n">
        <v>45983</v>
      </c>
      <c r="D457" t="inlineStr">
        <is>
          <t>DALARNAS LÄN</t>
        </is>
      </c>
      <c r="E457" t="inlineStr">
        <is>
          <t>LUDVIKA</t>
        </is>
      </c>
      <c r="F457" t="inlineStr">
        <is>
          <t>Bergvik skog väst AB</t>
        </is>
      </c>
      <c r="G457" t="n">
        <v>5.6</v>
      </c>
      <c r="H457" t="n">
        <v>0</v>
      </c>
      <c r="I457" t="n">
        <v>0</v>
      </c>
      <c r="J457" t="n">
        <v>0</v>
      </c>
      <c r="K457" t="n">
        <v>0</v>
      </c>
      <c r="L457" t="n">
        <v>0</v>
      </c>
      <c r="M457" t="n">
        <v>0</v>
      </c>
      <c r="N457" t="n">
        <v>0</v>
      </c>
      <c r="O457" t="n">
        <v>0</v>
      </c>
      <c r="P457" t="n">
        <v>0</v>
      </c>
      <c r="Q457" t="n">
        <v>0</v>
      </c>
      <c r="R457" s="2" t="inlineStr"/>
    </row>
    <row r="458" ht="15" customHeight="1">
      <c r="A458" t="inlineStr">
        <is>
          <t>A 55422-2025</t>
        </is>
      </c>
      <c r="B458" s="1" t="n">
        <v>45971.47175925926</v>
      </c>
      <c r="C458" s="1" t="n">
        <v>45983</v>
      </c>
      <c r="D458" t="inlineStr">
        <is>
          <t>DALARNAS LÄN</t>
        </is>
      </c>
      <c r="E458" t="inlineStr">
        <is>
          <t>LUDVIKA</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55426-2025</t>
        </is>
      </c>
      <c r="B459" s="1" t="n">
        <v>45971.47452546296</v>
      </c>
      <c r="C459" s="1" t="n">
        <v>45983</v>
      </c>
      <c r="D459" t="inlineStr">
        <is>
          <t>DALARNAS LÄN</t>
        </is>
      </c>
      <c r="E459" t="inlineStr">
        <is>
          <t>LUDVIKA</t>
        </is>
      </c>
      <c r="F459" t="inlineStr">
        <is>
          <t>Bergvik skog väst AB</t>
        </is>
      </c>
      <c r="G459" t="n">
        <v>5.3</v>
      </c>
      <c r="H459" t="n">
        <v>0</v>
      </c>
      <c r="I459" t="n">
        <v>0</v>
      </c>
      <c r="J459" t="n">
        <v>0</v>
      </c>
      <c r="K459" t="n">
        <v>0</v>
      </c>
      <c r="L459" t="n">
        <v>0</v>
      </c>
      <c r="M459" t="n">
        <v>0</v>
      </c>
      <c r="N459" t="n">
        <v>0</v>
      </c>
      <c r="O459" t="n">
        <v>0</v>
      </c>
      <c r="P459" t="n">
        <v>0</v>
      </c>
      <c r="Q459" t="n">
        <v>0</v>
      </c>
      <c r="R459" s="2" t="inlineStr"/>
    </row>
    <row r="460" ht="15" customHeight="1">
      <c r="A460" t="inlineStr">
        <is>
          <t>A 59448-2024</t>
        </is>
      </c>
      <c r="B460" s="1" t="n">
        <v>45638.46208333333</v>
      </c>
      <c r="C460" s="1" t="n">
        <v>45983</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21145-2023</t>
        </is>
      </c>
      <c r="B461" s="1" t="n">
        <v>45062.37524305555</v>
      </c>
      <c r="C461" s="1" t="n">
        <v>45983</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43055-2024</t>
        </is>
      </c>
      <c r="B462" s="1" t="n">
        <v>45567.45354166667</v>
      </c>
      <c r="C462" s="1" t="n">
        <v>45983</v>
      </c>
      <c r="D462" t="inlineStr">
        <is>
          <t>DALARNAS LÄN</t>
        </is>
      </c>
      <c r="E462" t="inlineStr">
        <is>
          <t>LUDVIKA</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17677-2022</t>
        </is>
      </c>
      <c r="B463" s="1" t="n">
        <v>44680</v>
      </c>
      <c r="C463" s="1" t="n">
        <v>45983</v>
      </c>
      <c r="D463" t="inlineStr">
        <is>
          <t>DALARNAS LÄN</t>
        </is>
      </c>
      <c r="E463" t="inlineStr">
        <is>
          <t>LUDVIKA</t>
        </is>
      </c>
      <c r="F463" t="inlineStr">
        <is>
          <t>Bergvik skog väst AB</t>
        </is>
      </c>
      <c r="G463" t="n">
        <v>5.5</v>
      </c>
      <c r="H463" t="n">
        <v>0</v>
      </c>
      <c r="I463" t="n">
        <v>0</v>
      </c>
      <c r="J463" t="n">
        <v>0</v>
      </c>
      <c r="K463" t="n">
        <v>0</v>
      </c>
      <c r="L463" t="n">
        <v>0</v>
      </c>
      <c r="M463" t="n">
        <v>0</v>
      </c>
      <c r="N463" t="n">
        <v>0</v>
      </c>
      <c r="O463" t="n">
        <v>0</v>
      </c>
      <c r="P463" t="n">
        <v>0</v>
      </c>
      <c r="Q463" t="n">
        <v>0</v>
      </c>
      <c r="R463" s="2" t="inlineStr"/>
    </row>
    <row r="464" ht="15" customHeight="1">
      <c r="A464" t="inlineStr">
        <is>
          <t>A 47287-2025</t>
        </is>
      </c>
      <c r="B464" s="1" t="n">
        <v>45930.48451388889</v>
      </c>
      <c r="C464" s="1" t="n">
        <v>45983</v>
      </c>
      <c r="D464" t="inlineStr">
        <is>
          <t>DALARNAS LÄN</t>
        </is>
      </c>
      <c r="E464" t="inlineStr">
        <is>
          <t>LUDVIKA</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36436-2025</t>
        </is>
      </c>
      <c r="B465" s="1" t="n">
        <v>45869</v>
      </c>
      <c r="C465" s="1" t="n">
        <v>45983</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47032-2025</t>
        </is>
      </c>
      <c r="B466" s="1" t="n">
        <v>45929.59041666667</v>
      </c>
      <c r="C466" s="1" t="n">
        <v>45983</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35708-2025</t>
        </is>
      </c>
      <c r="B467" s="1" t="n">
        <v>45860</v>
      </c>
      <c r="C467" s="1" t="n">
        <v>45983</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36435-2025</t>
        </is>
      </c>
      <c r="B468" s="1" t="n">
        <v>45869</v>
      </c>
      <c r="C468" s="1" t="n">
        <v>45983</v>
      </c>
      <c r="D468" t="inlineStr">
        <is>
          <t>DALARNAS LÄN</t>
        </is>
      </c>
      <c r="E468" t="inlineStr">
        <is>
          <t>LUDVIKA</t>
        </is>
      </c>
      <c r="F468" t="inlineStr">
        <is>
          <t>Bergvik skog väst AB</t>
        </is>
      </c>
      <c r="G468" t="n">
        <v>7.1</v>
      </c>
      <c r="H468" t="n">
        <v>0</v>
      </c>
      <c r="I468" t="n">
        <v>0</v>
      </c>
      <c r="J468" t="n">
        <v>0</v>
      </c>
      <c r="K468" t="n">
        <v>0</v>
      </c>
      <c r="L468" t="n">
        <v>0</v>
      </c>
      <c r="M468" t="n">
        <v>0</v>
      </c>
      <c r="N468" t="n">
        <v>0</v>
      </c>
      <c r="O468" t="n">
        <v>0</v>
      </c>
      <c r="P468" t="n">
        <v>0</v>
      </c>
      <c r="Q468" t="n">
        <v>0</v>
      </c>
      <c r="R468" s="2" t="inlineStr"/>
    </row>
    <row r="469" ht="15" customHeight="1">
      <c r="A469" t="inlineStr">
        <is>
          <t>A 36437-2025</t>
        </is>
      </c>
      <c r="B469" s="1" t="n">
        <v>45869</v>
      </c>
      <c r="C469" s="1" t="n">
        <v>45983</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36523-2025</t>
        </is>
      </c>
      <c r="B470" s="1" t="n">
        <v>45869</v>
      </c>
      <c r="C470" s="1" t="n">
        <v>45983</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55372-2025</t>
        </is>
      </c>
      <c r="B471" s="1" t="n">
        <v>45971.41719907407</v>
      </c>
      <c r="C471" s="1" t="n">
        <v>45983</v>
      </c>
      <c r="D471" t="inlineStr">
        <is>
          <t>DALARNAS LÄN</t>
        </is>
      </c>
      <c r="E471" t="inlineStr">
        <is>
          <t>LUDVIKA</t>
        </is>
      </c>
      <c r="F471" t="inlineStr">
        <is>
          <t>Bergvik skog väst AB</t>
        </is>
      </c>
      <c r="G471" t="n">
        <v>4.6</v>
      </c>
      <c r="H471" t="n">
        <v>0</v>
      </c>
      <c r="I471" t="n">
        <v>0</v>
      </c>
      <c r="J471" t="n">
        <v>0</v>
      </c>
      <c r="K471" t="n">
        <v>0</v>
      </c>
      <c r="L471" t="n">
        <v>0</v>
      </c>
      <c r="M471" t="n">
        <v>0</v>
      </c>
      <c r="N471" t="n">
        <v>0</v>
      </c>
      <c r="O471" t="n">
        <v>0</v>
      </c>
      <c r="P471" t="n">
        <v>0</v>
      </c>
      <c r="Q471" t="n">
        <v>0</v>
      </c>
      <c r="R471" s="2" t="inlineStr"/>
    </row>
    <row r="472" ht="15" customHeight="1">
      <c r="A472" t="inlineStr">
        <is>
          <t>A 49060-2023</t>
        </is>
      </c>
      <c r="B472" s="1" t="n">
        <v>45210</v>
      </c>
      <c r="C472" s="1" t="n">
        <v>45983</v>
      </c>
      <c r="D472" t="inlineStr">
        <is>
          <t>DALARNAS LÄN</t>
        </is>
      </c>
      <c r="E472" t="inlineStr">
        <is>
          <t>LUDVIKA</t>
        </is>
      </c>
      <c r="F472" t="inlineStr">
        <is>
          <t>Naturvårdsverket</t>
        </is>
      </c>
      <c r="G472" t="n">
        <v>0.8</v>
      </c>
      <c r="H472" t="n">
        <v>0</v>
      </c>
      <c r="I472" t="n">
        <v>0</v>
      </c>
      <c r="J472" t="n">
        <v>0</v>
      </c>
      <c r="K472" t="n">
        <v>0</v>
      </c>
      <c r="L472" t="n">
        <v>0</v>
      </c>
      <c r="M472" t="n">
        <v>0</v>
      </c>
      <c r="N472" t="n">
        <v>0</v>
      </c>
      <c r="O472" t="n">
        <v>0</v>
      </c>
      <c r="P472" t="n">
        <v>0</v>
      </c>
      <c r="Q472" t="n">
        <v>0</v>
      </c>
      <c r="R472" s="2" t="inlineStr"/>
    </row>
    <row r="473" ht="15" customHeight="1">
      <c r="A473" t="inlineStr">
        <is>
          <t>A 6151-2024</t>
        </is>
      </c>
      <c r="B473" s="1" t="n">
        <v>45337</v>
      </c>
      <c r="C473" s="1" t="n">
        <v>45983</v>
      </c>
      <c r="D473" t="inlineStr">
        <is>
          <t>DALARNAS LÄN</t>
        </is>
      </c>
      <c r="E473" t="inlineStr">
        <is>
          <t>LUDVIKA</t>
        </is>
      </c>
      <c r="G473" t="n">
        <v>1.7</v>
      </c>
      <c r="H473" t="n">
        <v>0</v>
      </c>
      <c r="I473" t="n">
        <v>0</v>
      </c>
      <c r="J473" t="n">
        <v>0</v>
      </c>
      <c r="K473" t="n">
        <v>0</v>
      </c>
      <c r="L473" t="n">
        <v>0</v>
      </c>
      <c r="M473" t="n">
        <v>0</v>
      </c>
      <c r="N473" t="n">
        <v>0</v>
      </c>
      <c r="O473" t="n">
        <v>0</v>
      </c>
      <c r="P473" t="n">
        <v>0</v>
      </c>
      <c r="Q473" t="n">
        <v>0</v>
      </c>
      <c r="R473" s="2" t="inlineStr"/>
    </row>
    <row r="474" ht="15" customHeight="1">
      <c r="A474" t="inlineStr">
        <is>
          <t>A 54096-2024</t>
        </is>
      </c>
      <c r="B474" s="1" t="n">
        <v>45616.51402777778</v>
      </c>
      <c r="C474" s="1" t="n">
        <v>45983</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55559-2025</t>
        </is>
      </c>
      <c r="B475" s="1" t="n">
        <v>45971</v>
      </c>
      <c r="C475" s="1" t="n">
        <v>45983</v>
      </c>
      <c r="D475" t="inlineStr">
        <is>
          <t>DALARNAS LÄN</t>
        </is>
      </c>
      <c r="E475" t="inlineStr">
        <is>
          <t>LUDVIKA</t>
        </is>
      </c>
      <c r="F475" t="inlineStr">
        <is>
          <t>Bergvik skog väst AB</t>
        </is>
      </c>
      <c r="G475" t="n">
        <v>9.4</v>
      </c>
      <c r="H475" t="n">
        <v>0</v>
      </c>
      <c r="I475" t="n">
        <v>0</v>
      </c>
      <c r="J475" t="n">
        <v>0</v>
      </c>
      <c r="K475" t="n">
        <v>0</v>
      </c>
      <c r="L475" t="n">
        <v>0</v>
      </c>
      <c r="M475" t="n">
        <v>0</v>
      </c>
      <c r="N475" t="n">
        <v>0</v>
      </c>
      <c r="O475" t="n">
        <v>0</v>
      </c>
      <c r="P475" t="n">
        <v>0</v>
      </c>
      <c r="Q475" t="n">
        <v>0</v>
      </c>
      <c r="R475" s="2" t="inlineStr"/>
    </row>
    <row r="476" ht="15" customHeight="1">
      <c r="A476" t="inlineStr">
        <is>
          <t>A 52530-2025</t>
        </is>
      </c>
      <c r="B476" s="1" t="n">
        <v>45954</v>
      </c>
      <c r="C476" s="1" t="n">
        <v>45983</v>
      </c>
      <c r="D476" t="inlineStr">
        <is>
          <t>DALARNAS LÄN</t>
        </is>
      </c>
      <c r="E476" t="inlineStr">
        <is>
          <t>LUDVIKA</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53981-2025</t>
        </is>
      </c>
      <c r="B477" s="1" t="n">
        <v>45961</v>
      </c>
      <c r="C477" s="1" t="n">
        <v>45983</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55200-2025</t>
        </is>
      </c>
      <c r="B478" s="1" t="n">
        <v>45968</v>
      </c>
      <c r="C478" s="1" t="n">
        <v>45983</v>
      </c>
      <c r="D478" t="inlineStr">
        <is>
          <t>DALARNAS LÄN</t>
        </is>
      </c>
      <c r="E478" t="inlineStr">
        <is>
          <t>LUDVIKA</t>
        </is>
      </c>
      <c r="F478" t="inlineStr">
        <is>
          <t>Bergvik skog väst AB</t>
        </is>
      </c>
      <c r="G478" t="n">
        <v>10</v>
      </c>
      <c r="H478" t="n">
        <v>0</v>
      </c>
      <c r="I478" t="n">
        <v>0</v>
      </c>
      <c r="J478" t="n">
        <v>0</v>
      </c>
      <c r="K478" t="n">
        <v>0</v>
      </c>
      <c r="L478" t="n">
        <v>0</v>
      </c>
      <c r="M478" t="n">
        <v>0</v>
      </c>
      <c r="N478" t="n">
        <v>0</v>
      </c>
      <c r="O478" t="n">
        <v>0</v>
      </c>
      <c r="P478" t="n">
        <v>0</v>
      </c>
      <c r="Q478" t="n">
        <v>0</v>
      </c>
      <c r="R478" s="2" t="inlineStr"/>
    </row>
    <row r="479" ht="15" customHeight="1">
      <c r="A479" t="inlineStr">
        <is>
          <t>A 52832-2025</t>
        </is>
      </c>
      <c r="B479" s="1" t="n">
        <v>45957</v>
      </c>
      <c r="C479" s="1" t="n">
        <v>45983</v>
      </c>
      <c r="D479" t="inlineStr">
        <is>
          <t>DALARNAS LÄN</t>
        </is>
      </c>
      <c r="E479" t="inlineStr">
        <is>
          <t>LUDVIKA</t>
        </is>
      </c>
      <c r="F479" t="inlineStr">
        <is>
          <t>Bergvik skog väst AB</t>
        </is>
      </c>
      <c r="G479" t="n">
        <v>0.8</v>
      </c>
      <c r="H479" t="n">
        <v>0</v>
      </c>
      <c r="I479" t="n">
        <v>0</v>
      </c>
      <c r="J479" t="n">
        <v>0</v>
      </c>
      <c r="K479" t="n">
        <v>0</v>
      </c>
      <c r="L479" t="n">
        <v>0</v>
      </c>
      <c r="M479" t="n">
        <v>0</v>
      </c>
      <c r="N479" t="n">
        <v>0</v>
      </c>
      <c r="O479" t="n">
        <v>0</v>
      </c>
      <c r="P479" t="n">
        <v>0</v>
      </c>
      <c r="Q479" t="n">
        <v>0</v>
      </c>
      <c r="R479" s="2" t="inlineStr"/>
    </row>
    <row r="480" ht="15" customHeight="1">
      <c r="A480" t="inlineStr">
        <is>
          <t>A 52838-2025</t>
        </is>
      </c>
      <c r="B480" s="1" t="n">
        <v>45957</v>
      </c>
      <c r="C480" s="1" t="n">
        <v>45983</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55972-2025</t>
        </is>
      </c>
      <c r="B481" s="1" t="n">
        <v>45973.499375</v>
      </c>
      <c r="C481" s="1" t="n">
        <v>45983</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55932-2025</t>
        </is>
      </c>
      <c r="B482" s="1" t="n">
        <v>45973</v>
      </c>
      <c r="C482" s="1" t="n">
        <v>45983</v>
      </c>
      <c r="D482" t="inlineStr">
        <is>
          <t>DALARNAS LÄN</t>
        </is>
      </c>
      <c r="E482" t="inlineStr">
        <is>
          <t>LUDVIKA</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56030-2025</t>
        </is>
      </c>
      <c r="B483" s="1" t="n">
        <v>45973</v>
      </c>
      <c r="C483" s="1" t="n">
        <v>45983</v>
      </c>
      <c r="D483" t="inlineStr">
        <is>
          <t>DALARNAS LÄN</t>
        </is>
      </c>
      <c r="E483" t="inlineStr">
        <is>
          <t>LUDVIKA</t>
        </is>
      </c>
      <c r="F483" t="inlineStr">
        <is>
          <t>Bergvik skog väst AB</t>
        </is>
      </c>
      <c r="G483" t="n">
        <v>6.3</v>
      </c>
      <c r="H483" t="n">
        <v>0</v>
      </c>
      <c r="I483" t="n">
        <v>0</v>
      </c>
      <c r="J483" t="n">
        <v>0</v>
      </c>
      <c r="K483" t="n">
        <v>0</v>
      </c>
      <c r="L483" t="n">
        <v>0</v>
      </c>
      <c r="M483" t="n">
        <v>0</v>
      </c>
      <c r="N483" t="n">
        <v>0</v>
      </c>
      <c r="O483" t="n">
        <v>0</v>
      </c>
      <c r="P483" t="n">
        <v>0</v>
      </c>
      <c r="Q483" t="n">
        <v>0</v>
      </c>
      <c r="R483" s="2" t="inlineStr"/>
    </row>
    <row r="484" ht="15" customHeight="1">
      <c r="A484" t="inlineStr">
        <is>
          <t>A 55399-2025</t>
        </is>
      </c>
      <c r="B484" s="1" t="n">
        <v>45971</v>
      </c>
      <c r="C484" s="1" t="n">
        <v>45983</v>
      </c>
      <c r="D484" t="inlineStr">
        <is>
          <t>DALARNAS LÄN</t>
        </is>
      </c>
      <c r="E484" t="inlineStr">
        <is>
          <t>LUDVIKA</t>
        </is>
      </c>
      <c r="F484" t="inlineStr">
        <is>
          <t>Bergvik skog väst AB</t>
        </is>
      </c>
      <c r="G484" t="n">
        <v>11.5</v>
      </c>
      <c r="H484" t="n">
        <v>0</v>
      </c>
      <c r="I484" t="n">
        <v>0</v>
      </c>
      <c r="J484" t="n">
        <v>0</v>
      </c>
      <c r="K484" t="n">
        <v>0</v>
      </c>
      <c r="L484" t="n">
        <v>0</v>
      </c>
      <c r="M484" t="n">
        <v>0</v>
      </c>
      <c r="N484" t="n">
        <v>0</v>
      </c>
      <c r="O484" t="n">
        <v>0</v>
      </c>
      <c r="P484" t="n">
        <v>0</v>
      </c>
      <c r="Q484" t="n">
        <v>0</v>
      </c>
      <c r="R484" s="2" t="inlineStr"/>
    </row>
    <row r="485" ht="15" customHeight="1">
      <c r="A485" t="inlineStr">
        <is>
          <t>A 52491-2025</t>
        </is>
      </c>
      <c r="B485" s="1" t="n">
        <v>45954</v>
      </c>
      <c r="C485" s="1" t="n">
        <v>45983</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52484-2025</t>
        </is>
      </c>
      <c r="B486" s="1" t="n">
        <v>45954</v>
      </c>
      <c r="C486" s="1" t="n">
        <v>45983</v>
      </c>
      <c r="D486" t="inlineStr">
        <is>
          <t>DALARNAS LÄN</t>
        </is>
      </c>
      <c r="E486" t="inlineStr">
        <is>
          <t>LUDVIKA</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55206-2025</t>
        </is>
      </c>
      <c r="B487" s="1" t="n">
        <v>45968</v>
      </c>
      <c r="C487" s="1" t="n">
        <v>45983</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58072-2024</t>
        </is>
      </c>
      <c r="B488" s="1" t="n">
        <v>45632.01575231482</v>
      </c>
      <c r="C488" s="1" t="n">
        <v>45983</v>
      </c>
      <c r="D488" t="inlineStr">
        <is>
          <t>DALARNAS LÄN</t>
        </is>
      </c>
      <c r="E488" t="inlineStr">
        <is>
          <t>LUDVIKA</t>
        </is>
      </c>
      <c r="G488" t="n">
        <v>0.8</v>
      </c>
      <c r="H488" t="n">
        <v>0</v>
      </c>
      <c r="I488" t="n">
        <v>0</v>
      </c>
      <c r="J488" t="n">
        <v>0</v>
      </c>
      <c r="K488" t="n">
        <v>0</v>
      </c>
      <c r="L488" t="n">
        <v>0</v>
      </c>
      <c r="M488" t="n">
        <v>0</v>
      </c>
      <c r="N488" t="n">
        <v>0</v>
      </c>
      <c r="O488" t="n">
        <v>0</v>
      </c>
      <c r="P488" t="n">
        <v>0</v>
      </c>
      <c r="Q488" t="n">
        <v>0</v>
      </c>
      <c r="R488" s="2" t="inlineStr"/>
    </row>
    <row r="489" ht="15" customHeight="1">
      <c r="A489" t="inlineStr">
        <is>
          <t>A 51105-2025</t>
        </is>
      </c>
      <c r="B489" s="1" t="n">
        <v>45947</v>
      </c>
      <c r="C489" s="1" t="n">
        <v>45983</v>
      </c>
      <c r="D489" t="inlineStr">
        <is>
          <t>DALARNAS LÄN</t>
        </is>
      </c>
      <c r="E489" t="inlineStr">
        <is>
          <t>LUDVIKA</t>
        </is>
      </c>
      <c r="F489" t="inlineStr">
        <is>
          <t>Bergvik skog väst AB</t>
        </is>
      </c>
      <c r="G489" t="n">
        <v>5.6</v>
      </c>
      <c r="H489" t="n">
        <v>0</v>
      </c>
      <c r="I489" t="n">
        <v>0</v>
      </c>
      <c r="J489" t="n">
        <v>0</v>
      </c>
      <c r="K489" t="n">
        <v>0</v>
      </c>
      <c r="L489" t="n">
        <v>0</v>
      </c>
      <c r="M489" t="n">
        <v>0</v>
      </c>
      <c r="N489" t="n">
        <v>0</v>
      </c>
      <c r="O489" t="n">
        <v>0</v>
      </c>
      <c r="P489" t="n">
        <v>0</v>
      </c>
      <c r="Q489" t="n">
        <v>0</v>
      </c>
      <c r="R489" s="2" t="inlineStr"/>
    </row>
    <row r="490" ht="15" customHeight="1">
      <c r="A490" t="inlineStr">
        <is>
          <t>A 58090-2024</t>
        </is>
      </c>
      <c r="B490" s="1" t="n">
        <v>45632.35070601852</v>
      </c>
      <c r="C490" s="1" t="n">
        <v>45983</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59347-2024</t>
        </is>
      </c>
      <c r="B491" s="1" t="n">
        <v>45638.00060185185</v>
      </c>
      <c r="C491" s="1" t="n">
        <v>45983</v>
      </c>
      <c r="D491" t="inlineStr">
        <is>
          <t>DALARNAS LÄN</t>
        </is>
      </c>
      <c r="E491" t="inlineStr">
        <is>
          <t>LUDVIKA</t>
        </is>
      </c>
      <c r="G491" t="n">
        <v>1</v>
      </c>
      <c r="H491" t="n">
        <v>0</v>
      </c>
      <c r="I491" t="n">
        <v>0</v>
      </c>
      <c r="J491" t="n">
        <v>0</v>
      </c>
      <c r="K491" t="n">
        <v>0</v>
      </c>
      <c r="L491" t="n">
        <v>0</v>
      </c>
      <c r="M491" t="n">
        <v>0</v>
      </c>
      <c r="N491" t="n">
        <v>0</v>
      </c>
      <c r="O491" t="n">
        <v>0</v>
      </c>
      <c r="P491" t="n">
        <v>0</v>
      </c>
      <c r="Q491" t="n">
        <v>0</v>
      </c>
      <c r="R491" s="2" t="inlineStr"/>
    </row>
    <row r="492" ht="15" customHeight="1">
      <c r="A492" t="inlineStr">
        <is>
          <t>A 60843-2024</t>
        </is>
      </c>
      <c r="B492" s="1" t="n">
        <v>45644.65412037037</v>
      </c>
      <c r="C492" s="1" t="n">
        <v>45983</v>
      </c>
      <c r="D492" t="inlineStr">
        <is>
          <t>DALARNAS LÄN</t>
        </is>
      </c>
      <c r="E492" t="inlineStr">
        <is>
          <t>LUDVIKA</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18187-2025</t>
        </is>
      </c>
      <c r="B493" s="1" t="n">
        <v>45761.66826388889</v>
      </c>
      <c r="C493" s="1" t="n">
        <v>45983</v>
      </c>
      <c r="D493" t="inlineStr">
        <is>
          <t>DALARNAS LÄN</t>
        </is>
      </c>
      <c r="E493" t="inlineStr">
        <is>
          <t>LUDVIKA</t>
        </is>
      </c>
      <c r="G493" t="n">
        <v>1.9</v>
      </c>
      <c r="H493" t="n">
        <v>0</v>
      </c>
      <c r="I493" t="n">
        <v>0</v>
      </c>
      <c r="J493" t="n">
        <v>0</v>
      </c>
      <c r="K493" t="n">
        <v>0</v>
      </c>
      <c r="L493" t="n">
        <v>0</v>
      </c>
      <c r="M493" t="n">
        <v>0</v>
      </c>
      <c r="N493" t="n">
        <v>0</v>
      </c>
      <c r="O493" t="n">
        <v>0</v>
      </c>
      <c r="P493" t="n">
        <v>0</v>
      </c>
      <c r="Q493" t="n">
        <v>0</v>
      </c>
      <c r="R493" s="2" t="inlineStr"/>
    </row>
    <row r="494" ht="15" customHeight="1">
      <c r="A494" t="inlineStr">
        <is>
          <t>A 46674-2025</t>
        </is>
      </c>
      <c r="B494" s="1" t="n">
        <v>45926</v>
      </c>
      <c r="C494" s="1" t="n">
        <v>45983</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55499-2025</t>
        </is>
      </c>
      <c r="B495" s="1" t="n">
        <v>45971</v>
      </c>
      <c r="C495" s="1" t="n">
        <v>45983</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53979-2025</t>
        </is>
      </c>
      <c r="B496" s="1" t="n">
        <v>45961</v>
      </c>
      <c r="C496" s="1" t="n">
        <v>45983</v>
      </c>
      <c r="D496" t="inlineStr">
        <is>
          <t>DALARNAS LÄN</t>
        </is>
      </c>
      <c r="E496" t="inlineStr">
        <is>
          <t>LUDVIKA</t>
        </is>
      </c>
      <c r="F496" t="inlineStr">
        <is>
          <t>Bergvik skog väst AB</t>
        </is>
      </c>
      <c r="G496" t="n">
        <v>4.9</v>
      </c>
      <c r="H496" t="n">
        <v>0</v>
      </c>
      <c r="I496" t="n">
        <v>0</v>
      </c>
      <c r="J496" t="n">
        <v>0</v>
      </c>
      <c r="K496" t="n">
        <v>0</v>
      </c>
      <c r="L496" t="n">
        <v>0</v>
      </c>
      <c r="M496" t="n">
        <v>0</v>
      </c>
      <c r="N496" t="n">
        <v>0</v>
      </c>
      <c r="O496" t="n">
        <v>0</v>
      </c>
      <c r="P496" t="n">
        <v>0</v>
      </c>
      <c r="Q496" t="n">
        <v>0</v>
      </c>
      <c r="R496" s="2" t="inlineStr"/>
    </row>
    <row r="497" ht="15" customHeight="1">
      <c r="A497" t="inlineStr">
        <is>
          <t>A 56002-2025</t>
        </is>
      </c>
      <c r="B497" s="1" t="n">
        <v>45973</v>
      </c>
      <c r="C497" s="1" t="n">
        <v>45983</v>
      </c>
      <c r="D497" t="inlineStr">
        <is>
          <t>DALARNAS LÄN</t>
        </is>
      </c>
      <c r="E497" t="inlineStr">
        <is>
          <t>LUDVIKA</t>
        </is>
      </c>
      <c r="F497" t="inlineStr">
        <is>
          <t>Bergvik skog väst AB</t>
        </is>
      </c>
      <c r="G497" t="n">
        <v>4.9</v>
      </c>
      <c r="H497" t="n">
        <v>0</v>
      </c>
      <c r="I497" t="n">
        <v>0</v>
      </c>
      <c r="J497" t="n">
        <v>0</v>
      </c>
      <c r="K497" t="n">
        <v>0</v>
      </c>
      <c r="L497" t="n">
        <v>0</v>
      </c>
      <c r="M497" t="n">
        <v>0</v>
      </c>
      <c r="N497" t="n">
        <v>0</v>
      </c>
      <c r="O497" t="n">
        <v>0</v>
      </c>
      <c r="P497" t="n">
        <v>0</v>
      </c>
      <c r="Q497" t="n">
        <v>0</v>
      </c>
      <c r="R497" s="2" t="inlineStr"/>
    </row>
    <row r="498" ht="15" customHeight="1">
      <c r="A498" t="inlineStr">
        <is>
          <t>A 52779-2025</t>
        </is>
      </c>
      <c r="B498" s="1" t="n">
        <v>45957</v>
      </c>
      <c r="C498" s="1" t="n">
        <v>45983</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43240-2024</t>
        </is>
      </c>
      <c r="B499" s="1" t="n">
        <v>45568.00373842593</v>
      </c>
      <c r="C499" s="1" t="n">
        <v>45983</v>
      </c>
      <c r="D499" t="inlineStr">
        <is>
          <t>DALARNAS LÄN</t>
        </is>
      </c>
      <c r="E499" t="inlineStr">
        <is>
          <t>LUDVIKA</t>
        </is>
      </c>
      <c r="G499" t="n">
        <v>0.9</v>
      </c>
      <c r="H499" t="n">
        <v>0</v>
      </c>
      <c r="I499" t="n">
        <v>0</v>
      </c>
      <c r="J499" t="n">
        <v>0</v>
      </c>
      <c r="K499" t="n">
        <v>0</v>
      </c>
      <c r="L499" t="n">
        <v>0</v>
      </c>
      <c r="M499" t="n">
        <v>0</v>
      </c>
      <c r="N499" t="n">
        <v>0</v>
      </c>
      <c r="O499" t="n">
        <v>0</v>
      </c>
      <c r="P499" t="n">
        <v>0</v>
      </c>
      <c r="Q499" t="n">
        <v>0</v>
      </c>
      <c r="R499" s="2" t="inlineStr"/>
    </row>
    <row r="500" ht="15" customHeight="1">
      <c r="A500" t="inlineStr">
        <is>
          <t>A 55646-2025</t>
        </is>
      </c>
      <c r="B500" s="1" t="n">
        <v>45972</v>
      </c>
      <c r="C500" s="1" t="n">
        <v>45983</v>
      </c>
      <c r="D500" t="inlineStr">
        <is>
          <t>DALARNAS LÄN</t>
        </is>
      </c>
      <c r="E500" t="inlineStr">
        <is>
          <t>LUDVIKA</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45983</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37121-2025</t>
        </is>
      </c>
      <c r="B502" s="1" t="n">
        <v>45875.51950231481</v>
      </c>
      <c r="C502" s="1" t="n">
        <v>45983</v>
      </c>
      <c r="D502" t="inlineStr">
        <is>
          <t>DALARNAS LÄN</t>
        </is>
      </c>
      <c r="E502" t="inlineStr">
        <is>
          <t>LUDVIKA</t>
        </is>
      </c>
      <c r="G502" t="n">
        <v>0.9</v>
      </c>
      <c r="H502" t="n">
        <v>0</v>
      </c>
      <c r="I502" t="n">
        <v>0</v>
      </c>
      <c r="J502" t="n">
        <v>0</v>
      </c>
      <c r="K502" t="n">
        <v>0</v>
      </c>
      <c r="L502" t="n">
        <v>0</v>
      </c>
      <c r="M502" t="n">
        <v>0</v>
      </c>
      <c r="N502" t="n">
        <v>0</v>
      </c>
      <c r="O502" t="n">
        <v>0</v>
      </c>
      <c r="P502" t="n">
        <v>0</v>
      </c>
      <c r="Q502" t="n">
        <v>0</v>
      </c>
      <c r="R502" s="2" t="inlineStr"/>
    </row>
    <row r="503" ht="15" customHeight="1">
      <c r="A503" t="inlineStr">
        <is>
          <t>A 55944-2025</t>
        </is>
      </c>
      <c r="B503" s="1" t="n">
        <v>45973</v>
      </c>
      <c r="C503" s="1" t="n">
        <v>45983</v>
      </c>
      <c r="D503" t="inlineStr">
        <is>
          <t>DALARNAS LÄN</t>
        </is>
      </c>
      <c r="E503" t="inlineStr">
        <is>
          <t>LUDVIKA</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37129-2025</t>
        </is>
      </c>
      <c r="B504" s="1" t="n">
        <v>45875.54314814815</v>
      </c>
      <c r="C504" s="1" t="n">
        <v>45983</v>
      </c>
      <c r="D504" t="inlineStr">
        <is>
          <t>DALARNAS LÄN</t>
        </is>
      </c>
      <c r="E504" t="inlineStr">
        <is>
          <t>LUDVIKA</t>
        </is>
      </c>
      <c r="G504" t="n">
        <v>3.9</v>
      </c>
      <c r="H504" t="n">
        <v>0</v>
      </c>
      <c r="I504" t="n">
        <v>0</v>
      </c>
      <c r="J504" t="n">
        <v>0</v>
      </c>
      <c r="K504" t="n">
        <v>0</v>
      </c>
      <c r="L504" t="n">
        <v>0</v>
      </c>
      <c r="M504" t="n">
        <v>0</v>
      </c>
      <c r="N504" t="n">
        <v>0</v>
      </c>
      <c r="O504" t="n">
        <v>0</v>
      </c>
      <c r="P504" t="n">
        <v>0</v>
      </c>
      <c r="Q504" t="n">
        <v>0</v>
      </c>
      <c r="R504" s="2" t="inlineStr"/>
    </row>
    <row r="505" ht="15" customHeight="1">
      <c r="A505" t="inlineStr">
        <is>
          <t>A 55211-2025</t>
        </is>
      </c>
      <c r="B505" s="1" t="n">
        <v>45968</v>
      </c>
      <c r="C505" s="1" t="n">
        <v>45983</v>
      </c>
      <c r="D505" t="inlineStr">
        <is>
          <t>DALARNAS LÄN</t>
        </is>
      </c>
      <c r="E505" t="inlineStr">
        <is>
          <t>LUDVIKA</t>
        </is>
      </c>
      <c r="F505" t="inlineStr">
        <is>
          <t>Bergvik skog väst AB</t>
        </is>
      </c>
      <c r="G505" t="n">
        <v>11.5</v>
      </c>
      <c r="H505" t="n">
        <v>0</v>
      </c>
      <c r="I505" t="n">
        <v>0</v>
      </c>
      <c r="J505" t="n">
        <v>0</v>
      </c>
      <c r="K505" t="n">
        <v>0</v>
      </c>
      <c r="L505" t="n">
        <v>0</v>
      </c>
      <c r="M505" t="n">
        <v>0</v>
      </c>
      <c r="N505" t="n">
        <v>0</v>
      </c>
      <c r="O505" t="n">
        <v>0</v>
      </c>
      <c r="P505" t="n">
        <v>0</v>
      </c>
      <c r="Q505" t="n">
        <v>0</v>
      </c>
      <c r="R505" s="2" t="inlineStr"/>
    </row>
    <row r="506" ht="15" customHeight="1">
      <c r="A506" t="inlineStr">
        <is>
          <t>A 55974-2025</t>
        </is>
      </c>
      <c r="B506" s="1" t="n">
        <v>45973.50497685185</v>
      </c>
      <c r="C506" s="1" t="n">
        <v>45983</v>
      </c>
      <c r="D506" t="inlineStr">
        <is>
          <t>DALARNAS LÄN</t>
        </is>
      </c>
      <c r="E506" t="inlineStr">
        <is>
          <t>LUDVIKA</t>
        </is>
      </c>
      <c r="F506" t="inlineStr">
        <is>
          <t>Bergvik skog väst AB</t>
        </is>
      </c>
      <c r="G506" t="n">
        <v>5.1</v>
      </c>
      <c r="H506" t="n">
        <v>0</v>
      </c>
      <c r="I506" t="n">
        <v>0</v>
      </c>
      <c r="J506" t="n">
        <v>0</v>
      </c>
      <c r="K506" t="n">
        <v>0</v>
      </c>
      <c r="L506" t="n">
        <v>0</v>
      </c>
      <c r="M506" t="n">
        <v>0</v>
      </c>
      <c r="N506" t="n">
        <v>0</v>
      </c>
      <c r="O506" t="n">
        <v>0</v>
      </c>
      <c r="P506" t="n">
        <v>0</v>
      </c>
      <c r="Q506" t="n">
        <v>0</v>
      </c>
      <c r="R506" s="2" t="inlineStr"/>
    </row>
    <row r="507" ht="15" customHeight="1">
      <c r="A507" t="inlineStr">
        <is>
          <t>A 55323-2025</t>
        </is>
      </c>
      <c r="B507" s="1" t="n">
        <v>45971</v>
      </c>
      <c r="C507" s="1" t="n">
        <v>45983</v>
      </c>
      <c r="D507" t="inlineStr">
        <is>
          <t>DALARNAS LÄN</t>
        </is>
      </c>
      <c r="E507" t="inlineStr">
        <is>
          <t>LUDVIKA</t>
        </is>
      </c>
      <c r="F507" t="inlineStr">
        <is>
          <t>Bergvik skog väst AB</t>
        </is>
      </c>
      <c r="G507" t="n">
        <v>25.7</v>
      </c>
      <c r="H507" t="n">
        <v>0</v>
      </c>
      <c r="I507" t="n">
        <v>0</v>
      </c>
      <c r="J507" t="n">
        <v>0</v>
      </c>
      <c r="K507" t="n">
        <v>0</v>
      </c>
      <c r="L507" t="n">
        <v>0</v>
      </c>
      <c r="M507" t="n">
        <v>0</v>
      </c>
      <c r="N507" t="n">
        <v>0</v>
      </c>
      <c r="O507" t="n">
        <v>0</v>
      </c>
      <c r="P507" t="n">
        <v>0</v>
      </c>
      <c r="Q507" t="n">
        <v>0</v>
      </c>
      <c r="R507" s="2" t="inlineStr"/>
    </row>
    <row r="508" ht="15" customHeight="1">
      <c r="A508" t="inlineStr">
        <is>
          <t>A 55427-2025</t>
        </is>
      </c>
      <c r="B508" s="1" t="n">
        <v>45971</v>
      </c>
      <c r="C508" s="1" t="n">
        <v>45983</v>
      </c>
      <c r="D508" t="inlineStr">
        <is>
          <t>DALARNAS LÄN</t>
        </is>
      </c>
      <c r="E508" t="inlineStr">
        <is>
          <t>LUDVIKA</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52500-2025</t>
        </is>
      </c>
      <c r="B509" s="1" t="n">
        <v>45954</v>
      </c>
      <c r="C509" s="1" t="n">
        <v>45983</v>
      </c>
      <c r="D509" t="inlineStr">
        <is>
          <t>DALARNAS LÄN</t>
        </is>
      </c>
      <c r="E509" t="inlineStr">
        <is>
          <t>LUDVIKA</t>
        </is>
      </c>
      <c r="F509" t="inlineStr">
        <is>
          <t>Bergvik skog väst AB</t>
        </is>
      </c>
      <c r="G509" t="n">
        <v>9</v>
      </c>
      <c r="H509" t="n">
        <v>0</v>
      </c>
      <c r="I509" t="n">
        <v>0</v>
      </c>
      <c r="J509" t="n">
        <v>0</v>
      </c>
      <c r="K509" t="n">
        <v>0</v>
      </c>
      <c r="L509" t="n">
        <v>0</v>
      </c>
      <c r="M509" t="n">
        <v>0</v>
      </c>
      <c r="N509" t="n">
        <v>0</v>
      </c>
      <c r="O509" t="n">
        <v>0</v>
      </c>
      <c r="P509" t="n">
        <v>0</v>
      </c>
      <c r="Q509" t="n">
        <v>0</v>
      </c>
      <c r="R509" s="2" t="inlineStr"/>
    </row>
    <row r="510" ht="15" customHeight="1">
      <c r="A510" t="inlineStr">
        <is>
          <t>A 55410-2025</t>
        </is>
      </c>
      <c r="B510" s="1" t="n">
        <v>45971</v>
      </c>
      <c r="C510" s="1" t="n">
        <v>45983</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47940-2023</t>
        </is>
      </c>
      <c r="B511" s="1" t="n">
        <v>45204</v>
      </c>
      <c r="C511" s="1" t="n">
        <v>45983</v>
      </c>
      <c r="D511" t="inlineStr">
        <is>
          <t>DALARNAS LÄN</t>
        </is>
      </c>
      <c r="E511" t="inlineStr">
        <is>
          <t>LUDVIKA</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55554-2025</t>
        </is>
      </c>
      <c r="B512" s="1" t="n">
        <v>45971</v>
      </c>
      <c r="C512" s="1" t="n">
        <v>45983</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55409-2025</t>
        </is>
      </c>
      <c r="B513" s="1" t="n">
        <v>45971</v>
      </c>
      <c r="C513" s="1" t="n">
        <v>45983</v>
      </c>
      <c r="D513" t="inlineStr">
        <is>
          <t>DALARNAS LÄN</t>
        </is>
      </c>
      <c r="E513" t="inlineStr">
        <is>
          <t>LUDVIKA</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48488-2025</t>
        </is>
      </c>
      <c r="B514" s="1" t="n">
        <v>45936.36597222222</v>
      </c>
      <c r="C514" s="1" t="n">
        <v>45983</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48201-2025</t>
        </is>
      </c>
      <c r="B515" s="1" t="n">
        <v>45933.48107638889</v>
      </c>
      <c r="C515" s="1" t="n">
        <v>45983</v>
      </c>
      <c r="D515" t="inlineStr">
        <is>
          <t>DALARNAS LÄN</t>
        </is>
      </c>
      <c r="E515" t="inlineStr">
        <is>
          <t>LUDVIKA</t>
        </is>
      </c>
      <c r="G515" t="n">
        <v>1.3</v>
      </c>
      <c r="H515" t="n">
        <v>0</v>
      </c>
      <c r="I515" t="n">
        <v>0</v>
      </c>
      <c r="J515" t="n">
        <v>0</v>
      </c>
      <c r="K515" t="n">
        <v>0</v>
      </c>
      <c r="L515" t="n">
        <v>0</v>
      </c>
      <c r="M515" t="n">
        <v>0</v>
      </c>
      <c r="N515" t="n">
        <v>0</v>
      </c>
      <c r="O515" t="n">
        <v>0</v>
      </c>
      <c r="P515" t="n">
        <v>0</v>
      </c>
      <c r="Q515" t="n">
        <v>0</v>
      </c>
      <c r="R515" s="2" t="inlineStr"/>
    </row>
    <row r="516" ht="15" customHeight="1">
      <c r="A516" t="inlineStr">
        <is>
          <t>A 34868-2025</t>
        </is>
      </c>
      <c r="B516" s="1" t="n">
        <v>45849</v>
      </c>
      <c r="C516" s="1" t="n">
        <v>45983</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48577-2025</t>
        </is>
      </c>
      <c r="B517" s="1" t="n">
        <v>45936.45299768518</v>
      </c>
      <c r="C517" s="1" t="n">
        <v>45983</v>
      </c>
      <c r="D517" t="inlineStr">
        <is>
          <t>DALARNAS LÄN</t>
        </is>
      </c>
      <c r="E517" t="inlineStr">
        <is>
          <t>LUDVIKA</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56790-2025</t>
        </is>
      </c>
      <c r="B518" s="1" t="n">
        <v>45978</v>
      </c>
      <c r="C518" s="1" t="n">
        <v>45983</v>
      </c>
      <c r="D518" t="inlineStr">
        <is>
          <t>DALARNAS LÄN</t>
        </is>
      </c>
      <c r="E518" t="inlineStr">
        <is>
          <t>LUDVIKA</t>
        </is>
      </c>
      <c r="F518" t="inlineStr">
        <is>
          <t>Bergvik skog väst AB</t>
        </is>
      </c>
      <c r="G518" t="n">
        <v>6.3</v>
      </c>
      <c r="H518" t="n">
        <v>0</v>
      </c>
      <c r="I518" t="n">
        <v>0</v>
      </c>
      <c r="J518" t="n">
        <v>0</v>
      </c>
      <c r="K518" t="n">
        <v>0</v>
      </c>
      <c r="L518" t="n">
        <v>0</v>
      </c>
      <c r="M518" t="n">
        <v>0</v>
      </c>
      <c r="N518" t="n">
        <v>0</v>
      </c>
      <c r="O518" t="n">
        <v>0</v>
      </c>
      <c r="P518" t="n">
        <v>0</v>
      </c>
      <c r="Q518" t="n">
        <v>0</v>
      </c>
      <c r="R518" s="2" t="inlineStr"/>
    </row>
    <row r="519" ht="15" customHeight="1">
      <c r="A519" t="inlineStr">
        <is>
          <t>A 25273-2022</t>
        </is>
      </c>
      <c r="B519" s="1" t="n">
        <v>44729.99359953704</v>
      </c>
      <c r="C519" s="1" t="n">
        <v>45983</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34875-2025</t>
        </is>
      </c>
      <c r="B520" s="1" t="n">
        <v>45849</v>
      </c>
      <c r="C520" s="1" t="n">
        <v>45983</v>
      </c>
      <c r="D520" t="inlineStr">
        <is>
          <t>DALARNAS LÄN</t>
        </is>
      </c>
      <c r="E520" t="inlineStr">
        <is>
          <t>LUDVIKA</t>
        </is>
      </c>
      <c r="F520" t="inlineStr">
        <is>
          <t>Bergvik skog väst AB</t>
        </is>
      </c>
      <c r="G520" t="n">
        <v>5.8</v>
      </c>
      <c r="H520" t="n">
        <v>0</v>
      </c>
      <c r="I520" t="n">
        <v>0</v>
      </c>
      <c r="J520" t="n">
        <v>0</v>
      </c>
      <c r="K520" t="n">
        <v>0</v>
      </c>
      <c r="L520" t="n">
        <v>0</v>
      </c>
      <c r="M520" t="n">
        <v>0</v>
      </c>
      <c r="N520" t="n">
        <v>0</v>
      </c>
      <c r="O520" t="n">
        <v>0</v>
      </c>
      <c r="P520" t="n">
        <v>0</v>
      </c>
      <c r="Q520" t="n">
        <v>0</v>
      </c>
      <c r="R520" s="2" t="inlineStr"/>
    </row>
    <row r="521" ht="15" customHeight="1">
      <c r="A521" t="inlineStr">
        <is>
          <t>A 27528-2025</t>
        </is>
      </c>
      <c r="B521" s="1" t="n">
        <v>45813</v>
      </c>
      <c r="C521" s="1" t="n">
        <v>45983</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56178-2025</t>
        </is>
      </c>
      <c r="B522" s="1" t="n">
        <v>45974</v>
      </c>
      <c r="C522" s="1" t="n">
        <v>45983</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16108-2021</t>
        </is>
      </c>
      <c r="B523" s="1" t="n">
        <v>44291</v>
      </c>
      <c r="C523" s="1" t="n">
        <v>45983</v>
      </c>
      <c r="D523" t="inlineStr">
        <is>
          <t>DALARNAS LÄN</t>
        </is>
      </c>
      <c r="E523" t="inlineStr">
        <is>
          <t>LUDVIKA</t>
        </is>
      </c>
      <c r="G523" t="n">
        <v>2.9</v>
      </c>
      <c r="H523" t="n">
        <v>0</v>
      </c>
      <c r="I523" t="n">
        <v>0</v>
      </c>
      <c r="J523" t="n">
        <v>0</v>
      </c>
      <c r="K523" t="n">
        <v>0</v>
      </c>
      <c r="L523" t="n">
        <v>0</v>
      </c>
      <c r="M523" t="n">
        <v>0</v>
      </c>
      <c r="N523" t="n">
        <v>0</v>
      </c>
      <c r="O523" t="n">
        <v>0</v>
      </c>
      <c r="P523" t="n">
        <v>0</v>
      </c>
      <c r="Q523" t="n">
        <v>0</v>
      </c>
      <c r="R523" s="2" t="inlineStr"/>
    </row>
    <row r="524" ht="15" customHeight="1">
      <c r="A524" t="inlineStr">
        <is>
          <t>A 56655-2025</t>
        </is>
      </c>
      <c r="B524" s="1" t="n">
        <v>45975.64983796296</v>
      </c>
      <c r="C524" s="1" t="n">
        <v>45983</v>
      </c>
      <c r="D524" t="inlineStr">
        <is>
          <t>DALARNAS LÄN</t>
        </is>
      </c>
      <c r="E524" t="inlineStr">
        <is>
          <t>LUDVIKA</t>
        </is>
      </c>
      <c r="F524" t="inlineStr">
        <is>
          <t>Bergvik skog väst AB</t>
        </is>
      </c>
      <c r="G524" t="n">
        <v>8.5</v>
      </c>
      <c r="H524" t="n">
        <v>0</v>
      </c>
      <c r="I524" t="n">
        <v>0</v>
      </c>
      <c r="J524" t="n">
        <v>0</v>
      </c>
      <c r="K524" t="n">
        <v>0</v>
      </c>
      <c r="L524" t="n">
        <v>0</v>
      </c>
      <c r="M524" t="n">
        <v>0</v>
      </c>
      <c r="N524" t="n">
        <v>0</v>
      </c>
      <c r="O524" t="n">
        <v>0</v>
      </c>
      <c r="P524" t="n">
        <v>0</v>
      </c>
      <c r="Q524" t="n">
        <v>0</v>
      </c>
      <c r="R524" s="2" t="inlineStr"/>
    </row>
    <row r="525" ht="15" customHeight="1">
      <c r="A525" t="inlineStr">
        <is>
          <t>A 39772-2025</t>
        </is>
      </c>
      <c r="B525" s="1" t="n">
        <v>45891.45390046296</v>
      </c>
      <c r="C525" s="1" t="n">
        <v>45983</v>
      </c>
      <c r="D525" t="inlineStr">
        <is>
          <t>DALARNAS LÄN</t>
        </is>
      </c>
      <c r="E525" t="inlineStr">
        <is>
          <t>LUDVIKA</t>
        </is>
      </c>
      <c r="F525" t="inlineStr">
        <is>
          <t>Bergvik skog väst AB</t>
        </is>
      </c>
      <c r="G525" t="n">
        <v>14.1</v>
      </c>
      <c r="H525" t="n">
        <v>0</v>
      </c>
      <c r="I525" t="n">
        <v>0</v>
      </c>
      <c r="J525" t="n">
        <v>0</v>
      </c>
      <c r="K525" t="n">
        <v>0</v>
      </c>
      <c r="L525" t="n">
        <v>0</v>
      </c>
      <c r="M525" t="n">
        <v>0</v>
      </c>
      <c r="N525" t="n">
        <v>0</v>
      </c>
      <c r="O525" t="n">
        <v>0</v>
      </c>
      <c r="P525" t="n">
        <v>0</v>
      </c>
      <c r="Q525" t="n">
        <v>0</v>
      </c>
      <c r="R525" s="2" t="inlineStr"/>
    </row>
    <row r="526" ht="15" customHeight="1">
      <c r="A526" t="inlineStr">
        <is>
          <t>A 48590-2025</t>
        </is>
      </c>
      <c r="B526" s="1" t="n">
        <v>45936.46136574074</v>
      </c>
      <c r="C526" s="1" t="n">
        <v>45983</v>
      </c>
      <c r="D526" t="inlineStr">
        <is>
          <t>DALARNAS LÄN</t>
        </is>
      </c>
      <c r="E526" t="inlineStr">
        <is>
          <t>LUDVIKA</t>
        </is>
      </c>
      <c r="F526" t="inlineStr">
        <is>
          <t>Bergvik skog väst AB</t>
        </is>
      </c>
      <c r="G526" t="n">
        <v>13.7</v>
      </c>
      <c r="H526" t="n">
        <v>0</v>
      </c>
      <c r="I526" t="n">
        <v>0</v>
      </c>
      <c r="J526" t="n">
        <v>0</v>
      </c>
      <c r="K526" t="n">
        <v>0</v>
      </c>
      <c r="L526" t="n">
        <v>0</v>
      </c>
      <c r="M526" t="n">
        <v>0</v>
      </c>
      <c r="N526" t="n">
        <v>0</v>
      </c>
      <c r="O526" t="n">
        <v>0</v>
      </c>
      <c r="P526" t="n">
        <v>0</v>
      </c>
      <c r="Q526" t="n">
        <v>0</v>
      </c>
      <c r="R526" s="2" t="inlineStr"/>
    </row>
    <row r="527" ht="15" customHeight="1">
      <c r="A527" t="inlineStr">
        <is>
          <t>A 56155-2025</t>
        </is>
      </c>
      <c r="B527" s="1" t="n">
        <v>45974</v>
      </c>
      <c r="C527" s="1" t="n">
        <v>45983</v>
      </c>
      <c r="D527" t="inlineStr">
        <is>
          <t>DALARNAS LÄN</t>
        </is>
      </c>
      <c r="E527" t="inlineStr">
        <is>
          <t>LUDVIKA</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56249-2025</t>
        </is>
      </c>
      <c r="B528" s="1" t="n">
        <v>45974</v>
      </c>
      <c r="C528" s="1" t="n">
        <v>45983</v>
      </c>
      <c r="D528" t="inlineStr">
        <is>
          <t>DALARNAS LÄN</t>
        </is>
      </c>
      <c r="E528" t="inlineStr">
        <is>
          <t>LUDVIKA</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56316-2025</t>
        </is>
      </c>
      <c r="B529" s="1" t="n">
        <v>45974</v>
      </c>
      <c r="C529" s="1" t="n">
        <v>45983</v>
      </c>
      <c r="D529" t="inlineStr">
        <is>
          <t>DALARNAS LÄN</t>
        </is>
      </c>
      <c r="E529" t="inlineStr">
        <is>
          <t>LUDVIKA</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56219-2025</t>
        </is>
      </c>
      <c r="B530" s="1" t="n">
        <v>45974</v>
      </c>
      <c r="C530" s="1" t="n">
        <v>45983</v>
      </c>
      <c r="D530" t="inlineStr">
        <is>
          <t>DALARNAS LÄN</t>
        </is>
      </c>
      <c r="E530" t="inlineStr">
        <is>
          <t>LUDVIKA</t>
        </is>
      </c>
      <c r="F530" t="inlineStr">
        <is>
          <t>Bergvik skog väst AB</t>
        </is>
      </c>
      <c r="G530" t="n">
        <v>4.9</v>
      </c>
      <c r="H530" t="n">
        <v>0</v>
      </c>
      <c r="I530" t="n">
        <v>0</v>
      </c>
      <c r="J530" t="n">
        <v>0</v>
      </c>
      <c r="K530" t="n">
        <v>0</v>
      </c>
      <c r="L530" t="n">
        <v>0</v>
      </c>
      <c r="M530" t="n">
        <v>0</v>
      </c>
      <c r="N530" t="n">
        <v>0</v>
      </c>
      <c r="O530" t="n">
        <v>0</v>
      </c>
      <c r="P530" t="n">
        <v>0</v>
      </c>
      <c r="Q530" t="n">
        <v>0</v>
      </c>
      <c r="R530" s="2" t="inlineStr"/>
    </row>
    <row r="531" ht="15" customHeight="1">
      <c r="A531" t="inlineStr">
        <is>
          <t>A 31550-2021</t>
        </is>
      </c>
      <c r="B531" s="1" t="n">
        <v>44369</v>
      </c>
      <c r="C531" s="1" t="n">
        <v>45983</v>
      </c>
      <c r="D531" t="inlineStr">
        <is>
          <t>DALARNAS LÄN</t>
        </is>
      </c>
      <c r="E531" t="inlineStr">
        <is>
          <t>LUDVIKA</t>
        </is>
      </c>
      <c r="G531" t="n">
        <v>2.8</v>
      </c>
      <c r="H531" t="n">
        <v>0</v>
      </c>
      <c r="I531" t="n">
        <v>0</v>
      </c>
      <c r="J531" t="n">
        <v>0</v>
      </c>
      <c r="K531" t="n">
        <v>0</v>
      </c>
      <c r="L531" t="n">
        <v>0</v>
      </c>
      <c r="M531" t="n">
        <v>0</v>
      </c>
      <c r="N531" t="n">
        <v>0</v>
      </c>
      <c r="O531" t="n">
        <v>0</v>
      </c>
      <c r="P531" t="n">
        <v>0</v>
      </c>
      <c r="Q531" t="n">
        <v>0</v>
      </c>
      <c r="R531" s="2" t="inlineStr"/>
    </row>
    <row r="532" ht="15" customHeight="1">
      <c r="A532" t="inlineStr">
        <is>
          <t>A 56615-2025</t>
        </is>
      </c>
      <c r="B532" s="1" t="n">
        <v>45975.59326388889</v>
      </c>
      <c r="C532" s="1" t="n">
        <v>45983</v>
      </c>
      <c r="D532" t="inlineStr">
        <is>
          <t>DALARNAS LÄN</t>
        </is>
      </c>
      <c r="E532" t="inlineStr">
        <is>
          <t>LUDVIKA</t>
        </is>
      </c>
      <c r="F532" t="inlineStr">
        <is>
          <t>Bergvik skog väst AB</t>
        </is>
      </c>
      <c r="G532" t="n">
        <v>1.7</v>
      </c>
      <c r="H532" t="n">
        <v>0</v>
      </c>
      <c r="I532" t="n">
        <v>0</v>
      </c>
      <c r="J532" t="n">
        <v>0</v>
      </c>
      <c r="K532" t="n">
        <v>0</v>
      </c>
      <c r="L532" t="n">
        <v>0</v>
      </c>
      <c r="M532" t="n">
        <v>0</v>
      </c>
      <c r="N532" t="n">
        <v>0</v>
      </c>
      <c r="O532" t="n">
        <v>0</v>
      </c>
      <c r="P532" t="n">
        <v>0</v>
      </c>
      <c r="Q532" t="n">
        <v>0</v>
      </c>
      <c r="R532" s="2" t="inlineStr"/>
    </row>
    <row r="533" ht="15" customHeight="1">
      <c r="A533" t="inlineStr">
        <is>
          <t>A 48490-2025</t>
        </is>
      </c>
      <c r="B533" s="1" t="n">
        <v>45936.36644675926</v>
      </c>
      <c r="C533" s="1" t="n">
        <v>45983</v>
      </c>
      <c r="D533" t="inlineStr">
        <is>
          <t>DALARNAS LÄN</t>
        </is>
      </c>
      <c r="E533" t="inlineStr">
        <is>
          <t>LUDVIKA</t>
        </is>
      </c>
      <c r="F533" t="inlineStr">
        <is>
          <t>Bergvik skog väst AB</t>
        </is>
      </c>
      <c r="G533" t="n">
        <v>1.5</v>
      </c>
      <c r="H533" t="n">
        <v>0</v>
      </c>
      <c r="I533" t="n">
        <v>0</v>
      </c>
      <c r="J533" t="n">
        <v>0</v>
      </c>
      <c r="K533" t="n">
        <v>0</v>
      </c>
      <c r="L533" t="n">
        <v>0</v>
      </c>
      <c r="M533" t="n">
        <v>0</v>
      </c>
      <c r="N533" t="n">
        <v>0</v>
      </c>
      <c r="O533" t="n">
        <v>0</v>
      </c>
      <c r="P533" t="n">
        <v>0</v>
      </c>
      <c r="Q533" t="n">
        <v>0</v>
      </c>
      <c r="R533" s="2" t="inlineStr"/>
    </row>
    <row r="534" ht="15" customHeight="1">
      <c r="A534" t="inlineStr">
        <is>
          <t>A 32054-2021</t>
        </is>
      </c>
      <c r="B534" s="1" t="n">
        <v>44370</v>
      </c>
      <c r="C534" s="1" t="n">
        <v>45983</v>
      </c>
      <c r="D534" t="inlineStr">
        <is>
          <t>DALARNAS LÄN</t>
        </is>
      </c>
      <c r="E534" t="inlineStr">
        <is>
          <t>LUDVIKA</t>
        </is>
      </c>
      <c r="G534" t="n">
        <v>28.7</v>
      </c>
      <c r="H534" t="n">
        <v>0</v>
      </c>
      <c r="I534" t="n">
        <v>0</v>
      </c>
      <c r="J534" t="n">
        <v>0</v>
      </c>
      <c r="K534" t="n">
        <v>0</v>
      </c>
      <c r="L534" t="n">
        <v>0</v>
      </c>
      <c r="M534" t="n">
        <v>0</v>
      </c>
      <c r="N534" t="n">
        <v>0</v>
      </c>
      <c r="O534" t="n">
        <v>0</v>
      </c>
      <c r="P534" t="n">
        <v>0</v>
      </c>
      <c r="Q534" t="n">
        <v>0</v>
      </c>
      <c r="R534" s="2" t="inlineStr"/>
    </row>
    <row r="535" ht="15" customHeight="1">
      <c r="A535" t="inlineStr">
        <is>
          <t>A 2838-2022</t>
        </is>
      </c>
      <c r="B535" s="1" t="n">
        <v>44581</v>
      </c>
      <c r="C535" s="1" t="n">
        <v>45983</v>
      </c>
      <c r="D535" t="inlineStr">
        <is>
          <t>DALARNAS LÄN</t>
        </is>
      </c>
      <c r="E535" t="inlineStr">
        <is>
          <t>LUDVIKA</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40142-2022</t>
        </is>
      </c>
      <c r="B536" s="1" t="n">
        <v>44820.5415162037</v>
      </c>
      <c r="C536" s="1" t="n">
        <v>45983</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40151-2022</t>
        </is>
      </c>
      <c r="B537" s="1" t="n">
        <v>44820.55396990741</v>
      </c>
      <c r="C537" s="1" t="n">
        <v>45983</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52230-2023</t>
        </is>
      </c>
      <c r="B538" s="1" t="n">
        <v>45224</v>
      </c>
      <c r="C538" s="1" t="n">
        <v>45983</v>
      </c>
      <c r="D538" t="inlineStr">
        <is>
          <t>DALARNAS LÄN</t>
        </is>
      </c>
      <c r="E538" t="inlineStr">
        <is>
          <t>LUDVIKA</t>
        </is>
      </c>
      <c r="G538" t="n">
        <v>3.5</v>
      </c>
      <c r="H538" t="n">
        <v>0</v>
      </c>
      <c r="I538" t="n">
        <v>0</v>
      </c>
      <c r="J538" t="n">
        <v>0</v>
      </c>
      <c r="K538" t="n">
        <v>0</v>
      </c>
      <c r="L538" t="n">
        <v>0</v>
      </c>
      <c r="M538" t="n">
        <v>0</v>
      </c>
      <c r="N538" t="n">
        <v>0</v>
      </c>
      <c r="O538" t="n">
        <v>0</v>
      </c>
      <c r="P538" t="n">
        <v>0</v>
      </c>
      <c r="Q538" t="n">
        <v>0</v>
      </c>
      <c r="R538" s="2" t="inlineStr"/>
    </row>
    <row r="539" ht="15" customHeight="1">
      <c r="A539" t="inlineStr">
        <is>
          <t>A 4544-2025</t>
        </is>
      </c>
      <c r="B539" s="1" t="n">
        <v>45687.39811342592</v>
      </c>
      <c r="C539" s="1" t="n">
        <v>45983</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49166-2025</t>
        </is>
      </c>
      <c r="B540" s="1" t="n">
        <v>45938.36746527778</v>
      </c>
      <c r="C540" s="1" t="n">
        <v>45983</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18421-2025</t>
        </is>
      </c>
      <c r="B541" s="1" t="n">
        <v>45762.61923611111</v>
      </c>
      <c r="C541" s="1" t="n">
        <v>45983</v>
      </c>
      <c r="D541" t="inlineStr">
        <is>
          <t>DALARNAS LÄN</t>
        </is>
      </c>
      <c r="E541" t="inlineStr">
        <is>
          <t>LUDVIKA</t>
        </is>
      </c>
      <c r="G541" t="n">
        <v>0.9</v>
      </c>
      <c r="H541" t="n">
        <v>0</v>
      </c>
      <c r="I541" t="n">
        <v>0</v>
      </c>
      <c r="J541" t="n">
        <v>0</v>
      </c>
      <c r="K541" t="n">
        <v>0</v>
      </c>
      <c r="L541" t="n">
        <v>0</v>
      </c>
      <c r="M541" t="n">
        <v>0</v>
      </c>
      <c r="N541" t="n">
        <v>0</v>
      </c>
      <c r="O541" t="n">
        <v>0</v>
      </c>
      <c r="P541" t="n">
        <v>0</v>
      </c>
      <c r="Q541" t="n">
        <v>0</v>
      </c>
      <c r="R541" s="2" t="inlineStr"/>
    </row>
    <row r="542" ht="15" customHeight="1">
      <c r="A542" t="inlineStr">
        <is>
          <t>A 30502-2021</t>
        </is>
      </c>
      <c r="B542" s="1" t="n">
        <v>44364.63512731482</v>
      </c>
      <c r="C542" s="1" t="n">
        <v>45983</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19226-2025</t>
        </is>
      </c>
      <c r="B543" s="1" t="n">
        <v>45769</v>
      </c>
      <c r="C543" s="1" t="n">
        <v>45983</v>
      </c>
      <c r="D543" t="inlineStr">
        <is>
          <t>DALARNAS LÄN</t>
        </is>
      </c>
      <c r="E543" t="inlineStr">
        <is>
          <t>LUDVIKA</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19071-2025</t>
        </is>
      </c>
      <c r="B544" s="1" t="n">
        <v>45765.67115740741</v>
      </c>
      <c r="C544" s="1" t="n">
        <v>45983</v>
      </c>
      <c r="D544" t="inlineStr">
        <is>
          <t>DALARNAS LÄN</t>
        </is>
      </c>
      <c r="E544" t="inlineStr">
        <is>
          <t>LUDVIKA</t>
        </is>
      </c>
      <c r="G544" t="n">
        <v>4.6</v>
      </c>
      <c r="H544" t="n">
        <v>0</v>
      </c>
      <c r="I544" t="n">
        <v>0</v>
      </c>
      <c r="J544" t="n">
        <v>0</v>
      </c>
      <c r="K544" t="n">
        <v>0</v>
      </c>
      <c r="L544" t="n">
        <v>0</v>
      </c>
      <c r="M544" t="n">
        <v>0</v>
      </c>
      <c r="N544" t="n">
        <v>0</v>
      </c>
      <c r="O544" t="n">
        <v>0</v>
      </c>
      <c r="P544" t="n">
        <v>0</v>
      </c>
      <c r="Q544" t="n">
        <v>0</v>
      </c>
      <c r="R544" s="2" t="inlineStr"/>
    </row>
    <row r="545" ht="15" customHeight="1">
      <c r="A545" t="inlineStr">
        <is>
          <t>A 4173-2025</t>
        </is>
      </c>
      <c r="B545" s="1" t="n">
        <v>45685.42758101852</v>
      </c>
      <c r="C545" s="1" t="n">
        <v>45983</v>
      </c>
      <c r="D545" t="inlineStr">
        <is>
          <t>DALARNAS LÄN</t>
        </is>
      </c>
      <c r="E545" t="inlineStr">
        <is>
          <t>LUDVIKA</t>
        </is>
      </c>
      <c r="G545" t="n">
        <v>0.9</v>
      </c>
      <c r="H545" t="n">
        <v>0</v>
      </c>
      <c r="I545" t="n">
        <v>0</v>
      </c>
      <c r="J545" t="n">
        <v>0</v>
      </c>
      <c r="K545" t="n">
        <v>0</v>
      </c>
      <c r="L545" t="n">
        <v>0</v>
      </c>
      <c r="M545" t="n">
        <v>0</v>
      </c>
      <c r="N545" t="n">
        <v>0</v>
      </c>
      <c r="O545" t="n">
        <v>0</v>
      </c>
      <c r="P545" t="n">
        <v>0</v>
      </c>
      <c r="Q545" t="n">
        <v>0</v>
      </c>
      <c r="R545" s="2" t="inlineStr"/>
    </row>
    <row r="546" ht="15" customHeight="1">
      <c r="A546" t="inlineStr">
        <is>
          <t>A 49874-2025</t>
        </is>
      </c>
      <c r="B546" s="1" t="n">
        <v>45940</v>
      </c>
      <c r="C546" s="1" t="n">
        <v>45983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49879-2025</t>
        </is>
      </c>
      <c r="B547" s="1" t="n">
        <v>45940</v>
      </c>
      <c r="C547" s="1" t="n">
        <v>45983</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49893-2025</t>
        </is>
      </c>
      <c r="B548" s="1" t="n">
        <v>45940</v>
      </c>
      <c r="C548" s="1" t="n">
        <v>45983</v>
      </c>
      <c r="D548" t="inlineStr">
        <is>
          <t>DALARNAS LÄN</t>
        </is>
      </c>
      <c r="E548" t="inlineStr">
        <is>
          <t>LUDVIKA</t>
        </is>
      </c>
      <c r="F548" t="inlineStr">
        <is>
          <t>Bergvik skog väst AB</t>
        </is>
      </c>
      <c r="G548" t="n">
        <v>4</v>
      </c>
      <c r="H548" t="n">
        <v>0</v>
      </c>
      <c r="I548" t="n">
        <v>0</v>
      </c>
      <c r="J548" t="n">
        <v>0</v>
      </c>
      <c r="K548" t="n">
        <v>0</v>
      </c>
      <c r="L548" t="n">
        <v>0</v>
      </c>
      <c r="M548" t="n">
        <v>0</v>
      </c>
      <c r="N548" t="n">
        <v>0</v>
      </c>
      <c r="O548" t="n">
        <v>0</v>
      </c>
      <c r="P548" t="n">
        <v>0</v>
      </c>
      <c r="Q548" t="n">
        <v>0</v>
      </c>
      <c r="R548" s="2" t="inlineStr"/>
    </row>
    <row r="549" ht="15" customHeight="1">
      <c r="A549" t="inlineStr">
        <is>
          <t>A 62275-2022</t>
        </is>
      </c>
      <c r="B549" s="1" t="n">
        <v>44923.35560185185</v>
      </c>
      <c r="C549" s="1" t="n">
        <v>45983</v>
      </c>
      <c r="D549" t="inlineStr">
        <is>
          <t>DALARNAS LÄN</t>
        </is>
      </c>
      <c r="E549" t="inlineStr">
        <is>
          <t>LUDVIKA</t>
        </is>
      </c>
      <c r="G549" t="n">
        <v>4.6</v>
      </c>
      <c r="H549" t="n">
        <v>0</v>
      </c>
      <c r="I549" t="n">
        <v>0</v>
      </c>
      <c r="J549" t="n">
        <v>0</v>
      </c>
      <c r="K549" t="n">
        <v>0</v>
      </c>
      <c r="L549" t="n">
        <v>0</v>
      </c>
      <c r="M549" t="n">
        <v>0</v>
      </c>
      <c r="N549" t="n">
        <v>0</v>
      </c>
      <c r="O549" t="n">
        <v>0</v>
      </c>
      <c r="P549" t="n">
        <v>0</v>
      </c>
      <c r="Q549" t="n">
        <v>0</v>
      </c>
      <c r="R549" s="2" t="inlineStr"/>
    </row>
    <row r="550" ht="15" customHeight="1">
      <c r="A550" t="inlineStr">
        <is>
          <t>A 61621-2022</t>
        </is>
      </c>
      <c r="B550" s="1" t="n">
        <v>44916.67578703703</v>
      </c>
      <c r="C550" s="1" t="n">
        <v>45983</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30844-2024</t>
        </is>
      </c>
      <c r="B551" s="1" t="n">
        <v>45497</v>
      </c>
      <c r="C551" s="1" t="n">
        <v>45983</v>
      </c>
      <c r="D551" t="inlineStr">
        <is>
          <t>DALARNAS LÄN</t>
        </is>
      </c>
      <c r="E551" t="inlineStr">
        <is>
          <t>LUDVIKA</t>
        </is>
      </c>
      <c r="G551" t="n">
        <v>1.1</v>
      </c>
      <c r="H551" t="n">
        <v>0</v>
      </c>
      <c r="I551" t="n">
        <v>0</v>
      </c>
      <c r="J551" t="n">
        <v>0</v>
      </c>
      <c r="K551" t="n">
        <v>0</v>
      </c>
      <c r="L551" t="n">
        <v>0</v>
      </c>
      <c r="M551" t="n">
        <v>0</v>
      </c>
      <c r="N551" t="n">
        <v>0</v>
      </c>
      <c r="O551" t="n">
        <v>0</v>
      </c>
      <c r="P551" t="n">
        <v>0</v>
      </c>
      <c r="Q551" t="n">
        <v>0</v>
      </c>
      <c r="R551" s="2" t="inlineStr"/>
    </row>
    <row r="552" ht="15" customHeight="1">
      <c r="A552" t="inlineStr">
        <is>
          <t>A 43115-2021</t>
        </is>
      </c>
      <c r="B552" s="1" t="n">
        <v>44431.63481481482</v>
      </c>
      <c r="C552" s="1" t="n">
        <v>45983</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29535-2023</t>
        </is>
      </c>
      <c r="B553" s="1" t="n">
        <v>45106</v>
      </c>
      <c r="C553" s="1" t="n">
        <v>45983</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16814-2024</t>
        </is>
      </c>
      <c r="B554" s="1" t="n">
        <v>45411.46208333333</v>
      </c>
      <c r="C554" s="1" t="n">
        <v>45983</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35353-2024</t>
        </is>
      </c>
      <c r="B555" s="1" t="n">
        <v>45531.30570601852</v>
      </c>
      <c r="C555" s="1" t="n">
        <v>45983</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2614-2023</t>
        </is>
      </c>
      <c r="B556" s="1" t="n">
        <v>44942</v>
      </c>
      <c r="C556" s="1" t="n">
        <v>45983</v>
      </c>
      <c r="D556" t="inlineStr">
        <is>
          <t>DALARNAS LÄN</t>
        </is>
      </c>
      <c r="E556" t="inlineStr">
        <is>
          <t>LUDVIKA</t>
        </is>
      </c>
      <c r="G556" t="n">
        <v>13.1</v>
      </c>
      <c r="H556" t="n">
        <v>0</v>
      </c>
      <c r="I556" t="n">
        <v>0</v>
      </c>
      <c r="J556" t="n">
        <v>0</v>
      </c>
      <c r="K556" t="n">
        <v>0</v>
      </c>
      <c r="L556" t="n">
        <v>0</v>
      </c>
      <c r="M556" t="n">
        <v>0</v>
      </c>
      <c r="N556" t="n">
        <v>0</v>
      </c>
      <c r="O556" t="n">
        <v>0</v>
      </c>
      <c r="P556" t="n">
        <v>0</v>
      </c>
      <c r="Q556" t="n">
        <v>0</v>
      </c>
      <c r="R556" s="2" t="inlineStr"/>
    </row>
    <row r="557" ht="15" customHeight="1">
      <c r="A557" t="inlineStr">
        <is>
          <t>A 51080-2024</t>
        </is>
      </c>
      <c r="B557" s="1" t="n">
        <v>45603.4574074074</v>
      </c>
      <c r="C557" s="1" t="n">
        <v>45983</v>
      </c>
      <c r="D557" t="inlineStr">
        <is>
          <t>DALARNAS LÄN</t>
        </is>
      </c>
      <c r="E557" t="inlineStr">
        <is>
          <t>LUDVIKA</t>
        </is>
      </c>
      <c r="F557" t="inlineStr">
        <is>
          <t>Naturvårdsverket</t>
        </is>
      </c>
      <c r="G557" t="n">
        <v>0.8</v>
      </c>
      <c r="H557" t="n">
        <v>0</v>
      </c>
      <c r="I557" t="n">
        <v>0</v>
      </c>
      <c r="J557" t="n">
        <v>0</v>
      </c>
      <c r="K557" t="n">
        <v>0</v>
      </c>
      <c r="L557" t="n">
        <v>0</v>
      </c>
      <c r="M557" t="n">
        <v>0</v>
      </c>
      <c r="N557" t="n">
        <v>0</v>
      </c>
      <c r="O557" t="n">
        <v>0</v>
      </c>
      <c r="P557" t="n">
        <v>0</v>
      </c>
      <c r="Q557" t="n">
        <v>0</v>
      </c>
      <c r="R557" s="2" t="inlineStr"/>
    </row>
    <row r="558" ht="15" customHeight="1">
      <c r="A558" t="inlineStr">
        <is>
          <t>A 25296-2022</t>
        </is>
      </c>
      <c r="B558" s="1" t="n">
        <v>44730.98890046297</v>
      </c>
      <c r="C558" s="1" t="n">
        <v>45983</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13809-2025</t>
        </is>
      </c>
      <c r="B559" s="1" t="n">
        <v>45737.49886574074</v>
      </c>
      <c r="C559" s="1" t="n">
        <v>45983</v>
      </c>
      <c r="D559" t="inlineStr">
        <is>
          <t>DALARNAS LÄN</t>
        </is>
      </c>
      <c r="E559" t="inlineStr">
        <is>
          <t>LUDVIKA</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59346-2024</t>
        </is>
      </c>
      <c r="B560" s="1" t="n">
        <v>45637.99482638889</v>
      </c>
      <c r="C560" s="1" t="n">
        <v>45983</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58071-2024</t>
        </is>
      </c>
      <c r="B561" s="1" t="n">
        <v>45631.99221064815</v>
      </c>
      <c r="C561" s="1" t="n">
        <v>45983</v>
      </c>
      <c r="D561" t="inlineStr">
        <is>
          <t>DALARNAS LÄN</t>
        </is>
      </c>
      <c r="E561" t="inlineStr">
        <is>
          <t>LUDVIKA</t>
        </is>
      </c>
      <c r="G561" t="n">
        <v>1.6</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45099.49403935186</v>
      </c>
      <c r="C562" s="1" t="n">
        <v>45983</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41449-2024</t>
        </is>
      </c>
      <c r="B563" s="1" t="n">
        <v>45560.40314814815</v>
      </c>
      <c r="C563" s="1" t="n">
        <v>45983</v>
      </c>
      <c r="D563" t="inlineStr">
        <is>
          <t>DALARNAS LÄN</t>
        </is>
      </c>
      <c r="E563" t="inlineStr">
        <is>
          <t>LUDVIKA</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8172-2024</t>
        </is>
      </c>
      <c r="B564" s="1" t="n">
        <v>45349</v>
      </c>
      <c r="C564" s="1" t="n">
        <v>45983</v>
      </c>
      <c r="D564" t="inlineStr">
        <is>
          <t>DALARNAS LÄN</t>
        </is>
      </c>
      <c r="E564" t="inlineStr">
        <is>
          <t>LUDVIKA</t>
        </is>
      </c>
      <c r="F564" t="inlineStr">
        <is>
          <t>Allmännings- och besparingsskogar</t>
        </is>
      </c>
      <c r="G564" t="n">
        <v>2</v>
      </c>
      <c r="H564" t="n">
        <v>0</v>
      </c>
      <c r="I564" t="n">
        <v>0</v>
      </c>
      <c r="J564" t="n">
        <v>0</v>
      </c>
      <c r="K564" t="n">
        <v>0</v>
      </c>
      <c r="L564" t="n">
        <v>0</v>
      </c>
      <c r="M564" t="n">
        <v>0</v>
      </c>
      <c r="N564" t="n">
        <v>0</v>
      </c>
      <c r="O564" t="n">
        <v>0</v>
      </c>
      <c r="P564" t="n">
        <v>0</v>
      </c>
      <c r="Q564" t="n">
        <v>0</v>
      </c>
      <c r="R564" s="2" t="inlineStr"/>
    </row>
    <row r="565" ht="15" customHeight="1">
      <c r="A565" t="inlineStr">
        <is>
          <t>A 8175-2024</t>
        </is>
      </c>
      <c r="B565" s="1" t="n">
        <v>45349</v>
      </c>
      <c r="C565" s="1" t="n">
        <v>45983</v>
      </c>
      <c r="D565" t="inlineStr">
        <is>
          <t>DALARNAS LÄN</t>
        </is>
      </c>
      <c r="E565" t="inlineStr">
        <is>
          <t>LUDVIKA</t>
        </is>
      </c>
      <c r="F565" t="inlineStr">
        <is>
          <t>Allmännings- och besparingsskogar</t>
        </is>
      </c>
      <c r="G565" t="n">
        <v>3.8</v>
      </c>
      <c r="H565" t="n">
        <v>0</v>
      </c>
      <c r="I565" t="n">
        <v>0</v>
      </c>
      <c r="J565" t="n">
        <v>0</v>
      </c>
      <c r="K565" t="n">
        <v>0</v>
      </c>
      <c r="L565" t="n">
        <v>0</v>
      </c>
      <c r="M565" t="n">
        <v>0</v>
      </c>
      <c r="N565" t="n">
        <v>0</v>
      </c>
      <c r="O565" t="n">
        <v>0</v>
      </c>
      <c r="P565" t="n">
        <v>0</v>
      </c>
      <c r="Q565" t="n">
        <v>0</v>
      </c>
      <c r="R565" s="2" t="inlineStr"/>
    </row>
    <row r="566" ht="15" customHeight="1">
      <c r="A566" t="inlineStr">
        <is>
          <t>A 61507-2023</t>
        </is>
      </c>
      <c r="B566" s="1" t="n">
        <v>45265</v>
      </c>
      <c r="C566" s="1" t="n">
        <v>45983</v>
      </c>
      <c r="D566" t="inlineStr">
        <is>
          <t>DALARNAS LÄN</t>
        </is>
      </c>
      <c r="E566" t="inlineStr">
        <is>
          <t>LUDVIKA</t>
        </is>
      </c>
      <c r="G566" t="n">
        <v>3</v>
      </c>
      <c r="H566" t="n">
        <v>0</v>
      </c>
      <c r="I566" t="n">
        <v>0</v>
      </c>
      <c r="J566" t="n">
        <v>0</v>
      </c>
      <c r="K566" t="n">
        <v>0</v>
      </c>
      <c r="L566" t="n">
        <v>0</v>
      </c>
      <c r="M566" t="n">
        <v>0</v>
      </c>
      <c r="N566" t="n">
        <v>0</v>
      </c>
      <c r="O566" t="n">
        <v>0</v>
      </c>
      <c r="P566" t="n">
        <v>0</v>
      </c>
      <c r="Q566" t="n">
        <v>0</v>
      </c>
      <c r="R566" s="2" t="inlineStr"/>
    </row>
    <row r="567" ht="15" customHeight="1">
      <c r="A567" t="inlineStr">
        <is>
          <t>A 17999-2025</t>
        </is>
      </c>
      <c r="B567" s="1" t="n">
        <v>45761</v>
      </c>
      <c r="C567" s="1" t="n">
        <v>45983</v>
      </c>
      <c r="D567" t="inlineStr">
        <is>
          <t>DALARNAS LÄN</t>
        </is>
      </c>
      <c r="E567" t="inlineStr">
        <is>
          <t>LUDVIKA</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33560-2023</t>
        </is>
      </c>
      <c r="B568" s="1" t="n">
        <v>45131</v>
      </c>
      <c r="C568" s="1" t="n">
        <v>45983</v>
      </c>
      <c r="D568" t="inlineStr">
        <is>
          <t>DALARNAS LÄN</t>
        </is>
      </c>
      <c r="E568" t="inlineStr">
        <is>
          <t>LUDVIKA</t>
        </is>
      </c>
      <c r="G568" t="n">
        <v>7</v>
      </c>
      <c r="H568" t="n">
        <v>0</v>
      </c>
      <c r="I568" t="n">
        <v>0</v>
      </c>
      <c r="J568" t="n">
        <v>0</v>
      </c>
      <c r="K568" t="n">
        <v>0</v>
      </c>
      <c r="L568" t="n">
        <v>0</v>
      </c>
      <c r="M568" t="n">
        <v>0</v>
      </c>
      <c r="N568" t="n">
        <v>0</v>
      </c>
      <c r="O568" t="n">
        <v>0</v>
      </c>
      <c r="P568" t="n">
        <v>0</v>
      </c>
      <c r="Q568" t="n">
        <v>0</v>
      </c>
      <c r="R568" s="2" t="inlineStr"/>
    </row>
    <row r="569" ht="15" customHeight="1">
      <c r="A569" t="inlineStr">
        <is>
          <t>A 3687-2024</t>
        </is>
      </c>
      <c r="B569" s="1" t="n">
        <v>45321</v>
      </c>
      <c r="C569" s="1" t="n">
        <v>45983</v>
      </c>
      <c r="D569" t="inlineStr">
        <is>
          <t>DALARNAS LÄN</t>
        </is>
      </c>
      <c r="E569" t="inlineStr">
        <is>
          <t>LUDVIKA</t>
        </is>
      </c>
      <c r="G569" t="n">
        <v>5</v>
      </c>
      <c r="H569" t="n">
        <v>0</v>
      </c>
      <c r="I569" t="n">
        <v>0</v>
      </c>
      <c r="J569" t="n">
        <v>0</v>
      </c>
      <c r="K569" t="n">
        <v>0</v>
      </c>
      <c r="L569" t="n">
        <v>0</v>
      </c>
      <c r="M569" t="n">
        <v>0</v>
      </c>
      <c r="N569" t="n">
        <v>0</v>
      </c>
      <c r="O569" t="n">
        <v>0</v>
      </c>
      <c r="P569" t="n">
        <v>0</v>
      </c>
      <c r="Q569" t="n">
        <v>0</v>
      </c>
      <c r="R569" s="2" t="inlineStr"/>
    </row>
    <row r="570" ht="15" customHeight="1">
      <c r="A570" t="inlineStr">
        <is>
          <t>A 65104-2023</t>
        </is>
      </c>
      <c r="B570" s="1" t="n">
        <v>45288</v>
      </c>
      <c r="C570" s="1" t="n">
        <v>45983</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49951-2022</t>
        </is>
      </c>
      <c r="B571" s="1" t="n">
        <v>44865.36378472222</v>
      </c>
      <c r="C571" s="1" t="n">
        <v>45983</v>
      </c>
      <c r="D571" t="inlineStr">
        <is>
          <t>DALARNAS LÄN</t>
        </is>
      </c>
      <c r="E571" t="inlineStr">
        <is>
          <t>LUDVIKA</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14986-2024</t>
        </is>
      </c>
      <c r="B572" s="1" t="n">
        <v>45399.34371527778</v>
      </c>
      <c r="C572" s="1" t="n">
        <v>45983</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56119-2021</t>
        </is>
      </c>
      <c r="B573" s="1" t="n">
        <v>44477</v>
      </c>
      <c r="C573" s="1" t="n">
        <v>45983</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69165-2020</t>
        </is>
      </c>
      <c r="B574" s="1" t="n">
        <v>44188</v>
      </c>
      <c r="C574" s="1" t="n">
        <v>45983</v>
      </c>
      <c r="D574" t="inlineStr">
        <is>
          <t>DALARNAS LÄN</t>
        </is>
      </c>
      <c r="E574" t="inlineStr">
        <is>
          <t>LUDVIKA</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52351-2024</t>
        </is>
      </c>
      <c r="B575" s="1" t="n">
        <v>45609</v>
      </c>
      <c r="C575" s="1" t="n">
        <v>45983</v>
      </c>
      <c r="D575" t="inlineStr">
        <is>
          <t>DALARNAS LÄN</t>
        </is>
      </c>
      <c r="E575" t="inlineStr">
        <is>
          <t>LUDVIKA</t>
        </is>
      </c>
      <c r="F575" t="inlineStr">
        <is>
          <t>Bergvik skog väst AB</t>
        </is>
      </c>
      <c r="G575" t="n">
        <v>4.8</v>
      </c>
      <c r="H575" t="n">
        <v>0</v>
      </c>
      <c r="I575" t="n">
        <v>0</v>
      </c>
      <c r="J575" t="n">
        <v>0</v>
      </c>
      <c r="K575" t="n">
        <v>0</v>
      </c>
      <c r="L575" t="n">
        <v>0</v>
      </c>
      <c r="M575" t="n">
        <v>0</v>
      </c>
      <c r="N575" t="n">
        <v>0</v>
      </c>
      <c r="O575" t="n">
        <v>0</v>
      </c>
      <c r="P575" t="n">
        <v>0</v>
      </c>
      <c r="Q575" t="n">
        <v>0</v>
      </c>
      <c r="R575" s="2" t="inlineStr"/>
    </row>
    <row r="576" ht="15" customHeight="1">
      <c r="A576" t="inlineStr">
        <is>
          <t>A 43694-2024</t>
        </is>
      </c>
      <c r="B576" s="1" t="n">
        <v>45569</v>
      </c>
      <c r="C576" s="1" t="n">
        <v>45983</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55633-2021</t>
        </is>
      </c>
      <c r="B577" s="1" t="n">
        <v>44476</v>
      </c>
      <c r="C577" s="1" t="n">
        <v>45983</v>
      </c>
      <c r="D577" t="inlineStr">
        <is>
          <t>DALARNAS LÄN</t>
        </is>
      </c>
      <c r="E577" t="inlineStr">
        <is>
          <t>LUDVIKA</t>
        </is>
      </c>
      <c r="F577" t="inlineStr">
        <is>
          <t>Övriga Aktiebolag</t>
        </is>
      </c>
      <c r="G577" t="n">
        <v>1.4</v>
      </c>
      <c r="H577" t="n">
        <v>0</v>
      </c>
      <c r="I577" t="n">
        <v>0</v>
      </c>
      <c r="J577" t="n">
        <v>0</v>
      </c>
      <c r="K577" t="n">
        <v>0</v>
      </c>
      <c r="L577" t="n">
        <v>0</v>
      </c>
      <c r="M577" t="n">
        <v>0</v>
      </c>
      <c r="N577" t="n">
        <v>0</v>
      </c>
      <c r="O577" t="n">
        <v>0</v>
      </c>
      <c r="P577" t="n">
        <v>0</v>
      </c>
      <c r="Q577" t="n">
        <v>0</v>
      </c>
      <c r="R577" s="2" t="inlineStr"/>
    </row>
    <row r="578" ht="15" customHeight="1">
      <c r="A578" t="inlineStr">
        <is>
          <t>A 9386-2023</t>
        </is>
      </c>
      <c r="B578" s="1" t="n">
        <v>44981.40171296296</v>
      </c>
      <c r="C578" s="1" t="n">
        <v>45983</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60138-2023</t>
        </is>
      </c>
      <c r="B579" s="1" t="n">
        <v>45258.49928240741</v>
      </c>
      <c r="C579" s="1" t="n">
        <v>45983</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15851-2024</t>
        </is>
      </c>
      <c r="B580" s="1" t="n">
        <v>45404.89207175926</v>
      </c>
      <c r="C580" s="1" t="n">
        <v>45983</v>
      </c>
      <c r="D580" t="inlineStr">
        <is>
          <t>DALARNAS LÄN</t>
        </is>
      </c>
      <c r="E580" t="inlineStr">
        <is>
          <t>LUDVIKA</t>
        </is>
      </c>
      <c r="G580" t="n">
        <v>5.2</v>
      </c>
      <c r="H580" t="n">
        <v>0</v>
      </c>
      <c r="I580" t="n">
        <v>0</v>
      </c>
      <c r="J580" t="n">
        <v>0</v>
      </c>
      <c r="K580" t="n">
        <v>0</v>
      </c>
      <c r="L580" t="n">
        <v>0</v>
      </c>
      <c r="M580" t="n">
        <v>0</v>
      </c>
      <c r="N580" t="n">
        <v>0</v>
      </c>
      <c r="O580" t="n">
        <v>0</v>
      </c>
      <c r="P580" t="n">
        <v>0</v>
      </c>
      <c r="Q580" t="n">
        <v>0</v>
      </c>
      <c r="R580" s="2" t="inlineStr"/>
    </row>
    <row r="581" ht="15" customHeight="1">
      <c r="A581" t="inlineStr">
        <is>
          <t>A 48922-2024</t>
        </is>
      </c>
      <c r="B581" s="1" t="n">
        <v>45594.37241898148</v>
      </c>
      <c r="C581" s="1" t="n">
        <v>45983</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45110.48509259259</v>
      </c>
      <c r="C582" s="1" t="n">
        <v>45983</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70046-2021</t>
        </is>
      </c>
      <c r="B583" s="1" t="n">
        <v>44533</v>
      </c>
      <c r="C583" s="1" t="n">
        <v>45983</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48760-2024</t>
        </is>
      </c>
      <c r="B584" s="1" t="n">
        <v>45593.60061342592</v>
      </c>
      <c r="C584" s="1" t="n">
        <v>45983</v>
      </c>
      <c r="D584" t="inlineStr">
        <is>
          <t>DALARNAS LÄN</t>
        </is>
      </c>
      <c r="E584" t="inlineStr">
        <is>
          <t>LUDVIKA</t>
        </is>
      </c>
      <c r="F584" t="inlineStr">
        <is>
          <t>Naturvårdsverket</t>
        </is>
      </c>
      <c r="G584" t="n">
        <v>5.7</v>
      </c>
      <c r="H584" t="n">
        <v>0</v>
      </c>
      <c r="I584" t="n">
        <v>0</v>
      </c>
      <c r="J584" t="n">
        <v>0</v>
      </c>
      <c r="K584" t="n">
        <v>0</v>
      </c>
      <c r="L584" t="n">
        <v>0</v>
      </c>
      <c r="M584" t="n">
        <v>0</v>
      </c>
      <c r="N584" t="n">
        <v>0</v>
      </c>
      <c r="O584" t="n">
        <v>0</v>
      </c>
      <c r="P584" t="n">
        <v>0</v>
      </c>
      <c r="Q584" t="n">
        <v>0</v>
      </c>
      <c r="R584" s="2" t="inlineStr"/>
    </row>
    <row r="585" ht="15" customHeight="1">
      <c r="A585" t="inlineStr">
        <is>
          <t>A 4170-2025</t>
        </is>
      </c>
      <c r="B585" s="1" t="n">
        <v>45685.42325231482</v>
      </c>
      <c r="C585" s="1" t="n">
        <v>45983</v>
      </c>
      <c r="D585" t="inlineStr">
        <is>
          <t>DALARNAS LÄN</t>
        </is>
      </c>
      <c r="E585" t="inlineStr">
        <is>
          <t>LUDVIKA</t>
        </is>
      </c>
      <c r="G585" t="n">
        <v>0.9</v>
      </c>
      <c r="H585" t="n">
        <v>0</v>
      </c>
      <c r="I585" t="n">
        <v>0</v>
      </c>
      <c r="J585" t="n">
        <v>0</v>
      </c>
      <c r="K585" t="n">
        <v>0</v>
      </c>
      <c r="L585" t="n">
        <v>0</v>
      </c>
      <c r="M585" t="n">
        <v>0</v>
      </c>
      <c r="N585" t="n">
        <v>0</v>
      </c>
      <c r="O585" t="n">
        <v>0</v>
      </c>
      <c r="P585" t="n">
        <v>0</v>
      </c>
      <c r="Q585" t="n">
        <v>0</v>
      </c>
      <c r="R585" s="2" t="inlineStr"/>
    </row>
    <row r="586" ht="15" customHeight="1">
      <c r="A586" t="inlineStr">
        <is>
          <t>A 43981-2024</t>
        </is>
      </c>
      <c r="B586" s="1" t="n">
        <v>45572.4962037037</v>
      </c>
      <c r="C586" s="1" t="n">
        <v>45983</v>
      </c>
      <c r="D586" t="inlineStr">
        <is>
          <t>DALARNAS LÄN</t>
        </is>
      </c>
      <c r="E586" t="inlineStr">
        <is>
          <t>LUDVIKA</t>
        </is>
      </c>
      <c r="F586" t="inlineStr">
        <is>
          <t>Bergvik skog väst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30039-2024</t>
        </is>
      </c>
      <c r="B587" s="1" t="n">
        <v>45488</v>
      </c>
      <c r="C587" s="1" t="n">
        <v>45983</v>
      </c>
      <c r="D587" t="inlineStr">
        <is>
          <t>DALARNAS LÄN</t>
        </is>
      </c>
      <c r="E587" t="inlineStr">
        <is>
          <t>LUDVIKA</t>
        </is>
      </c>
      <c r="G587" t="n">
        <v>1.3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45983</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50714-2024</t>
        </is>
      </c>
      <c r="B589" s="1" t="n">
        <v>45602</v>
      </c>
      <c r="C589" s="1" t="n">
        <v>45983</v>
      </c>
      <c r="D589" t="inlineStr">
        <is>
          <t>DALARNAS LÄN</t>
        </is>
      </c>
      <c r="E589" t="inlineStr">
        <is>
          <t>LUDVIKA</t>
        </is>
      </c>
      <c r="G589" t="n">
        <v>0.8</v>
      </c>
      <c r="H589" t="n">
        <v>0</v>
      </c>
      <c r="I589" t="n">
        <v>0</v>
      </c>
      <c r="J589" t="n">
        <v>0</v>
      </c>
      <c r="K589" t="n">
        <v>0</v>
      </c>
      <c r="L589" t="n">
        <v>0</v>
      </c>
      <c r="M589" t="n">
        <v>0</v>
      </c>
      <c r="N589" t="n">
        <v>0</v>
      </c>
      <c r="O589" t="n">
        <v>0</v>
      </c>
      <c r="P589" t="n">
        <v>0</v>
      </c>
      <c r="Q589" t="n">
        <v>0</v>
      </c>
      <c r="R589" s="2" t="inlineStr"/>
    </row>
    <row r="590" ht="15" customHeight="1">
      <c r="A590" t="inlineStr">
        <is>
          <t>A 32854-2023</t>
        </is>
      </c>
      <c r="B590" s="1" t="n">
        <v>45112</v>
      </c>
      <c r="C590" s="1" t="n">
        <v>45983</v>
      </c>
      <c r="D590" t="inlineStr">
        <is>
          <t>DALARNAS LÄN</t>
        </is>
      </c>
      <c r="E590" t="inlineStr">
        <is>
          <t>LUDVIKA</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48352-2023</t>
        </is>
      </c>
      <c r="B591" s="1" t="n">
        <v>45205</v>
      </c>
      <c r="C591" s="1" t="n">
        <v>45983</v>
      </c>
      <c r="D591" t="inlineStr">
        <is>
          <t>DALARNAS LÄN</t>
        </is>
      </c>
      <c r="E591" t="inlineStr">
        <is>
          <t>LUDVIKA</t>
        </is>
      </c>
      <c r="F591" t="inlineStr">
        <is>
          <t>Bergvik skog väst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60788-2024</t>
        </is>
      </c>
      <c r="B592" s="1" t="n">
        <v>45644.59341435185</v>
      </c>
      <c r="C592" s="1" t="n">
        <v>45983</v>
      </c>
      <c r="D592" t="inlineStr">
        <is>
          <t>DALARNAS LÄN</t>
        </is>
      </c>
      <c r="E592" t="inlineStr">
        <is>
          <t>LUDVIKA</t>
        </is>
      </c>
      <c r="G592" t="n">
        <v>1.9</v>
      </c>
      <c r="H592" t="n">
        <v>0</v>
      </c>
      <c r="I592" t="n">
        <v>0</v>
      </c>
      <c r="J592" t="n">
        <v>0</v>
      </c>
      <c r="K592" t="n">
        <v>0</v>
      </c>
      <c r="L592" t="n">
        <v>0</v>
      </c>
      <c r="M592" t="n">
        <v>0</v>
      </c>
      <c r="N592" t="n">
        <v>0</v>
      </c>
      <c r="O592" t="n">
        <v>0</v>
      </c>
      <c r="P592" t="n">
        <v>0</v>
      </c>
      <c r="Q592" t="n">
        <v>0</v>
      </c>
      <c r="R592" s="2" t="inlineStr"/>
    </row>
    <row r="593" ht="15" customHeight="1">
      <c r="A593" t="inlineStr">
        <is>
          <t>A 59667-2024</t>
        </is>
      </c>
      <c r="B593" s="1" t="n">
        <v>45639</v>
      </c>
      <c r="C593" s="1" t="n">
        <v>45983</v>
      </c>
      <c r="D593" t="inlineStr">
        <is>
          <t>DALARNAS LÄN</t>
        </is>
      </c>
      <c r="E593" t="inlineStr">
        <is>
          <t>LUDVIKA</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43704-2024</t>
        </is>
      </c>
      <c r="B594" s="1" t="n">
        <v>45569.59278935185</v>
      </c>
      <c r="C594" s="1" t="n">
        <v>45983</v>
      </c>
      <c r="D594" t="inlineStr">
        <is>
          <t>DALARNAS LÄN</t>
        </is>
      </c>
      <c r="E594" t="inlineStr">
        <is>
          <t>LUDVIKA</t>
        </is>
      </c>
      <c r="F594" t="inlineStr">
        <is>
          <t>Bergvik skog väst AB</t>
        </is>
      </c>
      <c r="G594" t="n">
        <v>4.4</v>
      </c>
      <c r="H594" t="n">
        <v>0</v>
      </c>
      <c r="I594" t="n">
        <v>0</v>
      </c>
      <c r="J594" t="n">
        <v>0</v>
      </c>
      <c r="K594" t="n">
        <v>0</v>
      </c>
      <c r="L594" t="n">
        <v>0</v>
      </c>
      <c r="M594" t="n">
        <v>0</v>
      </c>
      <c r="N594" t="n">
        <v>0</v>
      </c>
      <c r="O594" t="n">
        <v>0</v>
      </c>
      <c r="P594" t="n">
        <v>0</v>
      </c>
      <c r="Q594" t="n">
        <v>0</v>
      </c>
      <c r="R594" s="2" t="inlineStr"/>
    </row>
    <row r="595" ht="15" customHeight="1">
      <c r="A595" t="inlineStr">
        <is>
          <t>A 49051-2024</t>
        </is>
      </c>
      <c r="B595" s="1" t="n">
        <v>45594.57820601852</v>
      </c>
      <c r="C595" s="1" t="n">
        <v>45983</v>
      </c>
      <c r="D595" t="inlineStr">
        <is>
          <t>DALARNAS LÄN</t>
        </is>
      </c>
      <c r="E595" t="inlineStr">
        <is>
          <t>LUDVIKA</t>
        </is>
      </c>
      <c r="G595" t="n">
        <v>1.8</v>
      </c>
      <c r="H595" t="n">
        <v>0</v>
      </c>
      <c r="I595" t="n">
        <v>0</v>
      </c>
      <c r="J595" t="n">
        <v>0</v>
      </c>
      <c r="K595" t="n">
        <v>0</v>
      </c>
      <c r="L595" t="n">
        <v>0</v>
      </c>
      <c r="M595" t="n">
        <v>0</v>
      </c>
      <c r="N595" t="n">
        <v>0</v>
      </c>
      <c r="O595" t="n">
        <v>0</v>
      </c>
      <c r="P595" t="n">
        <v>0</v>
      </c>
      <c r="Q595" t="n">
        <v>0</v>
      </c>
      <c r="R595" s="2" t="inlineStr"/>
    </row>
    <row r="596" ht="15" customHeight="1">
      <c r="A596" t="inlineStr">
        <is>
          <t>A 37586-2024</t>
        </is>
      </c>
      <c r="B596" s="1" t="n">
        <v>45541.46269675926</v>
      </c>
      <c r="C596" s="1" t="n">
        <v>45983</v>
      </c>
      <c r="D596" t="inlineStr">
        <is>
          <t>DALARNAS LÄN</t>
        </is>
      </c>
      <c r="E596" t="inlineStr">
        <is>
          <t>LUDVIKA</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55551-2024</t>
        </is>
      </c>
      <c r="B597" s="1" t="n">
        <v>45622.51221064815</v>
      </c>
      <c r="C597" s="1" t="n">
        <v>45983</v>
      </c>
      <c r="D597" t="inlineStr">
        <is>
          <t>DALARNAS LÄN</t>
        </is>
      </c>
      <c r="E597" t="inlineStr">
        <is>
          <t>LUDVIKA</t>
        </is>
      </c>
      <c r="F597" t="inlineStr">
        <is>
          <t>Bergvik skog väst AB</t>
        </is>
      </c>
      <c r="G597" t="n">
        <v>6.2</v>
      </c>
      <c r="H597" t="n">
        <v>0</v>
      </c>
      <c r="I597" t="n">
        <v>0</v>
      </c>
      <c r="J597" t="n">
        <v>0</v>
      </c>
      <c r="K597" t="n">
        <v>0</v>
      </c>
      <c r="L597" t="n">
        <v>0</v>
      </c>
      <c r="M597" t="n">
        <v>0</v>
      </c>
      <c r="N597" t="n">
        <v>0</v>
      </c>
      <c r="O597" t="n">
        <v>0</v>
      </c>
      <c r="P597" t="n">
        <v>0</v>
      </c>
      <c r="Q597" t="n">
        <v>0</v>
      </c>
      <c r="R597" s="2" t="inlineStr"/>
    </row>
    <row r="598" ht="15" customHeight="1">
      <c r="A598" t="inlineStr">
        <is>
          <t>A 57310-2024</t>
        </is>
      </c>
      <c r="B598" s="1" t="n">
        <v>45629.60636574074</v>
      </c>
      <c r="C598" s="1" t="n">
        <v>45983</v>
      </c>
      <c r="D598" t="inlineStr">
        <is>
          <t>DALARNAS LÄN</t>
        </is>
      </c>
      <c r="E598" t="inlineStr">
        <is>
          <t>LUDVIKA</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44520-2023</t>
        </is>
      </c>
      <c r="B599" s="1" t="n">
        <v>45189</v>
      </c>
      <c r="C599" s="1" t="n">
        <v>45983</v>
      </c>
      <c r="D599" t="inlineStr">
        <is>
          <t>DALARNAS LÄN</t>
        </is>
      </c>
      <c r="E599" t="inlineStr">
        <is>
          <t>LUDVIKA</t>
        </is>
      </c>
      <c r="G599" t="n">
        <v>0.7</v>
      </c>
      <c r="H599" t="n">
        <v>0</v>
      </c>
      <c r="I599" t="n">
        <v>0</v>
      </c>
      <c r="J599" t="n">
        <v>0</v>
      </c>
      <c r="K599" t="n">
        <v>0</v>
      </c>
      <c r="L599" t="n">
        <v>0</v>
      </c>
      <c r="M599" t="n">
        <v>0</v>
      </c>
      <c r="N599" t="n">
        <v>0</v>
      </c>
      <c r="O599" t="n">
        <v>0</v>
      </c>
      <c r="P599" t="n">
        <v>0</v>
      </c>
      <c r="Q599" t="n">
        <v>0</v>
      </c>
      <c r="R599" s="2" t="inlineStr"/>
    </row>
    <row r="600" ht="15" customHeight="1">
      <c r="A600" t="inlineStr">
        <is>
          <t>A 45045-2023</t>
        </is>
      </c>
      <c r="B600" s="1" t="n">
        <v>45191.34273148148</v>
      </c>
      <c r="C600" s="1" t="n">
        <v>45983</v>
      </c>
      <c r="D600" t="inlineStr">
        <is>
          <t>DALARNAS LÄN</t>
        </is>
      </c>
      <c r="E600" t="inlineStr">
        <is>
          <t>LUDVIKA</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55510-2024</t>
        </is>
      </c>
      <c r="B601" s="1" t="n">
        <v>45622.46479166667</v>
      </c>
      <c r="C601" s="1" t="n">
        <v>45983</v>
      </c>
      <c r="D601" t="inlineStr">
        <is>
          <t>DALARNAS LÄN</t>
        </is>
      </c>
      <c r="E601" t="inlineStr">
        <is>
          <t>LUDVIKA</t>
        </is>
      </c>
      <c r="F601" t="inlineStr">
        <is>
          <t>Naturvårdsverket</t>
        </is>
      </c>
      <c r="G601" t="n">
        <v>3.8</v>
      </c>
      <c r="H601" t="n">
        <v>0</v>
      </c>
      <c r="I601" t="n">
        <v>0</v>
      </c>
      <c r="J601" t="n">
        <v>0</v>
      </c>
      <c r="K601" t="n">
        <v>0</v>
      </c>
      <c r="L601" t="n">
        <v>0</v>
      </c>
      <c r="M601" t="n">
        <v>0</v>
      </c>
      <c r="N601" t="n">
        <v>0</v>
      </c>
      <c r="O601" t="n">
        <v>0</v>
      </c>
      <c r="P601" t="n">
        <v>0</v>
      </c>
      <c r="Q601" t="n">
        <v>0</v>
      </c>
      <c r="R601" s="2" t="inlineStr"/>
    </row>
    <row r="602" ht="15" customHeight="1">
      <c r="A602" t="inlineStr">
        <is>
          <t>A 54154-2024</t>
        </is>
      </c>
      <c r="B602" s="1" t="n">
        <v>45616.60813657408</v>
      </c>
      <c r="C602" s="1" t="n">
        <v>45983</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49045-2024</t>
        </is>
      </c>
      <c r="B603" s="1" t="n">
        <v>45594.57032407408</v>
      </c>
      <c r="C603" s="1" t="n">
        <v>45983</v>
      </c>
      <c r="D603" t="inlineStr">
        <is>
          <t>DALARNAS LÄN</t>
        </is>
      </c>
      <c r="E603" t="inlineStr">
        <is>
          <t>LUDVIKA</t>
        </is>
      </c>
      <c r="F603" t="inlineStr">
        <is>
          <t>Naturvårdsverket</t>
        </is>
      </c>
      <c r="G603" t="n">
        <v>2</v>
      </c>
      <c r="H603" t="n">
        <v>0</v>
      </c>
      <c r="I603" t="n">
        <v>0</v>
      </c>
      <c r="J603" t="n">
        <v>0</v>
      </c>
      <c r="K603" t="n">
        <v>0</v>
      </c>
      <c r="L603" t="n">
        <v>0</v>
      </c>
      <c r="M603" t="n">
        <v>0</v>
      </c>
      <c r="N603" t="n">
        <v>0</v>
      </c>
      <c r="O603" t="n">
        <v>0</v>
      </c>
      <c r="P603" t="n">
        <v>0</v>
      </c>
      <c r="Q603" t="n">
        <v>0</v>
      </c>
      <c r="R603" s="2" t="inlineStr"/>
    </row>
    <row r="604" ht="15" customHeight="1">
      <c r="A604" t="inlineStr">
        <is>
          <t>A 46620-2023</t>
        </is>
      </c>
      <c r="B604" s="1" t="n">
        <v>45198.41046296297</v>
      </c>
      <c r="C604" s="1" t="n">
        <v>45983</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8202-2025</t>
        </is>
      </c>
      <c r="B605" s="1" t="n">
        <v>45708.43793981482</v>
      </c>
      <c r="C605" s="1" t="n">
        <v>45983</v>
      </c>
      <c r="D605" t="inlineStr">
        <is>
          <t>DALARNAS LÄN</t>
        </is>
      </c>
      <c r="E605" t="inlineStr">
        <is>
          <t>LUDVIKA</t>
        </is>
      </c>
      <c r="G605" t="n">
        <v>6.4</v>
      </c>
      <c r="H605" t="n">
        <v>0</v>
      </c>
      <c r="I605" t="n">
        <v>0</v>
      </c>
      <c r="J605" t="n">
        <v>0</v>
      </c>
      <c r="K605" t="n">
        <v>0</v>
      </c>
      <c r="L605" t="n">
        <v>0</v>
      </c>
      <c r="M605" t="n">
        <v>0</v>
      </c>
      <c r="N605" t="n">
        <v>0</v>
      </c>
      <c r="O605" t="n">
        <v>0</v>
      </c>
      <c r="P605" t="n">
        <v>0</v>
      </c>
      <c r="Q605" t="n">
        <v>0</v>
      </c>
      <c r="R605" s="2" t="inlineStr"/>
    </row>
    <row r="606" ht="15" customHeight="1">
      <c r="A606" t="inlineStr">
        <is>
          <t>A 32301-2024</t>
        </is>
      </c>
      <c r="B606" s="1" t="n">
        <v>45512.44429398148</v>
      </c>
      <c r="C606" s="1" t="n">
        <v>45983</v>
      </c>
      <c r="D606" t="inlineStr">
        <is>
          <t>DALARNAS LÄN</t>
        </is>
      </c>
      <c r="E606" t="inlineStr">
        <is>
          <t>LUDVIKA</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55462-2024</t>
        </is>
      </c>
      <c r="B607" s="1" t="n">
        <v>45622.42880787037</v>
      </c>
      <c r="C607" s="1" t="n">
        <v>45983</v>
      </c>
      <c r="D607" t="inlineStr">
        <is>
          <t>DALARNAS LÄN</t>
        </is>
      </c>
      <c r="E607" t="inlineStr">
        <is>
          <t>LUDVIKA</t>
        </is>
      </c>
      <c r="F607" t="inlineStr">
        <is>
          <t>Naturvårdsverket</t>
        </is>
      </c>
      <c r="G607" t="n">
        <v>2.6</v>
      </c>
      <c r="H607" t="n">
        <v>0</v>
      </c>
      <c r="I607" t="n">
        <v>0</v>
      </c>
      <c r="J607" t="n">
        <v>0</v>
      </c>
      <c r="K607" t="n">
        <v>0</v>
      </c>
      <c r="L607" t="n">
        <v>0</v>
      </c>
      <c r="M607" t="n">
        <v>0</v>
      </c>
      <c r="N607" t="n">
        <v>0</v>
      </c>
      <c r="O607" t="n">
        <v>0</v>
      </c>
      <c r="P607" t="n">
        <v>0</v>
      </c>
      <c r="Q607" t="n">
        <v>0</v>
      </c>
      <c r="R607" s="2" t="inlineStr"/>
    </row>
    <row r="608" ht="15" customHeight="1">
      <c r="A608" t="inlineStr">
        <is>
          <t>A 55474-2024</t>
        </is>
      </c>
      <c r="B608" s="1" t="n">
        <v>45622.43456018518</v>
      </c>
      <c r="C608" s="1" t="n">
        <v>45983</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28134-2023</t>
        </is>
      </c>
      <c r="B609" s="1" t="n">
        <v>45099.48079861111</v>
      </c>
      <c r="C609" s="1" t="n">
        <v>45983</v>
      </c>
      <c r="D609" t="inlineStr">
        <is>
          <t>DALARNAS LÄN</t>
        </is>
      </c>
      <c r="E609" t="inlineStr">
        <is>
          <t>LUDVIKA</t>
        </is>
      </c>
      <c r="F609" t="inlineStr">
        <is>
          <t>Bergvik skog väst AB</t>
        </is>
      </c>
      <c r="G609" t="n">
        <v>0.7</v>
      </c>
      <c r="H609" t="n">
        <v>0</v>
      </c>
      <c r="I609" t="n">
        <v>0</v>
      </c>
      <c r="J609" t="n">
        <v>0</v>
      </c>
      <c r="K609" t="n">
        <v>0</v>
      </c>
      <c r="L609" t="n">
        <v>0</v>
      </c>
      <c r="M609" t="n">
        <v>0</v>
      </c>
      <c r="N609" t="n">
        <v>0</v>
      </c>
      <c r="O609" t="n">
        <v>0</v>
      </c>
      <c r="P609" t="n">
        <v>0</v>
      </c>
      <c r="Q609" t="n">
        <v>0</v>
      </c>
      <c r="R609" s="2" t="inlineStr"/>
    </row>
    <row r="610" ht="15" customHeight="1">
      <c r="A610" t="inlineStr">
        <is>
          <t>A 4550-2025</t>
        </is>
      </c>
      <c r="B610" s="1" t="n">
        <v>45687.40626157408</v>
      </c>
      <c r="C610" s="1" t="n">
        <v>45983</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39849-2023</t>
        </is>
      </c>
      <c r="B611" s="1" t="n">
        <v>45168.36769675926</v>
      </c>
      <c r="C611" s="1" t="n">
        <v>45983</v>
      </c>
      <c r="D611" t="inlineStr">
        <is>
          <t>DALARNAS LÄN</t>
        </is>
      </c>
      <c r="E611" t="inlineStr">
        <is>
          <t>LUDVIKA</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52347-2024</t>
        </is>
      </c>
      <c r="B612" s="1" t="n">
        <v>45609</v>
      </c>
      <c r="C612" s="1" t="n">
        <v>45983</v>
      </c>
      <c r="D612" t="inlineStr">
        <is>
          <t>DALARNAS LÄN</t>
        </is>
      </c>
      <c r="E612" t="inlineStr">
        <is>
          <t>LUDVIKA</t>
        </is>
      </c>
      <c r="F612" t="inlineStr">
        <is>
          <t>Bergvik skog väst AB</t>
        </is>
      </c>
      <c r="G612" t="n">
        <v>4.5</v>
      </c>
      <c r="H612" t="n">
        <v>0</v>
      </c>
      <c r="I612" t="n">
        <v>0</v>
      </c>
      <c r="J612" t="n">
        <v>0</v>
      </c>
      <c r="K612" t="n">
        <v>0</v>
      </c>
      <c r="L612" t="n">
        <v>0</v>
      </c>
      <c r="M612" t="n">
        <v>0</v>
      </c>
      <c r="N612" t="n">
        <v>0</v>
      </c>
      <c r="O612" t="n">
        <v>0</v>
      </c>
      <c r="P612" t="n">
        <v>0</v>
      </c>
      <c r="Q612" t="n">
        <v>0</v>
      </c>
      <c r="R612" s="2" t="inlineStr"/>
    </row>
    <row r="613" ht="15" customHeight="1">
      <c r="A613" t="inlineStr">
        <is>
          <t>A 41495-2024</t>
        </is>
      </c>
      <c r="B613" s="1" t="n">
        <v>45560.45458333333</v>
      </c>
      <c r="C613" s="1" t="n">
        <v>45983</v>
      </c>
      <c r="D613" t="inlineStr">
        <is>
          <t>DALARNAS LÄN</t>
        </is>
      </c>
      <c r="E613" t="inlineStr">
        <is>
          <t>LUDVIKA</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48589-2023</t>
        </is>
      </c>
      <c r="B614" s="1" t="n">
        <v>45208</v>
      </c>
      <c r="C614" s="1" t="n">
        <v>45983</v>
      </c>
      <c r="D614" t="inlineStr">
        <is>
          <t>DALARNAS LÄN</t>
        </is>
      </c>
      <c r="E614" t="inlineStr">
        <is>
          <t>LUDVIKA</t>
        </is>
      </c>
      <c r="F614" t="inlineStr">
        <is>
          <t>Naturvårdsverket</t>
        </is>
      </c>
      <c r="G614" t="n">
        <v>0.7</v>
      </c>
      <c r="H614" t="n">
        <v>0</v>
      </c>
      <c r="I614" t="n">
        <v>0</v>
      </c>
      <c r="J614" t="n">
        <v>0</v>
      </c>
      <c r="K614" t="n">
        <v>0</v>
      </c>
      <c r="L614" t="n">
        <v>0</v>
      </c>
      <c r="M614" t="n">
        <v>0</v>
      </c>
      <c r="N614" t="n">
        <v>0</v>
      </c>
      <c r="O614" t="n">
        <v>0</v>
      </c>
      <c r="P614" t="n">
        <v>0</v>
      </c>
      <c r="Q614" t="n">
        <v>0</v>
      </c>
      <c r="R614" s="2" t="inlineStr"/>
    </row>
    <row r="615" ht="15" customHeight="1">
      <c r="A615" t="inlineStr">
        <is>
          <t>A 59356-2024</t>
        </is>
      </c>
      <c r="B615" s="1" t="n">
        <v>45638.31543981482</v>
      </c>
      <c r="C615" s="1" t="n">
        <v>45983</v>
      </c>
      <c r="D615" t="inlineStr">
        <is>
          <t>DALARNAS LÄN</t>
        </is>
      </c>
      <c r="E615" t="inlineStr">
        <is>
          <t>LUDVIKA</t>
        </is>
      </c>
      <c r="G615" t="n">
        <v>1.2</v>
      </c>
      <c r="H615" t="n">
        <v>0</v>
      </c>
      <c r="I615" t="n">
        <v>0</v>
      </c>
      <c r="J615" t="n">
        <v>0</v>
      </c>
      <c r="K615" t="n">
        <v>0</v>
      </c>
      <c r="L615" t="n">
        <v>0</v>
      </c>
      <c r="M615" t="n">
        <v>0</v>
      </c>
      <c r="N615" t="n">
        <v>0</v>
      </c>
      <c r="O615" t="n">
        <v>0</v>
      </c>
      <c r="P615" t="n">
        <v>0</v>
      </c>
      <c r="Q615" t="n">
        <v>0</v>
      </c>
      <c r="R615" s="2" t="inlineStr"/>
    </row>
    <row r="616" ht="15" customHeight="1">
      <c r="A616" t="inlineStr">
        <is>
          <t>A 33673-2022</t>
        </is>
      </c>
      <c r="B616" s="1" t="n">
        <v>44789</v>
      </c>
      <c r="C616" s="1" t="n">
        <v>45983</v>
      </c>
      <c r="D616" t="inlineStr">
        <is>
          <t>DALARNAS LÄN</t>
        </is>
      </c>
      <c r="E616" t="inlineStr">
        <is>
          <t>LUDVIKA</t>
        </is>
      </c>
      <c r="G616" t="n">
        <v>1.5</v>
      </c>
      <c r="H616" t="n">
        <v>0</v>
      </c>
      <c r="I616" t="n">
        <v>0</v>
      </c>
      <c r="J616" t="n">
        <v>0</v>
      </c>
      <c r="K616" t="n">
        <v>0</v>
      </c>
      <c r="L616" t="n">
        <v>0</v>
      </c>
      <c r="M616" t="n">
        <v>0</v>
      </c>
      <c r="N616" t="n">
        <v>0</v>
      </c>
      <c r="O616" t="n">
        <v>0</v>
      </c>
      <c r="P616" t="n">
        <v>0</v>
      </c>
      <c r="Q616" t="n">
        <v>0</v>
      </c>
      <c r="R616" s="2" t="inlineStr"/>
    </row>
    <row r="617" ht="15" customHeight="1">
      <c r="A617" t="inlineStr">
        <is>
          <t>A 39437-2023</t>
        </is>
      </c>
      <c r="B617" s="1" t="n">
        <v>45166.70038194444</v>
      </c>
      <c r="C617" s="1" t="n">
        <v>45983</v>
      </c>
      <c r="D617" t="inlineStr">
        <is>
          <t>DALARNAS LÄN</t>
        </is>
      </c>
      <c r="E617" t="inlineStr">
        <is>
          <t>LUDVIKA</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20368-2025</t>
        </is>
      </c>
      <c r="B618" s="1" t="n">
        <v>45775.41047453704</v>
      </c>
      <c r="C618" s="1" t="n">
        <v>45983</v>
      </c>
      <c r="D618" t="inlineStr">
        <is>
          <t>DALARNAS LÄN</t>
        </is>
      </c>
      <c r="E618" t="inlineStr">
        <is>
          <t>LUDVIKA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21741-2022</t>
        </is>
      </c>
      <c r="B619" s="1" t="n">
        <v>44708.380625</v>
      </c>
      <c r="C619" s="1" t="n">
        <v>45983</v>
      </c>
      <c r="D619" t="inlineStr">
        <is>
          <t>DALARNAS LÄN</t>
        </is>
      </c>
      <c r="E619" t="inlineStr">
        <is>
          <t>LUDVIKA</t>
        </is>
      </c>
      <c r="F619" t="inlineStr">
        <is>
          <t>Bergvik skog väst AB</t>
        </is>
      </c>
      <c r="G619" t="n">
        <v>2.7</v>
      </c>
      <c r="H619" t="n">
        <v>0</v>
      </c>
      <c r="I619" t="n">
        <v>0</v>
      </c>
      <c r="J619" t="n">
        <v>0</v>
      </c>
      <c r="K619" t="n">
        <v>0</v>
      </c>
      <c r="L619" t="n">
        <v>0</v>
      </c>
      <c r="M619" t="n">
        <v>0</v>
      </c>
      <c r="N619" t="n">
        <v>0</v>
      </c>
      <c r="O619" t="n">
        <v>0</v>
      </c>
      <c r="P619" t="n">
        <v>0</v>
      </c>
      <c r="Q619" t="n">
        <v>0</v>
      </c>
      <c r="R619" s="2" t="inlineStr"/>
    </row>
    <row r="620" ht="15" customHeight="1">
      <c r="A620" t="inlineStr">
        <is>
          <t>A 18724-2022</t>
        </is>
      </c>
      <c r="B620" s="1" t="n">
        <v>44687.67511574074</v>
      </c>
      <c r="C620" s="1" t="n">
        <v>45983</v>
      </c>
      <c r="D620" t="inlineStr">
        <is>
          <t>DALARNAS LÄN</t>
        </is>
      </c>
      <c r="E620" t="inlineStr">
        <is>
          <t>LUDVIKA</t>
        </is>
      </c>
      <c r="G620" t="n">
        <v>4.3</v>
      </c>
      <c r="H620" t="n">
        <v>0</v>
      </c>
      <c r="I620" t="n">
        <v>0</v>
      </c>
      <c r="J620" t="n">
        <v>0</v>
      </c>
      <c r="K620" t="n">
        <v>0</v>
      </c>
      <c r="L620" t="n">
        <v>0</v>
      </c>
      <c r="M620" t="n">
        <v>0</v>
      </c>
      <c r="N620" t="n">
        <v>0</v>
      </c>
      <c r="O620" t="n">
        <v>0</v>
      </c>
      <c r="P620" t="n">
        <v>0</v>
      </c>
      <c r="Q620" t="n">
        <v>0</v>
      </c>
      <c r="R620" s="2" t="inlineStr"/>
    </row>
    <row r="621" ht="15" customHeight="1">
      <c r="A621" t="inlineStr">
        <is>
          <t>A 49114-2023</t>
        </is>
      </c>
      <c r="B621" s="1" t="n">
        <v>45210</v>
      </c>
      <c r="C621" s="1" t="n">
        <v>45983</v>
      </c>
      <c r="D621" t="inlineStr">
        <is>
          <t>DALARNAS LÄN</t>
        </is>
      </c>
      <c r="E621" t="inlineStr">
        <is>
          <t>LUDVIKA</t>
        </is>
      </c>
      <c r="F621" t="inlineStr">
        <is>
          <t>Naturvårdsverket</t>
        </is>
      </c>
      <c r="G621" t="n">
        <v>4</v>
      </c>
      <c r="H621" t="n">
        <v>0</v>
      </c>
      <c r="I621" t="n">
        <v>0</v>
      </c>
      <c r="J621" t="n">
        <v>0</v>
      </c>
      <c r="K621" t="n">
        <v>0</v>
      </c>
      <c r="L621" t="n">
        <v>0</v>
      </c>
      <c r="M621" t="n">
        <v>0</v>
      </c>
      <c r="N621" t="n">
        <v>0</v>
      </c>
      <c r="O621" t="n">
        <v>0</v>
      </c>
      <c r="P621" t="n">
        <v>0</v>
      </c>
      <c r="Q621" t="n">
        <v>0</v>
      </c>
      <c r="R621" s="2" t="inlineStr"/>
    </row>
    <row r="622" ht="15" customHeight="1">
      <c r="A622" t="inlineStr">
        <is>
          <t>A 45060-2022</t>
        </is>
      </c>
      <c r="B622" s="1" t="n">
        <v>44841.75935185186</v>
      </c>
      <c r="C622" s="1" t="n">
        <v>45983</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34555-2023</t>
        </is>
      </c>
      <c r="B623" s="1" t="n">
        <v>45140.50491898148</v>
      </c>
      <c r="C623" s="1" t="n">
        <v>45983</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16768-2025</t>
        </is>
      </c>
      <c r="B624" s="1" t="n">
        <v>45754</v>
      </c>
      <c r="C624" s="1" t="n">
        <v>45983</v>
      </c>
      <c r="D624" t="inlineStr">
        <is>
          <t>DALARNAS LÄN</t>
        </is>
      </c>
      <c r="E624" t="inlineStr">
        <is>
          <t>LUDVIKA</t>
        </is>
      </c>
      <c r="F624" t="inlineStr">
        <is>
          <t>Naturvårdsverket</t>
        </is>
      </c>
      <c r="G624" t="n">
        <v>4.8</v>
      </c>
      <c r="H624" t="n">
        <v>0</v>
      </c>
      <c r="I624" t="n">
        <v>0</v>
      </c>
      <c r="J624" t="n">
        <v>0</v>
      </c>
      <c r="K624" t="n">
        <v>0</v>
      </c>
      <c r="L624" t="n">
        <v>0</v>
      </c>
      <c r="M624" t="n">
        <v>0</v>
      </c>
      <c r="N624" t="n">
        <v>0</v>
      </c>
      <c r="O624" t="n">
        <v>0</v>
      </c>
      <c r="P624" t="n">
        <v>0</v>
      </c>
      <c r="Q624" t="n">
        <v>0</v>
      </c>
      <c r="R624" s="2" t="inlineStr"/>
    </row>
    <row r="625" ht="15" customHeight="1">
      <c r="A625" t="inlineStr">
        <is>
          <t>A 55281-2024</t>
        </is>
      </c>
      <c r="B625" s="1" t="n">
        <v>45621.62696759259</v>
      </c>
      <c r="C625" s="1" t="n">
        <v>45983</v>
      </c>
      <c r="D625" t="inlineStr">
        <is>
          <t>DALARNAS LÄN</t>
        </is>
      </c>
      <c r="E625" t="inlineStr">
        <is>
          <t>LUDVIKA</t>
        </is>
      </c>
      <c r="F625" t="inlineStr">
        <is>
          <t>Naturvårdsverket</t>
        </is>
      </c>
      <c r="G625" t="n">
        <v>1.3</v>
      </c>
      <c r="H625" t="n">
        <v>0</v>
      </c>
      <c r="I625" t="n">
        <v>0</v>
      </c>
      <c r="J625" t="n">
        <v>0</v>
      </c>
      <c r="K625" t="n">
        <v>0</v>
      </c>
      <c r="L625" t="n">
        <v>0</v>
      </c>
      <c r="M625" t="n">
        <v>0</v>
      </c>
      <c r="N625" t="n">
        <v>0</v>
      </c>
      <c r="O625" t="n">
        <v>0</v>
      </c>
      <c r="P625" t="n">
        <v>0</v>
      </c>
      <c r="Q625" t="n">
        <v>0</v>
      </c>
      <c r="R625" s="2" t="inlineStr"/>
    </row>
    <row r="626" ht="15" customHeight="1">
      <c r="A626" t="inlineStr">
        <is>
          <t>A 61054-2024</t>
        </is>
      </c>
      <c r="B626" s="1" t="n">
        <v>45645</v>
      </c>
      <c r="C626" s="1" t="n">
        <v>45983</v>
      </c>
      <c r="D626" t="inlineStr">
        <is>
          <t>DALARNAS LÄN</t>
        </is>
      </c>
      <c r="E626" t="inlineStr">
        <is>
          <t>LUDVIKA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48615-2023</t>
        </is>
      </c>
      <c r="B627" s="1" t="n">
        <v>45208</v>
      </c>
      <c r="C627" s="1" t="n">
        <v>45983</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56818-2023</t>
        </is>
      </c>
      <c r="B628" s="1" t="n">
        <v>45244.45287037037</v>
      </c>
      <c r="C628" s="1" t="n">
        <v>45983</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37392-2023</t>
        </is>
      </c>
      <c r="B629" s="1" t="n">
        <v>45156</v>
      </c>
      <c r="C629" s="1" t="n">
        <v>45983</v>
      </c>
      <c r="D629" t="inlineStr">
        <is>
          <t>DALARNAS LÄN</t>
        </is>
      </c>
      <c r="E629" t="inlineStr">
        <is>
          <t>LUDVIKA</t>
        </is>
      </c>
      <c r="G629" t="n">
        <v>0.5</v>
      </c>
      <c r="H629" t="n">
        <v>0</v>
      </c>
      <c r="I629" t="n">
        <v>0</v>
      </c>
      <c r="J629" t="n">
        <v>0</v>
      </c>
      <c r="K629" t="n">
        <v>0</v>
      </c>
      <c r="L629" t="n">
        <v>0</v>
      </c>
      <c r="M629" t="n">
        <v>0</v>
      </c>
      <c r="N629" t="n">
        <v>0</v>
      </c>
      <c r="O629" t="n">
        <v>0</v>
      </c>
      <c r="P629" t="n">
        <v>0</v>
      </c>
      <c r="Q629" t="n">
        <v>0</v>
      </c>
      <c r="R629" s="2" t="inlineStr"/>
    </row>
    <row r="630" ht="15" customHeight="1">
      <c r="A630" t="inlineStr">
        <is>
          <t>A 51208-2023</t>
        </is>
      </c>
      <c r="B630" s="1" t="n">
        <v>45219.4410300926</v>
      </c>
      <c r="C630" s="1" t="n">
        <v>45983</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45983</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59351-2023</t>
        </is>
      </c>
      <c r="B632" s="1" t="n">
        <v>45253.65673611111</v>
      </c>
      <c r="C632" s="1" t="n">
        <v>45983</v>
      </c>
      <c r="D632" t="inlineStr">
        <is>
          <t>DALARNAS LÄN</t>
        </is>
      </c>
      <c r="E632" t="inlineStr">
        <is>
          <t>LUDVIKA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52466-2023</t>
        </is>
      </c>
      <c r="B633" s="1" t="n">
        <v>45225.41042824074</v>
      </c>
      <c r="C633" s="1" t="n">
        <v>45983</v>
      </c>
      <c r="D633" t="inlineStr">
        <is>
          <t>DALARNAS LÄN</t>
        </is>
      </c>
      <c r="E633" t="inlineStr">
        <is>
          <t>LUDVIKA</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46656-2023</t>
        </is>
      </c>
      <c r="B634" s="1" t="n">
        <v>45198.46518518519</v>
      </c>
      <c r="C634" s="1" t="n">
        <v>45983</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46185-2024</t>
        </is>
      </c>
      <c r="B635" s="1" t="n">
        <v>45581</v>
      </c>
      <c r="C635" s="1" t="n">
        <v>45983</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48683-2023</t>
        </is>
      </c>
      <c r="B636" s="1" t="n">
        <v>45208.65275462963</v>
      </c>
      <c r="C636" s="1" t="n">
        <v>45983</v>
      </c>
      <c r="D636" t="inlineStr">
        <is>
          <t>DALARNAS LÄN</t>
        </is>
      </c>
      <c r="E636" t="inlineStr">
        <is>
          <t>LUDVIKA</t>
        </is>
      </c>
      <c r="G636" t="n">
        <v>1.3</v>
      </c>
      <c r="H636" t="n">
        <v>0</v>
      </c>
      <c r="I636" t="n">
        <v>0</v>
      </c>
      <c r="J636" t="n">
        <v>0</v>
      </c>
      <c r="K636" t="n">
        <v>0</v>
      </c>
      <c r="L636" t="n">
        <v>0</v>
      </c>
      <c r="M636" t="n">
        <v>0</v>
      </c>
      <c r="N636" t="n">
        <v>0</v>
      </c>
      <c r="O636" t="n">
        <v>0</v>
      </c>
      <c r="P636" t="n">
        <v>0</v>
      </c>
      <c r="Q636" t="n">
        <v>0</v>
      </c>
      <c r="R636" s="2" t="inlineStr"/>
    </row>
    <row r="637" ht="15" customHeight="1">
      <c r="A637" t="inlineStr">
        <is>
          <t>A 57557-2023</t>
        </is>
      </c>
      <c r="B637" s="1" t="n">
        <v>45246</v>
      </c>
      <c r="C637" s="1" t="n">
        <v>45983</v>
      </c>
      <c r="D637" t="inlineStr">
        <is>
          <t>DALARNAS LÄN</t>
        </is>
      </c>
      <c r="E637" t="inlineStr">
        <is>
          <t>LUDVIKA</t>
        </is>
      </c>
      <c r="G637" t="n">
        <v>12.7</v>
      </c>
      <c r="H637" t="n">
        <v>0</v>
      </c>
      <c r="I637" t="n">
        <v>0</v>
      </c>
      <c r="J637" t="n">
        <v>0</v>
      </c>
      <c r="K637" t="n">
        <v>0</v>
      </c>
      <c r="L637" t="n">
        <v>0</v>
      </c>
      <c r="M637" t="n">
        <v>0</v>
      </c>
      <c r="N637" t="n">
        <v>0</v>
      </c>
      <c r="O637" t="n">
        <v>0</v>
      </c>
      <c r="P637" t="n">
        <v>0</v>
      </c>
      <c r="Q637" t="n">
        <v>0</v>
      </c>
      <c r="R637" s="2" t="inlineStr"/>
    </row>
    <row r="638" ht="15" customHeight="1">
      <c r="A638" t="inlineStr">
        <is>
          <t>A 16807-2025</t>
        </is>
      </c>
      <c r="B638" s="1" t="n">
        <v>45754</v>
      </c>
      <c r="C638" s="1" t="n">
        <v>45983</v>
      </c>
      <c r="D638" t="inlineStr">
        <is>
          <t>DALARNAS LÄN</t>
        </is>
      </c>
      <c r="E638" t="inlineStr">
        <is>
          <t>LUDVIKA</t>
        </is>
      </c>
      <c r="F638" t="inlineStr">
        <is>
          <t>Naturvårdsverket</t>
        </is>
      </c>
      <c r="G638" t="n">
        <v>0.6</v>
      </c>
      <c r="H638" t="n">
        <v>0</v>
      </c>
      <c r="I638" t="n">
        <v>0</v>
      </c>
      <c r="J638" t="n">
        <v>0</v>
      </c>
      <c r="K638" t="n">
        <v>0</v>
      </c>
      <c r="L638" t="n">
        <v>0</v>
      </c>
      <c r="M638" t="n">
        <v>0</v>
      </c>
      <c r="N638" t="n">
        <v>0</v>
      </c>
      <c r="O638" t="n">
        <v>0</v>
      </c>
      <c r="P638" t="n">
        <v>0</v>
      </c>
      <c r="Q638" t="n">
        <v>0</v>
      </c>
      <c r="R638" s="2" t="inlineStr"/>
    </row>
    <row r="639" ht="15" customHeight="1">
      <c r="A639" t="inlineStr">
        <is>
          <t>A 15128-2025</t>
        </is>
      </c>
      <c r="B639" s="1" t="n">
        <v>45744.38216435185</v>
      </c>
      <c r="C639" s="1" t="n">
        <v>45983</v>
      </c>
      <c r="D639" t="inlineStr">
        <is>
          <t>DALARNAS LÄN</t>
        </is>
      </c>
      <c r="E639" t="inlineStr">
        <is>
          <t>LUDVIKA</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9725-2025</t>
        </is>
      </c>
      <c r="B640" s="1" t="n">
        <v>45716.41461805555</v>
      </c>
      <c r="C640" s="1" t="n">
        <v>45983</v>
      </c>
      <c r="D640" t="inlineStr">
        <is>
          <t>DALARNAS LÄN</t>
        </is>
      </c>
      <c r="E640" t="inlineStr">
        <is>
          <t>LUDVIKA</t>
        </is>
      </c>
      <c r="F640" t="inlineStr">
        <is>
          <t>Bergvik skog väst AB</t>
        </is>
      </c>
      <c r="G640" t="n">
        <v>6</v>
      </c>
      <c r="H640" t="n">
        <v>0</v>
      </c>
      <c r="I640" t="n">
        <v>0</v>
      </c>
      <c r="J640" t="n">
        <v>0</v>
      </c>
      <c r="K640" t="n">
        <v>0</v>
      </c>
      <c r="L640" t="n">
        <v>0</v>
      </c>
      <c r="M640" t="n">
        <v>0</v>
      </c>
      <c r="N640" t="n">
        <v>0</v>
      </c>
      <c r="O640" t="n">
        <v>0</v>
      </c>
      <c r="P640" t="n">
        <v>0</v>
      </c>
      <c r="Q640" t="n">
        <v>0</v>
      </c>
      <c r="R640" s="2" t="inlineStr"/>
    </row>
    <row r="641" ht="15" customHeight="1">
      <c r="A641" t="inlineStr">
        <is>
          <t>A 15008-2024</t>
        </is>
      </c>
      <c r="B641" s="1" t="n">
        <v>45399.42689814815</v>
      </c>
      <c r="C641" s="1" t="n">
        <v>45983</v>
      </c>
      <c r="D641" t="inlineStr">
        <is>
          <t>DALARNAS LÄN</t>
        </is>
      </c>
      <c r="E641" t="inlineStr">
        <is>
          <t>LUDVIKA</t>
        </is>
      </c>
      <c r="G641" t="n">
        <v>1.3</v>
      </c>
      <c r="H641" t="n">
        <v>0</v>
      </c>
      <c r="I641" t="n">
        <v>0</v>
      </c>
      <c r="J641" t="n">
        <v>0</v>
      </c>
      <c r="K641" t="n">
        <v>0</v>
      </c>
      <c r="L641" t="n">
        <v>0</v>
      </c>
      <c r="M641" t="n">
        <v>0</v>
      </c>
      <c r="N641" t="n">
        <v>0</v>
      </c>
      <c r="O641" t="n">
        <v>0</v>
      </c>
      <c r="P641" t="n">
        <v>0</v>
      </c>
      <c r="Q641" t="n">
        <v>0</v>
      </c>
      <c r="R641" s="2" t="inlineStr"/>
    </row>
    <row r="642" ht="15" customHeight="1">
      <c r="A642" t="inlineStr">
        <is>
          <t>A 31270-2022</t>
        </is>
      </c>
      <c r="B642" s="1" t="n">
        <v>44771.61702546296</v>
      </c>
      <c r="C642" s="1" t="n">
        <v>45983</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61309-2022</t>
        </is>
      </c>
      <c r="B643" s="1" t="n">
        <v>44915.64177083333</v>
      </c>
      <c r="C643" s="1" t="n">
        <v>45983</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50347-2021</t>
        </is>
      </c>
      <c r="B644" s="1" t="n">
        <v>44459</v>
      </c>
      <c r="C644" s="1" t="n">
        <v>45983</v>
      </c>
      <c r="D644" t="inlineStr">
        <is>
          <t>DALARNAS LÄN</t>
        </is>
      </c>
      <c r="E644" t="inlineStr">
        <is>
          <t>LUDVIKA</t>
        </is>
      </c>
      <c r="G644" t="n">
        <v>1.1</v>
      </c>
      <c r="H644" t="n">
        <v>0</v>
      </c>
      <c r="I644" t="n">
        <v>0</v>
      </c>
      <c r="J644" t="n">
        <v>0</v>
      </c>
      <c r="K644" t="n">
        <v>0</v>
      </c>
      <c r="L644" t="n">
        <v>0</v>
      </c>
      <c r="M644" t="n">
        <v>0</v>
      </c>
      <c r="N644" t="n">
        <v>0</v>
      </c>
      <c r="O644" t="n">
        <v>0</v>
      </c>
      <c r="P644" t="n">
        <v>0</v>
      </c>
      <c r="Q644" t="n">
        <v>0</v>
      </c>
      <c r="R644" s="2" t="inlineStr"/>
    </row>
    <row r="645" ht="15" customHeight="1">
      <c r="A645" t="inlineStr">
        <is>
          <t>A 48740-2022</t>
        </is>
      </c>
      <c r="B645" s="1" t="n">
        <v>44859</v>
      </c>
      <c r="C645" s="1" t="n">
        <v>45983</v>
      </c>
      <c r="D645" t="inlineStr">
        <is>
          <t>DALARNAS LÄN</t>
        </is>
      </c>
      <c r="E645" t="inlineStr">
        <is>
          <t>LUDVIKA</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20596-2021</t>
        </is>
      </c>
      <c r="B646" s="1" t="n">
        <v>44316</v>
      </c>
      <c r="C646" s="1" t="n">
        <v>45983</v>
      </c>
      <c r="D646" t="inlineStr">
        <is>
          <t>DALARNAS LÄN</t>
        </is>
      </c>
      <c r="E646" t="inlineStr">
        <is>
          <t>LUDVIKA</t>
        </is>
      </c>
      <c r="F646" t="inlineStr">
        <is>
          <t>Naturvårdsverket</t>
        </is>
      </c>
      <c r="G646" t="n">
        <v>2.3</v>
      </c>
      <c r="H646" t="n">
        <v>0</v>
      </c>
      <c r="I646" t="n">
        <v>0</v>
      </c>
      <c r="J646" t="n">
        <v>0</v>
      </c>
      <c r="K646" t="n">
        <v>0</v>
      </c>
      <c r="L646" t="n">
        <v>0</v>
      </c>
      <c r="M646" t="n">
        <v>0</v>
      </c>
      <c r="N646" t="n">
        <v>0</v>
      </c>
      <c r="O646" t="n">
        <v>0</v>
      </c>
      <c r="P646" t="n">
        <v>0</v>
      </c>
      <c r="Q646" t="n">
        <v>0</v>
      </c>
      <c r="R646" s="2" t="inlineStr"/>
    </row>
    <row r="647" ht="15" customHeight="1">
      <c r="A647" t="inlineStr">
        <is>
          <t>A 18189-2025</t>
        </is>
      </c>
      <c r="B647" s="1" t="n">
        <v>45761.67243055555</v>
      </c>
      <c r="C647" s="1" t="n">
        <v>45983</v>
      </c>
      <c r="D647" t="inlineStr">
        <is>
          <t>DALARNAS LÄN</t>
        </is>
      </c>
      <c r="E647" t="inlineStr">
        <is>
          <t>LUDVIKA</t>
        </is>
      </c>
      <c r="G647" t="n">
        <v>0.9</v>
      </c>
      <c r="H647" t="n">
        <v>0</v>
      </c>
      <c r="I647" t="n">
        <v>0</v>
      </c>
      <c r="J647" t="n">
        <v>0</v>
      </c>
      <c r="K647" t="n">
        <v>0</v>
      </c>
      <c r="L647" t="n">
        <v>0</v>
      </c>
      <c r="M647" t="n">
        <v>0</v>
      </c>
      <c r="N647" t="n">
        <v>0</v>
      </c>
      <c r="O647" t="n">
        <v>0</v>
      </c>
      <c r="P647" t="n">
        <v>0</v>
      </c>
      <c r="Q647" t="n">
        <v>0</v>
      </c>
      <c r="R647" s="2" t="inlineStr"/>
    </row>
    <row r="648" ht="15" customHeight="1">
      <c r="A648" t="inlineStr">
        <is>
          <t>A 56621-2023</t>
        </is>
      </c>
      <c r="B648" s="1" t="n">
        <v>45243.68557870371</v>
      </c>
      <c r="C648" s="1" t="n">
        <v>45983</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53996-2024</t>
        </is>
      </c>
      <c r="B649" s="1" t="n">
        <v>45616.35984953704</v>
      </c>
      <c r="C649" s="1" t="n">
        <v>45983</v>
      </c>
      <c r="D649" t="inlineStr">
        <is>
          <t>DALARNAS LÄN</t>
        </is>
      </c>
      <c r="E649" t="inlineStr">
        <is>
          <t>LUDVIKA</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47999-2024</t>
        </is>
      </c>
      <c r="B650" s="1" t="n">
        <v>45589.44649305556</v>
      </c>
      <c r="C650" s="1" t="n">
        <v>45983</v>
      </c>
      <c r="D650" t="inlineStr">
        <is>
          <t>DALARNAS LÄN</t>
        </is>
      </c>
      <c r="E650" t="inlineStr">
        <is>
          <t>LUDVIKA</t>
        </is>
      </c>
      <c r="G650" t="n">
        <v>2.1</v>
      </c>
      <c r="H650" t="n">
        <v>0</v>
      </c>
      <c r="I650" t="n">
        <v>0</v>
      </c>
      <c r="J650" t="n">
        <v>0</v>
      </c>
      <c r="K650" t="n">
        <v>0</v>
      </c>
      <c r="L650" t="n">
        <v>0</v>
      </c>
      <c r="M650" t="n">
        <v>0</v>
      </c>
      <c r="N650" t="n">
        <v>0</v>
      </c>
      <c r="O650" t="n">
        <v>0</v>
      </c>
      <c r="P650" t="n">
        <v>0</v>
      </c>
      <c r="Q650" t="n">
        <v>0</v>
      </c>
      <c r="R650" s="2" t="inlineStr"/>
    </row>
    <row r="651" ht="15" customHeight="1">
      <c r="A651" t="inlineStr">
        <is>
          <t>A 64171-2023</t>
        </is>
      </c>
      <c r="B651" s="1" t="n">
        <v>45279</v>
      </c>
      <c r="C651" s="1" t="n">
        <v>45983</v>
      </c>
      <c r="D651" t="inlineStr">
        <is>
          <t>DALARNAS LÄN</t>
        </is>
      </c>
      <c r="E651" t="inlineStr">
        <is>
          <t>LUDVIKA</t>
        </is>
      </c>
      <c r="G651" t="n">
        <v>8.6</v>
      </c>
      <c r="H651" t="n">
        <v>0</v>
      </c>
      <c r="I651" t="n">
        <v>0</v>
      </c>
      <c r="J651" t="n">
        <v>0</v>
      </c>
      <c r="K651" t="n">
        <v>0</v>
      </c>
      <c r="L651" t="n">
        <v>0</v>
      </c>
      <c r="M651" t="n">
        <v>0</v>
      </c>
      <c r="N651" t="n">
        <v>0</v>
      </c>
      <c r="O651" t="n">
        <v>0</v>
      </c>
      <c r="P651" t="n">
        <v>0</v>
      </c>
      <c r="Q651" t="n">
        <v>0</v>
      </c>
      <c r="R651" s="2" t="inlineStr"/>
    </row>
    <row r="652" ht="15" customHeight="1">
      <c r="A652" t="inlineStr">
        <is>
          <t>A 57803-2023</t>
        </is>
      </c>
      <c r="B652" s="1" t="n">
        <v>45246</v>
      </c>
      <c r="C652" s="1" t="n">
        <v>45983</v>
      </c>
      <c r="D652" t="inlineStr">
        <is>
          <t>DALARNAS LÄN</t>
        </is>
      </c>
      <c r="E652" t="inlineStr">
        <is>
          <t>LUDVIKA</t>
        </is>
      </c>
      <c r="G652" t="n">
        <v>3.3</v>
      </c>
      <c r="H652" t="n">
        <v>0</v>
      </c>
      <c r="I652" t="n">
        <v>0</v>
      </c>
      <c r="J652" t="n">
        <v>0</v>
      </c>
      <c r="K652" t="n">
        <v>0</v>
      </c>
      <c r="L652" t="n">
        <v>0</v>
      </c>
      <c r="M652" t="n">
        <v>0</v>
      </c>
      <c r="N652" t="n">
        <v>0</v>
      </c>
      <c r="O652" t="n">
        <v>0</v>
      </c>
      <c r="P652" t="n">
        <v>0</v>
      </c>
      <c r="Q652" t="n">
        <v>0</v>
      </c>
      <c r="R652" s="2" t="inlineStr"/>
    </row>
    <row r="653" ht="15" customHeight="1">
      <c r="A653" t="inlineStr">
        <is>
          <t>A 923-2024</t>
        </is>
      </c>
      <c r="B653" s="1" t="n">
        <v>45301</v>
      </c>
      <c r="C653" s="1" t="n">
        <v>45983</v>
      </c>
      <c r="D653" t="inlineStr">
        <is>
          <t>DALARNAS LÄN</t>
        </is>
      </c>
      <c r="E653" t="inlineStr">
        <is>
          <t>LUDVIKA</t>
        </is>
      </c>
      <c r="G653" t="n">
        <v>0.3</v>
      </c>
      <c r="H653" t="n">
        <v>0</v>
      </c>
      <c r="I653" t="n">
        <v>0</v>
      </c>
      <c r="J653" t="n">
        <v>0</v>
      </c>
      <c r="K653" t="n">
        <v>0</v>
      </c>
      <c r="L653" t="n">
        <v>0</v>
      </c>
      <c r="M653" t="n">
        <v>0</v>
      </c>
      <c r="N653" t="n">
        <v>0</v>
      </c>
      <c r="O653" t="n">
        <v>0</v>
      </c>
      <c r="P653" t="n">
        <v>0</v>
      </c>
      <c r="Q653" t="n">
        <v>0</v>
      </c>
      <c r="R653" s="2" t="inlineStr"/>
    </row>
    <row r="654" ht="15" customHeight="1">
      <c r="A654" t="inlineStr">
        <is>
          <t>A 20427-2025</t>
        </is>
      </c>
      <c r="B654" s="1" t="n">
        <v>45775</v>
      </c>
      <c r="C654" s="1" t="n">
        <v>45983</v>
      </c>
      <c r="D654" t="inlineStr">
        <is>
          <t>DALARNAS LÄN</t>
        </is>
      </c>
      <c r="E654" t="inlineStr">
        <is>
          <t>LUDVIKA</t>
        </is>
      </c>
      <c r="F654" t="inlineStr">
        <is>
          <t>Bergvik skog väst AB</t>
        </is>
      </c>
      <c r="G654" t="n">
        <v>4.2</v>
      </c>
      <c r="H654" t="n">
        <v>0</v>
      </c>
      <c r="I654" t="n">
        <v>0</v>
      </c>
      <c r="J654" t="n">
        <v>0</v>
      </c>
      <c r="K654" t="n">
        <v>0</v>
      </c>
      <c r="L654" t="n">
        <v>0</v>
      </c>
      <c r="M654" t="n">
        <v>0</v>
      </c>
      <c r="N654" t="n">
        <v>0</v>
      </c>
      <c r="O654" t="n">
        <v>0</v>
      </c>
      <c r="P654" t="n">
        <v>0</v>
      </c>
      <c r="Q654" t="n">
        <v>0</v>
      </c>
      <c r="R654" s="2" t="inlineStr"/>
    </row>
    <row r="655" ht="15" customHeight="1">
      <c r="A655" t="inlineStr">
        <is>
          <t>A 50528-2024</t>
        </is>
      </c>
      <c r="B655" s="1" t="n">
        <v>45601.56344907408</v>
      </c>
      <c r="C655" s="1" t="n">
        <v>45983</v>
      </c>
      <c r="D655" t="inlineStr">
        <is>
          <t>DALARNAS LÄN</t>
        </is>
      </c>
      <c r="E655" t="inlineStr">
        <is>
          <t>LUDVIKA</t>
        </is>
      </c>
      <c r="G655" t="n">
        <v>2.1</v>
      </c>
      <c r="H655" t="n">
        <v>0</v>
      </c>
      <c r="I655" t="n">
        <v>0</v>
      </c>
      <c r="J655" t="n">
        <v>0</v>
      </c>
      <c r="K655" t="n">
        <v>0</v>
      </c>
      <c r="L655" t="n">
        <v>0</v>
      </c>
      <c r="M655" t="n">
        <v>0</v>
      </c>
      <c r="N655" t="n">
        <v>0</v>
      </c>
      <c r="O655" t="n">
        <v>0</v>
      </c>
      <c r="P655" t="n">
        <v>0</v>
      </c>
      <c r="Q655" t="n">
        <v>0</v>
      </c>
      <c r="R655" s="2" t="inlineStr"/>
    </row>
    <row r="656" ht="15" customHeight="1">
      <c r="A656" t="inlineStr">
        <is>
          <t>A 53620-2022</t>
        </is>
      </c>
      <c r="B656" s="1" t="n">
        <v>44879.81773148148</v>
      </c>
      <c r="C656" s="1" t="n">
        <v>45983</v>
      </c>
      <c r="D656" t="inlineStr">
        <is>
          <t>DALARNAS LÄN</t>
        </is>
      </c>
      <c r="E656" t="inlineStr">
        <is>
          <t>LUDVIKA</t>
        </is>
      </c>
      <c r="G656" t="n">
        <v>3.7</v>
      </c>
      <c r="H656" t="n">
        <v>0</v>
      </c>
      <c r="I656" t="n">
        <v>0</v>
      </c>
      <c r="J656" t="n">
        <v>0</v>
      </c>
      <c r="K656" t="n">
        <v>0</v>
      </c>
      <c r="L656" t="n">
        <v>0</v>
      </c>
      <c r="M656" t="n">
        <v>0</v>
      </c>
      <c r="N656" t="n">
        <v>0</v>
      </c>
      <c r="O656" t="n">
        <v>0</v>
      </c>
      <c r="P656" t="n">
        <v>0</v>
      </c>
      <c r="Q656" t="n">
        <v>0</v>
      </c>
      <c r="R656" s="2" t="inlineStr"/>
    </row>
    <row r="657" ht="15" customHeight="1">
      <c r="A657" t="inlineStr">
        <is>
          <t>A 7238-2023</t>
        </is>
      </c>
      <c r="B657" s="1" t="n">
        <v>44970.60710648148</v>
      </c>
      <c r="C657" s="1" t="n">
        <v>45983</v>
      </c>
      <c r="D657" t="inlineStr">
        <is>
          <t>DALARNAS LÄN</t>
        </is>
      </c>
      <c r="E657" t="inlineStr">
        <is>
          <t>LUDVIKA</t>
        </is>
      </c>
      <c r="F657" t="inlineStr">
        <is>
          <t>Övriga Aktiebolag</t>
        </is>
      </c>
      <c r="G657" t="n">
        <v>3.1</v>
      </c>
      <c r="H657" t="n">
        <v>0</v>
      </c>
      <c r="I657" t="n">
        <v>0</v>
      </c>
      <c r="J657" t="n">
        <v>0</v>
      </c>
      <c r="K657" t="n">
        <v>0</v>
      </c>
      <c r="L657" t="n">
        <v>0</v>
      </c>
      <c r="M657" t="n">
        <v>0</v>
      </c>
      <c r="N657" t="n">
        <v>0</v>
      </c>
      <c r="O657" t="n">
        <v>0</v>
      </c>
      <c r="P657" t="n">
        <v>0</v>
      </c>
      <c r="Q657" t="n">
        <v>0</v>
      </c>
      <c r="R657" s="2" t="inlineStr"/>
    </row>
    <row r="658" ht="15" customHeight="1">
      <c r="A658" t="inlineStr">
        <is>
          <t>A 73703-2021</t>
        </is>
      </c>
      <c r="B658" s="1" t="n">
        <v>44552</v>
      </c>
      <c r="C658" s="1" t="n">
        <v>45983</v>
      </c>
      <c r="D658" t="inlineStr">
        <is>
          <t>DALARNAS LÄN</t>
        </is>
      </c>
      <c r="E658" t="inlineStr">
        <is>
          <t>LUDVIKA</t>
        </is>
      </c>
      <c r="G658" t="n">
        <v>0.5</v>
      </c>
      <c r="H658" t="n">
        <v>0</v>
      </c>
      <c r="I658" t="n">
        <v>0</v>
      </c>
      <c r="J658" t="n">
        <v>0</v>
      </c>
      <c r="K658" t="n">
        <v>0</v>
      </c>
      <c r="L658" t="n">
        <v>0</v>
      </c>
      <c r="M658" t="n">
        <v>0</v>
      </c>
      <c r="N658" t="n">
        <v>0</v>
      </c>
      <c r="O658" t="n">
        <v>0</v>
      </c>
      <c r="P658" t="n">
        <v>0</v>
      </c>
      <c r="Q658" t="n">
        <v>0</v>
      </c>
      <c r="R658" s="2" t="inlineStr"/>
    </row>
    <row r="659" ht="15" customHeight="1">
      <c r="A659" t="inlineStr">
        <is>
          <t>A 25299-2022</t>
        </is>
      </c>
      <c r="B659" s="1" t="n">
        <v>44730.99318287037</v>
      </c>
      <c r="C659" s="1" t="n">
        <v>45983</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5970-2022</t>
        </is>
      </c>
      <c r="B660" s="1" t="n">
        <v>44599</v>
      </c>
      <c r="C660" s="1" t="n">
        <v>45983</v>
      </c>
      <c r="D660" t="inlineStr">
        <is>
          <t>DALARNAS LÄN</t>
        </is>
      </c>
      <c r="E660" t="inlineStr">
        <is>
          <t>LUDVIKA</t>
        </is>
      </c>
      <c r="G660" t="n">
        <v>8.4</v>
      </c>
      <c r="H660" t="n">
        <v>0</v>
      </c>
      <c r="I660" t="n">
        <v>0</v>
      </c>
      <c r="J660" t="n">
        <v>0</v>
      </c>
      <c r="K660" t="n">
        <v>0</v>
      </c>
      <c r="L660" t="n">
        <v>0</v>
      </c>
      <c r="M660" t="n">
        <v>0</v>
      </c>
      <c r="N660" t="n">
        <v>0</v>
      </c>
      <c r="O660" t="n">
        <v>0</v>
      </c>
      <c r="P660" t="n">
        <v>0</v>
      </c>
      <c r="Q660" t="n">
        <v>0</v>
      </c>
      <c r="R660" s="2" t="inlineStr"/>
    </row>
    <row r="661" ht="15" customHeight="1">
      <c r="A661" t="inlineStr">
        <is>
          <t>A 48642-2022</t>
        </is>
      </c>
      <c r="B661" s="1" t="n">
        <v>44859.42164351852</v>
      </c>
      <c r="C661" s="1" t="n">
        <v>45983</v>
      </c>
      <c r="D661" t="inlineStr">
        <is>
          <t>DALARNAS LÄN</t>
        </is>
      </c>
      <c r="E661" t="inlineStr">
        <is>
          <t>LUDVIKA</t>
        </is>
      </c>
      <c r="F661" t="inlineStr">
        <is>
          <t>Naturvårdsverket</t>
        </is>
      </c>
      <c r="G661" t="n">
        <v>1.5</v>
      </c>
      <c r="H661" t="n">
        <v>0</v>
      </c>
      <c r="I661" t="n">
        <v>0</v>
      </c>
      <c r="J661" t="n">
        <v>0</v>
      </c>
      <c r="K661" t="n">
        <v>0</v>
      </c>
      <c r="L661" t="n">
        <v>0</v>
      </c>
      <c r="M661" t="n">
        <v>0</v>
      </c>
      <c r="N661" t="n">
        <v>0</v>
      </c>
      <c r="O661" t="n">
        <v>0</v>
      </c>
      <c r="P661" t="n">
        <v>0</v>
      </c>
      <c r="Q661" t="n">
        <v>0</v>
      </c>
      <c r="R661" s="2" t="inlineStr"/>
    </row>
    <row r="662" ht="15" customHeight="1">
      <c r="A662" t="inlineStr">
        <is>
          <t>A 5672-2023</t>
        </is>
      </c>
      <c r="B662" s="1" t="n">
        <v>44960.65628472222</v>
      </c>
      <c r="C662" s="1" t="n">
        <v>45983</v>
      </c>
      <c r="D662" t="inlineStr">
        <is>
          <t>DALARNAS LÄN</t>
        </is>
      </c>
      <c r="E662" t="inlineStr">
        <is>
          <t>LUDVIKA</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69094-2020</t>
        </is>
      </c>
      <c r="B663" s="1" t="n">
        <v>44188</v>
      </c>
      <c r="C663" s="1" t="n">
        <v>45983</v>
      </c>
      <c r="D663" t="inlineStr">
        <is>
          <t>DALARNAS LÄN</t>
        </is>
      </c>
      <c r="E663" t="inlineStr">
        <is>
          <t>LUDVIKA</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46074-2023</t>
        </is>
      </c>
      <c r="B664" s="1" t="n">
        <v>45196.46915509259</v>
      </c>
      <c r="C664" s="1" t="n">
        <v>45983</v>
      </c>
      <c r="D664" t="inlineStr">
        <is>
          <t>DALARNAS LÄN</t>
        </is>
      </c>
      <c r="E664" t="inlineStr">
        <is>
          <t>LUDVIKA</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48288-2023</t>
        </is>
      </c>
      <c r="B665" s="1" t="n">
        <v>45205.5616087963</v>
      </c>
      <c r="C665" s="1" t="n">
        <v>45983</v>
      </c>
      <c r="D665" t="inlineStr">
        <is>
          <t>DALARNAS LÄN</t>
        </is>
      </c>
      <c r="E665" t="inlineStr">
        <is>
          <t>LUDVIKA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69154-2020</t>
        </is>
      </c>
      <c r="B666" s="1" t="n">
        <v>44188</v>
      </c>
      <c r="C666" s="1" t="n">
        <v>45983</v>
      </c>
      <c r="D666" t="inlineStr">
        <is>
          <t>DALARNAS LÄN</t>
        </is>
      </c>
      <c r="E666" t="inlineStr">
        <is>
          <t>LUDVIKA</t>
        </is>
      </c>
      <c r="F666" t="inlineStr">
        <is>
          <t>Kommuner</t>
        </is>
      </c>
      <c r="G666" t="n">
        <v>13.3</v>
      </c>
      <c r="H666" t="n">
        <v>0</v>
      </c>
      <c r="I666" t="n">
        <v>0</v>
      </c>
      <c r="J666" t="n">
        <v>0</v>
      </c>
      <c r="K666" t="n">
        <v>0</v>
      </c>
      <c r="L666" t="n">
        <v>0</v>
      </c>
      <c r="M666" t="n">
        <v>0</v>
      </c>
      <c r="N666" t="n">
        <v>0</v>
      </c>
      <c r="O666" t="n">
        <v>0</v>
      </c>
      <c r="P666" t="n">
        <v>0</v>
      </c>
      <c r="Q666" t="n">
        <v>0</v>
      </c>
      <c r="R666" s="2" t="inlineStr"/>
    </row>
    <row r="667" ht="15" customHeight="1">
      <c r="A667" t="inlineStr">
        <is>
          <t>A 45309-2021</t>
        </is>
      </c>
      <c r="B667" s="1" t="n">
        <v>44439.68940972222</v>
      </c>
      <c r="C667" s="1" t="n">
        <v>45983</v>
      </c>
      <c r="D667" t="inlineStr">
        <is>
          <t>DALARNAS LÄN</t>
        </is>
      </c>
      <c r="E667" t="inlineStr">
        <is>
          <t>LUDVIKA</t>
        </is>
      </c>
      <c r="G667" t="n">
        <v>1.9</v>
      </c>
      <c r="H667" t="n">
        <v>0</v>
      </c>
      <c r="I667" t="n">
        <v>0</v>
      </c>
      <c r="J667" t="n">
        <v>0</v>
      </c>
      <c r="K667" t="n">
        <v>0</v>
      </c>
      <c r="L667" t="n">
        <v>0</v>
      </c>
      <c r="M667" t="n">
        <v>0</v>
      </c>
      <c r="N667" t="n">
        <v>0</v>
      </c>
      <c r="O667" t="n">
        <v>0</v>
      </c>
      <c r="P667" t="n">
        <v>0</v>
      </c>
      <c r="Q667" t="n">
        <v>0</v>
      </c>
      <c r="R667" s="2" t="inlineStr"/>
    </row>
    <row r="668" ht="15" customHeight="1">
      <c r="A668" t="inlineStr">
        <is>
          <t>A 2603-2024</t>
        </is>
      </c>
      <c r="B668" s="1" t="n">
        <v>45313.73107638889</v>
      </c>
      <c r="C668" s="1" t="n">
        <v>45983</v>
      </c>
      <c r="D668" t="inlineStr">
        <is>
          <t>DALARNAS LÄN</t>
        </is>
      </c>
      <c r="E668" t="inlineStr">
        <is>
          <t>LUDVIKA</t>
        </is>
      </c>
      <c r="G668" t="n">
        <v>0.8</v>
      </c>
      <c r="H668" t="n">
        <v>0</v>
      </c>
      <c r="I668" t="n">
        <v>0</v>
      </c>
      <c r="J668" t="n">
        <v>0</v>
      </c>
      <c r="K668" t="n">
        <v>0</v>
      </c>
      <c r="L668" t="n">
        <v>0</v>
      </c>
      <c r="M668" t="n">
        <v>0</v>
      </c>
      <c r="N668" t="n">
        <v>0</v>
      </c>
      <c r="O668" t="n">
        <v>0</v>
      </c>
      <c r="P668" t="n">
        <v>0</v>
      </c>
      <c r="Q668" t="n">
        <v>0</v>
      </c>
      <c r="R668" s="2" t="inlineStr"/>
    </row>
    <row r="669" ht="15" customHeight="1">
      <c r="A669" t="inlineStr">
        <is>
          <t>A 49035-2024</t>
        </is>
      </c>
      <c r="B669" s="1" t="n">
        <v>45594.55173611111</v>
      </c>
      <c r="C669" s="1" t="n">
        <v>45983</v>
      </c>
      <c r="D669" t="inlineStr">
        <is>
          <t>DALARNAS LÄN</t>
        </is>
      </c>
      <c r="E669" t="inlineStr">
        <is>
          <t>LUDVIKA</t>
        </is>
      </c>
      <c r="F669" t="inlineStr">
        <is>
          <t>Naturvårdsverket</t>
        </is>
      </c>
      <c r="G669" t="n">
        <v>2</v>
      </c>
      <c r="H669" t="n">
        <v>0</v>
      </c>
      <c r="I669" t="n">
        <v>0</v>
      </c>
      <c r="J669" t="n">
        <v>0</v>
      </c>
      <c r="K669" t="n">
        <v>0</v>
      </c>
      <c r="L669" t="n">
        <v>0</v>
      </c>
      <c r="M669" t="n">
        <v>0</v>
      </c>
      <c r="N669" t="n">
        <v>0</v>
      </c>
      <c r="O669" t="n">
        <v>0</v>
      </c>
      <c r="P669" t="n">
        <v>0</v>
      </c>
      <c r="Q669" t="n">
        <v>0</v>
      </c>
      <c r="R669" s="2" t="inlineStr"/>
    </row>
    <row r="670" ht="15" customHeight="1">
      <c r="A670" t="inlineStr">
        <is>
          <t>A 49043-2024</t>
        </is>
      </c>
      <c r="B670" s="1" t="n">
        <v>45594.5666550926</v>
      </c>
      <c r="C670" s="1" t="n">
        <v>45983</v>
      </c>
      <c r="D670" t="inlineStr">
        <is>
          <t>DALARNAS LÄN</t>
        </is>
      </c>
      <c r="E670" t="inlineStr">
        <is>
          <t>LUDVIKA</t>
        </is>
      </c>
      <c r="F670" t="inlineStr">
        <is>
          <t>Naturvårdsverket</t>
        </is>
      </c>
      <c r="G670" t="n">
        <v>2.3</v>
      </c>
      <c r="H670" t="n">
        <v>0</v>
      </c>
      <c r="I670" t="n">
        <v>0</v>
      </c>
      <c r="J670" t="n">
        <v>0</v>
      </c>
      <c r="K670" t="n">
        <v>0</v>
      </c>
      <c r="L670" t="n">
        <v>0</v>
      </c>
      <c r="M670" t="n">
        <v>0</v>
      </c>
      <c r="N670" t="n">
        <v>0</v>
      </c>
      <c r="O670" t="n">
        <v>0</v>
      </c>
      <c r="P670" t="n">
        <v>0</v>
      </c>
      <c r="Q670" t="n">
        <v>0</v>
      </c>
      <c r="R670" s="2" t="inlineStr"/>
    </row>
    <row r="671" ht="15" customHeight="1">
      <c r="A671" t="inlineStr">
        <is>
          <t>A 18708-2023</t>
        </is>
      </c>
      <c r="B671" s="1" t="n">
        <v>45043</v>
      </c>
      <c r="C671" s="1" t="n">
        <v>45983</v>
      </c>
      <c r="D671" t="inlineStr">
        <is>
          <t>DALARNAS LÄN</t>
        </is>
      </c>
      <c r="E671" t="inlineStr">
        <is>
          <t>LUDVIKA</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23245-2021</t>
        </is>
      </c>
      <c r="B672" s="1" t="n">
        <v>44333</v>
      </c>
      <c r="C672" s="1" t="n">
        <v>45983</v>
      </c>
      <c r="D672" t="inlineStr">
        <is>
          <t>DALARNAS LÄN</t>
        </is>
      </c>
      <c r="E672" t="inlineStr">
        <is>
          <t>LUDVIKA</t>
        </is>
      </c>
      <c r="F672" t="inlineStr">
        <is>
          <t>Kyrkan</t>
        </is>
      </c>
      <c r="G672" t="n">
        <v>3.2</v>
      </c>
      <c r="H672" t="n">
        <v>0</v>
      </c>
      <c r="I672" t="n">
        <v>0</v>
      </c>
      <c r="J672" t="n">
        <v>0</v>
      </c>
      <c r="K672" t="n">
        <v>0</v>
      </c>
      <c r="L672" t="n">
        <v>0</v>
      </c>
      <c r="M672" t="n">
        <v>0</v>
      </c>
      <c r="N672" t="n">
        <v>0</v>
      </c>
      <c r="O672" t="n">
        <v>0</v>
      </c>
      <c r="P672" t="n">
        <v>0</v>
      </c>
      <c r="Q672" t="n">
        <v>0</v>
      </c>
      <c r="R672" s="2" t="inlineStr"/>
    </row>
    <row r="673" ht="15" customHeight="1">
      <c r="A673" t="inlineStr">
        <is>
          <t>A 39247-2021</t>
        </is>
      </c>
      <c r="B673" s="1" t="n">
        <v>44413</v>
      </c>
      <c r="C673" s="1" t="n">
        <v>45983</v>
      </c>
      <c r="D673" t="inlineStr">
        <is>
          <t>DALARNAS LÄN</t>
        </is>
      </c>
      <c r="E673" t="inlineStr">
        <is>
          <t>LUDVIKA</t>
        </is>
      </c>
      <c r="G673" t="n">
        <v>6</v>
      </c>
      <c r="H673" t="n">
        <v>0</v>
      </c>
      <c r="I673" t="n">
        <v>0</v>
      </c>
      <c r="J673" t="n">
        <v>0</v>
      </c>
      <c r="K673" t="n">
        <v>0</v>
      </c>
      <c r="L673" t="n">
        <v>0</v>
      </c>
      <c r="M673" t="n">
        <v>0</v>
      </c>
      <c r="N673" t="n">
        <v>0</v>
      </c>
      <c r="O673" t="n">
        <v>0</v>
      </c>
      <c r="P673" t="n">
        <v>0</v>
      </c>
      <c r="Q673" t="n">
        <v>0</v>
      </c>
      <c r="R673" s="2" t="inlineStr"/>
    </row>
    <row r="674" ht="15" customHeight="1">
      <c r="A674" t="inlineStr">
        <is>
          <t>A 59050-2022</t>
        </is>
      </c>
      <c r="B674" s="1" t="n">
        <v>44903</v>
      </c>
      <c r="C674" s="1" t="n">
        <v>45983</v>
      </c>
      <c r="D674" t="inlineStr">
        <is>
          <t>DALARNAS LÄN</t>
        </is>
      </c>
      <c r="E674" t="inlineStr">
        <is>
          <t>LUDVIKA</t>
        </is>
      </c>
      <c r="G674" t="n">
        <v>2.8</v>
      </c>
      <c r="H674" t="n">
        <v>0</v>
      </c>
      <c r="I674" t="n">
        <v>0</v>
      </c>
      <c r="J674" t="n">
        <v>0</v>
      </c>
      <c r="K674" t="n">
        <v>0</v>
      </c>
      <c r="L674" t="n">
        <v>0</v>
      </c>
      <c r="M674" t="n">
        <v>0</v>
      </c>
      <c r="N674" t="n">
        <v>0</v>
      </c>
      <c r="O674" t="n">
        <v>0</v>
      </c>
      <c r="P674" t="n">
        <v>0</v>
      </c>
      <c r="Q674" t="n">
        <v>0</v>
      </c>
      <c r="R674" s="2" t="inlineStr"/>
    </row>
    <row r="675" ht="15" customHeight="1">
      <c r="A675" t="inlineStr">
        <is>
          <t>A 7243-2023</t>
        </is>
      </c>
      <c r="B675" s="1" t="n">
        <v>44970.61488425926</v>
      </c>
      <c r="C675" s="1" t="n">
        <v>45983</v>
      </c>
      <c r="D675" t="inlineStr">
        <is>
          <t>DALARNAS LÄN</t>
        </is>
      </c>
      <c r="E675" t="inlineStr">
        <is>
          <t>LUDVIKA</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31958-2024</t>
        </is>
      </c>
      <c r="B676" s="1" t="n">
        <v>45510.51506944445</v>
      </c>
      <c r="C676" s="1" t="n">
        <v>45983</v>
      </c>
      <c r="D676" t="inlineStr">
        <is>
          <t>DALARNAS LÄN</t>
        </is>
      </c>
      <c r="E676" t="inlineStr">
        <is>
          <t>LUDVIKA</t>
        </is>
      </c>
      <c r="G676" t="n">
        <v>1.1</v>
      </c>
      <c r="H676" t="n">
        <v>0</v>
      </c>
      <c r="I676" t="n">
        <v>0</v>
      </c>
      <c r="J676" t="n">
        <v>0</v>
      </c>
      <c r="K676" t="n">
        <v>0</v>
      </c>
      <c r="L676" t="n">
        <v>0</v>
      </c>
      <c r="M676" t="n">
        <v>0</v>
      </c>
      <c r="N676" t="n">
        <v>0</v>
      </c>
      <c r="O676" t="n">
        <v>0</v>
      </c>
      <c r="P676" t="n">
        <v>0</v>
      </c>
      <c r="Q676" t="n">
        <v>0</v>
      </c>
      <c r="R676" s="2" t="inlineStr"/>
    </row>
    <row r="677" ht="15" customHeight="1">
      <c r="A677" t="inlineStr">
        <is>
          <t>A 45405-2024</t>
        </is>
      </c>
      <c r="B677" s="1" t="n">
        <v>45576</v>
      </c>
      <c r="C677" s="1" t="n">
        <v>45983</v>
      </c>
      <c r="D677" t="inlineStr">
        <is>
          <t>DALARNAS LÄN</t>
        </is>
      </c>
      <c r="E677" t="inlineStr">
        <is>
          <t>LUDVIKA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38170-2023</t>
        </is>
      </c>
      <c r="B678" s="1" t="n">
        <v>45161.42324074074</v>
      </c>
      <c r="C678" s="1" t="n">
        <v>45983</v>
      </c>
      <c r="D678" t="inlineStr">
        <is>
          <t>DALARNAS LÄN</t>
        </is>
      </c>
      <c r="E678" t="inlineStr">
        <is>
          <t>LUDVIKA</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42128-2024</t>
        </is>
      </c>
      <c r="B679" s="1" t="n">
        <v>45562.40503472222</v>
      </c>
      <c r="C679" s="1" t="n">
        <v>45983</v>
      </c>
      <c r="D679" t="inlineStr">
        <is>
          <t>DALARNAS LÄN</t>
        </is>
      </c>
      <c r="E679" t="inlineStr">
        <is>
          <t>LUDVIKA</t>
        </is>
      </c>
      <c r="G679" t="n">
        <v>3.1</v>
      </c>
      <c r="H679" t="n">
        <v>0</v>
      </c>
      <c r="I679" t="n">
        <v>0</v>
      </c>
      <c r="J679" t="n">
        <v>0</v>
      </c>
      <c r="K679" t="n">
        <v>0</v>
      </c>
      <c r="L679" t="n">
        <v>0</v>
      </c>
      <c r="M679" t="n">
        <v>0</v>
      </c>
      <c r="N679" t="n">
        <v>0</v>
      </c>
      <c r="O679" t="n">
        <v>0</v>
      </c>
      <c r="P679" t="n">
        <v>0</v>
      </c>
      <c r="Q679" t="n">
        <v>0</v>
      </c>
      <c r="R679" s="2" t="inlineStr"/>
    </row>
    <row r="680" ht="15" customHeight="1">
      <c r="A680" t="inlineStr">
        <is>
          <t>A 56346-2022</t>
        </is>
      </c>
      <c r="B680" s="1" t="n">
        <v>44890</v>
      </c>
      <c r="C680" s="1" t="n">
        <v>45983</v>
      </c>
      <c r="D680" t="inlineStr">
        <is>
          <t>DALARNAS LÄN</t>
        </is>
      </c>
      <c r="E680" t="inlineStr">
        <is>
          <t>LUDVIKA</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11237-2024</t>
        </is>
      </c>
      <c r="B681" s="1" t="n">
        <v>45371.61341435185</v>
      </c>
      <c r="C681" s="1" t="n">
        <v>45983</v>
      </c>
      <c r="D681" t="inlineStr">
        <is>
          <t>DALARNAS LÄN</t>
        </is>
      </c>
      <c r="E681" t="inlineStr">
        <is>
          <t>LUDVIKA</t>
        </is>
      </c>
      <c r="G681" t="n">
        <v>20.8</v>
      </c>
      <c r="H681" t="n">
        <v>0</v>
      </c>
      <c r="I681" t="n">
        <v>0</v>
      </c>
      <c r="J681" t="n">
        <v>0</v>
      </c>
      <c r="K681" t="n">
        <v>0</v>
      </c>
      <c r="L681" t="n">
        <v>0</v>
      </c>
      <c r="M681" t="n">
        <v>0</v>
      </c>
      <c r="N681" t="n">
        <v>0</v>
      </c>
      <c r="O681" t="n">
        <v>0</v>
      </c>
      <c r="P681" t="n">
        <v>0</v>
      </c>
      <c r="Q681" t="n">
        <v>0</v>
      </c>
      <c r="R681" s="2" t="inlineStr"/>
    </row>
    <row r="682" ht="15" customHeight="1">
      <c r="A682" t="inlineStr">
        <is>
          <t>A 56672-2023</t>
        </is>
      </c>
      <c r="B682" s="1" t="n">
        <v>45243.89579861111</v>
      </c>
      <c r="C682" s="1" t="n">
        <v>45983</v>
      </c>
      <c r="D682" t="inlineStr">
        <is>
          <t>DALARNAS LÄN</t>
        </is>
      </c>
      <c r="E682" t="inlineStr">
        <is>
          <t>LUDVIKA</t>
        </is>
      </c>
      <c r="G682" t="n">
        <v>2.9</v>
      </c>
      <c r="H682" t="n">
        <v>0</v>
      </c>
      <c r="I682" t="n">
        <v>0</v>
      </c>
      <c r="J682" t="n">
        <v>0</v>
      </c>
      <c r="K682" t="n">
        <v>0</v>
      </c>
      <c r="L682" t="n">
        <v>0</v>
      </c>
      <c r="M682" t="n">
        <v>0</v>
      </c>
      <c r="N682" t="n">
        <v>0</v>
      </c>
      <c r="O682" t="n">
        <v>0</v>
      </c>
      <c r="P682" t="n">
        <v>0</v>
      </c>
      <c r="Q682" t="n">
        <v>0</v>
      </c>
      <c r="R682" s="2" t="inlineStr"/>
    </row>
    <row r="683" ht="15" customHeight="1">
      <c r="A683" t="inlineStr">
        <is>
          <t>A 18435-2025</t>
        </is>
      </c>
      <c r="B683" s="1" t="n">
        <v>45762</v>
      </c>
      <c r="C683" s="1" t="n">
        <v>45983</v>
      </c>
      <c r="D683" t="inlineStr">
        <is>
          <t>DALARNAS LÄN</t>
        </is>
      </c>
      <c r="E683" t="inlineStr">
        <is>
          <t>LUDVIKA</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11632-2024</t>
        </is>
      </c>
      <c r="B684" s="1" t="n">
        <v>45373.4712037037</v>
      </c>
      <c r="C684" s="1" t="n">
        <v>45983</v>
      </c>
      <c r="D684" t="inlineStr">
        <is>
          <t>DALARNAS LÄN</t>
        </is>
      </c>
      <c r="E684" t="inlineStr">
        <is>
          <t>LUDVIKA</t>
        </is>
      </c>
      <c r="G684" t="n">
        <v>5.1</v>
      </c>
      <c r="H684" t="n">
        <v>0</v>
      </c>
      <c r="I684" t="n">
        <v>0</v>
      </c>
      <c r="J684" t="n">
        <v>0</v>
      </c>
      <c r="K684" t="n">
        <v>0</v>
      </c>
      <c r="L684" t="n">
        <v>0</v>
      </c>
      <c r="M684" t="n">
        <v>0</v>
      </c>
      <c r="N684" t="n">
        <v>0</v>
      </c>
      <c r="O684" t="n">
        <v>0</v>
      </c>
      <c r="P684" t="n">
        <v>0</v>
      </c>
      <c r="Q684" t="n">
        <v>0</v>
      </c>
      <c r="R684" s="2" t="inlineStr"/>
    </row>
    <row r="685" ht="15" customHeight="1">
      <c r="A685" t="inlineStr">
        <is>
          <t>A 57969-2024</t>
        </is>
      </c>
      <c r="B685" s="1" t="n">
        <v>45631.60126157408</v>
      </c>
      <c r="C685" s="1" t="n">
        <v>45983</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45176.30253472222</v>
      </c>
      <c r="C686" s="1" t="n">
        <v>45983</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20411-2023</t>
        </is>
      </c>
      <c r="B687" s="1" t="n">
        <v>45056.64452546297</v>
      </c>
      <c r="C687" s="1" t="n">
        <v>45983</v>
      </c>
      <c r="D687" t="inlineStr">
        <is>
          <t>DALARNAS LÄN</t>
        </is>
      </c>
      <c r="E687" t="inlineStr">
        <is>
          <t>LUDVIKA</t>
        </is>
      </c>
      <c r="F687" t="inlineStr">
        <is>
          <t>Bergvik skog väst AB</t>
        </is>
      </c>
      <c r="G687" t="n">
        <v>1.9</v>
      </c>
      <c r="H687" t="n">
        <v>0</v>
      </c>
      <c r="I687" t="n">
        <v>0</v>
      </c>
      <c r="J687" t="n">
        <v>0</v>
      </c>
      <c r="K687" t="n">
        <v>0</v>
      </c>
      <c r="L687" t="n">
        <v>0</v>
      </c>
      <c r="M687" t="n">
        <v>0</v>
      </c>
      <c r="N687" t="n">
        <v>0</v>
      </c>
      <c r="O687" t="n">
        <v>0</v>
      </c>
      <c r="P687" t="n">
        <v>0</v>
      </c>
      <c r="Q687" t="n">
        <v>0</v>
      </c>
      <c r="R687" s="2" t="inlineStr"/>
    </row>
    <row r="688" ht="15" customHeight="1">
      <c r="A688" t="inlineStr">
        <is>
          <t>A 59634-2024</t>
        </is>
      </c>
      <c r="B688" s="1" t="n">
        <v>45638.99978009259</v>
      </c>
      <c r="C688" s="1" t="n">
        <v>45983</v>
      </c>
      <c r="D688" t="inlineStr">
        <is>
          <t>DALARNAS LÄN</t>
        </is>
      </c>
      <c r="E688" t="inlineStr">
        <is>
          <t>LUDVIKA</t>
        </is>
      </c>
      <c r="G688" t="n">
        <v>4.1</v>
      </c>
      <c r="H688" t="n">
        <v>0</v>
      </c>
      <c r="I688" t="n">
        <v>0</v>
      </c>
      <c r="J688" t="n">
        <v>0</v>
      </c>
      <c r="K688" t="n">
        <v>0</v>
      </c>
      <c r="L688" t="n">
        <v>0</v>
      </c>
      <c r="M688" t="n">
        <v>0</v>
      </c>
      <c r="N688" t="n">
        <v>0</v>
      </c>
      <c r="O688" t="n">
        <v>0</v>
      </c>
      <c r="P688" t="n">
        <v>0</v>
      </c>
      <c r="Q688" t="n">
        <v>0</v>
      </c>
      <c r="R688" s="2" t="inlineStr"/>
    </row>
    <row r="689" ht="15" customHeight="1">
      <c r="A689" t="inlineStr">
        <is>
          <t>A 39400-2023</t>
        </is>
      </c>
      <c r="B689" s="1" t="n">
        <v>45166.66240740741</v>
      </c>
      <c r="C689" s="1" t="n">
        <v>45983</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51886-2022</t>
        </is>
      </c>
      <c r="B690" s="1" t="n">
        <v>44872</v>
      </c>
      <c r="C690" s="1" t="n">
        <v>45983</v>
      </c>
      <c r="D690" t="inlineStr">
        <is>
          <t>DALARNAS LÄN</t>
        </is>
      </c>
      <c r="E690" t="inlineStr">
        <is>
          <t>LUDVIKA</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30113-2023</t>
        </is>
      </c>
      <c r="B691" s="1" t="n">
        <v>45110</v>
      </c>
      <c r="C691" s="1" t="n">
        <v>45983</v>
      </c>
      <c r="D691" t="inlineStr">
        <is>
          <t>DALARNAS LÄN</t>
        </is>
      </c>
      <c r="E691" t="inlineStr">
        <is>
          <t>LUDVIKA</t>
        </is>
      </c>
      <c r="G691" t="n">
        <v>3.3</v>
      </c>
      <c r="H691" t="n">
        <v>0</v>
      </c>
      <c r="I691" t="n">
        <v>0</v>
      </c>
      <c r="J691" t="n">
        <v>0</v>
      </c>
      <c r="K691" t="n">
        <v>0</v>
      </c>
      <c r="L691" t="n">
        <v>0</v>
      </c>
      <c r="M691" t="n">
        <v>0</v>
      </c>
      <c r="N691" t="n">
        <v>0</v>
      </c>
      <c r="O691" t="n">
        <v>0</v>
      </c>
      <c r="P691" t="n">
        <v>0</v>
      </c>
      <c r="Q691" t="n">
        <v>0</v>
      </c>
      <c r="R691" s="2" t="inlineStr"/>
    </row>
    <row r="692" ht="15" customHeight="1">
      <c r="A692" t="inlineStr">
        <is>
          <t>A 39519-2024</t>
        </is>
      </c>
      <c r="B692" s="1" t="n">
        <v>45551.76079861111</v>
      </c>
      <c r="C692" s="1" t="n">
        <v>45983</v>
      </c>
      <c r="D692" t="inlineStr">
        <is>
          <t>DALARNAS LÄN</t>
        </is>
      </c>
      <c r="E692" t="inlineStr">
        <is>
          <t>LUDVIKA</t>
        </is>
      </c>
      <c r="G692" t="n">
        <v>0.5</v>
      </c>
      <c r="H692" t="n">
        <v>0</v>
      </c>
      <c r="I692" t="n">
        <v>0</v>
      </c>
      <c r="J692" t="n">
        <v>0</v>
      </c>
      <c r="K692" t="n">
        <v>0</v>
      </c>
      <c r="L692" t="n">
        <v>0</v>
      </c>
      <c r="M692" t="n">
        <v>0</v>
      </c>
      <c r="N692" t="n">
        <v>0</v>
      </c>
      <c r="O692" t="n">
        <v>0</v>
      </c>
      <c r="P692" t="n">
        <v>0</v>
      </c>
      <c r="Q692" t="n">
        <v>0</v>
      </c>
      <c r="R692" s="2" t="inlineStr"/>
    </row>
    <row r="693" ht="15" customHeight="1">
      <c r="A693" t="inlineStr">
        <is>
          <t>A 36294-2023</t>
        </is>
      </c>
      <c r="B693" s="1" t="n">
        <v>45152.35784722222</v>
      </c>
      <c r="C693" s="1" t="n">
        <v>45983</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36297-2023</t>
        </is>
      </c>
      <c r="B694" s="1" t="n">
        <v>45152.36019675926</v>
      </c>
      <c r="C694" s="1" t="n">
        <v>45983</v>
      </c>
      <c r="D694" t="inlineStr">
        <is>
          <t>DALARNAS LÄN</t>
        </is>
      </c>
      <c r="E694" t="inlineStr">
        <is>
          <t>LUDVIKA</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6975-2023</t>
        </is>
      </c>
      <c r="B695" s="1" t="n">
        <v>44967.64229166666</v>
      </c>
      <c r="C695" s="1" t="n">
        <v>45983</v>
      </c>
      <c r="D695" t="inlineStr">
        <is>
          <t>DALARNAS LÄN</t>
        </is>
      </c>
      <c r="E695" t="inlineStr">
        <is>
          <t>LUDVIKA</t>
        </is>
      </c>
      <c r="G695" t="n">
        <v>2.1</v>
      </c>
      <c r="H695" t="n">
        <v>0</v>
      </c>
      <c r="I695" t="n">
        <v>0</v>
      </c>
      <c r="J695" t="n">
        <v>0</v>
      </c>
      <c r="K695" t="n">
        <v>0</v>
      </c>
      <c r="L695" t="n">
        <v>0</v>
      </c>
      <c r="M695" t="n">
        <v>0</v>
      </c>
      <c r="N695" t="n">
        <v>0</v>
      </c>
      <c r="O695" t="n">
        <v>0</v>
      </c>
      <c r="P695" t="n">
        <v>0</v>
      </c>
      <c r="Q695" t="n">
        <v>0</v>
      </c>
      <c r="R695" s="2" t="inlineStr"/>
    </row>
    <row r="696" ht="15" customHeight="1">
      <c r="A696" t="inlineStr">
        <is>
          <t>A 40125-2024</t>
        </is>
      </c>
      <c r="B696" s="1" t="n">
        <v>45554.46881944445</v>
      </c>
      <c r="C696" s="1" t="n">
        <v>45983</v>
      </c>
      <c r="D696" t="inlineStr">
        <is>
          <t>DALARNAS LÄN</t>
        </is>
      </c>
      <c r="E696" t="inlineStr">
        <is>
          <t>LUDVIKA</t>
        </is>
      </c>
      <c r="G696" t="n">
        <v>1</v>
      </c>
      <c r="H696" t="n">
        <v>0</v>
      </c>
      <c r="I696" t="n">
        <v>0</v>
      </c>
      <c r="J696" t="n">
        <v>0</v>
      </c>
      <c r="K696" t="n">
        <v>0</v>
      </c>
      <c r="L696" t="n">
        <v>0</v>
      </c>
      <c r="M696" t="n">
        <v>0</v>
      </c>
      <c r="N696" t="n">
        <v>0</v>
      </c>
      <c r="O696" t="n">
        <v>0</v>
      </c>
      <c r="P696" t="n">
        <v>0</v>
      </c>
      <c r="Q696" t="n">
        <v>0</v>
      </c>
      <c r="R696" s="2" t="inlineStr"/>
    </row>
    <row r="697" ht="15" customHeight="1">
      <c r="A697" t="inlineStr">
        <is>
          <t>A 45402-2024</t>
        </is>
      </c>
      <c r="B697" s="1" t="n">
        <v>45576</v>
      </c>
      <c r="C697" s="1" t="n">
        <v>45983</v>
      </c>
      <c r="D697" t="inlineStr">
        <is>
          <t>DALARNAS LÄN</t>
        </is>
      </c>
      <c r="E697" t="inlineStr">
        <is>
          <t>LUDVIKA</t>
        </is>
      </c>
      <c r="F697" t="inlineStr">
        <is>
          <t>Bergvik skog väst AB</t>
        </is>
      </c>
      <c r="G697" t="n">
        <v>3.5</v>
      </c>
      <c r="H697" t="n">
        <v>0</v>
      </c>
      <c r="I697" t="n">
        <v>0</v>
      </c>
      <c r="J697" t="n">
        <v>0</v>
      </c>
      <c r="K697" t="n">
        <v>0</v>
      </c>
      <c r="L697" t="n">
        <v>0</v>
      </c>
      <c r="M697" t="n">
        <v>0</v>
      </c>
      <c r="N697" t="n">
        <v>0</v>
      </c>
      <c r="O697" t="n">
        <v>0</v>
      </c>
      <c r="P697" t="n">
        <v>0</v>
      </c>
      <c r="Q697" t="n">
        <v>0</v>
      </c>
      <c r="R697" s="2" t="inlineStr"/>
    </row>
    <row r="698" ht="15" customHeight="1">
      <c r="A698" t="inlineStr">
        <is>
          <t>A 33839-2024</t>
        </is>
      </c>
      <c r="B698" s="1" t="n">
        <v>45520.63197916667</v>
      </c>
      <c r="C698" s="1" t="n">
        <v>45983</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29114-2024</t>
        </is>
      </c>
      <c r="B699" s="1" t="n">
        <v>45481.9578125</v>
      </c>
      <c r="C699" s="1" t="n">
        <v>45983</v>
      </c>
      <c r="D699" t="inlineStr">
        <is>
          <t>DALARNAS LÄN</t>
        </is>
      </c>
      <c r="E699" t="inlineStr">
        <is>
          <t>LUDVIKA</t>
        </is>
      </c>
      <c r="G699" t="n">
        <v>1</v>
      </c>
      <c r="H699" t="n">
        <v>0</v>
      </c>
      <c r="I699" t="n">
        <v>0</v>
      </c>
      <c r="J699" t="n">
        <v>0</v>
      </c>
      <c r="K699" t="n">
        <v>0</v>
      </c>
      <c r="L699" t="n">
        <v>0</v>
      </c>
      <c r="M699" t="n">
        <v>0</v>
      </c>
      <c r="N699" t="n">
        <v>0</v>
      </c>
      <c r="O699" t="n">
        <v>0</v>
      </c>
      <c r="P699" t="n">
        <v>0</v>
      </c>
      <c r="Q699" t="n">
        <v>0</v>
      </c>
      <c r="R699" s="2" t="inlineStr"/>
    </row>
    <row r="700" ht="15" customHeight="1">
      <c r="A700" t="inlineStr">
        <is>
          <t>A 57307-2024</t>
        </is>
      </c>
      <c r="B700" s="1" t="n">
        <v>45629.60449074074</v>
      </c>
      <c r="C700" s="1" t="n">
        <v>45983</v>
      </c>
      <c r="D700" t="inlineStr">
        <is>
          <t>DALARNAS LÄN</t>
        </is>
      </c>
      <c r="E700" t="inlineStr">
        <is>
          <t>LUDVIKA</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478-2024</t>
        </is>
      </c>
      <c r="B701" s="1" t="n">
        <v>45297</v>
      </c>
      <c r="C701" s="1" t="n">
        <v>45983</v>
      </c>
      <c r="D701" t="inlineStr">
        <is>
          <t>DALARNAS LÄN</t>
        </is>
      </c>
      <c r="E701" t="inlineStr">
        <is>
          <t>LUDVIKA</t>
        </is>
      </c>
      <c r="G701" t="n">
        <v>3.2</v>
      </c>
      <c r="H701" t="n">
        <v>0</v>
      </c>
      <c r="I701" t="n">
        <v>0</v>
      </c>
      <c r="J701" t="n">
        <v>0</v>
      </c>
      <c r="K701" t="n">
        <v>0</v>
      </c>
      <c r="L701" t="n">
        <v>0</v>
      </c>
      <c r="M701" t="n">
        <v>0</v>
      </c>
      <c r="N701" t="n">
        <v>0</v>
      </c>
      <c r="O701" t="n">
        <v>0</v>
      </c>
      <c r="P701" t="n">
        <v>0</v>
      </c>
      <c r="Q701" t="n">
        <v>0</v>
      </c>
      <c r="R701" s="2" t="inlineStr"/>
    </row>
    <row r="702" ht="15" customHeight="1">
      <c r="A702" t="inlineStr">
        <is>
          <t>A 51015-2023</t>
        </is>
      </c>
      <c r="B702" s="1" t="n">
        <v>45218.58079861111</v>
      </c>
      <c r="C702" s="1" t="n">
        <v>45983</v>
      </c>
      <c r="D702" t="inlineStr">
        <is>
          <t>DALARNAS LÄN</t>
        </is>
      </c>
      <c r="E702" t="inlineStr">
        <is>
          <t>LUDVIKA</t>
        </is>
      </c>
      <c r="G702" t="n">
        <v>5.9</v>
      </c>
      <c r="H702" t="n">
        <v>0</v>
      </c>
      <c r="I702" t="n">
        <v>0</v>
      </c>
      <c r="J702" t="n">
        <v>0</v>
      </c>
      <c r="K702" t="n">
        <v>0</v>
      </c>
      <c r="L702" t="n">
        <v>0</v>
      </c>
      <c r="M702" t="n">
        <v>0</v>
      </c>
      <c r="N702" t="n">
        <v>0</v>
      </c>
      <c r="O702" t="n">
        <v>0</v>
      </c>
      <c r="P702" t="n">
        <v>0</v>
      </c>
      <c r="Q702" t="n">
        <v>0</v>
      </c>
      <c r="R702" s="2" t="inlineStr"/>
    </row>
    <row r="703" ht="15" customHeight="1">
      <c r="A703" t="inlineStr">
        <is>
          <t>A 60660-2024</t>
        </is>
      </c>
      <c r="B703" s="1" t="n">
        <v>45644.44615740741</v>
      </c>
      <c r="C703" s="1" t="n">
        <v>45983</v>
      </c>
      <c r="D703" t="inlineStr">
        <is>
          <t>DALARNAS LÄN</t>
        </is>
      </c>
      <c r="E703" t="inlineStr">
        <is>
          <t>LUDVIKA</t>
        </is>
      </c>
      <c r="G703" t="n">
        <v>0.7</v>
      </c>
      <c r="H703" t="n">
        <v>0</v>
      </c>
      <c r="I703" t="n">
        <v>0</v>
      </c>
      <c r="J703" t="n">
        <v>0</v>
      </c>
      <c r="K703" t="n">
        <v>0</v>
      </c>
      <c r="L703" t="n">
        <v>0</v>
      </c>
      <c r="M703" t="n">
        <v>0</v>
      </c>
      <c r="N703" t="n">
        <v>0</v>
      </c>
      <c r="O703" t="n">
        <v>0</v>
      </c>
      <c r="P703" t="n">
        <v>0</v>
      </c>
      <c r="Q703" t="n">
        <v>0</v>
      </c>
      <c r="R703" s="2" t="inlineStr"/>
    </row>
    <row r="704" ht="15" customHeight="1">
      <c r="A704" t="inlineStr">
        <is>
          <t>A 60787-2024</t>
        </is>
      </c>
      <c r="B704" s="1" t="n">
        <v>45644.59155092593</v>
      </c>
      <c r="C704" s="1" t="n">
        <v>45983</v>
      </c>
      <c r="D704" t="inlineStr">
        <is>
          <t>DALARNAS LÄN</t>
        </is>
      </c>
      <c r="E704" t="inlineStr">
        <is>
          <t>LUDVIKA</t>
        </is>
      </c>
      <c r="G704" t="n">
        <v>1.9</v>
      </c>
      <c r="H704" t="n">
        <v>0</v>
      </c>
      <c r="I704" t="n">
        <v>0</v>
      </c>
      <c r="J704" t="n">
        <v>0</v>
      </c>
      <c r="K704" t="n">
        <v>0</v>
      </c>
      <c r="L704" t="n">
        <v>0</v>
      </c>
      <c r="M704" t="n">
        <v>0</v>
      </c>
      <c r="N704" t="n">
        <v>0</v>
      </c>
      <c r="O704" t="n">
        <v>0</v>
      </c>
      <c r="P704" t="n">
        <v>0</v>
      </c>
      <c r="Q704" t="n">
        <v>0</v>
      </c>
      <c r="R704" s="2" t="inlineStr"/>
    </row>
    <row r="705" ht="15" customHeight="1">
      <c r="A705" t="inlineStr">
        <is>
          <t>A 53048-2024</t>
        </is>
      </c>
      <c r="B705" s="1" t="n">
        <v>45611.45319444445</v>
      </c>
      <c r="C705" s="1" t="n">
        <v>45983</v>
      </c>
      <c r="D705" t="inlineStr">
        <is>
          <t>DALARNAS LÄN</t>
        </is>
      </c>
      <c r="E705" t="inlineStr">
        <is>
          <t>LUDVIKA</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50777-2024</t>
        </is>
      </c>
      <c r="B706" s="1" t="n">
        <v>45602.4575</v>
      </c>
      <c r="C706" s="1" t="n">
        <v>45983</v>
      </c>
      <c r="D706" t="inlineStr">
        <is>
          <t>DALARNAS LÄN</t>
        </is>
      </c>
      <c r="E706" t="inlineStr">
        <is>
          <t>LUDVIKA</t>
        </is>
      </c>
      <c r="G706" t="n">
        <v>1.3</v>
      </c>
      <c r="H706" t="n">
        <v>0</v>
      </c>
      <c r="I706" t="n">
        <v>0</v>
      </c>
      <c r="J706" t="n">
        <v>0</v>
      </c>
      <c r="K706" t="n">
        <v>0</v>
      </c>
      <c r="L706" t="n">
        <v>0</v>
      </c>
      <c r="M706" t="n">
        <v>0</v>
      </c>
      <c r="N706" t="n">
        <v>0</v>
      </c>
      <c r="O706" t="n">
        <v>0</v>
      </c>
      <c r="P706" t="n">
        <v>0</v>
      </c>
      <c r="Q706" t="n">
        <v>0</v>
      </c>
      <c r="R706" s="2" t="inlineStr"/>
    </row>
    <row r="707" ht="15" customHeight="1">
      <c r="A707" t="inlineStr">
        <is>
          <t>A 28507-2023</t>
        </is>
      </c>
      <c r="B707" s="1" t="n">
        <v>45103.46510416667</v>
      </c>
      <c r="C707" s="1" t="n">
        <v>45983</v>
      </c>
      <c r="D707" t="inlineStr">
        <is>
          <t>DALARNAS LÄN</t>
        </is>
      </c>
      <c r="E707" t="inlineStr">
        <is>
          <t>LUDVIKA</t>
        </is>
      </c>
      <c r="G707" t="n">
        <v>2.4</v>
      </c>
      <c r="H707" t="n">
        <v>0</v>
      </c>
      <c r="I707" t="n">
        <v>0</v>
      </c>
      <c r="J707" t="n">
        <v>0</v>
      </c>
      <c r="K707" t="n">
        <v>0</v>
      </c>
      <c r="L707" t="n">
        <v>0</v>
      </c>
      <c r="M707" t="n">
        <v>0</v>
      </c>
      <c r="N707" t="n">
        <v>0</v>
      </c>
      <c r="O707" t="n">
        <v>0</v>
      </c>
      <c r="P707" t="n">
        <v>0</v>
      </c>
      <c r="Q707" t="n">
        <v>0</v>
      </c>
      <c r="R707" s="2" t="inlineStr"/>
    </row>
    <row r="708" ht="15" customHeight="1">
      <c r="A708" t="inlineStr">
        <is>
          <t>A 1047-2023</t>
        </is>
      </c>
      <c r="B708" s="1" t="n">
        <v>44929</v>
      </c>
      <c r="C708" s="1" t="n">
        <v>45983</v>
      </c>
      <c r="D708" t="inlineStr">
        <is>
          <t>DALARNAS LÄN</t>
        </is>
      </c>
      <c r="E708" t="inlineStr">
        <is>
          <t>LUDVIKA</t>
        </is>
      </c>
      <c r="F708" t="inlineStr">
        <is>
          <t>Kommuner</t>
        </is>
      </c>
      <c r="G708" t="n">
        <v>3.2</v>
      </c>
      <c r="H708" t="n">
        <v>0</v>
      </c>
      <c r="I708" t="n">
        <v>0</v>
      </c>
      <c r="J708" t="n">
        <v>0</v>
      </c>
      <c r="K708" t="n">
        <v>0</v>
      </c>
      <c r="L708" t="n">
        <v>0</v>
      </c>
      <c r="M708" t="n">
        <v>0</v>
      </c>
      <c r="N708" t="n">
        <v>0</v>
      </c>
      <c r="O708" t="n">
        <v>0</v>
      </c>
      <c r="P708" t="n">
        <v>0</v>
      </c>
      <c r="Q708" t="n">
        <v>0</v>
      </c>
      <c r="R708" s="2" t="inlineStr"/>
    </row>
    <row r="709" ht="15" customHeight="1">
      <c r="A709" t="inlineStr">
        <is>
          <t>A 3470-2025</t>
        </is>
      </c>
      <c r="B709" s="1" t="n">
        <v>45680.5206712963</v>
      </c>
      <c r="C709" s="1" t="n">
        <v>45983</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5576-2024</t>
        </is>
      </c>
      <c r="B710" s="1" t="n">
        <v>45334</v>
      </c>
      <c r="C710" s="1" t="n">
        <v>45983</v>
      </c>
      <c r="D710" t="inlineStr">
        <is>
          <t>DALARNAS LÄN</t>
        </is>
      </c>
      <c r="E710" t="inlineStr">
        <is>
          <t>LUDVIKA</t>
        </is>
      </c>
      <c r="G710" t="n">
        <v>7</v>
      </c>
      <c r="H710" t="n">
        <v>0</v>
      </c>
      <c r="I710" t="n">
        <v>0</v>
      </c>
      <c r="J710" t="n">
        <v>0</v>
      </c>
      <c r="K710" t="n">
        <v>0</v>
      </c>
      <c r="L710" t="n">
        <v>0</v>
      </c>
      <c r="M710" t="n">
        <v>0</v>
      </c>
      <c r="N710" t="n">
        <v>0</v>
      </c>
      <c r="O710" t="n">
        <v>0</v>
      </c>
      <c r="P710" t="n">
        <v>0</v>
      </c>
      <c r="Q710" t="n">
        <v>0</v>
      </c>
      <c r="R710" s="2" t="inlineStr"/>
    </row>
    <row r="711" ht="15" customHeight="1">
      <c r="A711" t="inlineStr">
        <is>
          <t>A 55218-2024</t>
        </is>
      </c>
      <c r="B711" s="1" t="n">
        <v>45621.57195601852</v>
      </c>
      <c r="C711" s="1" t="n">
        <v>45983</v>
      </c>
      <c r="D711" t="inlineStr">
        <is>
          <t>DALARNAS LÄN</t>
        </is>
      </c>
      <c r="E711" t="inlineStr">
        <is>
          <t>LUDVIKA</t>
        </is>
      </c>
      <c r="F711" t="inlineStr">
        <is>
          <t>Naturvårdsverket</t>
        </is>
      </c>
      <c r="G711" t="n">
        <v>1.6</v>
      </c>
      <c r="H711" t="n">
        <v>0</v>
      </c>
      <c r="I711" t="n">
        <v>0</v>
      </c>
      <c r="J711" t="n">
        <v>0</v>
      </c>
      <c r="K711" t="n">
        <v>0</v>
      </c>
      <c r="L711" t="n">
        <v>0</v>
      </c>
      <c r="M711" t="n">
        <v>0</v>
      </c>
      <c r="N711" t="n">
        <v>0</v>
      </c>
      <c r="O711" t="n">
        <v>0</v>
      </c>
      <c r="P711" t="n">
        <v>0</v>
      </c>
      <c r="Q711" t="n">
        <v>0</v>
      </c>
      <c r="R711" s="2" t="inlineStr"/>
    </row>
    <row r="712" ht="15" customHeight="1">
      <c r="A712" t="inlineStr">
        <is>
          <t>A 45543-2024</t>
        </is>
      </c>
      <c r="B712" s="1" t="n">
        <v>45579.33577546296</v>
      </c>
      <c r="C712" s="1" t="n">
        <v>45983</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45544-2024</t>
        </is>
      </c>
      <c r="B713" s="1" t="n">
        <v>45579.33912037037</v>
      </c>
      <c r="C713" s="1" t="n">
        <v>45983</v>
      </c>
      <c r="D713" t="inlineStr">
        <is>
          <t>DALARNAS LÄN</t>
        </is>
      </c>
      <c r="E713" t="inlineStr">
        <is>
          <t>LUDVIKA</t>
        </is>
      </c>
      <c r="G713" t="n">
        <v>1.5</v>
      </c>
      <c r="H713" t="n">
        <v>0</v>
      </c>
      <c r="I713" t="n">
        <v>0</v>
      </c>
      <c r="J713" t="n">
        <v>0</v>
      </c>
      <c r="K713" t="n">
        <v>0</v>
      </c>
      <c r="L713" t="n">
        <v>0</v>
      </c>
      <c r="M713" t="n">
        <v>0</v>
      </c>
      <c r="N713" t="n">
        <v>0</v>
      </c>
      <c r="O713" t="n">
        <v>0</v>
      </c>
      <c r="P713" t="n">
        <v>0</v>
      </c>
      <c r="Q713" t="n">
        <v>0</v>
      </c>
      <c r="R713" s="2" t="inlineStr"/>
    </row>
    <row r="714" ht="15" customHeight="1">
      <c r="A714" t="inlineStr">
        <is>
          <t>A 45547-2024</t>
        </is>
      </c>
      <c r="B714" s="1" t="n">
        <v>45579.34377314815</v>
      </c>
      <c r="C714" s="1" t="n">
        <v>45983</v>
      </c>
      <c r="D714" t="inlineStr">
        <is>
          <t>DALARNAS LÄN</t>
        </is>
      </c>
      <c r="E714" t="inlineStr">
        <is>
          <t>LUDVIKA</t>
        </is>
      </c>
      <c r="G714" t="n">
        <v>2.5</v>
      </c>
      <c r="H714" t="n">
        <v>0</v>
      </c>
      <c r="I714" t="n">
        <v>0</v>
      </c>
      <c r="J714" t="n">
        <v>0</v>
      </c>
      <c r="K714" t="n">
        <v>0</v>
      </c>
      <c r="L714" t="n">
        <v>0</v>
      </c>
      <c r="M714" t="n">
        <v>0</v>
      </c>
      <c r="N714" t="n">
        <v>0</v>
      </c>
      <c r="O714" t="n">
        <v>0</v>
      </c>
      <c r="P714" t="n">
        <v>0</v>
      </c>
      <c r="Q714" t="n">
        <v>0</v>
      </c>
      <c r="R714" s="2" t="inlineStr"/>
    </row>
    <row r="715" ht="15" customHeight="1">
      <c r="A715" t="inlineStr">
        <is>
          <t>A 56996-2021</t>
        </is>
      </c>
      <c r="B715" s="1" t="n">
        <v>44482.46025462963</v>
      </c>
      <c r="C715" s="1" t="n">
        <v>45983</v>
      </c>
      <c r="D715" t="inlineStr">
        <is>
          <t>DALARNAS LÄN</t>
        </is>
      </c>
      <c r="E715" t="inlineStr">
        <is>
          <t>LUDVIKA</t>
        </is>
      </c>
      <c r="G715" t="n">
        <v>0.9</v>
      </c>
      <c r="H715" t="n">
        <v>0</v>
      </c>
      <c r="I715" t="n">
        <v>0</v>
      </c>
      <c r="J715" t="n">
        <v>0</v>
      </c>
      <c r="K715" t="n">
        <v>0</v>
      </c>
      <c r="L715" t="n">
        <v>0</v>
      </c>
      <c r="M715" t="n">
        <v>0</v>
      </c>
      <c r="N715" t="n">
        <v>0</v>
      </c>
      <c r="O715" t="n">
        <v>0</v>
      </c>
      <c r="P715" t="n">
        <v>0</v>
      </c>
      <c r="Q715" t="n">
        <v>0</v>
      </c>
      <c r="R715" s="2" t="inlineStr"/>
    </row>
    <row r="716" ht="15" customHeight="1">
      <c r="A716" t="inlineStr">
        <is>
          <t>A 38223-2021</t>
        </is>
      </c>
      <c r="B716" s="1" t="n">
        <v>44405.60167824074</v>
      </c>
      <c r="C716" s="1" t="n">
        <v>45983</v>
      </c>
      <c r="D716" t="inlineStr">
        <is>
          <t>DALARNAS LÄN</t>
        </is>
      </c>
      <c r="E716" t="inlineStr">
        <is>
          <t>LUDVIKA</t>
        </is>
      </c>
      <c r="G716" t="n">
        <v>2.3</v>
      </c>
      <c r="H716" t="n">
        <v>0</v>
      </c>
      <c r="I716" t="n">
        <v>0</v>
      </c>
      <c r="J716" t="n">
        <v>0</v>
      </c>
      <c r="K716" t="n">
        <v>0</v>
      </c>
      <c r="L716" t="n">
        <v>0</v>
      </c>
      <c r="M716" t="n">
        <v>0</v>
      </c>
      <c r="N716" t="n">
        <v>0</v>
      </c>
      <c r="O716" t="n">
        <v>0</v>
      </c>
      <c r="P716" t="n">
        <v>0</v>
      </c>
      <c r="Q716" t="n">
        <v>0</v>
      </c>
      <c r="R716" s="2" t="inlineStr"/>
    </row>
    <row r="717" ht="15" customHeight="1">
      <c r="A717" t="inlineStr">
        <is>
          <t>A 36296-2023</t>
        </is>
      </c>
      <c r="B717" s="1" t="n">
        <v>45152.3591087963</v>
      </c>
      <c r="C717" s="1" t="n">
        <v>45983</v>
      </c>
      <c r="D717" t="inlineStr">
        <is>
          <t>DALARNAS LÄN</t>
        </is>
      </c>
      <c r="E717" t="inlineStr">
        <is>
          <t>LUDVIKA</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3277-2024</t>
        </is>
      </c>
      <c r="B718" s="1" t="n">
        <v>45317.4196875</v>
      </c>
      <c r="C718" s="1" t="n">
        <v>45983</v>
      </c>
      <c r="D718" t="inlineStr">
        <is>
          <t>DALARNAS LÄN</t>
        </is>
      </c>
      <c r="E718" t="inlineStr">
        <is>
          <t>LUDVIKA</t>
        </is>
      </c>
      <c r="G718" t="n">
        <v>0.3</v>
      </c>
      <c r="H718" t="n">
        <v>0</v>
      </c>
      <c r="I718" t="n">
        <v>0</v>
      </c>
      <c r="J718" t="n">
        <v>0</v>
      </c>
      <c r="K718" t="n">
        <v>0</v>
      </c>
      <c r="L718" t="n">
        <v>0</v>
      </c>
      <c r="M718" t="n">
        <v>0</v>
      </c>
      <c r="N718" t="n">
        <v>0</v>
      </c>
      <c r="O718" t="n">
        <v>0</v>
      </c>
      <c r="P718" t="n">
        <v>0</v>
      </c>
      <c r="Q718" t="n">
        <v>0</v>
      </c>
      <c r="R718" s="2" t="inlineStr"/>
    </row>
    <row r="719" ht="15" customHeight="1">
      <c r="A719" t="inlineStr">
        <is>
          <t>A 35354-2024</t>
        </is>
      </c>
      <c r="B719" s="1" t="n">
        <v>45531.30974537037</v>
      </c>
      <c r="C719" s="1" t="n">
        <v>45983</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12497-2024</t>
        </is>
      </c>
      <c r="B720" s="1" t="n">
        <v>45379.57112268519</v>
      </c>
      <c r="C720" s="1" t="n">
        <v>45983</v>
      </c>
      <c r="D720" t="inlineStr">
        <is>
          <t>DALARNAS LÄN</t>
        </is>
      </c>
      <c r="E720" t="inlineStr">
        <is>
          <t>LUDVIKA</t>
        </is>
      </c>
      <c r="F720" t="inlineStr">
        <is>
          <t>Naturvårdsverket</t>
        </is>
      </c>
      <c r="G720" t="n">
        <v>0.4</v>
      </c>
      <c r="H720" t="n">
        <v>0</v>
      </c>
      <c r="I720" t="n">
        <v>0</v>
      </c>
      <c r="J720" t="n">
        <v>0</v>
      </c>
      <c r="K720" t="n">
        <v>0</v>
      </c>
      <c r="L720" t="n">
        <v>0</v>
      </c>
      <c r="M720" t="n">
        <v>0</v>
      </c>
      <c r="N720" t="n">
        <v>0</v>
      </c>
      <c r="O720" t="n">
        <v>0</v>
      </c>
      <c r="P720" t="n">
        <v>0</v>
      </c>
      <c r="Q720" t="n">
        <v>0</v>
      </c>
      <c r="R720" s="2" t="inlineStr"/>
    </row>
    <row r="721" ht="15" customHeight="1">
      <c r="A721" t="inlineStr">
        <is>
          <t>A 54089-2024</t>
        </is>
      </c>
      <c r="B721" s="1" t="n">
        <v>45616.50763888889</v>
      </c>
      <c r="C721" s="1" t="n">
        <v>45983</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57247-2024</t>
        </is>
      </c>
      <c r="B722" s="1" t="n">
        <v>45629.55177083334</v>
      </c>
      <c r="C722" s="1" t="n">
        <v>45983</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45212.65407407407</v>
      </c>
      <c r="C723" s="1" t="n">
        <v>45983</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61384-2024</t>
        </is>
      </c>
      <c r="B724" s="1" t="n">
        <v>45646.40943287037</v>
      </c>
      <c r="C724" s="1" t="n">
        <v>45983</v>
      </c>
      <c r="D724" t="inlineStr">
        <is>
          <t>DALARNAS LÄN</t>
        </is>
      </c>
      <c r="E724" t="inlineStr">
        <is>
          <t>LUDVIKA</t>
        </is>
      </c>
      <c r="G724" t="n">
        <v>0.7</v>
      </c>
      <c r="H724" t="n">
        <v>0</v>
      </c>
      <c r="I724" t="n">
        <v>0</v>
      </c>
      <c r="J724" t="n">
        <v>0</v>
      </c>
      <c r="K724" t="n">
        <v>0</v>
      </c>
      <c r="L724" t="n">
        <v>0</v>
      </c>
      <c r="M724" t="n">
        <v>0</v>
      </c>
      <c r="N724" t="n">
        <v>0</v>
      </c>
      <c r="O724" t="n">
        <v>0</v>
      </c>
      <c r="P724" t="n">
        <v>0</v>
      </c>
      <c r="Q724" t="n">
        <v>0</v>
      </c>
      <c r="R724" s="2" t="inlineStr"/>
    </row>
    <row r="725" ht="15" customHeight="1">
      <c r="A725" t="inlineStr">
        <is>
          <t>A 3280-2024</t>
        </is>
      </c>
      <c r="B725" s="1" t="n">
        <v>45317</v>
      </c>
      <c r="C725" s="1" t="n">
        <v>45983</v>
      </c>
      <c r="D725" t="inlineStr">
        <is>
          <t>DALARNAS LÄN</t>
        </is>
      </c>
      <c r="E725" t="inlineStr">
        <is>
          <t>LUDVIKA</t>
        </is>
      </c>
      <c r="G725" t="n">
        <v>0.4</v>
      </c>
      <c r="H725" t="n">
        <v>0</v>
      </c>
      <c r="I725" t="n">
        <v>0</v>
      </c>
      <c r="J725" t="n">
        <v>0</v>
      </c>
      <c r="K725" t="n">
        <v>0</v>
      </c>
      <c r="L725" t="n">
        <v>0</v>
      </c>
      <c r="M725" t="n">
        <v>0</v>
      </c>
      <c r="N725" t="n">
        <v>0</v>
      </c>
      <c r="O725" t="n">
        <v>0</v>
      </c>
      <c r="P725" t="n">
        <v>0</v>
      </c>
      <c r="Q725" t="n">
        <v>0</v>
      </c>
      <c r="R725" s="2" t="inlineStr"/>
    </row>
    <row r="726" ht="15" customHeight="1">
      <c r="A726" t="inlineStr">
        <is>
          <t>A 29780-2024</t>
        </is>
      </c>
      <c r="B726" s="1" t="n">
        <v>45485.45513888889</v>
      </c>
      <c r="C726" s="1" t="n">
        <v>45983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14881-2025</t>
        </is>
      </c>
      <c r="B727" s="1" t="n">
        <v>45743.4653587963</v>
      </c>
      <c r="C727" s="1" t="n">
        <v>45983</v>
      </c>
      <c r="D727" t="inlineStr">
        <is>
          <t>DALARNAS LÄN</t>
        </is>
      </c>
      <c r="E727" t="inlineStr">
        <is>
          <t>LUDVIKA</t>
        </is>
      </c>
      <c r="G727" t="n">
        <v>0.5</v>
      </c>
      <c r="H727" t="n">
        <v>0</v>
      </c>
      <c r="I727" t="n">
        <v>0</v>
      </c>
      <c r="J727" t="n">
        <v>0</v>
      </c>
      <c r="K727" t="n">
        <v>0</v>
      </c>
      <c r="L727" t="n">
        <v>0</v>
      </c>
      <c r="M727" t="n">
        <v>0</v>
      </c>
      <c r="N727" t="n">
        <v>0</v>
      </c>
      <c r="O727" t="n">
        <v>0</v>
      </c>
      <c r="P727" t="n">
        <v>0</v>
      </c>
      <c r="Q727" t="n">
        <v>0</v>
      </c>
      <c r="R727" s="2" t="inlineStr"/>
    </row>
    <row r="728" ht="15" customHeight="1">
      <c r="A728" t="inlineStr">
        <is>
          <t>A 15127-2025</t>
        </is>
      </c>
      <c r="B728" s="1" t="n">
        <v>45744.38049768518</v>
      </c>
      <c r="C728" s="1" t="n">
        <v>45983</v>
      </c>
      <c r="D728" t="inlineStr">
        <is>
          <t>DALARNAS LÄN</t>
        </is>
      </c>
      <c r="E728" t="inlineStr">
        <is>
          <t>LUDVIKA</t>
        </is>
      </c>
      <c r="F728" t="inlineStr">
        <is>
          <t>Bergvik skog väst AB</t>
        </is>
      </c>
      <c r="G728" t="n">
        <v>8.6</v>
      </c>
      <c r="H728" t="n">
        <v>0</v>
      </c>
      <c r="I728" t="n">
        <v>0</v>
      </c>
      <c r="J728" t="n">
        <v>0</v>
      </c>
      <c r="K728" t="n">
        <v>0</v>
      </c>
      <c r="L728" t="n">
        <v>0</v>
      </c>
      <c r="M728" t="n">
        <v>0</v>
      </c>
      <c r="N728" t="n">
        <v>0</v>
      </c>
      <c r="O728" t="n">
        <v>0</v>
      </c>
      <c r="P728" t="n">
        <v>0</v>
      </c>
      <c r="Q728" t="n">
        <v>0</v>
      </c>
      <c r="R728" s="2" t="inlineStr"/>
    </row>
    <row r="729" ht="15" customHeight="1">
      <c r="A729" t="inlineStr">
        <is>
          <t>A 21891-2025</t>
        </is>
      </c>
      <c r="B729" s="1" t="n">
        <v>45784</v>
      </c>
      <c r="C729" s="1" t="n">
        <v>45983</v>
      </c>
      <c r="D729" t="inlineStr">
        <is>
          <t>DALARNAS LÄN</t>
        </is>
      </c>
      <c r="E729" t="inlineStr">
        <is>
          <t>LUDVIKA</t>
        </is>
      </c>
      <c r="G729" t="n">
        <v>1.1</v>
      </c>
      <c r="H729" t="n">
        <v>0</v>
      </c>
      <c r="I729" t="n">
        <v>0</v>
      </c>
      <c r="J729" t="n">
        <v>0</v>
      </c>
      <c r="K729" t="n">
        <v>0</v>
      </c>
      <c r="L729" t="n">
        <v>0</v>
      </c>
      <c r="M729" t="n">
        <v>0</v>
      </c>
      <c r="N729" t="n">
        <v>0</v>
      </c>
      <c r="O729" t="n">
        <v>0</v>
      </c>
      <c r="P729" t="n">
        <v>0</v>
      </c>
      <c r="Q729" t="n">
        <v>0</v>
      </c>
      <c r="R729" s="2" t="inlineStr"/>
    </row>
    <row r="730" ht="15" customHeight="1">
      <c r="A730" t="inlineStr">
        <is>
          <t>A 21893-2025</t>
        </is>
      </c>
      <c r="B730" s="1" t="n">
        <v>45784.4484837963</v>
      </c>
      <c r="C730" s="1" t="n">
        <v>45983</v>
      </c>
      <c r="D730" t="inlineStr">
        <is>
          <t>DALARNAS LÄN</t>
        </is>
      </c>
      <c r="E730" t="inlineStr">
        <is>
          <t>LUDVIKA</t>
        </is>
      </c>
      <c r="G730" t="n">
        <v>1.4</v>
      </c>
      <c r="H730" t="n">
        <v>0</v>
      </c>
      <c r="I730" t="n">
        <v>0</v>
      </c>
      <c r="J730" t="n">
        <v>0</v>
      </c>
      <c r="K730" t="n">
        <v>0</v>
      </c>
      <c r="L730" t="n">
        <v>0</v>
      </c>
      <c r="M730" t="n">
        <v>0</v>
      </c>
      <c r="N730" t="n">
        <v>0</v>
      </c>
      <c r="O730" t="n">
        <v>0</v>
      </c>
      <c r="P730" t="n">
        <v>0</v>
      </c>
      <c r="Q730" t="n">
        <v>0</v>
      </c>
      <c r="R730" s="2" t="inlineStr"/>
    </row>
    <row r="731">
      <c r="A731" t="inlineStr">
        <is>
          <t>A 38359-2024</t>
        </is>
      </c>
      <c r="B731" s="1" t="n">
        <v>45545.79224537037</v>
      </c>
      <c r="C731" s="1" t="n">
        <v>45983</v>
      </c>
      <c r="D731" t="inlineStr">
        <is>
          <t>DALARNAS LÄN</t>
        </is>
      </c>
      <c r="E731" t="inlineStr">
        <is>
          <t>LUDVIKA</t>
        </is>
      </c>
      <c r="G731" t="n">
        <v>2.4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2025-11-22T10:16:15Z</dcterms:created>
  <dcterms:modified xmlns:dcterms="http://purl.org/dc/terms/" xmlns:xsi="http://www.w3.org/2001/XMLSchema-instance" xsi:type="dcterms:W3CDTF">2025-11-22T10:16:15Z</dcterms:modified>
</cp:coreProperties>
</file>
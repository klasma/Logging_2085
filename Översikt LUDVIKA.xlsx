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45796</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45796</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45796</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45796</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45796</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45796</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45796</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45796</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45796</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45796</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45796</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45796</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45796</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45796</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45796</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45796</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45796</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45796</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45796</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45796</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45796</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45796</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45796</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45796</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45796</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45796</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45796</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45796</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45796</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45796</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45796</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45796</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45796</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45796</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45796</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45796</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45796</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45796</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45796</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45796</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45796</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45796</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45796</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45796</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45796</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45796</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45796</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45796</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45796</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45796</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45796</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45796</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45796</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45796</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45796</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45796</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45796</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45796</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45796</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45796</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45796</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45796</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45796</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45796</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45796</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45796</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45796</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45796</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45796</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23107-2025</t>
        </is>
      </c>
      <c r="B93" s="1" t="n">
        <v>45791</v>
      </c>
      <c r="C93" s="1" t="n">
        <v>45796</v>
      </c>
      <c r="D93" t="inlineStr">
        <is>
          <t>DALARNAS LÄN</t>
        </is>
      </c>
      <c r="E93" t="inlineStr">
        <is>
          <t>LUDVIKA</t>
        </is>
      </c>
      <c r="F93" t="inlineStr">
        <is>
          <t>Bergvik skog väst AB</t>
        </is>
      </c>
      <c r="G93" t="n">
        <v>3.4</v>
      </c>
      <c r="H93" t="n">
        <v>1</v>
      </c>
      <c r="I93" t="n">
        <v>0</v>
      </c>
      <c r="J93" t="n">
        <v>0</v>
      </c>
      <c r="K93" t="n">
        <v>0</v>
      </c>
      <c r="L93" t="n">
        <v>0</v>
      </c>
      <c r="M93" t="n">
        <v>0</v>
      </c>
      <c r="N93" t="n">
        <v>0</v>
      </c>
      <c r="O93" t="n">
        <v>0</v>
      </c>
      <c r="P93" t="n">
        <v>0</v>
      </c>
      <c r="Q93" t="n">
        <v>1</v>
      </c>
      <c r="R93" s="2" t="inlineStr">
        <is>
          <t>Större vattensalamander</t>
        </is>
      </c>
      <c r="S93">
        <f>HYPERLINK("https://klasma.github.io/Logging_202085/artfynd/A 23107-2025 artfynd.xlsx", "A 23107-2025")</f>
        <v/>
      </c>
      <c r="T93">
        <f>HYPERLINK("https://klasma.github.io/Logging_202085/kartor/A 23107-2025 karta.png", "A 23107-2025")</f>
        <v/>
      </c>
      <c r="V93">
        <f>HYPERLINK("https://klasma.github.io/Logging_202085/klagomål/A 23107-2025 FSC-klagomål.docx", "A 23107-2025")</f>
        <v/>
      </c>
      <c r="W93">
        <f>HYPERLINK("https://klasma.github.io/Logging_202085/klagomålsmail/A 23107-2025 FSC-klagomål mail.docx", "A 23107-2025")</f>
        <v/>
      </c>
      <c r="X93">
        <f>HYPERLINK("https://klasma.github.io/Logging_202085/tillsyn/A 23107-2025 tillsynsbegäran.docx", "A 23107-2025")</f>
        <v/>
      </c>
      <c r="Y93">
        <f>HYPERLINK("https://klasma.github.io/Logging_202085/tillsynsmail/A 23107-2025 tillsynsbegäran mail.docx", "A 23107-2025")</f>
        <v/>
      </c>
    </row>
    <row r="94" ht="15" customHeight="1">
      <c r="A94" t="inlineStr">
        <is>
          <t>A 23085-2025</t>
        </is>
      </c>
      <c r="B94" s="1" t="n">
        <v>45791</v>
      </c>
      <c r="C94" s="1" t="n">
        <v>45796</v>
      </c>
      <c r="D94" t="inlineStr">
        <is>
          <t>DALARNAS LÄN</t>
        </is>
      </c>
      <c r="E94" t="inlineStr">
        <is>
          <t>LUDVIKA</t>
        </is>
      </c>
      <c r="F94" t="inlineStr">
        <is>
          <t>Bergvik skog väst AB</t>
        </is>
      </c>
      <c r="G94" t="n">
        <v>3.9</v>
      </c>
      <c r="H94" t="n">
        <v>1</v>
      </c>
      <c r="I94" t="n">
        <v>0</v>
      </c>
      <c r="J94" t="n">
        <v>0</v>
      </c>
      <c r="K94" t="n">
        <v>1</v>
      </c>
      <c r="L94" t="n">
        <v>0</v>
      </c>
      <c r="M94" t="n">
        <v>0</v>
      </c>
      <c r="N94" t="n">
        <v>0</v>
      </c>
      <c r="O94" t="n">
        <v>1</v>
      </c>
      <c r="P94" t="n">
        <v>1</v>
      </c>
      <c r="Q94" t="n">
        <v>1</v>
      </c>
      <c r="R94" s="2" t="inlineStr">
        <is>
          <t>Berguv</t>
        </is>
      </c>
      <c r="S94">
        <f>HYPERLINK("https://klasma.github.io/Logging_202085/artfynd/A 23085-2025 artfynd.xlsx", "A 23085-2025")</f>
        <v/>
      </c>
      <c r="T94">
        <f>HYPERLINK("https://klasma.github.io/Logging_202085/kartor/A 23085-2025 karta.png", "A 23085-2025")</f>
        <v/>
      </c>
      <c r="V94">
        <f>HYPERLINK("https://klasma.github.io/Logging_202085/klagomål/A 23085-2025 FSC-klagomål.docx", "A 23085-2025")</f>
        <v/>
      </c>
      <c r="W94">
        <f>HYPERLINK("https://klasma.github.io/Logging_202085/klagomålsmail/A 23085-2025 FSC-klagomål mail.docx", "A 23085-2025")</f>
        <v/>
      </c>
      <c r="X94">
        <f>HYPERLINK("https://klasma.github.io/Logging_202085/tillsyn/A 23085-2025 tillsynsbegäran.docx", "A 23085-2025")</f>
        <v/>
      </c>
      <c r="Y94">
        <f>HYPERLINK("https://klasma.github.io/Logging_202085/tillsynsmail/A 23085-2025 tillsynsbegäran mail.docx", "A 23085-2025")</f>
        <v/>
      </c>
      <c r="Z94">
        <f>HYPERLINK("https://klasma.github.io/Logging_202085/fåglar/A 23085-2025 prioriterade fågelarter.docx", "A 23085-2025")</f>
        <v/>
      </c>
    </row>
    <row r="95" ht="15" customHeight="1">
      <c r="A95" t="inlineStr">
        <is>
          <t>A 23102-2025</t>
        </is>
      </c>
      <c r="B95" s="1" t="n">
        <v>45791</v>
      </c>
      <c r="C95" s="1" t="n">
        <v>45796</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17947-2019</t>
        </is>
      </c>
      <c r="B96" s="1" t="n">
        <v>43557</v>
      </c>
      <c r="C96" s="1" t="n">
        <v>45796</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45796</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45796</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45796</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45796</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45796</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45796</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45796</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45796</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45796</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45796</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45796</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45796</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45796</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45796</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45796</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45796</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45796</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45796</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45796</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45796</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45796</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45796</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45796</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45796</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45796</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45796</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45796</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45796</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45796</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45796</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45796</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45796</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45796</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45796</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45796</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45796</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45796</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45796</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45796</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45796</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45796</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45796</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45796</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45796</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45796</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45796</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45796</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45796</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45796</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45796</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45796</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45796</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45796</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45796</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45796</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45796</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45796</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45796</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45796</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45796</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45796</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45796</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45796</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45796</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45796</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45796</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45796</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45796</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45796</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45796</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45796</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45796</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45796</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45796</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45796</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45796</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45796</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45796</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45796</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45796</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45796</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45796</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45796</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45796</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45796</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45796</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45796</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45796</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45796</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45796</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45796</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45796</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45796</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45796</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45796</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45796</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45796</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45796</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45796</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45796</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45796</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45796</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45796</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45796</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45796</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45796</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45796</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45796</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45796</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45796</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45796</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45796</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45796</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45796</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45796</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45796</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45796</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45796</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45796</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45796</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45796</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45796</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45796</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45796</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45796</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45796</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45796</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45796</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45796</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45796</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45796</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45796</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45796</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45796</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45796</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45796</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45796</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45796</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45796</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45796</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45796</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45796</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45796</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45796</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45796</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45796</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45796</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45796</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45796</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45796</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45796</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45796</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45796</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45796</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45796</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45796</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45796</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45796</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45796</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45796</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45796</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45796</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45796</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45796</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45796</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45796</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45796</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45796</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45796</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45796</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45796</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45796</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45796</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45796</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45796</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45796</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45796</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45796</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45796</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45796</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45796</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45796</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45796</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45796</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45796</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45796</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45796</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45796</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45796</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45796</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45796</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45796</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45796</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45796</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45796</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45796</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45796</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45796</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45796</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45796</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45796</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45796</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45796</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45796</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45796</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45796</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45796</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45796</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45796</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45796</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45796</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45796</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45796</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45796</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45796</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45796</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45796</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45796</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45796</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45796</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45796</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45796</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45796</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45796</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45796</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45796</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45796</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45796</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45796</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45796</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45796</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45796</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45796</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45796</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45796</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45796</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45796</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45796</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45796</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45796</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45796</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45796</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45796</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45796</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45796</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45796</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45796</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45796</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45796</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45796</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45796</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45796</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45796</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45796</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45796</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45796</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45796</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45796</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45796</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45796</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45796</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45796</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45796</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45796</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45796</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45796</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45796</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45796</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45796</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45796</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45796</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45796</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45796</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45796</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45796</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45796</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45796</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45796</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45796</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45796</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45796</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45796</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45796</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45796</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45796</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45796</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45796</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45796</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45796</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45796</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45796</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45796</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45796</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45796</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45796</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45796</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45796</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45796</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45796</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45796</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45796</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45796</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45796</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45796</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45796</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45796</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45796</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45796</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45796</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45796</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45796</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45796</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45796</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45796</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45796</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45796</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45796</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45796</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45796</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45796</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45796</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45796</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45796</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45796</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45796</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45796</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45796</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45796</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45796</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45796</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45796</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45796</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45796</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45796</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45796</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45796</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45796</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45796</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45796</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45796</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45796</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45796</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45796</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45796</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45796</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45796</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45796</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45796</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45796</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45796</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45796</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45796</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45796</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45796</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45796</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45796</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45796</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45796</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45796</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45796</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45796</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45796</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45796</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45796</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45796</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45796</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45796</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45796</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45796</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45796</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45796</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45796</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45796</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45796</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45796</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45796</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45796</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45796</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45796</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45796</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45796</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45796</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45796</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45796</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45796</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45796</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45796</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45796</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45796</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45796</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45796</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45796</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45796</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45796</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45796</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45796</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45796</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45796</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45796</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45796</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45796</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45796</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45796</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45796</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45796</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45796</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45796</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45796</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45796</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45796</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45796</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45796</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45796</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45796</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45796</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45796</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45796</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45796</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45796</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45796</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45796</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45796</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45796</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45796</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45796</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45796</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45796</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45796</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45796</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45796</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45796</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45796</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45796</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45796</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45796</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45796</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45796</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45796</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45796</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45796</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45796</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45796</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45796</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45796</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45796</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45796</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45796</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45796</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45796</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45796</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45796</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45796</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45796</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45796</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45796</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45796</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45796</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45796</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45796</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45796</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45796</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45796</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45796</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45796</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45796</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45796</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45796</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45796</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45796</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45796</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45796</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45796</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45796</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45796</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45796</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45796</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45796</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45796</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45796</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45796</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45796</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45796</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45796</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45796</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45796</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45796</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45796</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45796</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45796</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45796</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45796</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45796</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45796</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45796</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45796</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45796</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45796</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45796</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45796</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45796</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45796</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45796</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45796</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45796</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45796</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45796</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45796</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45796</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45796</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45796</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45796</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45796</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45796</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45796</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45796</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45796</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45796</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45796</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45796</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45796</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45796</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45796</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45796</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45796</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45796</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45796</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45796</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45796</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45796</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45796</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45796</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45796</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45796</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45796</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45796</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45796</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45796</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45796</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45796</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45796</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45796</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45796</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45796</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45796</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45796</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45796</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45796</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45796</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45796</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45796</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45796</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45796</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45796</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45796</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45796</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45796</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45796</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45796</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45796</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45796</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45796</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45796</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45796</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45796</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45796</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45796</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45796</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45796</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45796</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45796</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45796</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45796</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45796</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45796</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45796</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45796</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45796</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45796</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45796</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45796</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45796</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45796</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45796</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45796</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45796</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45796</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45796</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45796</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45796</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45796</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45796</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45796</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45796</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45796</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45796</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45796</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45796</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45796</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45796</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45796</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45796</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45796</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45796</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45796</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45796</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45796</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45796</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45796</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45796</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45796</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45796</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45796</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45796</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45796</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45796</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45796</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45796</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45796</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45796</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45796</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45796</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45796</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45796</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45796</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45796</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45796</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45796</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45796</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45796</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45796</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45796</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45796</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45796</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45796</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45796</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45796</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45796</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45796</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45796</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45796</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45796</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45796</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45796</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45796</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45796</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45796</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45796</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45796</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45796</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45796</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45796</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45796</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45796</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45796</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45796</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45796</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45796</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45796</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45796</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45796</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45796</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45796</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45796</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45796</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45796</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45796</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45796</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45796</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45796</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45796</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45796</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45796</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45796</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45796</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45796</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45796</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45796</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45796</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45796</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45796</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45796</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45796</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45796</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45796</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45796</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45796</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45796</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45796</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45796</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45796</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45796</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45796</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45796</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45796</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45796</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45796</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45796</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45796</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45796</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45796</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45796</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45796</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45796</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45796</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45796</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45796</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45796</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45796</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45796</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45796</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45796</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45796</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45796</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45796</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45796</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45796</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45796</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45796</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45796</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45796</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45796</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45796</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45796</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45796</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45796</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45796</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45796</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45796</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45796</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45796</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45796</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45796</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45796</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45796</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45796</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45796</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45796</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45796</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45796</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45796</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45796</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45796</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45796</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45796</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45796</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45796</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45796</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45796</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45796</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45796</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45796</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45796</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45796</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45796</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45796</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45796</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45796</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45796</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45796</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45796</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45796</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45796</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45796</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45796</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45796</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45796</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45796</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45796</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45796</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45796</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45796</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45796</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45796</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45796</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45796</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45796</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45796</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45796</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45796</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45796</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45796</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45796</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45796</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45796</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45796</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45796</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45796</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45796</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45796</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45796</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45796</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45796</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45796</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45796</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45796</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45796</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45796</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45796</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45796</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45796</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45796</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45796</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45796</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45796</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45796</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45796</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45796</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45796</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45796</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45796</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45796</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45796</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45796</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45796</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45796</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45796</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45796</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45796</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45796</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45796</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45796</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45796</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45796</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45796</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45796</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45796</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45796</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45796</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45796</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45796</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45796</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45796</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45796</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45796</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45796</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45796</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45796</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45796</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45796</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45796</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45796</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45796</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45796</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45796</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45796</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45796</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45796</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45796</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45796</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45796</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45796</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45796</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45796</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45796</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45796</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45796</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45796</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45796</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45796</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45796</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45796</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45796</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45796</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45796</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45796</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45796</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45796</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45796</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45796</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45796</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45796</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45796</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45796</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45796</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45796</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45796</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45796</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45796</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45796</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45796</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45796</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45796</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45796</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45796</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45796</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45796</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45796</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45796</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45796</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45796</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45796</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45796</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45796</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45796</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45796</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45796</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45796</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45796</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45796</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45796</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45796</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45796</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45796</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45796</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45796</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45796</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45796</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45796</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45796</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45796</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45796</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45796</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45796</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45796</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45796</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45796</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45796</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45796</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45796</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45796</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45796</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45796</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45796</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45796</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45796</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45796</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45796</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45796</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45796</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45796</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45796</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45796</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45796</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45796</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45796</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45796</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45796</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45796</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45796</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45796</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45796</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45796</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45796</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45796</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45796</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45796</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45796</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45796</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45796</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45796</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45796</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45796</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45796</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45796</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45796</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45796</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45796</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45796</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45796</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45796</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45796</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45796</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45796</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45796</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45796</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45796</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45796</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45796</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45796</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45796</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45796</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45796</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45796</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45796</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45796</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45796</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45796</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45796</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45796</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45796</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45796</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45796</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45796</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45796</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45796</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45796</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45796</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45796</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45796</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45796</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45796</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45796</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45796</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45796</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45796</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45796</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45796</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45796</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45796</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45796</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45796</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45796</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45796</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45796</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45796</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45796</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45796</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45796</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45796</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45796</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45796</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45796</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45796</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45796</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45796</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45796</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45796</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45796</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45796</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45796</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45796</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45796</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45796</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45796</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45796</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45796</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45796</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45796</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45796</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45796</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45796</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45796</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45796</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45796</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45796</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45796</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45796</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45796</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45796</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45796</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45796</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45796</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45796</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45796</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45796</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45796</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45796</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45796</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45796</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45796</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45796</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45796</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45796</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45796</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45796</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45796</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45796</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45796</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45796</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45796</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45796</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45796</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45796</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45796</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45796</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45796</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45796</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45796</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45796</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45796</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45796</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45796</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45796</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45796</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45796</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45796</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45796</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45796</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45796</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45796</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45796</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45796</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45796</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45796</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45796</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45796</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45796</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45796</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45796</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45796</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45796</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45796</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45796</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45796</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45796</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20427-2025</t>
        </is>
      </c>
      <c r="B1201" s="1" t="n">
        <v>45775</v>
      </c>
      <c r="C1201" s="1" t="n">
        <v>45796</v>
      </c>
      <c r="D1201" t="inlineStr">
        <is>
          <t>DALARNAS LÄN</t>
        </is>
      </c>
      <c r="E1201" t="inlineStr">
        <is>
          <t>LUDVIKA</t>
        </is>
      </c>
      <c r="F1201" t="inlineStr">
        <is>
          <t>Bergvik skog väst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20449-2025</t>
        </is>
      </c>
      <c r="B1202" s="1" t="n">
        <v>45775</v>
      </c>
      <c r="C1202" s="1" t="n">
        <v>45796</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45796</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21021-2025</t>
        </is>
      </c>
      <c r="B1204" s="1" t="n">
        <v>45777</v>
      </c>
      <c r="C1204" s="1" t="n">
        <v>45796</v>
      </c>
      <c r="D1204" t="inlineStr">
        <is>
          <t>DALARNAS LÄN</t>
        </is>
      </c>
      <c r="E1204" t="inlineStr">
        <is>
          <t>LUDVIKA</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20994-2025</t>
        </is>
      </c>
      <c r="B1205" s="1" t="n">
        <v>45777</v>
      </c>
      <c r="C1205" s="1" t="n">
        <v>45796</v>
      </c>
      <c r="D1205" t="inlineStr">
        <is>
          <t>DALARNAS LÄN</t>
        </is>
      </c>
      <c r="E1205" t="inlineStr">
        <is>
          <t>LUDVIKA</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21891-2025</t>
        </is>
      </c>
      <c r="B1206" s="1" t="n">
        <v>45784</v>
      </c>
      <c r="C1206" s="1" t="n">
        <v>45796</v>
      </c>
      <c r="D1206" t="inlineStr">
        <is>
          <t>DALARNAS LÄN</t>
        </is>
      </c>
      <c r="E1206" t="inlineStr">
        <is>
          <t>LUDVIKA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21893-2025</t>
        </is>
      </c>
      <c r="B1207" s="1" t="n">
        <v>45784</v>
      </c>
      <c r="C1207" s="1" t="n">
        <v>45796</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45796</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22330-2025</t>
        </is>
      </c>
      <c r="B1209" s="1" t="n">
        <v>45786</v>
      </c>
      <c r="C1209" s="1" t="n">
        <v>45796</v>
      </c>
      <c r="D1209" t="inlineStr">
        <is>
          <t>DALARNAS LÄN</t>
        </is>
      </c>
      <c r="E1209" t="inlineStr">
        <is>
          <t>LUDVIKA</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22324-2025</t>
        </is>
      </c>
      <c r="B1210" s="1" t="n">
        <v>45786</v>
      </c>
      <c r="C1210" s="1" t="n">
        <v>45796</v>
      </c>
      <c r="D1210" t="inlineStr">
        <is>
          <t>DALARNAS LÄN</t>
        </is>
      </c>
      <c r="E1210" t="inlineStr">
        <is>
          <t>LUDVIKA</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22686-2025</t>
        </is>
      </c>
      <c r="B1211" s="1" t="n">
        <v>45786</v>
      </c>
      <c r="C1211" s="1" t="n">
        <v>45796</v>
      </c>
      <c r="D1211" t="inlineStr">
        <is>
          <t>DALARNAS LÄN</t>
        </is>
      </c>
      <c r="E1211" t="inlineStr">
        <is>
          <t>LUDVIKA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22325-2025</t>
        </is>
      </c>
      <c r="B1212" s="1" t="n">
        <v>45786</v>
      </c>
      <c r="C1212" s="1" t="n">
        <v>45796</v>
      </c>
      <c r="D1212" t="inlineStr">
        <is>
          <t>DALARNAS LÄN</t>
        </is>
      </c>
      <c r="E1212" t="inlineStr">
        <is>
          <t>LUDVIKA</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22328-2025</t>
        </is>
      </c>
      <c r="B1213" s="1" t="n">
        <v>45786</v>
      </c>
      <c r="C1213" s="1" t="n">
        <v>45796</v>
      </c>
      <c r="D1213" t="inlineStr">
        <is>
          <t>DALARNAS LÄN</t>
        </is>
      </c>
      <c r="E1213" t="inlineStr">
        <is>
          <t>LUDVIKA</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22606-2025</t>
        </is>
      </c>
      <c r="B1214" s="1" t="n">
        <v>45789</v>
      </c>
      <c r="C1214" s="1" t="n">
        <v>45796</v>
      </c>
      <c r="D1214" t="inlineStr">
        <is>
          <t>DALARNAS LÄN</t>
        </is>
      </c>
      <c r="E1214" t="inlineStr">
        <is>
          <t>LUDVIKA</t>
        </is>
      </c>
      <c r="F1214" t="inlineStr">
        <is>
          <t>Bergvik skog väst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22801-2025</t>
        </is>
      </c>
      <c r="B1215" s="1" t="n">
        <v>45789</v>
      </c>
      <c r="C1215" s="1" t="n">
        <v>45796</v>
      </c>
      <c r="D1215" t="inlineStr">
        <is>
          <t>DALARNAS LÄN</t>
        </is>
      </c>
      <c r="E1215" t="inlineStr">
        <is>
          <t>LUDVIKA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22594-2025</t>
        </is>
      </c>
      <c r="B1216" s="1" t="n">
        <v>45789</v>
      </c>
      <c r="C1216" s="1" t="n">
        <v>45796</v>
      </c>
      <c r="D1216" t="inlineStr">
        <is>
          <t>DALARNAS LÄN</t>
        </is>
      </c>
      <c r="E1216" t="inlineStr">
        <is>
          <t>LUDVIKA</t>
        </is>
      </c>
      <c r="F1216" t="inlineStr">
        <is>
          <t>Bergvik skog väst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22610-2025</t>
        </is>
      </c>
      <c r="B1217" s="1" t="n">
        <v>45789</v>
      </c>
      <c r="C1217" s="1" t="n">
        <v>45796</v>
      </c>
      <c r="D1217" t="inlineStr">
        <is>
          <t>DALARNAS LÄN</t>
        </is>
      </c>
      <c r="E1217" t="inlineStr">
        <is>
          <t>LUDVIKA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22807-2025</t>
        </is>
      </c>
      <c r="B1218" s="1" t="n">
        <v>45789</v>
      </c>
      <c r="C1218" s="1" t="n">
        <v>45796</v>
      </c>
      <c r="D1218" t="inlineStr">
        <is>
          <t>DALARNAS LÄN</t>
        </is>
      </c>
      <c r="E1218" t="inlineStr">
        <is>
          <t>LUDVIKA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22599-2025</t>
        </is>
      </c>
      <c r="B1219" s="1" t="n">
        <v>45789</v>
      </c>
      <c r="C1219" s="1" t="n">
        <v>45796</v>
      </c>
      <c r="D1219" t="inlineStr">
        <is>
          <t>DALARNAS LÄN</t>
        </is>
      </c>
      <c r="E1219" t="inlineStr">
        <is>
          <t>LUDVIKA</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45796</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23082-2025</t>
        </is>
      </c>
      <c r="B1221" s="1" t="n">
        <v>45791</v>
      </c>
      <c r="C1221" s="1" t="n">
        <v>45796</v>
      </c>
      <c r="D1221" t="inlineStr">
        <is>
          <t>DALARNAS LÄN</t>
        </is>
      </c>
      <c r="E1221" t="inlineStr">
        <is>
          <t>LUDVIKA</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23086-2025</t>
        </is>
      </c>
      <c r="B1222" s="1" t="n">
        <v>45791</v>
      </c>
      <c r="C1222" s="1" t="n">
        <v>45796</v>
      </c>
      <c r="D1222" t="inlineStr">
        <is>
          <t>DALARNAS LÄN</t>
        </is>
      </c>
      <c r="E1222" t="inlineStr">
        <is>
          <t>LUDVIKA</t>
        </is>
      </c>
      <c r="F1222" t="inlineStr">
        <is>
          <t>Bergvik skog väst AB</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23139-2025</t>
        </is>
      </c>
      <c r="B1223" s="1" t="n">
        <v>45791</v>
      </c>
      <c r="C1223" s="1" t="n">
        <v>45796</v>
      </c>
      <c r="D1223" t="inlineStr">
        <is>
          <t>DALARNAS LÄN</t>
        </is>
      </c>
      <c r="E1223" t="inlineStr">
        <is>
          <t>LUDVIKA</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23137-2025</t>
        </is>
      </c>
      <c r="B1224" s="1" t="n">
        <v>45791</v>
      </c>
      <c r="C1224" s="1" t="n">
        <v>45796</v>
      </c>
      <c r="D1224" t="inlineStr">
        <is>
          <t>DALARNAS LÄN</t>
        </is>
      </c>
      <c r="E1224" t="inlineStr">
        <is>
          <t>LUDVIKA</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23087-2025</t>
        </is>
      </c>
      <c r="B1225" s="1" t="n">
        <v>45791</v>
      </c>
      <c r="C1225" s="1" t="n">
        <v>45796</v>
      </c>
      <c r="D1225" t="inlineStr">
        <is>
          <t>DALARNAS LÄN</t>
        </is>
      </c>
      <c r="E1225" t="inlineStr">
        <is>
          <t>LUDVIKA</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23097-2025</t>
        </is>
      </c>
      <c r="B1226" s="1" t="n">
        <v>45791</v>
      </c>
      <c r="C1226" s="1" t="n">
        <v>45796</v>
      </c>
      <c r="D1226" t="inlineStr">
        <is>
          <t>DALARNAS LÄN</t>
        </is>
      </c>
      <c r="E1226" t="inlineStr">
        <is>
          <t>LUDVIKA</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23088-2025</t>
        </is>
      </c>
      <c r="B1227" s="1" t="n">
        <v>45791</v>
      </c>
      <c r="C1227" s="1" t="n">
        <v>45796</v>
      </c>
      <c r="D1227" t="inlineStr">
        <is>
          <t>DALARNAS LÄN</t>
        </is>
      </c>
      <c r="E1227" t="inlineStr">
        <is>
          <t>LUDVIKA</t>
        </is>
      </c>
      <c r="F1227" t="inlineStr">
        <is>
          <t>Bergvik skog väst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23105-2025</t>
        </is>
      </c>
      <c r="B1228" s="1" t="n">
        <v>45791</v>
      </c>
      <c r="C1228" s="1" t="n">
        <v>45796</v>
      </c>
      <c r="D1228" t="inlineStr">
        <is>
          <t>DALARNAS LÄN</t>
        </is>
      </c>
      <c r="E1228" t="inlineStr">
        <is>
          <t>LUDVIKA</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23103-2025</t>
        </is>
      </c>
      <c r="B1229" s="1" t="n">
        <v>45791</v>
      </c>
      <c r="C1229" s="1" t="n">
        <v>45796</v>
      </c>
      <c r="D1229" t="inlineStr">
        <is>
          <t>DALARNAS LÄN</t>
        </is>
      </c>
      <c r="E1229" t="inlineStr">
        <is>
          <t>LUDVIKA</t>
        </is>
      </c>
      <c r="F1229" t="inlineStr">
        <is>
          <t>Bergvik skog väst AB</t>
        </is>
      </c>
      <c r="G1229" t="n">
        <v>15.9</v>
      </c>
      <c r="H1229" t="n">
        <v>0</v>
      </c>
      <c r="I1229" t="n">
        <v>0</v>
      </c>
      <c r="J1229" t="n">
        <v>0</v>
      </c>
      <c r="K1229" t="n">
        <v>0</v>
      </c>
      <c r="L1229" t="n">
        <v>0</v>
      </c>
      <c r="M1229" t="n">
        <v>0</v>
      </c>
      <c r="N1229" t="n">
        <v>0</v>
      </c>
      <c r="O1229" t="n">
        <v>0</v>
      </c>
      <c r="P1229" t="n">
        <v>0</v>
      </c>
      <c r="Q1229" t="n">
        <v>0</v>
      </c>
      <c r="R1229" s="2" t="inlineStr"/>
    </row>
    <row r="1230" ht="15" customHeight="1">
      <c r="A1230" t="inlineStr">
        <is>
          <t>A 23117-2025</t>
        </is>
      </c>
      <c r="B1230" s="1" t="n">
        <v>45791</v>
      </c>
      <c r="C1230" s="1" t="n">
        <v>45796</v>
      </c>
      <c r="D1230" t="inlineStr">
        <is>
          <t>DALARNAS LÄN</t>
        </is>
      </c>
      <c r="E1230" t="inlineStr">
        <is>
          <t>LUDVIKA</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c r="A1231" t="inlineStr">
        <is>
          <t>A 23111-2025</t>
        </is>
      </c>
      <c r="B1231" s="1" t="n">
        <v>45791</v>
      </c>
      <c r="C1231" s="1" t="n">
        <v>45796</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2025-05-19T18:29:52Z</dcterms:created>
  <dcterms:modified xmlns:dcterms="http://purl.org/dc/terms/" xmlns:xsi="http://www.w3.org/2001/XMLSchema-instance" xsi:type="dcterms:W3CDTF">2025-05-19T18:29:53Z</dcterms:modified>
</cp:coreProperties>
</file>
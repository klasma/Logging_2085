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46270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46270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46270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46270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46270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46270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46270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46270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46270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46270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46270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46270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46270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46270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46270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46270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46270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46270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46270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46270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46270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46270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46270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46270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46270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46270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46270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46270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46270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46270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46270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46270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46270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46270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46270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Garnlav
Lunglav
Violettgrå tagellav
Gulnål
Korallblylav</t>
        </is>
      </c>
      <c r="W36">
        <f>HYPERLINK("https://klasma.github.io/Logging_2085/artfynd/A 37639-2024 artfynd.xlsx", "A 37639-2024")</f>
        <v/>
      </c>
      <c r="X36">
        <f>HYPERLINK("https://klasma.github.io/Logging_2085/kartor/A 37639-2024 karta.png", "A 37639-2024")</f>
        <v/>
      </c>
      <c r="Y36">
        <f>HYPERLINK("https://klasma.github.io/Logging_2085/kartor_geotiff/A 37639-2024 georefererad karta.tif", "A 37639-2024")</f>
        <v/>
      </c>
      <c r="AA36">
        <f>HYPERLINK("https://klasma.github.io/Logging_2085/klagomål/A 37639-2024 FSC-klagomål.docx", "A 37639-2024")</f>
        <v/>
      </c>
      <c r="AB36">
        <f>HYPERLINK("https://klasma.github.io/Logging_2085/klagomålsmail/A 37639-2024 FSC-klagomål mail.docx", "A 37639-2024")</f>
        <v/>
      </c>
      <c r="AC36">
        <f>HYPERLINK("https://klasma.github.io/Logging_2085/tillsyn/A 37639-2024 tillsynsbegäran.docx", "A 37639-2024")</f>
        <v/>
      </c>
      <c r="AD36">
        <f>HYPERLINK("https://klasma.github.io/Logging_2085/tillsynsmail/A 37639-2024 tillsynsbegäran mail.docx", "A 37639-2024")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46270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46270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46270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46270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46270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46270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46270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46270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46270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46270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46270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46270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46270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46270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46270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46270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46270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46270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46270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46270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Aspgelélav
Lunglav
Järpe</t>
        </is>
      </c>
      <c r="W56">
        <f>HYPERLINK("https://klasma.github.io/Logging_2085/artfynd/A 41456-2025 artfynd.xlsx", "A 41456-2025")</f>
        <v/>
      </c>
      <c r="X56">
        <f>HYPERLINK("https://klasma.github.io/Logging_2085/kartor/A 41456-2025 karta.png", "A 41456-2025")</f>
        <v/>
      </c>
      <c r="Y56">
        <f>HYPERLINK("https://klasma.github.io/Logging_2085/kartor_geotiff/A 41456-2025 georefererad karta.tif", "A 41456-2025")</f>
        <v/>
      </c>
      <c r="AA56">
        <f>HYPERLINK("https://klasma.github.io/Logging_2085/klagomål/A 41456-2025 FSC-klagomål.docx", "A 41456-2025")</f>
        <v/>
      </c>
      <c r="AB56">
        <f>HYPERLINK("https://klasma.github.io/Logging_2085/klagomålsmail/A 41456-2025 FSC-klagomål mail.docx", "A 41456-2025")</f>
        <v/>
      </c>
      <c r="AC56">
        <f>HYPERLINK("https://klasma.github.io/Logging_2085/tillsyn/A 41456-2025 tillsynsbegäran.docx", "A 41456-2025")</f>
        <v/>
      </c>
      <c r="AD56">
        <f>HYPERLINK("https://klasma.github.io/Logging_2085/tillsynsmail/A 41456-2025 tillsynsbegäran mail.docx", "A 41456-2025")</f>
        <v/>
      </c>
      <c r="AE56">
        <f>HYPERLINK("https://klasma.github.io/Logging_2085/fåglar/A 41456-2025 prioriterade fågelarter.docx", "A 41456-2025")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46270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46270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46270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t="n">
        <v>0</v>
      </c>
      <c r="V59" s="2" t="inlineStr">
        <is>
          <t>Knärot
Dropptaggsvamp
Nattviol</t>
        </is>
      </c>
      <c r="W59">
        <f>HYPERLINK("https://klasma.github.io/Logging_2085/artfynd/A 18759-2026 artfynd.xlsx", "A 18759-2026")</f>
        <v/>
      </c>
      <c r="X59">
        <f>HYPERLINK("https://klasma.github.io/Logging_2085/kartor/A 18759-2026 karta.png", "A 18759-2026")</f>
        <v/>
      </c>
      <c r="Y59">
        <f>HYPERLINK("https://klasma.github.io/Logging_2085/kartor_geotiff/A 18759-2026 georefererad karta.tif", "A 18759-2026")</f>
        <v/>
      </c>
      <c r="Z59">
        <f>HYPERLINK("https://klasma.github.io/Logging_2085/knärot/A 18759-2026 karta knärot.png", "A 18759-2026")</f>
        <v/>
      </c>
      <c r="AA59">
        <f>HYPERLINK("https://klasma.github.io/Logging_2085/klagomål/A 18759-2026 FSC-klagomål.docx", "A 18759-2026")</f>
        <v/>
      </c>
      <c r="AB59">
        <f>HYPERLINK("https://klasma.github.io/Logging_2085/klagomålsmail/A 18759-2026 FSC-klagomål mail.docx", "A 18759-2026")</f>
        <v/>
      </c>
      <c r="AC59">
        <f>HYPERLINK("https://klasma.github.io/Logging_2085/tillsyn/A 18759-2026 tillsynsbegäran.docx", "A 18759-2026")</f>
        <v/>
      </c>
      <c r="AD59">
        <f>HYPERLINK("https://klasma.github.io/Logging_2085/tillsynsmail/A 18759-2026 tillsynsbegäran mail.docx", "A 18759-2026")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46270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46270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46270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46270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49051-2024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46270</v>
      </c>
      <c r="F64" t="inlineStr">
        <is>
          <t>DALARNAS LÄN</t>
        </is>
      </c>
      <c r="G64" t="inlineStr">
        <is>
          <t>LUDVIKA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2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0</v>
      </c>
      <c r="V64" s="2" t="inlineStr">
        <is>
          <t>Ladparasitspik
Vedkastanjelav</t>
        </is>
      </c>
      <c r="W64">
        <f>HYPERLINK("https://klasma.github.io/Logging_2085/artfynd/A 49051-2024 artfynd.xlsx", "A 49051-2024")</f>
        <v/>
      </c>
      <c r="X64">
        <f>HYPERLINK("https://klasma.github.io/Logging_2085/kartor/A 49051-2024 karta.png", "A 49051-2024")</f>
        <v/>
      </c>
      <c r="Y64">
        <f>HYPERLINK("https://klasma.github.io/Logging_2085/kartor_geotiff/A 49051-2024 georefererad karta.tif", "A 49051-2024")</f>
        <v/>
      </c>
      <c r="AA64">
        <f>HYPERLINK("https://klasma.github.io/Logging_2085/klagomål/A 49051-2024 FSC-klagomål.docx", "A 49051-2024")</f>
        <v/>
      </c>
      <c r="AB64">
        <f>HYPERLINK("https://klasma.github.io/Logging_2085/klagomålsmail/A 49051-2024 FSC-klagomål mail.docx", "A 49051-2024")</f>
        <v/>
      </c>
      <c r="AC64">
        <f>HYPERLINK("https://klasma.github.io/Logging_2085/tillsyn/A 49051-2024 tillsynsbegäran.docx", "A 49051-2024")</f>
        <v/>
      </c>
      <c r="AD64">
        <f>HYPERLINK("https://klasma.github.io/Logging_2085/tillsynsmail/A 49051-2024 tillsynsbegäran mail.docx", "A 49051-2024")</f>
        <v/>
      </c>
    </row>
    <row r="65" ht="15" customHeight="1">
      <c r="A65" t="inlineStr">
        <is>
          <t>A 33155-2024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45518</v>
      </c>
      <c r="E65" s="1" t="n">
        <v>46270</v>
      </c>
      <c r="F65" t="inlineStr">
        <is>
          <t>DALARNAS LÄN</t>
        </is>
      </c>
      <c r="G65" t="inlineStr">
        <is>
          <t>LUDVIKA</t>
        </is>
      </c>
      <c r="I65" t="n">
        <v>2.9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Brunpudrad nållav
Tretåig hackspett</t>
        </is>
      </c>
      <c r="W65">
        <f>HYPERLINK("https://klasma.github.io/Logging_2085/artfynd/A 33155-2024 artfynd.xlsx", "A 33155-2024")</f>
        <v/>
      </c>
      <c r="X65">
        <f>HYPERLINK("https://klasma.github.io/Logging_2085/kartor/A 33155-2024 karta.png", "A 33155-2024")</f>
        <v/>
      </c>
      <c r="Y65">
        <f>HYPERLINK("https://klasma.github.io/Logging_2085/kartor_geotiff/A 33155-2024 georefererad karta.tif", "A 33155-2024")</f>
        <v/>
      </c>
      <c r="AA65">
        <f>HYPERLINK("https://klasma.github.io/Logging_2085/klagomål/A 33155-2024 FSC-klagomål.docx", "A 33155-2024")</f>
        <v/>
      </c>
      <c r="AB65">
        <f>HYPERLINK("https://klasma.github.io/Logging_2085/klagomålsmail/A 33155-2024 FSC-klagomål mail.docx", "A 33155-2024")</f>
        <v/>
      </c>
      <c r="AC65">
        <f>HYPERLINK("https://klasma.github.io/Logging_2085/tillsyn/A 33155-2024 tillsynsbegäran.docx", "A 33155-2024")</f>
        <v/>
      </c>
      <c r="AD65">
        <f>HYPERLINK("https://klasma.github.io/Logging_2085/tillsynsmail/A 33155-2024 tillsynsbegäran mail.docx", "A 33155-2024")</f>
        <v/>
      </c>
      <c r="AE65">
        <f>HYPERLINK("https://klasma.github.io/Logging_2085/fåglar/A 33155-2024 prioriterade fågelarter.docx", "A 33155-2024")</f>
        <v/>
      </c>
    </row>
    <row r="66" ht="15" customHeight="1">
      <c r="A66" t="inlineStr">
        <is>
          <t>A 44262-2025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46270</v>
      </c>
      <c r="F66" t="inlineStr">
        <is>
          <t>DALARNAS LÄN</t>
        </is>
      </c>
      <c r="G66" t="inlineStr">
        <is>
          <t>LUDVIKA</t>
        </is>
      </c>
      <c r="I66" t="n">
        <v>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6</v>
      </c>
      <c r="U66" t="n">
        <v>0</v>
      </c>
      <c r="V66" s="2" t="inlineStr">
        <is>
          <t>Nordfladdermus
Fläcknycklar</t>
        </is>
      </c>
      <c r="W66">
        <f>HYPERLINK("https://klasma.github.io/Logging_2085/artfynd/A 44262-2025 artfynd.xlsx", "A 44262-2025")</f>
        <v/>
      </c>
      <c r="X66">
        <f>HYPERLINK("https://klasma.github.io/Logging_2085/kartor/A 44262-2025 karta.png", "A 44262-2025")</f>
        <v/>
      </c>
      <c r="Y66">
        <f>HYPERLINK("https://klasma.github.io/Logging_2085/kartor_geotiff/A 44262-2025 georefererad karta.tif", "A 44262-2025")</f>
        <v/>
      </c>
      <c r="AA66">
        <f>HYPERLINK("https://klasma.github.io/Logging_2085/klagomål/A 44262-2025 FSC-klagomål.docx", "A 44262-2025")</f>
        <v/>
      </c>
      <c r="AB66">
        <f>HYPERLINK("https://klasma.github.io/Logging_2085/klagomålsmail/A 44262-2025 FSC-klagomål mail.docx", "A 44262-2025")</f>
        <v/>
      </c>
      <c r="AC66">
        <f>HYPERLINK("https://klasma.github.io/Logging_2085/tillsyn/A 44262-2025 tillsynsbegäran.docx", "A 44262-2025")</f>
        <v/>
      </c>
      <c r="AD66">
        <f>HYPERLINK("https://klasma.github.io/Logging_2085/tillsynsmail/A 44262-2025 tillsynsbegäran mail.docx", "A 44262-2025")</f>
        <v/>
      </c>
    </row>
    <row r="67" ht="15" customHeight="1">
      <c r="A67" t="inlineStr">
        <is>
          <t>A 21369-2023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46270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0.4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Skogsalm
Tibast</t>
        </is>
      </c>
      <c r="W67">
        <f>HYPERLINK("https://klasma.github.io/Logging_2085/artfynd/A 21369-2023 artfynd.xlsx", "A 21369-2023")</f>
        <v/>
      </c>
      <c r="X67">
        <f>HYPERLINK("https://klasma.github.io/Logging_2085/kartor/A 21369-2023 karta.png", "A 21369-2023")</f>
        <v/>
      </c>
      <c r="Y67">
        <f>HYPERLINK("https://klasma.github.io/Logging_2085/kartor_geotiff/A 21369-2023 georefererad karta.tif", "A 21369-2023")</f>
        <v/>
      </c>
      <c r="AA67">
        <f>HYPERLINK("https://klasma.github.io/Logging_2085/klagomål/A 21369-2023 FSC-klagomål.docx", "A 21369-2023")</f>
        <v/>
      </c>
      <c r="AB67">
        <f>HYPERLINK("https://klasma.github.io/Logging_2085/klagomålsmail/A 21369-2023 FSC-klagomål mail.docx", "A 21369-2023")</f>
        <v/>
      </c>
      <c r="AC67">
        <f>HYPERLINK("https://klasma.github.io/Logging_2085/tillsyn/A 21369-2023 tillsynsbegäran.docx", "A 21369-2023")</f>
        <v/>
      </c>
      <c r="AD67">
        <f>HYPERLINK("https://klasma.github.io/Logging_2085/tillsynsmail/A 21369-2023 tillsynsbegäran mail.docx", "A 21369-2023")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46270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Garnlav
Tretåig hackspett</t>
        </is>
      </c>
      <c r="W68">
        <f>HYPERLINK("https://klasma.github.io/Logging_2085/artfynd/A 49767-2025 artfynd.xlsx", "A 49767-2025")</f>
        <v/>
      </c>
      <c r="X68">
        <f>HYPERLINK("https://klasma.github.io/Logging_2085/kartor/A 49767-2025 karta.png", "A 49767-2025")</f>
        <v/>
      </c>
      <c r="Y68">
        <f>HYPERLINK("https://klasma.github.io/Logging_2085/kartor_geotiff/A 49767-2025 georefererad karta.tif", "A 49767-2025")</f>
        <v/>
      </c>
      <c r="AA68">
        <f>HYPERLINK("https://klasma.github.io/Logging_2085/klagomål/A 49767-2025 FSC-klagomål.docx", "A 49767-2025")</f>
        <v/>
      </c>
      <c r="AB68">
        <f>HYPERLINK("https://klasma.github.io/Logging_2085/klagomålsmail/A 49767-2025 FSC-klagomål mail.docx", "A 49767-2025")</f>
        <v/>
      </c>
      <c r="AC68">
        <f>HYPERLINK("https://klasma.github.io/Logging_2085/tillsyn/A 49767-2025 tillsynsbegäran.docx", "A 49767-2025")</f>
        <v/>
      </c>
      <c r="AD68">
        <f>HYPERLINK("https://klasma.github.io/Logging_2085/tillsynsmail/A 49767-2025 tillsynsbegäran mail.docx", "A 49767-2025")</f>
        <v/>
      </c>
      <c r="AE68">
        <f>HYPERLINK("https://klasma.github.io/Logging_2085/fåglar/A 49767-2025 prioriterade fågelarter.docx", "A 49767-2025")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46270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45225-2024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45575</v>
      </c>
      <c r="E70" s="1" t="n">
        <v>46270</v>
      </c>
      <c r="F70" t="inlineStr">
        <is>
          <t>DALARNAS LÄN</t>
        </is>
      </c>
      <c r="G70" t="inlineStr">
        <is>
          <t>LUDVIKA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Kungsfågel
Ärtsångare</t>
        </is>
      </c>
      <c r="W70">
        <f>HYPERLINK("https://klasma.github.io/Logging_2085/artfynd/A 45225-2024 artfynd.xlsx", "A 45225-2024")</f>
        <v/>
      </c>
      <c r="X70">
        <f>HYPERLINK("https://klasma.github.io/Logging_2085/kartor/A 45225-2024 karta.png", "A 45225-2024")</f>
        <v/>
      </c>
      <c r="Y70">
        <f>HYPERLINK("https://klasma.github.io/Logging_2085/kartor_geotiff/A 45225-2024 georefererad karta.tif", "A 45225-2024")</f>
        <v/>
      </c>
      <c r="AA70">
        <f>HYPERLINK("https://klasma.github.io/Logging_2085/klagomål/A 45225-2024 FSC-klagomål.docx", "A 45225-2024")</f>
        <v/>
      </c>
      <c r="AB70">
        <f>HYPERLINK("https://klasma.github.io/Logging_2085/klagomålsmail/A 45225-2024 FSC-klagomål mail.docx", "A 45225-2024")</f>
        <v/>
      </c>
      <c r="AC70">
        <f>HYPERLINK("https://klasma.github.io/Logging_2085/tillsyn/A 45225-2024 tillsynsbegäran.docx", "A 45225-2024")</f>
        <v/>
      </c>
      <c r="AD70">
        <f>HYPERLINK("https://klasma.github.io/Logging_2085/tillsynsmail/A 45225-2024 tillsynsbegäran mail.docx", "A 45225-2024")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46270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11755-2023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46270</v>
      </c>
      <c r="F72" t="inlineStr">
        <is>
          <t>DALARNAS LÄN</t>
        </is>
      </c>
      <c r="G72" t="inlineStr">
        <is>
          <t>LUDVIKA</t>
        </is>
      </c>
      <c r="H72" t="inlineStr">
        <is>
          <t>Övriga Aktiebolag</t>
        </is>
      </c>
      <c r="I72" t="n">
        <v>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Garnlav
Spillkråka</t>
        </is>
      </c>
      <c r="W72">
        <f>HYPERLINK("https://klasma.github.io/Logging_2085/artfynd/A 11755-2023 artfynd.xlsx", "A 11755-2023")</f>
        <v/>
      </c>
      <c r="X72">
        <f>HYPERLINK("https://klasma.github.io/Logging_2085/kartor/A 11755-2023 karta.png", "A 11755-2023")</f>
        <v/>
      </c>
      <c r="Y72">
        <f>HYPERLINK("https://klasma.github.io/Logging_2085/kartor_geotiff/A 11755-2023 georefererad karta.tif", "A 11755-2023")</f>
        <v/>
      </c>
      <c r="AA72">
        <f>HYPERLINK("https://klasma.github.io/Logging_2085/klagomål/A 11755-2023 FSC-klagomål.docx", "A 11755-2023")</f>
        <v/>
      </c>
      <c r="AB72">
        <f>HYPERLINK("https://klasma.github.io/Logging_2085/klagomålsmail/A 11755-2023 FSC-klagomål mail.docx", "A 11755-2023")</f>
        <v/>
      </c>
      <c r="AC72">
        <f>HYPERLINK("https://klasma.github.io/Logging_2085/tillsyn/A 11755-2023 tillsynsbegäran.docx", "A 11755-2023")</f>
        <v/>
      </c>
      <c r="AD72">
        <f>HYPERLINK("https://klasma.github.io/Logging_2085/tillsynsmail/A 11755-2023 tillsynsbegäran mail.docx", "A 11755-2023")</f>
        <v/>
      </c>
      <c r="AE72">
        <f>HYPERLINK("https://klasma.github.io/Logging_2085/fåglar/A 11755-2023 prioriterade fågelarter.docx", "A 11755-2023")</f>
        <v/>
      </c>
    </row>
    <row r="73" ht="15" customHeight="1">
      <c r="A73" t="inlineStr">
        <is>
          <t>A 56879-2025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46270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3</v>
      </c>
      <c r="V73" s="2" t="inlineStr">
        <is>
          <t>Garnlav
Tjäder</t>
        </is>
      </c>
      <c r="W73">
        <f>HYPERLINK("https://klasma.github.io/Logging_2085/artfynd/A 56879-2025 artfynd.xlsx", "A 56879-2025")</f>
        <v/>
      </c>
      <c r="X73">
        <f>HYPERLINK("https://klasma.github.io/Logging_2085/kartor/A 56879-2025 karta.png", "A 56879-2025")</f>
        <v/>
      </c>
      <c r="Y73">
        <f>HYPERLINK("https://klasma.github.io/Logging_2085/kartor_geotiff/A 56879-2025 georefererad karta.tif", "A 56879-2025")</f>
        <v/>
      </c>
      <c r="AA73">
        <f>HYPERLINK("https://klasma.github.io/Logging_2085/klagomål/A 56879-2025 FSC-klagomål.docx", "A 56879-2025")</f>
        <v/>
      </c>
      <c r="AB73">
        <f>HYPERLINK("https://klasma.github.io/Logging_2085/klagomålsmail/A 56879-2025 FSC-klagomål mail.docx", "A 56879-2025")</f>
        <v/>
      </c>
      <c r="AC73">
        <f>HYPERLINK("https://klasma.github.io/Logging_2085/tillsyn/A 56879-2025 tillsynsbegäran.docx", "A 56879-2025")</f>
        <v/>
      </c>
      <c r="AD73">
        <f>HYPERLINK("https://klasma.github.io/Logging_2085/tillsynsmail/A 56879-2025 tillsynsbegäran mail.docx", "A 56879-2025")</f>
        <v/>
      </c>
      <c r="AE73">
        <f>HYPERLINK("https://klasma.github.io/Logging_2085/fåglar/A 56879-2025 prioriterade fågelarter.docx", "A 56879-2025")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46270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46270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19512-2022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46270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Tretåig hackspett
Nästlav</t>
        </is>
      </c>
      <c r="W76">
        <f>HYPERLINK("https://klasma.github.io/Logging_2085/artfynd/A 19512-2022 artfynd.xlsx", "A 19512-2022")</f>
        <v/>
      </c>
      <c r="X76">
        <f>HYPERLINK("https://klasma.github.io/Logging_2085/kartor/A 19512-2022 karta.png", "A 19512-2022")</f>
        <v/>
      </c>
      <c r="Y76">
        <f>HYPERLINK("https://klasma.github.io/Logging_2085/kartor_geotiff/A 19512-2022 georefererad karta.tif", "A 19512-2022")</f>
        <v/>
      </c>
      <c r="AA76">
        <f>HYPERLINK("https://klasma.github.io/Logging_2085/klagomål/A 19512-2022 FSC-klagomål.docx", "A 19512-2022")</f>
        <v/>
      </c>
      <c r="AB76">
        <f>HYPERLINK("https://klasma.github.io/Logging_2085/klagomålsmail/A 19512-2022 FSC-klagomål mail.docx", "A 19512-2022")</f>
        <v/>
      </c>
      <c r="AC76">
        <f>HYPERLINK("https://klasma.github.io/Logging_2085/tillsyn/A 19512-2022 tillsynsbegäran.docx", "A 19512-2022")</f>
        <v/>
      </c>
      <c r="AD76">
        <f>HYPERLINK("https://klasma.github.io/Logging_2085/tillsynsmail/A 19512-2022 tillsynsbegäran mail.docx", "A 19512-2022")</f>
        <v/>
      </c>
      <c r="AE76">
        <f>HYPERLINK("https://klasma.github.io/Logging_2085/fåglar/A 19512-2022 prioriterade fågelarter.docx", "A 19512-2022")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46270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46270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46270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28727-2026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46270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14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Mindre märgborre</t>
        </is>
      </c>
      <c r="W80">
        <f>HYPERLINK("https://klasma.github.io/Logging_2085/artfynd/A 28727-2026 artfynd.xlsx", "A 28727-2026")</f>
        <v/>
      </c>
      <c r="X80">
        <f>HYPERLINK("https://klasma.github.io/Logging_2085/kartor/A 28727-2026 karta.png", "A 28727-2026")</f>
        <v/>
      </c>
      <c r="Y80">
        <f>HYPERLINK("https://klasma.github.io/Logging_2085/kartor_geotiff/A 28727-2026 georefererad karta.tif", "A 28727-2026")</f>
        <v/>
      </c>
      <c r="AA80">
        <f>HYPERLINK("https://klasma.github.io/Logging_2085/klagomål/A 28727-2026 FSC-klagomål.docx", "A 28727-2026")</f>
        <v/>
      </c>
      <c r="AB80">
        <f>HYPERLINK("https://klasma.github.io/Logging_2085/klagomålsmail/A 28727-2026 FSC-klagomål mail.docx", "A 28727-2026")</f>
        <v/>
      </c>
      <c r="AC80">
        <f>HYPERLINK("https://klasma.github.io/Logging_2085/tillsyn/A 28727-2026 tillsynsbegäran.docx", "A 28727-2026")</f>
        <v/>
      </c>
      <c r="AD80">
        <f>HYPERLINK("https://klasma.github.io/Logging_2085/tillsynsmail/A 28727-2026 tillsynsbegäran mail.docx", "A 28727-2026")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46270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46270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46270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46270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42558-2022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46270</v>
      </c>
      <c r="F85" t="inlineStr">
        <is>
          <t>DALARNAS LÄN</t>
        </is>
      </c>
      <c r="G85" t="inlineStr">
        <is>
          <t>LUDVIKA</t>
        </is>
      </c>
      <c r="H85" t="inlineStr">
        <is>
          <t>Naturvårdsverket</t>
        </is>
      </c>
      <c r="I85" t="n">
        <v>4.9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Gräddporing
Lopplummer (aggregat)</t>
        </is>
      </c>
      <c r="W85">
        <f>HYPERLINK("https://klasma.github.io/Logging_2085/artfynd/A 42558-2022 artfynd.xlsx", "A 42558-2022")</f>
        <v/>
      </c>
      <c r="X85">
        <f>HYPERLINK("https://klasma.github.io/Logging_2085/kartor/A 42558-2022 karta.png", "A 42558-2022")</f>
        <v/>
      </c>
      <c r="Y85">
        <f>HYPERLINK("https://klasma.github.io/Logging_2085/kartor_geotiff/A 42558-2022 georefererad karta.tif", "A 42558-2022")</f>
        <v/>
      </c>
      <c r="AA85">
        <f>HYPERLINK("https://klasma.github.io/Logging_2085/klagomål/A 42558-2022 FSC-klagomål.docx", "A 42558-2022")</f>
        <v/>
      </c>
      <c r="AB85">
        <f>HYPERLINK("https://klasma.github.io/Logging_2085/klagomålsmail/A 42558-2022 FSC-klagomål mail.docx", "A 42558-2022")</f>
        <v/>
      </c>
      <c r="AC85">
        <f>HYPERLINK("https://klasma.github.io/Logging_2085/tillsyn/A 42558-2022 tillsynsbegäran.docx", "A 42558-2022")</f>
        <v/>
      </c>
      <c r="AD85">
        <f>HYPERLINK("https://klasma.github.io/Logging_2085/tillsynsmail/A 42558-2022 tillsynsbegäran mail.docx", "A 42558-2022")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46270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46270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46270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46270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46270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46270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46270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51886-2022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46270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1.8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Brun gräsfjäril</t>
        </is>
      </c>
      <c r="W93">
        <f>HYPERLINK("https://klasma.github.io/Logging_2085/artfynd/A 51886-2022 artfynd.xlsx", "A 51886-2022")</f>
        <v/>
      </c>
      <c r="X93">
        <f>HYPERLINK("https://klasma.github.io/Logging_2085/kartor/A 51886-2022 karta.png", "A 51886-2022")</f>
        <v/>
      </c>
      <c r="Y93">
        <f>HYPERLINK("https://klasma.github.io/Logging_2085/kartor_geotiff/A 51886-2022 georefererad karta.tif", "A 51886-2022")</f>
        <v/>
      </c>
      <c r="AA93">
        <f>HYPERLINK("https://klasma.github.io/Logging_2085/klagomål/A 51886-2022 FSC-klagomål.docx", "A 51886-2022")</f>
        <v/>
      </c>
      <c r="AB93">
        <f>HYPERLINK("https://klasma.github.io/Logging_2085/klagomålsmail/A 51886-2022 FSC-klagomål mail.docx", "A 51886-2022")</f>
        <v/>
      </c>
      <c r="AC93">
        <f>HYPERLINK("https://klasma.github.io/Logging_2085/tillsyn/A 51886-2022 tillsynsbegäran.docx", "A 51886-2022")</f>
        <v/>
      </c>
      <c r="AD93">
        <f>HYPERLINK("https://klasma.github.io/Logging_2085/tillsynsmail/A 51886-2022 tillsynsbegäran mail.docx", "A 51886-2022")</f>
        <v/>
      </c>
    </row>
    <row r="94" ht="15" customHeight="1">
      <c r="A94" t="inlineStr">
        <is>
          <t>A 56119-2021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44477</v>
      </c>
      <c r="E94" s="1" t="n">
        <v>46270</v>
      </c>
      <c r="F94" t="inlineStr">
        <is>
          <t>DALARNAS LÄN</t>
        </is>
      </c>
      <c r="G94" t="inlineStr">
        <is>
          <t>LUDVIKA</t>
        </is>
      </c>
      <c r="I94" t="n">
        <v>1.3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HYPERLINK("https://klasma.github.io/Logging_2085/artfynd/A 56119-2021 artfynd.xlsx", "A 56119-2021")</f>
        <v/>
      </c>
      <c r="X94">
        <f>HYPERLINK("https://klasma.github.io/Logging_2085/kartor/A 56119-2021 karta.png", "A 56119-2021")</f>
        <v/>
      </c>
      <c r="Y94">
        <f>HYPERLINK("https://klasma.github.io/Logging_2085/kartor_geotiff/A 56119-2021 georefererad karta.tif", "A 56119-2021")</f>
        <v/>
      </c>
      <c r="AA94">
        <f>HYPERLINK("https://klasma.github.io/Logging_2085/klagomål/A 56119-2021 FSC-klagomål.docx", "A 56119-2021")</f>
        <v/>
      </c>
      <c r="AB94">
        <f>HYPERLINK("https://klasma.github.io/Logging_2085/klagomålsmail/A 56119-2021 FSC-klagomål mail.docx", "A 56119-2021")</f>
        <v/>
      </c>
      <c r="AC94">
        <f>HYPERLINK("https://klasma.github.io/Logging_2085/tillsyn/A 56119-2021 tillsynsbegäran.docx", "A 56119-2021")</f>
        <v/>
      </c>
      <c r="AD94">
        <f>HYPERLINK("https://klasma.github.io/Logging_2085/tillsynsmail/A 56119-2021 tillsynsbegäran mail.docx", "A 56119-2021")</f>
        <v/>
      </c>
    </row>
    <row r="95" ht="15" customHeight="1">
      <c r="A95" t="inlineStr">
        <is>
          <t>A 18189-2025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46270</v>
      </c>
      <c r="F95" t="inlineStr">
        <is>
          <t>DALARNAS LÄN</t>
        </is>
      </c>
      <c r="G95" t="inlineStr">
        <is>
          <t>LUDVIKA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HYPERLINK("https://klasma.github.io/Logging_2085/artfynd/A 18189-2025 artfynd.xlsx", "A 18189-2025")</f>
        <v/>
      </c>
      <c r="X95">
        <f>HYPERLINK("https://klasma.github.io/Logging_2085/kartor/A 18189-2025 karta.png", "A 18189-2025")</f>
        <v/>
      </c>
      <c r="Y95">
        <f>HYPERLINK("https://klasma.github.io/Logging_2085/kartor_geotiff/A 18189-2025 georefererad karta.tif", "A 18189-2025")</f>
        <v/>
      </c>
      <c r="AA95">
        <f>HYPERLINK("https://klasma.github.io/Logging_2085/klagomål/A 18189-2025 FSC-klagomål.docx", "A 18189-2025")</f>
        <v/>
      </c>
      <c r="AB95">
        <f>HYPERLINK("https://klasma.github.io/Logging_2085/klagomålsmail/A 18189-2025 FSC-klagomål mail.docx", "A 18189-2025")</f>
        <v/>
      </c>
      <c r="AC95">
        <f>HYPERLINK("https://klasma.github.io/Logging_2085/tillsyn/A 18189-2025 tillsynsbegäran.docx", "A 18189-2025")</f>
        <v/>
      </c>
      <c r="AD95">
        <f>HYPERLINK("https://klasma.github.io/Logging_2085/tillsynsmail/A 18189-2025 tillsynsbegäran mail.docx", "A 18189-2025")</f>
        <v/>
      </c>
    </row>
    <row r="96" ht="15" customHeight="1">
      <c r="A96" t="inlineStr">
        <is>
          <t>A 44578-2023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46270</v>
      </c>
      <c r="F96" t="inlineStr">
        <is>
          <t>DALARNAS LÄN</t>
        </is>
      </c>
      <c r="G96" t="inlineStr">
        <is>
          <t>LUDVIKA</t>
        </is>
      </c>
      <c r="H96" t="inlineStr">
        <is>
          <t>Övriga Aktiebolag</t>
        </is>
      </c>
      <c r="I96" t="n">
        <v>12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Dofttaggsvamp</t>
        </is>
      </c>
      <c r="W96">
        <f>HYPERLINK("https://klasma.github.io/Logging_2085/artfynd/A 44578-2023 artfynd.xlsx", "A 44578-2023")</f>
        <v/>
      </c>
      <c r="X96">
        <f>HYPERLINK("https://klasma.github.io/Logging_2085/kartor/A 44578-2023 karta.png", "A 44578-2023")</f>
        <v/>
      </c>
      <c r="Y96">
        <f>HYPERLINK("https://klasma.github.io/Logging_2085/kartor_geotiff/A 44578-2023 georefererad karta.tif", "A 44578-2023")</f>
        <v/>
      </c>
      <c r="AA96">
        <f>HYPERLINK("https://klasma.github.io/Logging_2085/klagomål/A 44578-2023 FSC-klagomål.docx", "A 44578-2023")</f>
        <v/>
      </c>
      <c r="AB96">
        <f>HYPERLINK("https://klasma.github.io/Logging_2085/klagomålsmail/A 44578-2023 FSC-klagomål mail.docx", "A 44578-2023")</f>
        <v/>
      </c>
      <c r="AC96">
        <f>HYPERLINK("https://klasma.github.io/Logging_2085/tillsyn/A 44578-2023 tillsynsbegäran.docx", "A 44578-2023")</f>
        <v/>
      </c>
      <c r="AD96">
        <f>HYPERLINK("https://klasma.github.io/Logging_2085/tillsynsmail/A 44578-2023 tillsynsbegäran mail.docx", "A 44578-2023")</f>
        <v/>
      </c>
    </row>
    <row r="97" ht="15" customHeight="1">
      <c r="A97" t="inlineStr">
        <is>
          <t>A 6579-2023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44960</v>
      </c>
      <c r="E97" s="1" t="n">
        <v>46270</v>
      </c>
      <c r="F97" t="inlineStr">
        <is>
          <t>DALARNAS LÄN</t>
        </is>
      </c>
      <c r="G97" t="inlineStr">
        <is>
          <t>LUDVIKA</t>
        </is>
      </c>
      <c r="I97" t="n">
        <v>3.4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HYPERLINK("https://klasma.github.io/Logging_2085/artfynd/A 6579-2023 artfynd.xlsx", "A 6579-2023")</f>
        <v/>
      </c>
      <c r="X97">
        <f>HYPERLINK("https://klasma.github.io/Logging_2085/kartor/A 6579-2023 karta.png", "A 6579-2023")</f>
        <v/>
      </c>
      <c r="Y97">
        <f>HYPERLINK("https://klasma.github.io/Logging_2085/kartor_geotiff/A 6579-2023 georefererad karta.tif", "A 6579-2023")</f>
        <v/>
      </c>
      <c r="AA97">
        <f>HYPERLINK("https://klasma.github.io/Logging_2085/klagomål/A 6579-2023 FSC-klagomål.docx", "A 6579-2023")</f>
        <v/>
      </c>
      <c r="AB97">
        <f>HYPERLINK("https://klasma.github.io/Logging_2085/klagomålsmail/A 6579-2023 FSC-klagomål mail.docx", "A 6579-2023")</f>
        <v/>
      </c>
      <c r="AC97">
        <f>HYPERLINK("https://klasma.github.io/Logging_2085/tillsyn/A 6579-2023 tillsynsbegäran.docx", "A 6579-2023")</f>
        <v/>
      </c>
      <c r="AD97">
        <f>HYPERLINK("https://klasma.github.io/Logging_2085/tillsynsmail/A 6579-2023 tillsynsbegäran mail.docx", "A 6579-2023")</f>
        <v/>
      </c>
    </row>
    <row r="98" ht="15" customHeight="1">
      <c r="A98" t="inlineStr">
        <is>
          <t>A 55550-2022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46270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Ögonpyrola</t>
        </is>
      </c>
      <c r="W98">
        <f>HYPERLINK("https://klasma.github.io/Logging_2085/artfynd/A 55550-2022 artfynd.xlsx", "A 55550-2022")</f>
        <v/>
      </c>
      <c r="X98">
        <f>HYPERLINK("https://klasma.github.io/Logging_2085/kartor/A 55550-2022 karta.png", "A 55550-2022")</f>
        <v/>
      </c>
      <c r="Y98">
        <f>HYPERLINK("https://klasma.github.io/Logging_2085/kartor_geotiff/A 55550-2022 georefererad karta.tif", "A 55550-2022")</f>
        <v/>
      </c>
      <c r="AA98">
        <f>HYPERLINK("https://klasma.github.io/Logging_2085/klagomål/A 55550-2022 FSC-klagomål.docx", "A 55550-2022")</f>
        <v/>
      </c>
      <c r="AB98">
        <f>HYPERLINK("https://klasma.github.io/Logging_2085/klagomålsmail/A 55550-2022 FSC-klagomål mail.docx", "A 55550-2022")</f>
        <v/>
      </c>
      <c r="AC98">
        <f>HYPERLINK("https://klasma.github.io/Logging_2085/tillsyn/A 55550-2022 tillsynsbegäran.docx", "A 55550-2022")</f>
        <v/>
      </c>
      <c r="AD98">
        <f>HYPERLINK("https://klasma.github.io/Logging_2085/tillsynsmail/A 55550-2022 tillsynsbegäran mail.docx", "A 55550-2022")</f>
        <v/>
      </c>
    </row>
    <row r="99" ht="15" customHeight="1">
      <c r="A99" t="inlineStr">
        <is>
          <t>A 1047-2023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46270</v>
      </c>
      <c r="F99" t="inlineStr">
        <is>
          <t>DALARNAS LÄN</t>
        </is>
      </c>
      <c r="G99" t="inlineStr">
        <is>
          <t>LUDVIKA</t>
        </is>
      </c>
      <c r="H99" t="inlineStr">
        <is>
          <t>Kommuner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Ullticka</t>
        </is>
      </c>
      <c r="W99">
        <f>HYPERLINK("https://klasma.github.io/Logging_2085/artfynd/A 1047-2023 artfynd.xlsx", "A 1047-2023")</f>
        <v/>
      </c>
      <c r="X99">
        <f>HYPERLINK("https://klasma.github.io/Logging_2085/kartor/A 1047-2023 karta.png", "A 1047-2023")</f>
        <v/>
      </c>
      <c r="Y99">
        <f>HYPERLINK("https://klasma.github.io/Logging_2085/kartor_geotiff/A 1047-2023 georefererad karta.tif", "A 1047-2023")</f>
        <v/>
      </c>
      <c r="AA99">
        <f>HYPERLINK("https://klasma.github.io/Logging_2085/klagomål/A 1047-2023 FSC-klagomål.docx", "A 1047-2023")</f>
        <v/>
      </c>
      <c r="AB99">
        <f>HYPERLINK("https://klasma.github.io/Logging_2085/klagomålsmail/A 1047-2023 FSC-klagomål mail.docx", "A 1047-2023")</f>
        <v/>
      </c>
      <c r="AC99">
        <f>HYPERLINK("https://klasma.github.io/Logging_2085/tillsyn/A 1047-2023 tillsynsbegäran.docx", "A 1047-2023")</f>
        <v/>
      </c>
      <c r="AD99">
        <f>HYPERLINK("https://klasma.github.io/Logging_2085/tillsynsmail/A 1047-2023 tillsynsbegäran mail.docx", "A 1047-2023")</f>
        <v/>
      </c>
    </row>
    <row r="100" ht="15" customHeight="1">
      <c r="A100" t="inlineStr">
        <is>
          <t>A 1237-2026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46270</v>
      </c>
      <c r="F100" t="inlineStr">
        <is>
          <t>DALARNAS LÄN</t>
        </is>
      </c>
      <c r="G100" t="inlineStr">
        <is>
          <t>LUDVIKA</t>
        </is>
      </c>
      <c r="I100" t="n">
        <v>5.9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3</v>
      </c>
      <c r="U100" t="n">
        <v>0</v>
      </c>
      <c r="V100" s="2" t="inlineStr">
        <is>
          <t>Fläcknycklar</t>
        </is>
      </c>
      <c r="W100">
        <f>HYPERLINK("https://klasma.github.io/Logging_2085/artfynd/A 1237-2026 artfynd.xlsx", "A 1237-2026")</f>
        <v/>
      </c>
      <c r="X100">
        <f>HYPERLINK("https://klasma.github.io/Logging_2085/kartor/A 1237-2026 karta.png", "A 1237-2026")</f>
        <v/>
      </c>
      <c r="Y100">
        <f>HYPERLINK("https://klasma.github.io/Logging_2085/kartor_geotiff/A 1237-2026 georefererad karta.tif", "A 1237-2026")</f>
        <v/>
      </c>
      <c r="AA100">
        <f>HYPERLINK("https://klasma.github.io/Logging_2085/klagomål/A 1237-2026 FSC-klagomål.docx", "A 1237-2026")</f>
        <v/>
      </c>
      <c r="AB100">
        <f>HYPERLINK("https://klasma.github.io/Logging_2085/klagomålsmail/A 1237-2026 FSC-klagomål mail.docx", "A 1237-2026")</f>
        <v/>
      </c>
      <c r="AC100">
        <f>HYPERLINK("https://klasma.github.io/Logging_2085/tillsyn/A 1237-2026 tillsynsbegäran.docx", "A 1237-2026")</f>
        <v/>
      </c>
      <c r="AD100">
        <f>HYPERLINK("https://klasma.github.io/Logging_2085/tillsynsmail/A 1237-2026 tillsynsbegäran mail.docx", "A 1237-2026")</f>
        <v/>
      </c>
    </row>
    <row r="101" ht="15" customHeight="1">
      <c r="A101" t="inlineStr">
        <is>
          <t>A 45791-2025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46270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3.2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Vitfläckig guldvinge</t>
        </is>
      </c>
      <c r="W101">
        <f>HYPERLINK("https://klasma.github.io/Logging_2085/artfynd/A 45791-2025 artfynd.xlsx", "A 45791-2025")</f>
        <v/>
      </c>
      <c r="X101">
        <f>HYPERLINK("https://klasma.github.io/Logging_2085/kartor/A 45791-2025 karta.png", "A 45791-2025")</f>
        <v/>
      </c>
      <c r="Y101">
        <f>HYPERLINK("https://klasma.github.io/Logging_2085/kartor_geotiff/A 45791-2025 georefererad karta.tif", "A 45791-2025")</f>
        <v/>
      </c>
      <c r="AA101">
        <f>HYPERLINK("https://klasma.github.io/Logging_2085/klagomål/A 45791-2025 FSC-klagomål.docx", "A 45791-2025")</f>
        <v/>
      </c>
      <c r="AB101">
        <f>HYPERLINK("https://klasma.github.io/Logging_2085/klagomålsmail/A 45791-2025 FSC-klagomål mail.docx", "A 45791-2025")</f>
        <v/>
      </c>
      <c r="AC101">
        <f>HYPERLINK("https://klasma.github.io/Logging_2085/tillsyn/A 45791-2025 tillsynsbegäran.docx", "A 45791-2025")</f>
        <v/>
      </c>
      <c r="AD101">
        <f>HYPERLINK("https://klasma.github.io/Logging_2085/tillsynsmail/A 45791-2025 tillsynsbegäran mail.docx", "A 45791-2025")</f>
        <v/>
      </c>
    </row>
    <row r="102" ht="15" customHeight="1">
      <c r="A102" t="inlineStr">
        <is>
          <t>A 45858-2025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46270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Granbarkgnagare</t>
        </is>
      </c>
      <c r="W102">
        <f>HYPERLINK("https://klasma.github.io/Logging_2085/artfynd/A 45858-2025 artfynd.xlsx", "A 45858-2025")</f>
        <v/>
      </c>
      <c r="X102">
        <f>HYPERLINK("https://klasma.github.io/Logging_2085/kartor/A 45858-2025 karta.png", "A 45858-2025")</f>
        <v/>
      </c>
      <c r="Y102">
        <f>HYPERLINK("https://klasma.github.io/Logging_2085/kartor_geotiff/A 45858-2025 georefererad karta.tif", "A 45858-2025")</f>
        <v/>
      </c>
      <c r="AA102">
        <f>HYPERLINK("https://klasma.github.io/Logging_2085/klagomål/A 45858-2025 FSC-klagomål.docx", "A 45858-2025")</f>
        <v/>
      </c>
      <c r="AB102">
        <f>HYPERLINK("https://klasma.github.io/Logging_2085/klagomålsmail/A 45858-2025 FSC-klagomål mail.docx", "A 45858-2025")</f>
        <v/>
      </c>
      <c r="AC102">
        <f>HYPERLINK("https://klasma.github.io/Logging_2085/tillsyn/A 45858-2025 tillsynsbegäran.docx", "A 45858-2025")</f>
        <v/>
      </c>
      <c r="AD102">
        <f>HYPERLINK("https://klasma.github.io/Logging_2085/tillsynsmail/A 45858-2025 tillsynsbegäran mail.docx", "A 45858-2025")</f>
        <v/>
      </c>
    </row>
    <row r="103" ht="15" customHeight="1">
      <c r="A103" t="inlineStr">
        <is>
          <t>A 29733-2025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46270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10.4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Stuplav</t>
        </is>
      </c>
      <c r="W103">
        <f>HYPERLINK("https://klasma.github.io/Logging_2085/artfynd/A 29733-2025 artfynd.xlsx", "A 29733-2025")</f>
        <v/>
      </c>
      <c r="X103">
        <f>HYPERLINK("https://klasma.github.io/Logging_2085/kartor/A 29733-2025 karta.png", "A 29733-2025")</f>
        <v/>
      </c>
      <c r="Y103">
        <f>HYPERLINK("https://klasma.github.io/Logging_2085/kartor_geotiff/A 29733-2025 georefererad karta.tif", "A 29733-2025")</f>
        <v/>
      </c>
      <c r="AA103">
        <f>HYPERLINK("https://klasma.github.io/Logging_2085/klagomål/A 29733-2025 FSC-klagomål.docx", "A 29733-2025")</f>
        <v/>
      </c>
      <c r="AB103">
        <f>HYPERLINK("https://klasma.github.io/Logging_2085/klagomålsmail/A 29733-2025 FSC-klagomål mail.docx", "A 29733-2025")</f>
        <v/>
      </c>
      <c r="AC103">
        <f>HYPERLINK("https://klasma.github.io/Logging_2085/tillsyn/A 29733-2025 tillsynsbegäran.docx", "A 29733-2025")</f>
        <v/>
      </c>
      <c r="AD103">
        <f>HYPERLINK("https://klasma.github.io/Logging_2085/tillsynsmail/A 29733-2025 tillsynsbegäran mail.docx", "A 29733-2025")</f>
        <v/>
      </c>
    </row>
    <row r="104" ht="15" customHeight="1">
      <c r="A104" t="inlineStr">
        <is>
          <t>A 3687-2024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46270</v>
      </c>
      <c r="F104" t="inlineStr">
        <is>
          <t>DALARNAS LÄN</t>
        </is>
      </c>
      <c r="G104" t="inlineStr">
        <is>
          <t>LUDVIKA</t>
        </is>
      </c>
      <c r="I104" t="n">
        <v>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Nordfladdermus</t>
        </is>
      </c>
      <c r="W104">
        <f>HYPERLINK("https://klasma.github.io/Logging_2085/artfynd/A 3687-2024 artfynd.xlsx", "A 3687-2024")</f>
        <v/>
      </c>
      <c r="X104">
        <f>HYPERLINK("https://klasma.github.io/Logging_2085/kartor/A 3687-2024 karta.png", "A 3687-2024")</f>
        <v/>
      </c>
      <c r="Y104">
        <f>HYPERLINK("https://klasma.github.io/Logging_2085/kartor_geotiff/A 3687-2024 georefererad karta.tif", "A 3687-2024")</f>
        <v/>
      </c>
      <c r="AA104">
        <f>HYPERLINK("https://klasma.github.io/Logging_2085/klagomål/A 3687-2024 FSC-klagomål.docx", "A 3687-2024")</f>
        <v/>
      </c>
      <c r="AB104">
        <f>HYPERLINK("https://klasma.github.io/Logging_2085/klagomålsmail/A 3687-2024 FSC-klagomål mail.docx", "A 3687-2024")</f>
        <v/>
      </c>
      <c r="AC104">
        <f>HYPERLINK("https://klasma.github.io/Logging_2085/tillsyn/A 3687-2024 tillsynsbegäran.docx", "A 3687-2024")</f>
        <v/>
      </c>
      <c r="AD104">
        <f>HYPERLINK("https://klasma.github.io/Logging_2085/tillsynsmail/A 3687-2024 tillsynsbegäran mail.docx", "A 3687-2024")</f>
        <v/>
      </c>
    </row>
    <row r="105" ht="15" customHeight="1">
      <c r="A105" t="inlineStr">
        <is>
          <t>A 33560-2023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45131</v>
      </c>
      <c r="E105" s="1" t="n">
        <v>46270</v>
      </c>
      <c r="F105" t="inlineStr">
        <is>
          <t>DALARNAS LÄN</t>
        </is>
      </c>
      <c r="G105" t="inlineStr">
        <is>
          <t>LUDVIKA</t>
        </is>
      </c>
      <c r="I105" t="n">
        <v>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vattensalamander</t>
        </is>
      </c>
      <c r="W105">
        <f>HYPERLINK("https://klasma.github.io/Logging_2085/artfynd/A 33560-2023 artfynd.xlsx", "A 33560-2023")</f>
        <v/>
      </c>
      <c r="X105">
        <f>HYPERLINK("https://klasma.github.io/Logging_2085/kartor/A 33560-2023 karta.png", "A 33560-2023")</f>
        <v/>
      </c>
      <c r="Y105">
        <f>HYPERLINK("https://klasma.github.io/Logging_2085/kartor_geotiff/A 33560-2023 georefererad karta.tif", "A 33560-2023")</f>
        <v/>
      </c>
      <c r="AA105">
        <f>HYPERLINK("https://klasma.github.io/Logging_2085/klagomål/A 33560-2023 FSC-klagomål.docx", "A 33560-2023")</f>
        <v/>
      </c>
      <c r="AB105">
        <f>HYPERLINK("https://klasma.github.io/Logging_2085/klagomålsmail/A 33560-2023 FSC-klagomål mail.docx", "A 33560-2023")</f>
        <v/>
      </c>
      <c r="AC105">
        <f>HYPERLINK("https://klasma.github.io/Logging_2085/tillsyn/A 33560-2023 tillsynsbegäran.docx", "A 33560-2023")</f>
        <v/>
      </c>
      <c r="AD105">
        <f>HYPERLINK("https://klasma.github.io/Logging_2085/tillsynsmail/A 33560-2023 tillsynsbegäran mail.docx", "A 33560-2023")</f>
        <v/>
      </c>
    </row>
    <row r="106" ht="15" customHeight="1">
      <c r="A106" t="inlineStr">
        <is>
          <t>A 59947-2025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46270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Tjäder</t>
        </is>
      </c>
      <c r="W106">
        <f>HYPERLINK("https://klasma.github.io/Logging_2085/artfynd/A 59947-2025 artfynd.xlsx", "A 59947-2025")</f>
        <v/>
      </c>
      <c r="X106">
        <f>HYPERLINK("https://klasma.github.io/Logging_2085/kartor/A 59947-2025 karta.png", "A 59947-2025")</f>
        <v/>
      </c>
      <c r="Y106">
        <f>HYPERLINK("https://klasma.github.io/Logging_2085/kartor_geotiff/A 59947-2025 georefererad karta.tif", "A 59947-2025")</f>
        <v/>
      </c>
      <c r="AA106">
        <f>HYPERLINK("https://klasma.github.io/Logging_2085/klagomål/A 59947-2025 FSC-klagomål.docx", "A 59947-2025")</f>
        <v/>
      </c>
      <c r="AB106">
        <f>HYPERLINK("https://klasma.github.io/Logging_2085/klagomålsmail/A 59947-2025 FSC-klagomål mail.docx", "A 59947-2025")</f>
        <v/>
      </c>
      <c r="AC106">
        <f>HYPERLINK("https://klasma.github.io/Logging_2085/tillsyn/A 59947-2025 tillsynsbegäran.docx", "A 59947-2025")</f>
        <v/>
      </c>
      <c r="AD106">
        <f>HYPERLINK("https://klasma.github.io/Logging_2085/tillsynsmail/A 59947-2025 tillsynsbegäran mail.docx", "A 59947-2025")</f>
        <v/>
      </c>
      <c r="AE106">
        <f>HYPERLINK("https://klasma.github.io/Logging_2085/fåglar/A 59947-2025 prioriterade fågelarter.docx", "A 59947-2025")</f>
        <v/>
      </c>
    </row>
    <row r="107" ht="15" customHeight="1">
      <c r="A107" t="inlineStr">
        <is>
          <t>A 74401-2021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46270</v>
      </c>
      <c r="F107" t="inlineStr">
        <is>
          <t>DALARNAS LÄN</t>
        </is>
      </c>
      <c r="G107" t="inlineStr">
        <is>
          <t>LUDVIKA</t>
        </is>
      </c>
      <c r="H107" t="inlineStr">
        <is>
          <t>Kommuner</t>
        </is>
      </c>
      <c r="I107" t="n">
        <v>0.6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Gullgröppa</t>
        </is>
      </c>
      <c r="W107">
        <f>HYPERLINK("https://klasma.github.io/Logging_2085/artfynd/A 74401-2021 artfynd.xlsx", "A 74401-2021")</f>
        <v/>
      </c>
      <c r="X107">
        <f>HYPERLINK("https://klasma.github.io/Logging_2085/kartor/A 74401-2021 karta.png", "A 74401-2021")</f>
        <v/>
      </c>
      <c r="Y107">
        <f>HYPERLINK("https://klasma.github.io/Logging_2085/kartor_geotiff/A 74401-2021 georefererad karta.tif", "A 74401-2021")</f>
        <v/>
      </c>
      <c r="AA107">
        <f>HYPERLINK("https://klasma.github.io/Logging_2085/klagomål/A 74401-2021 FSC-klagomål.docx", "A 74401-2021")</f>
        <v/>
      </c>
      <c r="AB107">
        <f>HYPERLINK("https://klasma.github.io/Logging_2085/klagomålsmail/A 74401-2021 FSC-klagomål mail.docx", "A 74401-2021")</f>
        <v/>
      </c>
      <c r="AC107">
        <f>HYPERLINK("https://klasma.github.io/Logging_2085/tillsyn/A 74401-2021 tillsynsbegäran.docx", "A 74401-2021")</f>
        <v/>
      </c>
      <c r="AD107">
        <f>HYPERLINK("https://klasma.github.io/Logging_2085/tillsynsmail/A 74401-2021 tillsynsbegäran mail.docx", "A 74401-2021")</f>
        <v/>
      </c>
    </row>
    <row r="108" ht="15" customHeight="1">
      <c r="A108" t="inlineStr">
        <is>
          <t>A 26850-2023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46270</v>
      </c>
      <c r="F108" t="inlineStr">
        <is>
          <t>DALARNAS LÄN</t>
        </is>
      </c>
      <c r="G108" t="inlineStr">
        <is>
          <t>LUDVIKA</t>
        </is>
      </c>
      <c r="H108" t="inlineStr">
        <is>
          <t>Naturvårdsverket</t>
        </is>
      </c>
      <c r="I108" t="n">
        <v>2.7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HYPERLINK("https://klasma.github.io/Logging_2085/artfynd/A 26850-2023 artfynd.xlsx", "A 26850-2023")</f>
        <v/>
      </c>
      <c r="X108">
        <f>HYPERLINK("https://klasma.github.io/Logging_2085/kartor/A 26850-2023 karta.png", "A 26850-2023")</f>
        <v/>
      </c>
      <c r="Y108">
        <f>HYPERLINK("https://klasma.github.io/Logging_2085/kartor_geotiff/A 26850-2023 georefererad karta.tif", "A 26850-2023")</f>
        <v/>
      </c>
      <c r="AA108">
        <f>HYPERLINK("https://klasma.github.io/Logging_2085/klagomål/A 26850-2023 FSC-klagomål.docx", "A 26850-2023")</f>
        <v/>
      </c>
      <c r="AB108">
        <f>HYPERLINK("https://klasma.github.io/Logging_2085/klagomålsmail/A 26850-2023 FSC-klagomål mail.docx", "A 26850-2023")</f>
        <v/>
      </c>
      <c r="AC108">
        <f>HYPERLINK("https://klasma.github.io/Logging_2085/tillsyn/A 26850-2023 tillsynsbegäran.docx", "A 26850-2023")</f>
        <v/>
      </c>
      <c r="AD108">
        <f>HYPERLINK("https://klasma.github.io/Logging_2085/tillsynsmail/A 26850-2023 tillsynsbegäran mail.docx", "A 26850-2023")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46270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62275-2022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46270</v>
      </c>
      <c r="F110" t="inlineStr">
        <is>
          <t>DALARNAS LÄN</t>
        </is>
      </c>
      <c r="G110" t="inlineStr">
        <is>
          <t>LUDVIKA</t>
        </is>
      </c>
      <c r="I110" t="n">
        <v>4.6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Knärot</t>
        </is>
      </c>
      <c r="W110">
        <f>HYPERLINK("https://klasma.github.io/Logging_2085/artfynd/A 62275-2022 artfynd.xlsx", "A 62275-2022")</f>
        <v/>
      </c>
      <c r="X110">
        <f>HYPERLINK("https://klasma.github.io/Logging_2085/kartor/A 62275-2022 karta.png", "A 62275-2022")</f>
        <v/>
      </c>
      <c r="Y110">
        <f>HYPERLINK("https://klasma.github.io/Logging_2085/kartor_geotiff/A 62275-2022 georefererad karta.tif", "A 62275-2022")</f>
        <v/>
      </c>
      <c r="Z110">
        <f>HYPERLINK("https://klasma.github.io/Logging_2085/knärot/A 62275-2022 karta knärot.png", "A 62275-2022")</f>
        <v/>
      </c>
      <c r="AA110">
        <f>HYPERLINK("https://klasma.github.io/Logging_2085/klagomål/A 62275-2022 FSC-klagomål.docx", "A 62275-2022")</f>
        <v/>
      </c>
      <c r="AB110">
        <f>HYPERLINK("https://klasma.github.io/Logging_2085/klagomålsmail/A 62275-2022 FSC-klagomål mail.docx", "A 62275-2022")</f>
        <v/>
      </c>
      <c r="AC110">
        <f>HYPERLINK("https://klasma.github.io/Logging_2085/tillsyn/A 62275-2022 tillsynsbegäran.docx", "A 62275-2022")</f>
        <v/>
      </c>
      <c r="AD110">
        <f>HYPERLINK("https://klasma.github.io/Logging_2085/tillsynsmail/A 62275-2022 tillsynsbegäran mail.docx", "A 62275-2022")</f>
        <v/>
      </c>
    </row>
    <row r="111" ht="15" customHeight="1">
      <c r="A111" t="inlineStr">
        <is>
          <t>A 25588-2023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45089</v>
      </c>
      <c r="E111" s="1" t="n">
        <v>46270</v>
      </c>
      <c r="F111" t="inlineStr">
        <is>
          <t>DALARNAS LÄN</t>
        </is>
      </c>
      <c r="G111" t="inlineStr">
        <is>
          <t>LUDVIKA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Garnlav</t>
        </is>
      </c>
      <c r="W111">
        <f>HYPERLINK("https://klasma.github.io/Logging_2085/artfynd/A 25588-2023 artfynd.xlsx", "A 25588-2023")</f>
        <v/>
      </c>
      <c r="X111">
        <f>HYPERLINK("https://klasma.github.io/Logging_2085/kartor/A 25588-2023 karta.png", "A 25588-2023")</f>
        <v/>
      </c>
      <c r="Y111">
        <f>HYPERLINK("https://klasma.github.io/Logging_2085/kartor_geotiff/A 25588-2023 georefererad karta.tif", "A 25588-2023")</f>
        <v/>
      </c>
      <c r="AA111">
        <f>HYPERLINK("https://klasma.github.io/Logging_2085/klagomål/A 25588-2023 FSC-klagomål.docx", "A 25588-2023")</f>
        <v/>
      </c>
      <c r="AB111">
        <f>HYPERLINK("https://klasma.github.io/Logging_2085/klagomålsmail/A 25588-2023 FSC-klagomål mail.docx", "A 25588-2023")</f>
        <v/>
      </c>
      <c r="AC111">
        <f>HYPERLINK("https://klasma.github.io/Logging_2085/tillsyn/A 25588-2023 tillsynsbegäran.docx", "A 25588-2023")</f>
        <v/>
      </c>
      <c r="AD111">
        <f>HYPERLINK("https://klasma.github.io/Logging_2085/tillsynsmail/A 25588-2023 tillsynsbegäran mail.docx", "A 25588-2023")</f>
        <v/>
      </c>
    </row>
    <row r="112" ht="15" customHeight="1">
      <c r="A112" t="inlineStr">
        <is>
          <t>A 59873-2025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46270</v>
      </c>
      <c r="F112" t="inlineStr">
        <is>
          <t>DALARNAS LÄN</t>
        </is>
      </c>
      <c r="G112" t="inlineStr">
        <is>
          <t>LUDVIKA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Lateritticka</t>
        </is>
      </c>
      <c r="W112">
        <f>HYPERLINK("https://klasma.github.io/Logging_2085/artfynd/A 59873-2025 artfynd.xlsx", "A 59873-2025")</f>
        <v/>
      </c>
      <c r="X112">
        <f>HYPERLINK("https://klasma.github.io/Logging_2085/kartor/A 59873-2025 karta.png", "A 59873-2025")</f>
        <v/>
      </c>
      <c r="Y112">
        <f>HYPERLINK("https://klasma.github.io/Logging_2085/kartor_geotiff/A 59873-2025 georefererad karta.tif", "A 59873-2025")</f>
        <v/>
      </c>
      <c r="AA112">
        <f>HYPERLINK("https://klasma.github.io/Logging_2085/klagomål/A 59873-2025 FSC-klagomål.docx", "A 59873-2025")</f>
        <v/>
      </c>
      <c r="AB112">
        <f>HYPERLINK("https://klasma.github.io/Logging_2085/klagomålsmail/A 59873-2025 FSC-klagomål mail.docx", "A 59873-2025")</f>
        <v/>
      </c>
      <c r="AC112">
        <f>HYPERLINK("https://klasma.github.io/Logging_2085/tillsyn/A 59873-2025 tillsynsbegäran.docx", "A 59873-2025")</f>
        <v/>
      </c>
      <c r="AD112">
        <f>HYPERLINK("https://klasma.github.io/Logging_2085/tillsynsmail/A 59873-2025 tillsynsbegäran mail.docx", "A 59873-2025")</f>
        <v/>
      </c>
    </row>
    <row r="113" ht="15" customHeight="1">
      <c r="A113" t="inlineStr">
        <is>
          <t>A 62676-2025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46270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4.2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HYPERLINK("https://klasma.github.io/Logging_2085/artfynd/A 62676-2025 artfynd.xlsx", "A 62676-2025")</f>
        <v/>
      </c>
      <c r="X113">
        <f>HYPERLINK("https://klasma.github.io/Logging_2085/kartor/A 62676-2025 karta.png", "A 62676-2025")</f>
        <v/>
      </c>
      <c r="Y113">
        <f>HYPERLINK("https://klasma.github.io/Logging_2085/kartor_geotiff/A 62676-2025 georefererad karta.tif", "A 62676-2025")</f>
        <v/>
      </c>
      <c r="AA113">
        <f>HYPERLINK("https://klasma.github.io/Logging_2085/klagomål/A 62676-2025 FSC-klagomål.docx", "A 62676-2025")</f>
        <v/>
      </c>
      <c r="AB113">
        <f>HYPERLINK("https://klasma.github.io/Logging_2085/klagomålsmail/A 62676-2025 FSC-klagomål mail.docx", "A 62676-2025")</f>
        <v/>
      </c>
      <c r="AC113">
        <f>HYPERLINK("https://klasma.github.io/Logging_2085/tillsyn/A 62676-2025 tillsynsbegäran.docx", "A 62676-2025")</f>
        <v/>
      </c>
      <c r="AD113">
        <f>HYPERLINK("https://klasma.github.io/Logging_2085/tillsynsmail/A 62676-2025 tillsynsbegäran mail.docx", "A 62676-2025")</f>
        <v/>
      </c>
    </row>
    <row r="114" ht="15" customHeight="1">
      <c r="A114" t="inlineStr">
        <is>
          <t>A 17987-2025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45761</v>
      </c>
      <c r="E114" s="1" t="n">
        <v>46270</v>
      </c>
      <c r="F114" t="inlineStr">
        <is>
          <t>DALARNAS LÄN</t>
        </is>
      </c>
      <c r="G114" t="inlineStr">
        <is>
          <t>LUDVIKA</t>
        </is>
      </c>
      <c r="I114" t="n">
        <v>0.5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HYPERLINK("https://klasma.github.io/Logging_2085/artfynd/A 17987-2025 artfynd.xlsx", "A 17987-2025")</f>
        <v/>
      </c>
      <c r="X114">
        <f>HYPERLINK("https://klasma.github.io/Logging_2085/kartor/A 17987-2025 karta.png", "A 17987-2025")</f>
        <v/>
      </c>
      <c r="Y114">
        <f>HYPERLINK("https://klasma.github.io/Logging_2085/kartor_geotiff/A 17987-2025 georefererad karta.tif", "A 17987-2025")</f>
        <v/>
      </c>
      <c r="AA114">
        <f>HYPERLINK("https://klasma.github.io/Logging_2085/klagomål/A 17987-2025 FSC-klagomål.docx", "A 17987-2025")</f>
        <v/>
      </c>
      <c r="AB114">
        <f>HYPERLINK("https://klasma.github.io/Logging_2085/klagomålsmail/A 17987-2025 FSC-klagomål mail.docx", "A 17987-2025")</f>
        <v/>
      </c>
      <c r="AC114">
        <f>HYPERLINK("https://klasma.github.io/Logging_2085/tillsyn/A 17987-2025 tillsynsbegäran.docx", "A 17987-2025")</f>
        <v/>
      </c>
      <c r="AD114">
        <f>HYPERLINK("https://klasma.github.io/Logging_2085/tillsynsmail/A 17987-2025 tillsynsbegäran mail.docx", "A 17987-2025")</f>
        <v/>
      </c>
      <c r="AE114">
        <f>HYPERLINK("https://klasma.github.io/Logging_2085/fåglar/A 17987-2025 prioriterade fågelarter.docx", "A 17987-2025")</f>
        <v/>
      </c>
    </row>
    <row r="115" ht="15" customHeight="1">
      <c r="A115" t="inlineStr">
        <is>
          <t>A 21499-2022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44706</v>
      </c>
      <c r="E115" s="1" t="n">
        <v>46270</v>
      </c>
      <c r="F115" t="inlineStr">
        <is>
          <t>DALARNAS LÄN</t>
        </is>
      </c>
      <c r="G115" t="inlineStr">
        <is>
          <t>LUDVIKA</t>
        </is>
      </c>
      <c r="I115" t="n">
        <v>4.3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Strimspindling</t>
        </is>
      </c>
      <c r="W115">
        <f>HYPERLINK("https://klasma.github.io/Logging_2085/artfynd/A 21499-2022 artfynd.xlsx", "A 21499-2022")</f>
        <v/>
      </c>
      <c r="X115">
        <f>HYPERLINK("https://klasma.github.io/Logging_2085/kartor/A 21499-2022 karta.png", "A 21499-2022")</f>
        <v/>
      </c>
      <c r="Y115">
        <f>HYPERLINK("https://klasma.github.io/Logging_2085/kartor_geotiff/A 21499-2022 georefererad karta.tif", "A 21499-2022")</f>
        <v/>
      </c>
      <c r="AA115">
        <f>HYPERLINK("https://klasma.github.io/Logging_2085/klagomål/A 21499-2022 FSC-klagomål.docx", "A 21499-2022")</f>
        <v/>
      </c>
      <c r="AB115">
        <f>HYPERLINK("https://klasma.github.io/Logging_2085/klagomålsmail/A 21499-2022 FSC-klagomål mail.docx", "A 21499-2022")</f>
        <v/>
      </c>
      <c r="AC115">
        <f>HYPERLINK("https://klasma.github.io/Logging_2085/tillsyn/A 21499-2022 tillsynsbegäran.docx", "A 21499-2022")</f>
        <v/>
      </c>
      <c r="AD115">
        <f>HYPERLINK("https://klasma.github.io/Logging_2085/tillsynsmail/A 21499-2022 tillsynsbegäran mail.docx", "A 21499-2022")</f>
        <v/>
      </c>
    </row>
    <row r="116" ht="15" customHeight="1">
      <c r="A116" t="inlineStr">
        <is>
          <t>A 400-2023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44929</v>
      </c>
      <c r="E116" s="1" t="n">
        <v>46270</v>
      </c>
      <c r="F116" t="inlineStr">
        <is>
          <t>DALARNAS LÄN</t>
        </is>
      </c>
      <c r="G116" t="inlineStr">
        <is>
          <t>LUDVIKA</t>
        </is>
      </c>
      <c r="I116" t="n">
        <v>3.6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HYPERLINK("https://klasma.github.io/Logging_2085/artfynd/A 400-2023 artfynd.xlsx", "A 400-2023")</f>
        <v/>
      </c>
      <c r="X116">
        <f>HYPERLINK("https://klasma.github.io/Logging_2085/kartor/A 400-2023 karta.png", "A 400-2023")</f>
        <v/>
      </c>
      <c r="Y116">
        <f>HYPERLINK("https://klasma.github.io/Logging_2085/kartor_geotiff/A 400-2023 georefererad karta.tif", "A 400-2023")</f>
        <v/>
      </c>
      <c r="AA116">
        <f>HYPERLINK("https://klasma.github.io/Logging_2085/klagomål/A 400-2023 FSC-klagomål.docx", "A 400-2023")</f>
        <v/>
      </c>
      <c r="AB116">
        <f>HYPERLINK("https://klasma.github.io/Logging_2085/klagomålsmail/A 400-2023 FSC-klagomål mail.docx", "A 400-2023")</f>
        <v/>
      </c>
      <c r="AC116">
        <f>HYPERLINK("https://klasma.github.io/Logging_2085/tillsyn/A 400-2023 tillsynsbegäran.docx", "A 400-2023")</f>
        <v/>
      </c>
      <c r="AD116">
        <f>HYPERLINK("https://klasma.github.io/Logging_2085/tillsynsmail/A 400-2023 tillsynsbegäran mail.docx", "A 400-2023")</f>
        <v/>
      </c>
    </row>
    <row r="117" ht="15" customHeight="1">
      <c r="A117" t="inlineStr">
        <is>
          <t>A 31478-2023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45114</v>
      </c>
      <c r="E117" s="1" t="n">
        <v>46270</v>
      </c>
      <c r="F117" t="inlineStr">
        <is>
          <t>DALARNAS LÄN</t>
        </is>
      </c>
      <c r="G117" t="inlineStr">
        <is>
          <t>LUDVIKA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HYPERLINK("https://klasma.github.io/Logging_2085/artfynd/A 31478-2023 artfynd.xlsx", "A 31478-2023")</f>
        <v/>
      </c>
      <c r="X117">
        <f>HYPERLINK("https://klasma.github.io/Logging_2085/kartor/A 31478-2023 karta.png", "A 31478-2023")</f>
        <v/>
      </c>
      <c r="Y117">
        <f>HYPERLINK("https://klasma.github.io/Logging_2085/kartor_geotiff/A 31478-2023 georefererad karta.tif", "A 31478-2023")</f>
        <v/>
      </c>
      <c r="AA117">
        <f>HYPERLINK("https://klasma.github.io/Logging_2085/klagomål/A 31478-2023 FSC-klagomål.docx", "A 31478-2023")</f>
        <v/>
      </c>
      <c r="AB117">
        <f>HYPERLINK("https://klasma.github.io/Logging_2085/klagomålsmail/A 31478-2023 FSC-klagomål mail.docx", "A 31478-2023")</f>
        <v/>
      </c>
      <c r="AC117">
        <f>HYPERLINK("https://klasma.github.io/Logging_2085/tillsyn/A 31478-2023 tillsynsbegäran.docx", "A 31478-2023")</f>
        <v/>
      </c>
      <c r="AD117">
        <f>HYPERLINK("https://klasma.github.io/Logging_2085/tillsynsmail/A 31478-2023 tillsynsbegäran mail.docx", "A 31478-2023")</f>
        <v/>
      </c>
    </row>
    <row r="118" ht="15" customHeight="1">
      <c r="A118" t="inlineStr">
        <is>
          <t>A 25448-2024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45463</v>
      </c>
      <c r="E118" s="1" t="n">
        <v>46270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24.7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Blåsippa</t>
        </is>
      </c>
      <c r="W118">
        <f>HYPERLINK("https://klasma.github.io/Logging_2085/artfynd/A 25448-2024 artfynd.xlsx", "A 25448-2024")</f>
        <v/>
      </c>
      <c r="X118">
        <f>HYPERLINK("https://klasma.github.io/Logging_2085/kartor/A 25448-2024 karta.png", "A 25448-2024")</f>
        <v/>
      </c>
      <c r="Y118">
        <f>HYPERLINK("https://klasma.github.io/Logging_2085/kartor_geotiff/A 25448-2024 georefererad karta.tif", "A 25448-2024")</f>
        <v/>
      </c>
      <c r="AA118">
        <f>HYPERLINK("https://klasma.github.io/Logging_2085/klagomål/A 25448-2024 FSC-klagomål.docx", "A 25448-2024")</f>
        <v/>
      </c>
      <c r="AB118">
        <f>HYPERLINK("https://klasma.github.io/Logging_2085/klagomålsmail/A 25448-2024 FSC-klagomål mail.docx", "A 25448-2024")</f>
        <v/>
      </c>
      <c r="AC118">
        <f>HYPERLINK("https://klasma.github.io/Logging_2085/tillsyn/A 25448-2024 tillsynsbegäran.docx", "A 25448-2024")</f>
        <v/>
      </c>
      <c r="AD118">
        <f>HYPERLINK("https://klasma.github.io/Logging_2085/tillsynsmail/A 25448-2024 tillsynsbegäran mail.docx", "A 25448-2024")</f>
        <v/>
      </c>
    </row>
    <row r="119" ht="15" customHeight="1">
      <c r="A119" t="inlineStr">
        <is>
          <t>A 21880-2026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46270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3.2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21880-2026 artfynd.xlsx", "A 21880-2026")</f>
        <v/>
      </c>
      <c r="X119">
        <f>HYPERLINK("https://klasma.github.io/Logging_2085/kartor/A 21880-2026 karta.png", "A 21880-2026")</f>
        <v/>
      </c>
      <c r="Y119">
        <f>HYPERLINK("https://klasma.github.io/Logging_2085/kartor_geotiff/A 21880-2026 georefererad karta.tif", "A 21880-2026")</f>
        <v/>
      </c>
      <c r="AA119">
        <f>HYPERLINK("https://klasma.github.io/Logging_2085/klagomål/A 21880-2026 FSC-klagomål.docx", "A 21880-2026")</f>
        <v/>
      </c>
      <c r="AB119">
        <f>HYPERLINK("https://klasma.github.io/Logging_2085/klagomålsmail/A 21880-2026 FSC-klagomål mail.docx", "A 21880-2026")</f>
        <v/>
      </c>
      <c r="AC119">
        <f>HYPERLINK("https://klasma.github.io/Logging_2085/tillsyn/A 21880-2026 tillsynsbegäran.docx", "A 21880-2026")</f>
        <v/>
      </c>
      <c r="AD119">
        <f>HYPERLINK("https://klasma.github.io/Logging_2085/tillsynsmail/A 21880-2026 tillsynsbegäran mail.docx", "A 21880-2026")</f>
        <v/>
      </c>
      <c r="AE119">
        <f>HYPERLINK("https://klasma.github.io/Logging_2085/fåglar/A 21880-2026 prioriterade fågelarter.docx", "A 21880-2026")</f>
        <v/>
      </c>
    </row>
    <row r="120" ht="15" customHeight="1">
      <c r="A120" t="inlineStr">
        <is>
          <t>A 12093-2023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46270</v>
      </c>
      <c r="F120" t="inlineStr">
        <is>
          <t>DALARNAS LÄN</t>
        </is>
      </c>
      <c r="G120" t="inlineStr">
        <is>
          <t>LUDVIKA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Bitter taggsvamp</t>
        </is>
      </c>
      <c r="W120">
        <f>HYPERLINK("https://klasma.github.io/Logging_2085/artfynd/A 12093-2023 artfynd.xlsx", "A 12093-2023")</f>
        <v/>
      </c>
      <c r="X120">
        <f>HYPERLINK("https://klasma.github.io/Logging_2085/kartor/A 12093-2023 karta.png", "A 12093-2023")</f>
        <v/>
      </c>
      <c r="Y120">
        <f>HYPERLINK("https://klasma.github.io/Logging_2085/kartor_geotiff/A 12093-2023 georefererad karta.tif", "A 12093-2023")</f>
        <v/>
      </c>
      <c r="AA120">
        <f>HYPERLINK("https://klasma.github.io/Logging_2085/klagomål/A 12093-2023 FSC-klagomål.docx", "A 12093-2023")</f>
        <v/>
      </c>
      <c r="AB120">
        <f>HYPERLINK("https://klasma.github.io/Logging_2085/klagomålsmail/A 12093-2023 FSC-klagomål mail.docx", "A 12093-2023")</f>
        <v/>
      </c>
      <c r="AC120">
        <f>HYPERLINK("https://klasma.github.io/Logging_2085/tillsyn/A 12093-2023 tillsynsbegäran.docx", "A 12093-2023")</f>
        <v/>
      </c>
      <c r="AD120">
        <f>HYPERLINK("https://klasma.github.io/Logging_2085/tillsynsmail/A 12093-2023 tillsynsbegäran mail.docx", "A 12093-2023")</f>
        <v/>
      </c>
    </row>
    <row r="121" ht="15" customHeight="1">
      <c r="A121" t="inlineStr">
        <is>
          <t>A 23720-2026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46163</v>
      </c>
      <c r="E121" s="1" t="n">
        <v>46270</v>
      </c>
      <c r="F121" t="inlineStr">
        <is>
          <t>DALARNAS LÄN</t>
        </is>
      </c>
      <c r="G121" t="inlineStr">
        <is>
          <t>LUDVIKA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Tretåig hackspett</t>
        </is>
      </c>
      <c r="W121">
        <f>HYPERLINK("https://klasma.github.io/Logging_2085/artfynd/A 23720-2026 artfynd.xlsx", "A 23720-2026")</f>
        <v/>
      </c>
      <c r="X121">
        <f>HYPERLINK("https://klasma.github.io/Logging_2085/kartor/A 23720-2026 karta.png", "A 23720-2026")</f>
        <v/>
      </c>
      <c r="Y121">
        <f>HYPERLINK("https://klasma.github.io/Logging_2085/kartor_geotiff/A 23720-2026 georefererad karta.tif", "A 23720-2026")</f>
        <v/>
      </c>
      <c r="AA121">
        <f>HYPERLINK("https://klasma.github.io/Logging_2085/klagomål/A 23720-2026 FSC-klagomål.docx", "A 23720-2026")</f>
        <v/>
      </c>
      <c r="AB121">
        <f>HYPERLINK("https://klasma.github.io/Logging_2085/klagomålsmail/A 23720-2026 FSC-klagomål mail.docx", "A 23720-2026")</f>
        <v/>
      </c>
      <c r="AC121">
        <f>HYPERLINK("https://klasma.github.io/Logging_2085/tillsyn/A 23720-2026 tillsynsbegäran.docx", "A 23720-2026")</f>
        <v/>
      </c>
      <c r="AD121">
        <f>HYPERLINK("https://klasma.github.io/Logging_2085/tillsynsmail/A 23720-2026 tillsynsbegäran mail.docx", "A 23720-2026")</f>
        <v/>
      </c>
      <c r="AE121">
        <f>HYPERLINK("https://klasma.github.io/Logging_2085/fåglar/A 23720-2026 prioriterade fågelarter.docx", "A 23720-2026")</f>
        <v/>
      </c>
    </row>
    <row r="122" ht="15" customHeight="1">
      <c r="A122" t="inlineStr">
        <is>
          <t>A 23778-2026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46164</v>
      </c>
      <c r="E122" s="1" t="n">
        <v>46270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23778-2026 artfynd.xlsx", "A 23778-2026")</f>
        <v/>
      </c>
      <c r="X122">
        <f>HYPERLINK("https://klasma.github.io/Logging_2085/kartor/A 23778-2026 karta.png", "A 23778-2026")</f>
        <v/>
      </c>
      <c r="Y122">
        <f>HYPERLINK("https://klasma.github.io/Logging_2085/kartor_geotiff/A 23778-2026 georefererad karta.tif", "A 23778-2026")</f>
        <v/>
      </c>
      <c r="AA122">
        <f>HYPERLINK("https://klasma.github.io/Logging_2085/klagomål/A 23778-2026 FSC-klagomål.docx", "A 23778-2026")</f>
        <v/>
      </c>
      <c r="AB122">
        <f>HYPERLINK("https://klasma.github.io/Logging_2085/klagomålsmail/A 23778-2026 FSC-klagomål mail.docx", "A 23778-2026")</f>
        <v/>
      </c>
      <c r="AC122">
        <f>HYPERLINK("https://klasma.github.io/Logging_2085/tillsyn/A 23778-2026 tillsynsbegäran.docx", "A 23778-2026")</f>
        <v/>
      </c>
      <c r="AD122">
        <f>HYPERLINK("https://klasma.github.io/Logging_2085/tillsynsmail/A 23778-2026 tillsynsbegäran mail.docx", "A 23778-2026")</f>
        <v/>
      </c>
      <c r="AE122">
        <f>HYPERLINK("https://klasma.github.io/Logging_2085/fåglar/A 23778-2026 prioriterade fågelarter.docx", "A 23778-2026")</f>
        <v/>
      </c>
    </row>
    <row r="123" ht="15" customHeight="1">
      <c r="A123" t="inlineStr">
        <is>
          <t>A 63005-2025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46270</v>
      </c>
      <c r="F123" t="inlineStr">
        <is>
          <t>DALARNAS LÄN</t>
        </is>
      </c>
      <c r="G123" t="inlineStr">
        <is>
          <t>LUDVIKA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63005-2025 artfynd.xlsx", "A 63005-2025")</f>
        <v/>
      </c>
      <c r="X123">
        <f>HYPERLINK("https://klasma.github.io/Logging_2085/kartor/A 63005-2025 karta.png", "A 63005-2025")</f>
        <v/>
      </c>
      <c r="Y123">
        <f>HYPERLINK("https://klasma.github.io/Logging_2085/kartor_geotiff/A 63005-2025 georefererad karta.tif", "A 63005-2025")</f>
        <v/>
      </c>
      <c r="AA123">
        <f>HYPERLINK("https://klasma.github.io/Logging_2085/klagomål/A 63005-2025 FSC-klagomål.docx", "A 63005-2025")</f>
        <v/>
      </c>
      <c r="AB123">
        <f>HYPERLINK("https://klasma.github.io/Logging_2085/klagomålsmail/A 63005-2025 FSC-klagomål mail.docx", "A 63005-2025")</f>
        <v/>
      </c>
      <c r="AC123">
        <f>HYPERLINK("https://klasma.github.io/Logging_2085/tillsyn/A 63005-2025 tillsynsbegäran.docx", "A 63005-2025")</f>
        <v/>
      </c>
      <c r="AD123">
        <f>HYPERLINK("https://klasma.github.io/Logging_2085/tillsynsmail/A 63005-2025 tillsynsbegäran mail.docx", "A 63005-2025")</f>
        <v/>
      </c>
      <c r="AE123">
        <f>HYPERLINK("https://klasma.github.io/Logging_2085/fåglar/A 63005-2025 prioriterade fågelarter.docx", "A 63005-2025")</f>
        <v/>
      </c>
    </row>
    <row r="124" ht="15" customHeight="1">
      <c r="A124" t="inlineStr">
        <is>
          <t>A 25159-2026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46175</v>
      </c>
      <c r="E124" s="1" t="n">
        <v>46270</v>
      </c>
      <c r="F124" t="inlineStr">
        <is>
          <t>DALARNAS LÄN</t>
        </is>
      </c>
      <c r="G124" t="inlineStr">
        <is>
          <t>LUDVIKA</t>
        </is>
      </c>
      <c r="I124" t="n">
        <v>2.3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HYPERLINK("https://klasma.github.io/Logging_2085/artfynd/A 25159-2026 artfynd.xlsx", "A 25159-2026")</f>
        <v/>
      </c>
      <c r="X124">
        <f>HYPERLINK("https://klasma.github.io/Logging_2085/kartor/A 25159-2026 karta.png", "A 25159-2026")</f>
        <v/>
      </c>
      <c r="Y124">
        <f>HYPERLINK("https://klasma.github.io/Logging_2085/kartor_geotiff/A 25159-2026 georefererad karta.tif", "A 25159-2026")</f>
        <v/>
      </c>
      <c r="AA124">
        <f>HYPERLINK("https://klasma.github.io/Logging_2085/klagomål/A 25159-2026 FSC-klagomål.docx", "A 25159-2026")</f>
        <v/>
      </c>
      <c r="AB124">
        <f>HYPERLINK("https://klasma.github.io/Logging_2085/klagomålsmail/A 25159-2026 FSC-klagomål mail.docx", "A 25159-2026")</f>
        <v/>
      </c>
      <c r="AC124">
        <f>HYPERLINK("https://klasma.github.io/Logging_2085/tillsyn/A 25159-2026 tillsynsbegäran.docx", "A 25159-2026")</f>
        <v/>
      </c>
      <c r="AD124">
        <f>HYPERLINK("https://klasma.github.io/Logging_2085/tillsynsmail/A 25159-2026 tillsynsbegäran mail.docx", "A 25159-2026")</f>
        <v/>
      </c>
    </row>
    <row r="125" ht="15" customHeight="1">
      <c r="A125" t="inlineStr">
        <is>
          <t>A 56655-2025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46270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8.5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56655-2025 artfynd.xlsx", "A 56655-2025")</f>
        <v/>
      </c>
      <c r="X125">
        <f>HYPERLINK("https://klasma.github.io/Logging_2085/kartor/A 56655-2025 karta.png", "A 56655-2025")</f>
        <v/>
      </c>
      <c r="Y125">
        <f>HYPERLINK("https://klasma.github.io/Logging_2085/kartor_geotiff/A 56655-2025 georefererad karta.tif", "A 56655-2025")</f>
        <v/>
      </c>
      <c r="AA125">
        <f>HYPERLINK("https://klasma.github.io/Logging_2085/klagomål/A 56655-2025 FSC-klagomål.docx", "A 56655-2025")</f>
        <v/>
      </c>
      <c r="AB125">
        <f>HYPERLINK("https://klasma.github.io/Logging_2085/klagomålsmail/A 56655-2025 FSC-klagomål mail.docx", "A 56655-2025")</f>
        <v/>
      </c>
      <c r="AC125">
        <f>HYPERLINK("https://klasma.github.io/Logging_2085/tillsyn/A 56655-2025 tillsynsbegäran.docx", "A 56655-2025")</f>
        <v/>
      </c>
      <c r="AD125">
        <f>HYPERLINK("https://klasma.github.io/Logging_2085/tillsynsmail/A 56655-2025 tillsynsbegäran mail.docx", "A 56655-2025")</f>
        <v/>
      </c>
      <c r="AE125">
        <f>HYPERLINK("https://klasma.github.io/Logging_2085/fåglar/A 56655-2025 prioriterade fågelarter.docx", "A 56655-2025")</f>
        <v/>
      </c>
    </row>
    <row r="126" ht="15" customHeight="1">
      <c r="A126" t="inlineStr">
        <is>
          <t>A 49660-2024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45596</v>
      </c>
      <c r="E126" s="1" t="n">
        <v>46270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Mörk husmossa</t>
        </is>
      </c>
      <c r="W126">
        <f>HYPERLINK("https://klasma.github.io/Logging_2085/artfynd/A 49660-2024 artfynd.xlsx", "A 49660-2024")</f>
        <v/>
      </c>
      <c r="X126">
        <f>HYPERLINK("https://klasma.github.io/Logging_2085/kartor/A 49660-2024 karta.png", "A 49660-2024")</f>
        <v/>
      </c>
      <c r="Y126">
        <f>HYPERLINK("https://klasma.github.io/Logging_2085/kartor_geotiff/A 49660-2024 georefererad karta.tif", "A 49660-2024")</f>
        <v/>
      </c>
      <c r="AA126">
        <f>HYPERLINK("https://klasma.github.io/Logging_2085/klagomål/A 49660-2024 FSC-klagomål.docx", "A 49660-2024")</f>
        <v/>
      </c>
      <c r="AB126">
        <f>HYPERLINK("https://klasma.github.io/Logging_2085/klagomålsmail/A 49660-2024 FSC-klagomål mail.docx", "A 49660-2024")</f>
        <v/>
      </c>
      <c r="AC126">
        <f>HYPERLINK("https://klasma.github.io/Logging_2085/tillsyn/A 49660-2024 tillsynsbegäran.docx", "A 49660-2024")</f>
        <v/>
      </c>
      <c r="AD126">
        <f>HYPERLINK("https://klasma.github.io/Logging_2085/tillsynsmail/A 49660-2024 tillsynsbegäran mail.docx", "A 49660-2024")</f>
        <v/>
      </c>
    </row>
    <row r="127" ht="15" customHeight="1">
      <c r="A127" t="inlineStr">
        <is>
          <t>A 60787-2024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46270</v>
      </c>
      <c r="F127" t="inlineStr">
        <is>
          <t>DALARNAS LÄN</t>
        </is>
      </c>
      <c r="G127" t="inlineStr">
        <is>
          <t>LUDVIKA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HYPERLINK("https://klasma.github.io/Logging_2085/artfynd/A 60787-2024 artfynd.xlsx", "A 60787-2024")</f>
        <v/>
      </c>
      <c r="X127">
        <f>HYPERLINK("https://klasma.github.io/Logging_2085/kartor/A 60787-2024 karta.png", "A 60787-2024")</f>
        <v/>
      </c>
      <c r="Y127">
        <f>HYPERLINK("https://klasma.github.io/Logging_2085/kartor_geotiff/A 60787-2024 georefererad karta.tif", "A 60787-2024")</f>
        <v/>
      </c>
      <c r="AA127">
        <f>HYPERLINK("https://klasma.github.io/Logging_2085/klagomål/A 60787-2024 FSC-klagomål.docx", "A 60787-2024")</f>
        <v/>
      </c>
      <c r="AB127">
        <f>HYPERLINK("https://klasma.github.io/Logging_2085/klagomålsmail/A 60787-2024 FSC-klagomål mail.docx", "A 60787-2024")</f>
        <v/>
      </c>
      <c r="AC127">
        <f>HYPERLINK("https://klasma.github.io/Logging_2085/tillsyn/A 60787-2024 tillsynsbegäran.docx", "A 60787-2024")</f>
        <v/>
      </c>
      <c r="AD127">
        <f>HYPERLINK("https://klasma.github.io/Logging_2085/tillsynsmail/A 60787-2024 tillsynsbegäran mail.docx", "A 60787-2024")</f>
        <v/>
      </c>
      <c r="AE127">
        <f>HYPERLINK("https://klasma.github.io/Logging_2085/fåglar/A 60787-2024 prioriterade fågelarter.docx", "A 60787-2024")</f>
        <v/>
      </c>
    </row>
    <row r="128" ht="15" customHeight="1">
      <c r="A128" t="inlineStr">
        <is>
          <t>A 33399-2026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46247</v>
      </c>
      <c r="E128" s="1" t="n">
        <v>46270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HYPERLINK("https://klasma.github.io/Logging_2085/artfynd/A 33399-2026 artfynd.xlsx", "A 33399-2026")</f>
        <v/>
      </c>
      <c r="X128">
        <f>HYPERLINK("https://klasma.github.io/Logging_2085/kartor/A 33399-2026 karta.png", "A 33399-2026")</f>
        <v/>
      </c>
      <c r="Y128">
        <f>HYPERLINK("https://klasma.github.io/Logging_2085/kartor_geotiff/A 33399-2026 georefererad karta.tif", "A 33399-2026")</f>
        <v/>
      </c>
      <c r="AA128">
        <f>HYPERLINK("https://klasma.github.io/Logging_2085/klagomål/A 33399-2026 FSC-klagomål.docx", "A 33399-2026")</f>
        <v/>
      </c>
      <c r="AB128">
        <f>HYPERLINK("https://klasma.github.io/Logging_2085/klagomålsmail/A 33399-2026 FSC-klagomål mail.docx", "A 33399-2026")</f>
        <v/>
      </c>
      <c r="AC128">
        <f>HYPERLINK("https://klasma.github.io/Logging_2085/tillsyn/A 33399-2026 tillsynsbegäran.docx", "A 33399-2026")</f>
        <v/>
      </c>
      <c r="AD128">
        <f>HYPERLINK("https://klasma.github.io/Logging_2085/tillsynsmail/A 33399-2026 tillsynsbegäran mail.docx", "A 33399-2026")</f>
        <v/>
      </c>
      <c r="AE128">
        <f>HYPERLINK("https://klasma.github.io/Logging_2085/fåglar/A 33399-2026 prioriterade fågelarter.docx", "A 33399-2026")</f>
        <v/>
      </c>
    </row>
    <row r="129" ht="15" customHeight="1">
      <c r="A129" t="inlineStr">
        <is>
          <t>A 29882-2024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45486</v>
      </c>
      <c r="E129" s="1" t="n">
        <v>46270</v>
      </c>
      <c r="F129" t="inlineStr">
        <is>
          <t>DALARNAS LÄN</t>
        </is>
      </c>
      <c r="G129" t="inlineStr">
        <is>
          <t>LUDVIKA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29882-2024 artfynd.xlsx", "A 29882-2024")</f>
        <v/>
      </c>
      <c r="X129">
        <f>HYPERLINK("https://klasma.github.io/Logging_2085/kartor/A 29882-2024 karta.png", "A 29882-2024")</f>
        <v/>
      </c>
      <c r="Y129">
        <f>HYPERLINK("https://klasma.github.io/Logging_2085/kartor_geotiff/A 29882-2024 georefererad karta.tif", "A 29882-2024")</f>
        <v/>
      </c>
      <c r="AA129">
        <f>HYPERLINK("https://klasma.github.io/Logging_2085/klagomål/A 29882-2024 FSC-klagomål.docx", "A 29882-2024")</f>
        <v/>
      </c>
      <c r="AB129">
        <f>HYPERLINK("https://klasma.github.io/Logging_2085/klagomålsmail/A 29882-2024 FSC-klagomål mail.docx", "A 29882-2024")</f>
        <v/>
      </c>
      <c r="AC129">
        <f>HYPERLINK("https://klasma.github.io/Logging_2085/tillsyn/A 29882-2024 tillsynsbegäran.docx", "A 29882-2024")</f>
        <v/>
      </c>
      <c r="AD129">
        <f>HYPERLINK("https://klasma.github.io/Logging_2085/tillsynsmail/A 29882-2024 tillsynsbegäran mail.docx", "A 29882-2024")</f>
        <v/>
      </c>
      <c r="AE129">
        <f>HYPERLINK("https://klasma.github.io/Logging_2085/fåglar/A 29882-2024 prioriterade fågelarter.docx", "A 29882-2024")</f>
        <v/>
      </c>
    </row>
    <row r="130" ht="15" customHeight="1">
      <c r="A130" t="inlineStr">
        <is>
          <t>A 23102-2025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45791</v>
      </c>
      <c r="E130" s="1" t="n">
        <v>46270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Vanlig groda</t>
        </is>
      </c>
      <c r="W130">
        <f>HYPERLINK("https://klasma.github.io/Logging_2085/artfynd/A 23102-2025 artfynd.xlsx", "A 23102-2025")</f>
        <v/>
      </c>
      <c r="X130">
        <f>HYPERLINK("https://klasma.github.io/Logging_2085/kartor/A 23102-2025 karta.png", "A 23102-2025")</f>
        <v/>
      </c>
      <c r="Y130">
        <f>HYPERLINK("https://klasma.github.io/Logging_2085/kartor_geotiff/A 23102-2025 georefererad karta.tif", "A 23102-2025")</f>
        <v/>
      </c>
      <c r="AA130">
        <f>HYPERLINK("https://klasma.github.io/Logging_2085/klagomål/A 23102-2025 FSC-klagomål.docx", "A 23102-2025")</f>
        <v/>
      </c>
      <c r="AB130">
        <f>HYPERLINK("https://klasma.github.io/Logging_2085/klagomålsmail/A 23102-2025 FSC-klagomål mail.docx", "A 23102-2025")</f>
        <v/>
      </c>
      <c r="AC130">
        <f>HYPERLINK("https://klasma.github.io/Logging_2085/tillsyn/A 23102-2025 tillsynsbegäran.docx", "A 23102-2025")</f>
        <v/>
      </c>
      <c r="AD130">
        <f>HYPERLINK("https://klasma.github.io/Logging_2085/tillsynsmail/A 23102-2025 tillsynsbegäran mail.docx", "A 23102-2025")</f>
        <v/>
      </c>
    </row>
    <row r="131" ht="15" customHeight="1">
      <c r="A131" t="inlineStr">
        <is>
          <t>A 31352-2026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46219</v>
      </c>
      <c r="E131" s="1" t="n">
        <v>46270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HYPERLINK("https://klasma.github.io/Logging_2085/artfynd/A 31352-2026 artfynd.xlsx", "A 31352-2026")</f>
        <v/>
      </c>
      <c r="X131">
        <f>HYPERLINK("https://klasma.github.io/Logging_2085/kartor/A 31352-2026 karta.png", "A 31352-2026")</f>
        <v/>
      </c>
      <c r="Y131">
        <f>HYPERLINK("https://klasma.github.io/Logging_2085/kartor_geotiff/A 31352-2026 georefererad karta.tif", "A 31352-2026")</f>
        <v/>
      </c>
      <c r="AA131">
        <f>HYPERLINK("https://klasma.github.io/Logging_2085/klagomål/A 31352-2026 FSC-klagomål.docx", "A 31352-2026")</f>
        <v/>
      </c>
      <c r="AB131">
        <f>HYPERLINK("https://klasma.github.io/Logging_2085/klagomålsmail/A 31352-2026 FSC-klagomål mail.docx", "A 31352-2026")</f>
        <v/>
      </c>
      <c r="AC131">
        <f>HYPERLINK("https://klasma.github.io/Logging_2085/tillsyn/A 31352-2026 tillsynsbegäran.docx", "A 31352-2026")</f>
        <v/>
      </c>
      <c r="AD131">
        <f>HYPERLINK("https://klasma.github.io/Logging_2085/tillsynsmail/A 31352-2026 tillsynsbegäran mail.docx", "A 31352-2026")</f>
        <v/>
      </c>
    </row>
    <row r="132" ht="15" customHeight="1">
      <c r="A132" t="inlineStr">
        <is>
          <t>A 36478-2026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46270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Skogsalm</t>
        </is>
      </c>
      <c r="W132">
        <f>HYPERLINK("https://klasma.github.io/Logging_2085/artfynd/A 36478-2026 artfynd.xlsx", "A 36478-2026")</f>
        <v/>
      </c>
      <c r="X132">
        <f>HYPERLINK("https://klasma.github.io/Logging_2085/kartor/A 36478-2026 karta.png", "A 36478-2026")</f>
        <v/>
      </c>
      <c r="Y132">
        <f>HYPERLINK("https://klasma.github.io/Logging_2085/kartor_geotiff/A 36478-2026 georefererad karta.tif", "A 36478-2026")</f>
        <v/>
      </c>
      <c r="AA132">
        <f>HYPERLINK("https://klasma.github.io/Logging_2085/klagomål/A 36478-2026 FSC-klagomål.docx", "A 36478-2026")</f>
        <v/>
      </c>
      <c r="AB132">
        <f>HYPERLINK("https://klasma.github.io/Logging_2085/klagomålsmail/A 36478-2026 FSC-klagomål mail.docx", "A 36478-2026")</f>
        <v/>
      </c>
      <c r="AC132">
        <f>HYPERLINK("https://klasma.github.io/Logging_2085/tillsyn/A 36478-2026 tillsynsbegäran.docx", "A 36478-2026")</f>
        <v/>
      </c>
      <c r="AD132">
        <f>HYPERLINK("https://klasma.github.io/Logging_2085/tillsynsmail/A 36478-2026 tillsynsbegäran mail.docx", "A 36478-2026")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46270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46270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46270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46270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46270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46270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46270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46270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46270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46270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46270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46270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46270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46270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46270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46270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46270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46270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46270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46270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46270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46270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46270</v>
      </c>
      <c r="F155" t="inlineStr">
        <is>
          <t>DALARNAS LÄN</t>
        </is>
      </c>
      <c r="G155" t="inlineStr">
        <is>
          <t>LUDVIKA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63267-2021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44508</v>
      </c>
      <c r="E156" s="1" t="n">
        <v>46270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46270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44715</v>
      </c>
      <c r="E158" s="1" t="n">
        <v>46270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56996-2021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46270</v>
      </c>
      <c r="F159" t="inlineStr">
        <is>
          <t>DALARNAS LÄN</t>
        </is>
      </c>
      <c r="G159" t="inlineStr">
        <is>
          <t>LUDVIKA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44893</v>
      </c>
      <c r="E160" s="1" t="n">
        <v>46270</v>
      </c>
      <c r="F160" t="inlineStr">
        <is>
          <t>DALARNAS LÄN</t>
        </is>
      </c>
      <c r="G160" t="inlineStr">
        <is>
          <t>LUDVIKA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45569</v>
      </c>
      <c r="E161" s="1" t="n">
        <v>46270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45594</v>
      </c>
      <c r="E162" s="1" t="n">
        <v>46270</v>
      </c>
      <c r="F162" t="inlineStr">
        <is>
          <t>DALARNAS LÄN</t>
        </is>
      </c>
      <c r="G162" t="inlineStr">
        <is>
          <t>LUDVIKA</t>
        </is>
      </c>
      <c r="H162" t="inlineStr">
        <is>
          <t>Naturvårdsverket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44841</v>
      </c>
      <c r="E163" s="1" t="n">
        <v>46270</v>
      </c>
      <c r="F163" t="inlineStr">
        <is>
          <t>DALARNAS LÄN</t>
        </is>
      </c>
      <c r="G163" t="inlineStr">
        <is>
          <t>LUDVIKA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46270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46270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45317</v>
      </c>
      <c r="E166" s="1" t="n">
        <v>46270</v>
      </c>
      <c r="F166" t="inlineStr">
        <is>
          <t>DALARNAS LÄN</t>
        </is>
      </c>
      <c r="G166" t="inlineStr">
        <is>
          <t>LUDVIKA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46270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46270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55485-2024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46270</v>
      </c>
      <c r="F169" t="inlineStr">
        <is>
          <t>DALARNAS LÄN</t>
        </is>
      </c>
      <c r="G169" t="inlineStr">
        <is>
          <t>LUDVIKA</t>
        </is>
      </c>
      <c r="H169" t="inlineStr">
        <is>
          <t>Naturvårdsverket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46270</v>
      </c>
      <c r="F170" t="inlineStr">
        <is>
          <t>DALARNAS LÄN</t>
        </is>
      </c>
      <c r="G170" t="inlineStr">
        <is>
          <t>LUDVIKA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46270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46270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45212</v>
      </c>
      <c r="E173" s="1" t="n">
        <v>46270</v>
      </c>
      <c r="F173" t="inlineStr">
        <is>
          <t>DALARNAS LÄN</t>
        </is>
      </c>
      <c r="G173" t="inlineStr">
        <is>
          <t>LUDVIKA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46270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46270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46270</v>
      </c>
      <c r="F176" t="inlineStr">
        <is>
          <t>DALARNAS LÄN</t>
        </is>
      </c>
      <c r="G176" t="inlineStr">
        <is>
          <t>LUDVIKA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44960</v>
      </c>
      <c r="E177" s="1" t="n">
        <v>46270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45519</v>
      </c>
      <c r="E178" s="1" t="n">
        <v>46270</v>
      </c>
      <c r="F178" t="inlineStr">
        <is>
          <t>DALARNAS LÄN</t>
        </is>
      </c>
      <c r="G178" t="inlineStr">
        <is>
          <t>LUDVIKA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44730</v>
      </c>
      <c r="E179" s="1" t="n">
        <v>46270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23103-2024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45450</v>
      </c>
      <c r="E180" s="1" t="n">
        <v>46270</v>
      </c>
      <c r="F180" t="inlineStr">
        <is>
          <t>DALARNAS LÄN</t>
        </is>
      </c>
      <c r="G180" t="inlineStr">
        <is>
          <t>LUDVIKA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31702-2023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45105</v>
      </c>
      <c r="E181" s="1" t="n">
        <v>46270</v>
      </c>
      <c r="F181" t="inlineStr">
        <is>
          <t>DALARNAS LÄN</t>
        </is>
      </c>
      <c r="G181" t="inlineStr">
        <is>
          <t>LUDVIKA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46270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48740-2022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44859</v>
      </c>
      <c r="E183" s="1" t="n">
        <v>46270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46270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46270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45371</v>
      </c>
      <c r="E186" s="1" t="n">
        <v>46270</v>
      </c>
      <c r="F186" t="inlineStr">
        <is>
          <t>DALARNAS LÄN</t>
        </is>
      </c>
      <c r="G186" t="inlineStr">
        <is>
          <t>LUDVIKA</t>
        </is>
      </c>
      <c r="I186" t="n">
        <v>20.8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30977-2024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45499</v>
      </c>
      <c r="E187" s="1" t="n">
        <v>46270</v>
      </c>
      <c r="F187" t="inlineStr">
        <is>
          <t>DALARNAS LÄN</t>
        </is>
      </c>
      <c r="G187" t="inlineStr">
        <is>
          <t>LUDVIKA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25004-2025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46270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45106</v>
      </c>
      <c r="E189" s="1" t="n">
        <v>46270</v>
      </c>
      <c r="F189" t="inlineStr">
        <is>
          <t>DALARNAS LÄN</t>
        </is>
      </c>
      <c r="G189" t="inlineStr">
        <is>
          <t>LUDVIKA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46270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46270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45754</v>
      </c>
      <c r="E192" s="1" t="n">
        <v>46270</v>
      </c>
      <c r="F192" t="inlineStr">
        <is>
          <t>DALARNAS LÄN</t>
        </is>
      </c>
      <c r="G192" t="inlineStr">
        <is>
          <t>LUDVIKA</t>
        </is>
      </c>
      <c r="H192" t="inlineStr">
        <is>
          <t>Naturvårdsverket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46270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45161</v>
      </c>
      <c r="E194" s="1" t="n">
        <v>46270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25235-2025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45800</v>
      </c>
      <c r="E195" s="1" t="n">
        <v>46270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46270</v>
      </c>
      <c r="F196" t="inlineStr">
        <is>
          <t>DALARNAS LÄN</t>
        </is>
      </c>
      <c r="G196" t="inlineStr">
        <is>
          <t>LUDVIKA</t>
        </is>
      </c>
      <c r="H196" t="inlineStr">
        <is>
          <t>Naturvårdsverket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46270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46270</v>
      </c>
      <c r="F198" t="inlineStr">
        <is>
          <t>DALARNAS LÄN</t>
        </is>
      </c>
      <c r="G198" t="inlineStr">
        <is>
          <t>LUDVIKA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45607</v>
      </c>
      <c r="E199" s="1" t="n">
        <v>46270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26698-2025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45810</v>
      </c>
      <c r="E200" s="1" t="n">
        <v>46270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26794-2025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45810</v>
      </c>
      <c r="E201" s="1" t="n">
        <v>46270</v>
      </c>
      <c r="F201" t="inlineStr">
        <is>
          <t>DALARNAS LÄN</t>
        </is>
      </c>
      <c r="G201" t="inlineStr">
        <is>
          <t>LUDVIKA</t>
        </is>
      </c>
      <c r="H201" t="inlineStr">
        <is>
          <t>Kommuner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26628-2025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45810</v>
      </c>
      <c r="E202" s="1" t="n">
        <v>46270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46270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45625</v>
      </c>
      <c r="E204" s="1" t="n">
        <v>46270</v>
      </c>
      <c r="F204" t="inlineStr">
        <is>
          <t>DALARNAS LÄN</t>
        </is>
      </c>
      <c r="G204" t="inlineStr">
        <is>
          <t>LUDVIKA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46270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45208</v>
      </c>
      <c r="E206" s="1" t="n">
        <v>46270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46270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46270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46029</v>
      </c>
      <c r="E209" s="1" t="n">
        <v>46270</v>
      </c>
      <c r="F209" t="inlineStr">
        <is>
          <t>DALARNAS LÄN</t>
        </is>
      </c>
      <c r="G209" t="inlineStr">
        <is>
          <t>LUDVIKA</t>
        </is>
      </c>
      <c r="H209" t="inlineStr">
        <is>
          <t>Övriga Aktiebolag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46270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46270</v>
      </c>
      <c r="F211" t="inlineStr">
        <is>
          <t>DALARNAS LÄN</t>
        </is>
      </c>
      <c r="G211" t="inlineStr">
        <is>
          <t>LUDVIKA</t>
        </is>
      </c>
      <c r="H211" t="inlineStr">
        <is>
          <t>Naturvårdsverket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44859</v>
      </c>
      <c r="E212" s="1" t="n">
        <v>46270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45579</v>
      </c>
      <c r="E213" s="1" t="n">
        <v>46270</v>
      </c>
      <c r="F213" t="inlineStr">
        <is>
          <t>DALARNAS LÄN</t>
        </is>
      </c>
      <c r="G213" t="inlineStr">
        <is>
          <t>LUDVIKA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46270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46270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46270</v>
      </c>
      <c r="F216" t="inlineStr">
        <is>
          <t>DALARNAS LÄN</t>
        </is>
      </c>
      <c r="G216" t="inlineStr">
        <is>
          <t>LUDVIKA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46270</v>
      </c>
      <c r="F217" t="inlineStr">
        <is>
          <t>DALARNAS LÄN</t>
        </is>
      </c>
      <c r="G217" t="inlineStr">
        <is>
          <t>LUDVIKA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8703-2023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44978</v>
      </c>
      <c r="E218" s="1" t="n">
        <v>46270</v>
      </c>
      <c r="F218" t="inlineStr">
        <is>
          <t>DALARNAS LÄN</t>
        </is>
      </c>
      <c r="G218" t="inlineStr">
        <is>
          <t>LUDVIKA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46270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41269-2025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46270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46270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46270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46270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46270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46270</v>
      </c>
      <c r="F225" t="inlineStr">
        <is>
          <t>DALARNAS LÄN</t>
        </is>
      </c>
      <c r="G225" t="inlineStr">
        <is>
          <t>LUDVIKA</t>
        </is>
      </c>
      <c r="H225" t="inlineStr">
        <is>
          <t>Naturvårdsverket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46270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46270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46270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46270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46270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36338-2025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45868</v>
      </c>
      <c r="E231" s="1" t="n">
        <v>46270</v>
      </c>
      <c r="F231" t="inlineStr">
        <is>
          <t>DALARNAS LÄN</t>
        </is>
      </c>
      <c r="G231" t="inlineStr">
        <is>
          <t>LUDVIKA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44890</v>
      </c>
      <c r="E232" s="1" t="n">
        <v>46270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46270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45191</v>
      </c>
      <c r="E234" s="1" t="n">
        <v>46270</v>
      </c>
      <c r="F234" t="inlineStr">
        <is>
          <t>DALARNAS LÄN</t>
        </is>
      </c>
      <c r="G234" t="inlineStr">
        <is>
          <t>LUDVIKA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46270</v>
      </c>
      <c r="F235" t="inlineStr">
        <is>
          <t>DALARNAS LÄN</t>
        </is>
      </c>
      <c r="G235" t="inlineStr">
        <is>
          <t>LUDVIKA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46270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46270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46270</v>
      </c>
      <c r="F238" t="inlineStr">
        <is>
          <t>DALARNAS LÄN</t>
        </is>
      </c>
      <c r="G238" t="inlineStr">
        <is>
          <t>LUDVIKA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46270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46270</v>
      </c>
      <c r="F240" t="inlineStr">
        <is>
          <t>DALARNAS LÄN</t>
        </is>
      </c>
      <c r="G240" t="inlineStr">
        <is>
          <t>LUDVIKA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46270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46270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55961-2024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46270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46270</v>
      </c>
      <c r="F244" t="inlineStr">
        <is>
          <t>DALARNAS LÄN</t>
        </is>
      </c>
      <c r="G244" t="inlineStr">
        <is>
          <t>LUDVIKA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46270</v>
      </c>
      <c r="F245" t="inlineStr">
        <is>
          <t>DALARNAS LÄN</t>
        </is>
      </c>
      <c r="G245" t="inlineStr">
        <is>
          <t>LUDVIKA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15128-2025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45744</v>
      </c>
      <c r="E246" s="1" t="n">
        <v>46270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46270</v>
      </c>
      <c r="F247" t="inlineStr">
        <is>
          <t>DALARNAS LÄN</t>
        </is>
      </c>
      <c r="G247" t="inlineStr">
        <is>
          <t>LUDVIKA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46270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46270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65195-2021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44515</v>
      </c>
      <c r="E250" s="1" t="n">
        <v>46270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43762-2025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46270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34067-2025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45845</v>
      </c>
      <c r="E252" s="1" t="n">
        <v>46270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46270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46270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46270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46270</v>
      </c>
      <c r="F256" t="inlineStr">
        <is>
          <t>DALARNAS LÄN</t>
        </is>
      </c>
      <c r="G256" t="inlineStr">
        <is>
          <t>LUDVIKA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46270</v>
      </c>
      <c r="F257" t="inlineStr">
        <is>
          <t>DALARNAS LÄN</t>
        </is>
      </c>
      <c r="G257" t="inlineStr">
        <is>
          <t>LUDVIKA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46270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46270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46270</v>
      </c>
      <c r="F260" t="inlineStr">
        <is>
          <t>DALARNAS LÄN</t>
        </is>
      </c>
      <c r="G260" t="inlineStr">
        <is>
          <t>LUDVIKA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46270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46108-2025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46270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17.2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45502</v>
      </c>
      <c r="E263" s="1" t="n">
        <v>46270</v>
      </c>
      <c r="F263" t="inlineStr">
        <is>
          <t>DALARNAS LÄN</t>
        </is>
      </c>
      <c r="G263" t="inlineStr">
        <is>
          <t>LUDVIKA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46270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46270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46270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45849</v>
      </c>
      <c r="E267" s="1" t="n">
        <v>46270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34455-2024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45525</v>
      </c>
      <c r="E268" s="1" t="n">
        <v>46270</v>
      </c>
      <c r="F268" t="inlineStr">
        <is>
          <t>DALARNAS LÄN</t>
        </is>
      </c>
      <c r="G268" t="inlineStr">
        <is>
          <t>LUDVIKA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45825</v>
      </c>
      <c r="E269" s="1" t="n">
        <v>46270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46270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45512</v>
      </c>
      <c r="E271" s="1" t="n">
        <v>46270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46270</v>
      </c>
      <c r="F272" t="inlineStr">
        <is>
          <t>DALARNAS LÄN</t>
        </is>
      </c>
      <c r="G272" t="inlineStr">
        <is>
          <t>LUDVIKA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46270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45832</v>
      </c>
      <c r="E274" s="1" t="n">
        <v>46270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45512</v>
      </c>
      <c r="E275" s="1" t="n">
        <v>46270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45832</v>
      </c>
      <c r="E276" s="1" t="n">
        <v>46270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45840</v>
      </c>
      <c r="E277" s="1" t="n">
        <v>46270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17677-2022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44680</v>
      </c>
      <c r="E278" s="1" t="n">
        <v>46270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46270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46270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46270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57557-2023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46270</v>
      </c>
      <c r="F282" t="inlineStr">
        <is>
          <t>DALARNAS LÄN</t>
        </is>
      </c>
      <c r="G282" t="inlineStr">
        <is>
          <t>LUDVIKA</t>
        </is>
      </c>
      <c r="I282" t="n">
        <v>12.7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45869</v>
      </c>
      <c r="E283" s="1" t="n">
        <v>46270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50444-2025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45944</v>
      </c>
      <c r="E284" s="1" t="n">
        <v>46270</v>
      </c>
      <c r="F284" t="inlineStr">
        <is>
          <t>DALARNAS LÄN</t>
        </is>
      </c>
      <c r="G284" t="inlineStr">
        <is>
          <t>LUDVIKA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46270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46002</v>
      </c>
      <c r="E286" s="1" t="n">
        <v>46270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46270</v>
      </c>
      <c r="F287" t="inlineStr">
        <is>
          <t>DALARNAS LÄN</t>
        </is>
      </c>
      <c r="G287" t="inlineStr">
        <is>
          <t>LUDVIKA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45562</v>
      </c>
      <c r="E288" s="1" t="n">
        <v>46270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49035-2024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45594</v>
      </c>
      <c r="E289" s="1" t="n">
        <v>46270</v>
      </c>
      <c r="F289" t="inlineStr">
        <is>
          <t>DALARNAS LÄN</t>
        </is>
      </c>
      <c r="G289" t="inlineStr">
        <is>
          <t>LUDVIKA</t>
        </is>
      </c>
      <c r="H289" t="inlineStr">
        <is>
          <t>Naturvårdsverket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46270</v>
      </c>
      <c r="F290" t="inlineStr">
        <is>
          <t>DALARNAS LÄN</t>
        </is>
      </c>
      <c r="G290" t="inlineStr">
        <is>
          <t>LUDVIKA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61621-2022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44916</v>
      </c>
      <c r="E291" s="1" t="n">
        <v>46270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45875</v>
      </c>
      <c r="E292" s="1" t="n">
        <v>46270</v>
      </c>
      <c r="F292" t="inlineStr">
        <is>
          <t>DALARNAS LÄN</t>
        </is>
      </c>
      <c r="G292" t="inlineStr">
        <is>
          <t>LUDVIKA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45952</v>
      </c>
      <c r="E293" s="1" t="n">
        <v>46270</v>
      </c>
      <c r="F293" t="inlineStr">
        <is>
          <t>DALARNAS LÄN</t>
        </is>
      </c>
      <c r="G293" t="inlineStr">
        <is>
          <t>LUDVIKA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46270</v>
      </c>
      <c r="F294" t="inlineStr">
        <is>
          <t>DALARNAS LÄN</t>
        </is>
      </c>
      <c r="G294" t="inlineStr">
        <is>
          <t>LUDVIKA</t>
        </is>
      </c>
      <c r="H294" t="inlineStr">
        <is>
          <t>Naturvårdsverket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49114-2023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46270</v>
      </c>
      <c r="F295" t="inlineStr">
        <is>
          <t>DALARNAS LÄN</t>
        </is>
      </c>
      <c r="G295" t="inlineStr">
        <is>
          <t>LUDVIKA</t>
        </is>
      </c>
      <c r="H295" t="inlineStr">
        <is>
          <t>Naturvårdsverket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47366-2023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45202</v>
      </c>
      <c r="E296" s="1" t="n">
        <v>46270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46270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46270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46270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52552-2025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46270</v>
      </c>
      <c r="F300" t="inlineStr">
        <is>
          <t>DALARNAS LÄN</t>
        </is>
      </c>
      <c r="G300" t="inlineStr">
        <is>
          <t>LUDVIKA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46270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46270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52556-2025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45954</v>
      </c>
      <c r="E303" s="1" t="n">
        <v>46270</v>
      </c>
      <c r="F303" t="inlineStr">
        <is>
          <t>DALARNAS LÄN</t>
        </is>
      </c>
      <c r="G303" t="inlineStr">
        <is>
          <t>LUDVIKA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52459-2025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45954</v>
      </c>
      <c r="E304" s="1" t="n">
        <v>46270</v>
      </c>
      <c r="F304" t="inlineStr">
        <is>
          <t>DALARNAS LÄN</t>
        </is>
      </c>
      <c r="G304" t="inlineStr">
        <is>
          <t>LUDVIKA</t>
        </is>
      </c>
      <c r="H304" t="inlineStr">
        <is>
          <t>Övriga Aktiebolag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46270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9.300000000000001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46270</v>
      </c>
      <c r="F306" t="inlineStr">
        <is>
          <t>DALARNAS LÄN</t>
        </is>
      </c>
      <c r="G306" t="inlineStr">
        <is>
          <t>LUDVIKA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45957</v>
      </c>
      <c r="E307" s="1" t="n">
        <v>46270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46270</v>
      </c>
      <c r="F308" t="inlineStr">
        <is>
          <t>DALARNAS LÄN</t>
        </is>
      </c>
      <c r="G308" t="inlineStr">
        <is>
          <t>LUDVIKA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45644</v>
      </c>
      <c r="E309" s="1" t="n">
        <v>46270</v>
      </c>
      <c r="F309" t="inlineStr">
        <is>
          <t>DALARNAS LÄN</t>
        </is>
      </c>
      <c r="G309" t="inlineStr">
        <is>
          <t>LUDVIKA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45961</v>
      </c>
      <c r="E310" s="1" t="n">
        <v>46270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45961</v>
      </c>
      <c r="E311" s="1" t="n">
        <v>46270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45637</v>
      </c>
      <c r="E312" s="1" t="n">
        <v>46270</v>
      </c>
      <c r="F312" t="inlineStr">
        <is>
          <t>DALARNAS LÄN</t>
        </is>
      </c>
      <c r="G312" t="inlineStr">
        <is>
          <t>LUDVIKA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48642-2022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44859</v>
      </c>
      <c r="E313" s="1" t="n">
        <v>46270</v>
      </c>
      <c r="F313" t="inlineStr">
        <is>
          <t>DALARNAS LÄN</t>
        </is>
      </c>
      <c r="G313" t="inlineStr">
        <is>
          <t>LUDVIKA</t>
        </is>
      </c>
      <c r="H313" t="inlineStr">
        <is>
          <t>Naturvårdsverket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18724-2022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44687</v>
      </c>
      <c r="E314" s="1" t="n">
        <v>46270</v>
      </c>
      <c r="F314" t="inlineStr">
        <is>
          <t>DALARNAS LÄN</t>
        </is>
      </c>
      <c r="G314" t="inlineStr">
        <is>
          <t>LUDVIKA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36527-2024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46270</v>
      </c>
      <c r="F315" t="inlineStr">
        <is>
          <t>DALARNAS LÄN</t>
        </is>
      </c>
      <c r="G315" t="inlineStr">
        <is>
          <t>LUDVIKA</t>
        </is>
      </c>
      <c r="H315" t="inlineStr">
        <is>
          <t>Övriga Aktiebolag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46270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54341-2025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45965</v>
      </c>
      <c r="E317" s="1" t="n">
        <v>46270</v>
      </c>
      <c r="F317" t="inlineStr">
        <is>
          <t>DALARNAS LÄN</t>
        </is>
      </c>
      <c r="G317" t="inlineStr">
        <is>
          <t>LUDVIKA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54375-2025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46270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45891</v>
      </c>
      <c r="E319" s="1" t="n">
        <v>46270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45963</v>
      </c>
      <c r="E320" s="1" t="n">
        <v>46270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39828-2025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46270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46270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45562</v>
      </c>
      <c r="E323" s="1" t="n">
        <v>46270</v>
      </c>
      <c r="F323" t="inlineStr">
        <is>
          <t>DALARNAS LÄN</t>
        </is>
      </c>
      <c r="G323" t="inlineStr">
        <is>
          <t>LUDVIKA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46270</v>
      </c>
      <c r="F324" t="inlineStr">
        <is>
          <t>DALARNAS LÄN</t>
        </is>
      </c>
      <c r="G324" t="inlineStr">
        <is>
          <t>LUDVIKA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33673-2022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44789</v>
      </c>
      <c r="E325" s="1" t="n">
        <v>46270</v>
      </c>
      <c r="F325" t="inlineStr">
        <is>
          <t>DALARNAS LÄN</t>
        </is>
      </c>
      <c r="G325" t="inlineStr">
        <is>
          <t>LUDVIKA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56680-2022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44893</v>
      </c>
      <c r="E326" s="1" t="n">
        <v>46270</v>
      </c>
      <c r="F326" t="inlineStr">
        <is>
          <t>DALARNAS LÄN</t>
        </is>
      </c>
      <c r="G326" t="inlineStr">
        <is>
          <t>LUDVIKA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46270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46270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45968</v>
      </c>
      <c r="E329" s="1" t="n">
        <v>46270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11.5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73703-2021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44552</v>
      </c>
      <c r="E330" s="1" t="n">
        <v>46270</v>
      </c>
      <c r="F330" t="inlineStr">
        <is>
          <t>DALARNAS LÄN</t>
        </is>
      </c>
      <c r="G330" t="inlineStr">
        <is>
          <t>LUDVIKA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46270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45474</v>
      </c>
      <c r="E332" s="1" t="n">
        <v>46270</v>
      </c>
      <c r="F332" t="inlineStr">
        <is>
          <t>DALARNAS LÄN</t>
        </is>
      </c>
      <c r="G332" t="inlineStr">
        <is>
          <t>LUDVIKA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46270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46270</v>
      </c>
      <c r="F334" t="inlineStr">
        <is>
          <t>DALARNAS LÄN</t>
        </is>
      </c>
      <c r="G334" t="inlineStr">
        <is>
          <t>LUDVIKA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57217-2024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46270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17.3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56615-2025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45975</v>
      </c>
      <c r="E336" s="1" t="n">
        <v>46270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46270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56002-2025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46270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46270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46270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45972</v>
      </c>
      <c r="E341" s="1" t="n">
        <v>46270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46270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46270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46270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46270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56155-2025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46270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46270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45224</v>
      </c>
      <c r="E348" s="1" t="n">
        <v>46270</v>
      </c>
      <c r="F348" t="inlineStr">
        <is>
          <t>DALARNAS LÄN</t>
        </is>
      </c>
      <c r="G348" t="inlineStr">
        <is>
          <t>LUDVIKA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30813-2025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46270</v>
      </c>
      <c r="F349" t="inlineStr">
        <is>
          <t>DALARNAS LÄN</t>
        </is>
      </c>
      <c r="G349" t="inlineStr">
        <is>
          <t>LUDVIKA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41090-2022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44825</v>
      </c>
      <c r="E350" s="1" t="n">
        <v>46270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62368-2025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46270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50347-2021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44459</v>
      </c>
      <c r="E352" s="1" t="n">
        <v>46270</v>
      </c>
      <c r="F352" t="inlineStr">
        <is>
          <t>DALARNAS LÄN</t>
        </is>
      </c>
      <c r="G352" t="inlineStr">
        <is>
          <t>LUDVIKA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46270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918-2024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45301</v>
      </c>
      <c r="E354" s="1" t="n">
        <v>46270</v>
      </c>
      <c r="F354" t="inlineStr">
        <is>
          <t>DALARNAS LÄN</t>
        </is>
      </c>
      <c r="G354" t="inlineStr">
        <is>
          <t>LUDVIKA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923-2024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45301</v>
      </c>
      <c r="E355" s="1" t="n">
        <v>46270</v>
      </c>
      <c r="F355" t="inlineStr">
        <is>
          <t>DALARNAS LÄN</t>
        </is>
      </c>
      <c r="G355" t="inlineStr">
        <is>
          <t>LUDVIKA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45297</v>
      </c>
      <c r="E356" s="1" t="n">
        <v>46270</v>
      </c>
      <c r="F356" t="inlineStr">
        <is>
          <t>DALARNAS LÄN</t>
        </is>
      </c>
      <c r="G356" t="inlineStr">
        <is>
          <t>LUDVIKA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45335</v>
      </c>
      <c r="E357" s="1" t="n">
        <v>46270</v>
      </c>
      <c r="F357" t="inlineStr">
        <is>
          <t>DALARNAS LÄN</t>
        </is>
      </c>
      <c r="G357" t="inlineStr">
        <is>
          <t>LUDVIKA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45639</v>
      </c>
      <c r="E358" s="1" t="n">
        <v>46270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45909</v>
      </c>
      <c r="E359" s="1" t="n">
        <v>46270</v>
      </c>
      <c r="F359" t="inlineStr">
        <is>
          <t>DALARNAS LÄN</t>
        </is>
      </c>
      <c r="G359" t="inlineStr">
        <is>
          <t>LUDVIKA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46270</v>
      </c>
      <c r="F360" t="inlineStr">
        <is>
          <t>DALARNAS LÄN</t>
        </is>
      </c>
      <c r="G360" t="inlineStr">
        <is>
          <t>LUDVIKA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45988</v>
      </c>
      <c r="E361" s="1" t="n">
        <v>46270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45929</v>
      </c>
      <c r="E362" s="1" t="n">
        <v>46270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47032-2025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45929</v>
      </c>
      <c r="E363" s="1" t="n">
        <v>46270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32277-2024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45512</v>
      </c>
      <c r="E364" s="1" t="n">
        <v>46270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38921-2025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46270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45891</v>
      </c>
      <c r="E366" s="1" t="n">
        <v>46270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46270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46074-2023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45196</v>
      </c>
      <c r="E368" s="1" t="n">
        <v>46270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46270</v>
      </c>
      <c r="F369" t="inlineStr">
        <is>
          <t>DALARNAS LÄN</t>
        </is>
      </c>
      <c r="G369" t="inlineStr">
        <is>
          <t>LUDVIKA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46270</v>
      </c>
      <c r="F370" t="inlineStr">
        <is>
          <t>DALARNAS LÄN</t>
        </is>
      </c>
      <c r="G370" t="inlineStr">
        <is>
          <t>LUDVIKA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59530-2025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46270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51208-2023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45219</v>
      </c>
      <c r="E372" s="1" t="n">
        <v>46270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46270</v>
      </c>
      <c r="F373" t="inlineStr">
        <is>
          <t>DALARNAS LÄN</t>
        </is>
      </c>
      <c r="G373" t="inlineStr">
        <is>
          <t>LUDVIKA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46270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46270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12497-2024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45379</v>
      </c>
      <c r="E376" s="1" t="n">
        <v>46270</v>
      </c>
      <c r="F376" t="inlineStr">
        <is>
          <t>DALARNAS LÄN</t>
        </is>
      </c>
      <c r="G376" t="inlineStr">
        <is>
          <t>LUDVIKA</t>
        </is>
      </c>
      <c r="H376" t="inlineStr">
        <is>
          <t>Naturvårdsverket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46001</v>
      </c>
      <c r="E377" s="1" t="n">
        <v>46270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45099</v>
      </c>
      <c r="E378" s="1" t="n">
        <v>46270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61505-2025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46001</v>
      </c>
      <c r="E379" s="1" t="n">
        <v>46270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45113</v>
      </c>
      <c r="E380" s="1" t="n">
        <v>46270</v>
      </c>
      <c r="F380" t="inlineStr">
        <is>
          <t>DALARNAS LÄN</t>
        </is>
      </c>
      <c r="G380" t="inlineStr">
        <is>
          <t>LUDVIKA</t>
        </is>
      </c>
      <c r="H380" t="inlineStr">
        <is>
          <t>Kommuner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62367-2025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46007</v>
      </c>
      <c r="E381" s="1" t="n">
        <v>46270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30039-2024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45488</v>
      </c>
      <c r="E382" s="1" t="n">
        <v>46270</v>
      </c>
      <c r="F382" t="inlineStr">
        <is>
          <t>DALARNAS LÄN</t>
        </is>
      </c>
      <c r="G382" t="inlineStr">
        <is>
          <t>LUDVIKA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46270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46270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62706-2025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46008</v>
      </c>
      <c r="E385" s="1" t="n">
        <v>46270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7238-2023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46270</v>
      </c>
      <c r="F386" t="inlineStr">
        <is>
          <t>DALARNAS LÄN</t>
        </is>
      </c>
      <c r="G386" t="inlineStr">
        <is>
          <t>LUDVIKA</t>
        </is>
      </c>
      <c r="H386" t="inlineStr">
        <is>
          <t>Övriga Aktiebolag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44970</v>
      </c>
      <c r="E387" s="1" t="n">
        <v>46270</v>
      </c>
      <c r="F387" t="inlineStr">
        <is>
          <t>DALARNAS LÄN</t>
        </is>
      </c>
      <c r="G387" t="inlineStr">
        <is>
          <t>LUDVIKA</t>
        </is>
      </c>
      <c r="H387" t="inlineStr">
        <is>
          <t>Övriga Aktiebolag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46270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62945-2025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46009</v>
      </c>
      <c r="E389" s="1" t="n">
        <v>46270</v>
      </c>
      <c r="F389" t="inlineStr">
        <is>
          <t>DALARNAS LÄN</t>
        </is>
      </c>
      <c r="G389" t="inlineStr">
        <is>
          <t>LUDVIKA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62845-2025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46270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46270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62838-2025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46270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39519-2024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45551</v>
      </c>
      <c r="E393" s="1" t="n">
        <v>46270</v>
      </c>
      <c r="F393" t="inlineStr">
        <is>
          <t>DALARNAS LÄN</t>
        </is>
      </c>
      <c r="G393" t="inlineStr">
        <is>
          <t>LUDVIKA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62824-2025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46270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62842-2025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46270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62704-2025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46270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63215-2025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46270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47496-2022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44853</v>
      </c>
      <c r="E398" s="1" t="n">
        <v>46270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46270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64171-2023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45279</v>
      </c>
      <c r="E400" s="1" t="n">
        <v>46270</v>
      </c>
      <c r="F400" t="inlineStr">
        <is>
          <t>DALARNAS LÄN</t>
        </is>
      </c>
      <c r="G400" t="inlineStr">
        <is>
          <t>LUDVIKA</t>
        </is>
      </c>
      <c r="I400" t="n">
        <v>8.6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45099</v>
      </c>
      <c r="E401" s="1" t="n">
        <v>46270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43240-2024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45568</v>
      </c>
      <c r="E402" s="1" t="n">
        <v>46270</v>
      </c>
      <c r="F402" t="inlineStr">
        <is>
          <t>DALARNAS LÄN</t>
        </is>
      </c>
      <c r="G402" t="inlineStr">
        <is>
          <t>LUDVIKA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41158-2022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44825</v>
      </c>
      <c r="E403" s="1" t="n">
        <v>46270</v>
      </c>
      <c r="F403" t="inlineStr">
        <is>
          <t>DALARNAS LÄN</t>
        </is>
      </c>
      <c r="G403" t="inlineStr">
        <is>
          <t>LUDVIKA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18708-2023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45043</v>
      </c>
      <c r="E404" s="1" t="n">
        <v>46270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45399</v>
      </c>
      <c r="E405" s="1" t="n">
        <v>46270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60843-2024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45644</v>
      </c>
      <c r="E406" s="1" t="n">
        <v>46270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65104-2023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45288</v>
      </c>
      <c r="E407" s="1" t="n">
        <v>46270</v>
      </c>
      <c r="F407" t="inlineStr">
        <is>
          <t>DALARNAS LÄN</t>
        </is>
      </c>
      <c r="G407" t="inlineStr">
        <is>
          <t>LUDVIKA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45743</v>
      </c>
      <c r="E408" s="1" t="n">
        <v>46270</v>
      </c>
      <c r="F408" t="inlineStr">
        <is>
          <t>DALARNAS LÄN</t>
        </is>
      </c>
      <c r="G408" t="inlineStr">
        <is>
          <t>LUDVIKA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59050-2022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44903</v>
      </c>
      <c r="E409" s="1" t="n">
        <v>46270</v>
      </c>
      <c r="F409" t="inlineStr">
        <is>
          <t>DALARNAS LÄN</t>
        </is>
      </c>
      <c r="G409" t="inlineStr">
        <is>
          <t>LUDVIKA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45544-2024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45579</v>
      </c>
      <c r="E410" s="1" t="n">
        <v>46270</v>
      </c>
      <c r="F410" t="inlineStr">
        <is>
          <t>DALARNAS LÄN</t>
        </is>
      </c>
      <c r="G410" t="inlineStr">
        <is>
          <t>LUDVIKA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45547-2024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45579</v>
      </c>
      <c r="E411" s="1" t="n">
        <v>46270</v>
      </c>
      <c r="F411" t="inlineStr">
        <is>
          <t>DALARNAS LÄN</t>
        </is>
      </c>
      <c r="G411" t="inlineStr">
        <is>
          <t>LUDVIKA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17054-2026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46114</v>
      </c>
      <c r="E412" s="1" t="n">
        <v>46270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7.5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46270</v>
      </c>
      <c r="F413" t="inlineStr">
        <is>
          <t>DALARNAS LÄN</t>
        </is>
      </c>
      <c r="G413" t="inlineStr">
        <is>
          <t>LUDVIKA</t>
        </is>
      </c>
      <c r="H413" t="inlineStr">
        <is>
          <t>Naturvårdsverket</t>
        </is>
      </c>
      <c r="I413" t="n">
        <v>19.8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46270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46122</v>
      </c>
      <c r="E415" s="1" t="n">
        <v>46270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17913-2026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46122</v>
      </c>
      <c r="E416" s="1" t="n">
        <v>46270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46122</v>
      </c>
      <c r="E417" s="1" t="n">
        <v>46270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17915-2026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46122</v>
      </c>
      <c r="E418" s="1" t="n">
        <v>46270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45705</v>
      </c>
      <c r="E419" s="1" t="n">
        <v>46270</v>
      </c>
      <c r="F419" t="inlineStr">
        <is>
          <t>DALARNAS LÄN</t>
        </is>
      </c>
      <c r="G419" t="inlineStr">
        <is>
          <t>LUDVIKA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32854-2023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45112</v>
      </c>
      <c r="E420" s="1" t="n">
        <v>46270</v>
      </c>
      <c r="F420" t="inlineStr">
        <is>
          <t>DALARNAS LÄN</t>
        </is>
      </c>
      <c r="G420" t="inlineStr">
        <is>
          <t>LUDVIKA</t>
        </is>
      </c>
      <c r="H420" t="inlineStr">
        <is>
          <t>Kommuner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46620-2023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45198</v>
      </c>
      <c r="E421" s="1" t="n">
        <v>46270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46270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61507-2023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45265</v>
      </c>
      <c r="E423" s="1" t="n">
        <v>46270</v>
      </c>
      <c r="F423" t="inlineStr">
        <is>
          <t>DALARNAS LÄN</t>
        </is>
      </c>
      <c r="G423" t="inlineStr">
        <is>
          <t>LUDVIKA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46270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46126</v>
      </c>
      <c r="E425" s="1" t="n">
        <v>46270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49951-2022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44865</v>
      </c>
      <c r="E426" s="1" t="n">
        <v>46270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18829-2026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46128</v>
      </c>
      <c r="E427" s="1" t="n">
        <v>46270</v>
      </c>
      <c r="F427" t="inlineStr">
        <is>
          <t>DALARNAS LÄN</t>
        </is>
      </c>
      <c r="G427" t="inlineStr">
        <is>
          <t>LUDVIKA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29114-2024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45481</v>
      </c>
      <c r="E428" s="1" t="n">
        <v>46270</v>
      </c>
      <c r="F428" t="inlineStr">
        <is>
          <t>DALARNAS LÄN</t>
        </is>
      </c>
      <c r="G428" t="inlineStr">
        <is>
          <t>LUDVIKA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16814-2024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45411</v>
      </c>
      <c r="E429" s="1" t="n">
        <v>46270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46270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31270-2022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44771</v>
      </c>
      <c r="E431" s="1" t="n">
        <v>46270</v>
      </c>
      <c r="F431" t="inlineStr">
        <is>
          <t>DALARNAS LÄN</t>
        </is>
      </c>
      <c r="G431" t="inlineStr">
        <is>
          <t>LUDVIKA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19834-2026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46135</v>
      </c>
      <c r="E432" s="1" t="n">
        <v>46270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50273-2021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44459</v>
      </c>
      <c r="E433" s="1" t="n">
        <v>46270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45960</v>
      </c>
      <c r="E434" s="1" t="n">
        <v>46270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59186-2025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46270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56203-2024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46270</v>
      </c>
      <c r="F436" t="inlineStr">
        <is>
          <t>DALARNAS LÄN</t>
        </is>
      </c>
      <c r="G436" t="inlineStr">
        <is>
          <t>LUDVIKA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7714-2026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46270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45835</v>
      </c>
      <c r="E438" s="1" t="n">
        <v>46270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46270</v>
      </c>
      <c r="F439" t="inlineStr">
        <is>
          <t>DALARNAS LÄN</t>
        </is>
      </c>
      <c r="G439" t="inlineStr">
        <is>
          <t>LUDVIKA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45775</v>
      </c>
      <c r="E440" s="1" t="n">
        <v>46270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39437-2023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45166</v>
      </c>
      <c r="E441" s="1" t="n">
        <v>46270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20096-2026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46136</v>
      </c>
      <c r="E442" s="1" t="n">
        <v>46270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33839-2024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45520</v>
      </c>
      <c r="E443" s="1" t="n">
        <v>46270</v>
      </c>
      <c r="F443" t="inlineStr">
        <is>
          <t>DALARNAS LÄN</t>
        </is>
      </c>
      <c r="G443" t="inlineStr">
        <is>
          <t>LUDVIKA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55151-2025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45968</v>
      </c>
      <c r="E444" s="1" t="n">
        <v>46270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45531</v>
      </c>
      <c r="E445" s="1" t="n">
        <v>46270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34868-2025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45849</v>
      </c>
      <c r="E446" s="1" t="n">
        <v>46270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54730-2022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44883</v>
      </c>
      <c r="E447" s="1" t="n">
        <v>46270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52912-2025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45954</v>
      </c>
      <c r="E448" s="1" t="n">
        <v>46270</v>
      </c>
      <c r="F448" t="inlineStr">
        <is>
          <t>DALARNAS LÄN</t>
        </is>
      </c>
      <c r="G448" t="inlineStr">
        <is>
          <t>LUDVIKA</t>
        </is>
      </c>
      <c r="I448" t="n">
        <v>9.800000000000001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29578-2025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45825</v>
      </c>
      <c r="E449" s="1" t="n">
        <v>46270</v>
      </c>
      <c r="F449" t="inlineStr">
        <is>
          <t>DALARNAS LÄN</t>
        </is>
      </c>
      <c r="G449" t="inlineStr">
        <is>
          <t>LUDVIKA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21152-2023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45062</v>
      </c>
      <c r="E450" s="1" t="n">
        <v>46270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13.6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39849-2023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45168</v>
      </c>
      <c r="E451" s="1" t="n">
        <v>46270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46136</v>
      </c>
      <c r="E452" s="1" t="n">
        <v>46270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30399-2025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45827</v>
      </c>
      <c r="E453" s="1" t="n">
        <v>46270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53996-2024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45616</v>
      </c>
      <c r="E454" s="1" t="n">
        <v>46270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19071-2025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45765</v>
      </c>
      <c r="E455" s="1" t="n">
        <v>46270</v>
      </c>
      <c r="F455" t="inlineStr">
        <is>
          <t>DALARNAS LÄN</t>
        </is>
      </c>
      <c r="G455" t="inlineStr">
        <is>
          <t>LUDVIKA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49045-2024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45594</v>
      </c>
      <c r="E456" s="1" t="n">
        <v>46270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45740</v>
      </c>
      <c r="E457" s="1" t="n">
        <v>46270</v>
      </c>
      <c r="F457" t="inlineStr">
        <is>
          <t>DALARNAS LÄN</t>
        </is>
      </c>
      <c r="G457" t="inlineStr">
        <is>
          <t>LUDVIKA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41828-2025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45902</v>
      </c>
      <c r="E458" s="1" t="n">
        <v>46270</v>
      </c>
      <c r="F458" t="inlineStr">
        <is>
          <t>DALARNAS LÄN</t>
        </is>
      </c>
      <c r="G458" t="inlineStr">
        <is>
          <t>LUDVIKA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45860</v>
      </c>
      <c r="E459" s="1" t="n">
        <v>46270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34875-2025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45849</v>
      </c>
      <c r="E460" s="1" t="n">
        <v>46270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55633-2021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44476</v>
      </c>
      <c r="E461" s="1" t="n">
        <v>46270</v>
      </c>
      <c r="F461" t="inlineStr">
        <is>
          <t>DALARNAS LÄN</t>
        </is>
      </c>
      <c r="G461" t="inlineStr">
        <is>
          <t>LUDVIKA</t>
        </is>
      </c>
      <c r="H461" t="inlineStr">
        <is>
          <t>Övriga Aktiebolag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55323-2025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45971</v>
      </c>
      <c r="E462" s="1" t="n">
        <v>46270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25.7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70046-2021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44533</v>
      </c>
      <c r="E463" s="1" t="n">
        <v>46270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42106-2024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45562</v>
      </c>
      <c r="E464" s="1" t="n">
        <v>46270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43704-2024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46270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17998-2025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45761</v>
      </c>
      <c r="E466" s="1" t="n">
        <v>46270</v>
      </c>
      <c r="F466" t="inlineStr">
        <is>
          <t>DALARNAS LÄN</t>
        </is>
      </c>
      <c r="G466" t="inlineStr">
        <is>
          <t>LUDVIKA</t>
        </is>
      </c>
      <c r="H466" t="inlineStr">
        <is>
          <t>Naturvårdsverket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48003-2024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45589</v>
      </c>
      <c r="E467" s="1" t="n">
        <v>46270</v>
      </c>
      <c r="F467" t="inlineStr">
        <is>
          <t>DALARNAS LÄN</t>
        </is>
      </c>
      <c r="G467" t="inlineStr">
        <is>
          <t>LUDVIKA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47671-2024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45588</v>
      </c>
      <c r="E468" s="1" t="n">
        <v>46270</v>
      </c>
      <c r="F468" t="inlineStr">
        <is>
          <t>DALARNAS LÄN</t>
        </is>
      </c>
      <c r="G468" t="inlineStr">
        <is>
          <t>LUDVIKA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34070-2025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45845</v>
      </c>
      <c r="E469" s="1" t="n">
        <v>46270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46037</v>
      </c>
      <c r="E470" s="1" t="n">
        <v>46270</v>
      </c>
      <c r="F470" t="inlineStr">
        <is>
          <t>DALARNAS LÄN</t>
        </is>
      </c>
      <c r="G470" t="inlineStr">
        <is>
          <t>LUDVIKA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45110</v>
      </c>
      <c r="E471" s="1" t="n">
        <v>46270</v>
      </c>
      <c r="F471" t="inlineStr">
        <is>
          <t>DALARNAS LÄN</t>
        </is>
      </c>
      <c r="G471" t="inlineStr">
        <is>
          <t>LUDVIKA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46270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44537-2024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45574</v>
      </c>
      <c r="E473" s="1" t="n">
        <v>46270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46270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39400-2023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46270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20789-2026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46141</v>
      </c>
      <c r="E476" s="1" t="n">
        <v>46270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45119</v>
      </c>
      <c r="E477" s="1" t="n">
        <v>46270</v>
      </c>
      <c r="F477" t="inlineStr">
        <is>
          <t>DALARNAS LÄN</t>
        </is>
      </c>
      <c r="G477" t="inlineStr">
        <is>
          <t>LUDVIKA</t>
        </is>
      </c>
      <c r="H477" t="inlineStr">
        <is>
          <t>Naturvårdsverket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20666-2026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46141</v>
      </c>
      <c r="E478" s="1" t="n">
        <v>46270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34845-2024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45526</v>
      </c>
      <c r="E479" s="1" t="n">
        <v>46270</v>
      </c>
      <c r="F479" t="inlineStr">
        <is>
          <t>DALARNAS LÄN</t>
        </is>
      </c>
      <c r="G479" t="inlineStr">
        <is>
          <t>LUDVIKA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46185-2024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45581</v>
      </c>
      <c r="E480" s="1" t="n">
        <v>46270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25299-2022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44730</v>
      </c>
      <c r="E481" s="1" t="n">
        <v>46270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46270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11632-2024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45373</v>
      </c>
      <c r="E483" s="1" t="n">
        <v>46270</v>
      </c>
      <c r="F483" t="inlineStr">
        <is>
          <t>DALARNAS LÄN</t>
        </is>
      </c>
      <c r="G483" t="inlineStr">
        <is>
          <t>LUDVIKA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56672-2023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45243</v>
      </c>
      <c r="E484" s="1" t="n">
        <v>46270</v>
      </c>
      <c r="F484" t="inlineStr">
        <is>
          <t>DALARNAS LÄN</t>
        </is>
      </c>
      <c r="G484" t="inlineStr">
        <is>
          <t>LUDVIKA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45512</v>
      </c>
      <c r="E485" s="1" t="n">
        <v>46270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46066</v>
      </c>
      <c r="E486" s="1" t="n">
        <v>46270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46270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46270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21345-2026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46147</v>
      </c>
      <c r="E489" s="1" t="n">
        <v>46270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61309-2022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44915</v>
      </c>
      <c r="E490" s="1" t="n">
        <v>46270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29780-2024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45485</v>
      </c>
      <c r="E491" s="1" t="n">
        <v>46270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60788-2024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45644</v>
      </c>
      <c r="E492" s="1" t="n">
        <v>46270</v>
      </c>
      <c r="F492" t="inlineStr">
        <is>
          <t>DALARNAS LÄN</t>
        </is>
      </c>
      <c r="G492" t="inlineStr">
        <is>
          <t>LUDVIKA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45603</v>
      </c>
      <c r="E493" s="1" t="n">
        <v>46270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17.9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55034-2024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45621</v>
      </c>
      <c r="E494" s="1" t="n">
        <v>46270</v>
      </c>
      <c r="F494" t="inlineStr">
        <is>
          <t>DALARNAS LÄN</t>
        </is>
      </c>
      <c r="G494" t="inlineStr">
        <is>
          <t>LUDVIKA</t>
        </is>
      </c>
      <c r="H494" t="inlineStr">
        <is>
          <t>Naturvårdsverket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46270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2614-2023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44942</v>
      </c>
      <c r="E496" s="1" t="n">
        <v>46270</v>
      </c>
      <c r="F496" t="inlineStr">
        <is>
          <t>DALARNAS LÄN</t>
        </is>
      </c>
      <c r="G496" t="inlineStr">
        <is>
          <t>LUDVIKA</t>
        </is>
      </c>
      <c r="I496" t="n">
        <v>13.1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38446-2025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45883</v>
      </c>
      <c r="E497" s="1" t="n">
        <v>46270</v>
      </c>
      <c r="F497" t="inlineStr">
        <is>
          <t>DALARNAS LÄN</t>
        </is>
      </c>
      <c r="G497" t="inlineStr">
        <is>
          <t>LUDVIKA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46148</v>
      </c>
      <c r="E498" s="1" t="n">
        <v>46270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21872-2026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46150</v>
      </c>
      <c r="E499" s="1" t="n">
        <v>46270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46150</v>
      </c>
      <c r="E500" s="1" t="n">
        <v>46270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22538-2026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46270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22558-2026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46155</v>
      </c>
      <c r="E502" s="1" t="n">
        <v>46270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45973</v>
      </c>
      <c r="E503" s="1" t="n">
        <v>46270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46155</v>
      </c>
      <c r="E504" s="1" t="n">
        <v>46270</v>
      </c>
      <c r="F504" t="inlineStr">
        <is>
          <t>DALARNAS LÄN</t>
        </is>
      </c>
      <c r="G504" t="inlineStr">
        <is>
          <t>LUDVIKA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46270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9.800000000000001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21002-2026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46270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8.9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45679</v>
      </c>
      <c r="E507" s="1" t="n">
        <v>46270</v>
      </c>
      <c r="F507" t="inlineStr">
        <is>
          <t>DALARNAS LÄN</t>
        </is>
      </c>
      <c r="G507" t="inlineStr">
        <is>
          <t>LUDVIKA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16843-2026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46113</v>
      </c>
      <c r="E508" s="1" t="n">
        <v>46270</v>
      </c>
      <c r="F508" t="inlineStr">
        <is>
          <t>DALARNAS LÄN</t>
        </is>
      </c>
      <c r="G508" t="inlineStr">
        <is>
          <t>LUDVIKA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46270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46160</v>
      </c>
      <c r="E510" s="1" t="n">
        <v>46270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23082-2026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46161</v>
      </c>
      <c r="E511" s="1" t="n">
        <v>46270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16768-2025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45754</v>
      </c>
      <c r="E512" s="1" t="n">
        <v>46270</v>
      </c>
      <c r="F512" t="inlineStr">
        <is>
          <t>DALARNAS LÄN</t>
        </is>
      </c>
      <c r="G512" t="inlineStr">
        <is>
          <t>LUDVIKA</t>
        </is>
      </c>
      <c r="H512" t="inlineStr">
        <is>
          <t>Naturvårdsverket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46270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5970-2022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44599</v>
      </c>
      <c r="E514" s="1" t="n">
        <v>46270</v>
      </c>
      <c r="F514" t="inlineStr">
        <is>
          <t>DALARNAS LÄN</t>
        </is>
      </c>
      <c r="G514" t="inlineStr">
        <is>
          <t>LUDVIKA</t>
        </is>
      </c>
      <c r="I514" t="n">
        <v>8.4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56818-2023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45244</v>
      </c>
      <c r="E515" s="1" t="n">
        <v>46270</v>
      </c>
      <c r="F515" t="inlineStr">
        <is>
          <t>DALARNAS LÄN</t>
        </is>
      </c>
      <c r="G515" t="inlineStr">
        <is>
          <t>LUDVIKA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44970</v>
      </c>
      <c r="E516" s="1" t="n">
        <v>46270</v>
      </c>
      <c r="F516" t="inlineStr">
        <is>
          <t>DALARNAS LÄN</t>
        </is>
      </c>
      <c r="G516" t="inlineStr">
        <is>
          <t>LUDVIKA</t>
        </is>
      </c>
      <c r="H516" t="inlineStr">
        <is>
          <t>Övriga Aktiebolag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46656-2023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45198</v>
      </c>
      <c r="E517" s="1" t="n">
        <v>46270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24021-2026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46270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23097-2025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46270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53620-2022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44879</v>
      </c>
      <c r="E520" s="1" t="n">
        <v>46270</v>
      </c>
      <c r="F520" t="inlineStr">
        <is>
          <t>DALARNAS LÄN</t>
        </is>
      </c>
      <c r="G520" t="inlineStr">
        <is>
          <t>LUDVIKA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46038</v>
      </c>
      <c r="E521" s="1" t="n">
        <v>46270</v>
      </c>
      <c r="F521" t="inlineStr">
        <is>
          <t>DALARNAS LÄN</t>
        </is>
      </c>
      <c r="G521" t="inlineStr">
        <is>
          <t>LUDVIKA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57969-2024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45631</v>
      </c>
      <c r="E522" s="1" t="n">
        <v>46270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45833</v>
      </c>
      <c r="E523" s="1" t="n">
        <v>46270</v>
      </c>
      <c r="F523" t="inlineStr">
        <is>
          <t>DALARNAS LÄN</t>
        </is>
      </c>
      <c r="G523" t="inlineStr">
        <is>
          <t>LUDVIKA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31818-2025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45834</v>
      </c>
      <c r="E524" s="1" t="n">
        <v>46270</v>
      </c>
      <c r="F524" t="inlineStr">
        <is>
          <t>DALARNAS LÄN</t>
        </is>
      </c>
      <c r="G524" t="inlineStr">
        <is>
          <t>LUDVIKA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46270</v>
      </c>
      <c r="F525" t="inlineStr">
        <is>
          <t>DALARNAS LÄN</t>
        </is>
      </c>
      <c r="G525" t="inlineStr">
        <is>
          <t>LUDVIKA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44819</v>
      </c>
      <c r="E526" s="1" t="n">
        <v>46270</v>
      </c>
      <c r="F526" t="inlineStr">
        <is>
          <t>DALARNAS LÄN</t>
        </is>
      </c>
      <c r="G526" t="inlineStr">
        <is>
          <t>LUDVIKA</t>
        </is>
      </c>
      <c r="H526" t="inlineStr">
        <is>
          <t>Naturvårdsverket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24768-2026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46270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24776-2026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46171</v>
      </c>
      <c r="E528" s="1" t="n">
        <v>46270</v>
      </c>
      <c r="F528" t="inlineStr">
        <is>
          <t>DALARNAS LÄN</t>
        </is>
      </c>
      <c r="G528" t="inlineStr">
        <is>
          <t>LUDVIKA</t>
        </is>
      </c>
      <c r="H528" t="inlineStr">
        <is>
          <t>Naturvårdsverket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21145-2023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45062</v>
      </c>
      <c r="E529" s="1" t="n">
        <v>46270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24673-2026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46171</v>
      </c>
      <c r="E530" s="1" t="n">
        <v>46270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23515-2026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46163</v>
      </c>
      <c r="E531" s="1" t="n">
        <v>46270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24678-2026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46171</v>
      </c>
      <c r="E532" s="1" t="n">
        <v>46270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25320-2026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46176</v>
      </c>
      <c r="E533" s="1" t="n">
        <v>46270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8.1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15851-2024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45404</v>
      </c>
      <c r="E534" s="1" t="n">
        <v>46270</v>
      </c>
      <c r="F534" t="inlineStr">
        <is>
          <t>DALARNAS LÄN</t>
        </is>
      </c>
      <c r="G534" t="inlineStr">
        <is>
          <t>LUDVIKA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41400-2022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44826</v>
      </c>
      <c r="E535" s="1" t="n">
        <v>46270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24609-2026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46171</v>
      </c>
      <c r="E536" s="1" t="n">
        <v>46270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25193-2026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46175</v>
      </c>
      <c r="E537" s="1" t="n">
        <v>46270</v>
      </c>
      <c r="F537" t="inlineStr">
        <is>
          <t>DALARNAS LÄN</t>
        </is>
      </c>
      <c r="G537" t="inlineStr">
        <is>
          <t>LUDVIKA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46171</v>
      </c>
      <c r="E538" s="1" t="n">
        <v>46270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46270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46167</v>
      </c>
      <c r="E540" s="1" t="n">
        <v>46270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20104-2026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46136</v>
      </c>
      <c r="E541" s="1" t="n">
        <v>46270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20969-2026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46142</v>
      </c>
      <c r="E542" s="1" t="n">
        <v>46270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16.9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49166-2025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45938</v>
      </c>
      <c r="E543" s="1" t="n">
        <v>46270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48774-2024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45593</v>
      </c>
      <c r="E544" s="1" t="n">
        <v>46270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46270</v>
      </c>
      <c r="F545" t="inlineStr">
        <is>
          <t>DALARNAS LÄN</t>
        </is>
      </c>
      <c r="G545" t="inlineStr">
        <is>
          <t>LUDVIKA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37392-2023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45156</v>
      </c>
      <c r="E546" s="1" t="n">
        <v>46270</v>
      </c>
      <c r="F546" t="inlineStr">
        <is>
          <t>DALARNAS LÄN</t>
        </is>
      </c>
      <c r="G546" t="inlineStr">
        <is>
          <t>LUDVIKA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11436-2024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45372</v>
      </c>
      <c r="E547" s="1" t="n">
        <v>46270</v>
      </c>
      <c r="F547" t="inlineStr">
        <is>
          <t>DALARNAS LÄN</t>
        </is>
      </c>
      <c r="G547" t="inlineStr">
        <is>
          <t>LUDVIKA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26382-2026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46270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40142-2022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44820</v>
      </c>
      <c r="E549" s="1" t="n">
        <v>46270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40151-2022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44820</v>
      </c>
      <c r="E550" s="1" t="n">
        <v>46270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21741-2022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44708</v>
      </c>
      <c r="E551" s="1" t="n">
        <v>46270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46270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17.5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26902-2026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46185</v>
      </c>
      <c r="E553" s="1" t="n">
        <v>46270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51015-2023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45218</v>
      </c>
      <c r="E554" s="1" t="n">
        <v>46270</v>
      </c>
      <c r="F554" t="inlineStr">
        <is>
          <t>DALARNAS LÄN</t>
        </is>
      </c>
      <c r="G554" t="inlineStr">
        <is>
          <t>LUDVIKA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46230</v>
      </c>
      <c r="E555" s="1" t="n">
        <v>46270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46270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49669-2024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46270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32016-2026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46233</v>
      </c>
      <c r="E558" s="1" t="n">
        <v>46270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56621-2023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45243</v>
      </c>
      <c r="E559" s="1" t="n">
        <v>46270</v>
      </c>
      <c r="F559" t="inlineStr">
        <is>
          <t>DALARNAS LÄN</t>
        </is>
      </c>
      <c r="G559" t="inlineStr">
        <is>
          <t>LUDVIKA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26574-2026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46183</v>
      </c>
      <c r="E560" s="1" t="n">
        <v>46270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41616-2024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46270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4.4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45519</v>
      </c>
      <c r="E562" s="1" t="n">
        <v>46270</v>
      </c>
      <c r="F562" t="inlineStr">
        <is>
          <t>DALARNAS LÄN</t>
        </is>
      </c>
      <c r="G562" t="inlineStr">
        <is>
          <t>LUDVIKA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27853-2026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46191</v>
      </c>
      <c r="E563" s="1" t="n">
        <v>46270</v>
      </c>
      <c r="F563" t="inlineStr">
        <is>
          <t>DALARNAS LÄN</t>
        </is>
      </c>
      <c r="G563" t="inlineStr">
        <is>
          <t>LUDVIKA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45071</v>
      </c>
      <c r="E564" s="1" t="n">
        <v>46270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26727-2026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46184</v>
      </c>
      <c r="E565" s="1" t="n">
        <v>46270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46270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3280-2024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45317</v>
      </c>
      <c r="E567" s="1" t="n">
        <v>46270</v>
      </c>
      <c r="F567" t="inlineStr">
        <is>
          <t>DALARNAS LÄN</t>
        </is>
      </c>
      <c r="G567" t="inlineStr">
        <is>
          <t>LUDVIKA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3470-2025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45680</v>
      </c>
      <c r="E568" s="1" t="n">
        <v>46270</v>
      </c>
      <c r="F568" t="inlineStr">
        <is>
          <t>DALARNAS LÄN</t>
        </is>
      </c>
      <c r="G568" t="inlineStr">
        <is>
          <t>LUDVIKA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27609-2026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46270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46270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48288-2023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45205</v>
      </c>
      <c r="E571" s="1" t="n">
        <v>46270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2838-2022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44581</v>
      </c>
      <c r="E572" s="1" t="n">
        <v>46270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51029-2024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45603</v>
      </c>
      <c r="E573" s="1" t="n">
        <v>46270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40125-2024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45554</v>
      </c>
      <c r="E574" s="1" t="n">
        <v>46270</v>
      </c>
      <c r="F574" t="inlineStr">
        <is>
          <t>DALARNAS LÄN</t>
        </is>
      </c>
      <c r="G574" t="inlineStr">
        <is>
          <t>LUDVIKA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59206-2023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45253</v>
      </c>
      <c r="E575" s="1" t="n">
        <v>46270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43839-2023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45187</v>
      </c>
      <c r="E576" s="1" t="n">
        <v>46270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32752-2026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46241</v>
      </c>
      <c r="E577" s="1" t="n">
        <v>46270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30113-2023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45110</v>
      </c>
      <c r="E578" s="1" t="n">
        <v>46270</v>
      </c>
      <c r="F578" t="inlineStr">
        <is>
          <t>DALARNAS LÄN</t>
        </is>
      </c>
      <c r="G578" t="inlineStr">
        <is>
          <t>LUDVIKA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46241</v>
      </c>
      <c r="E579" s="1" t="n">
        <v>46270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46241</v>
      </c>
      <c r="E580" s="1" t="n">
        <v>46270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46030</v>
      </c>
      <c r="E581" s="1" t="n">
        <v>46270</v>
      </c>
      <c r="F581" t="inlineStr">
        <is>
          <t>DALARNAS LÄN</t>
        </is>
      </c>
      <c r="G581" t="inlineStr">
        <is>
          <t>LUDVIKA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22806-2026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46160</v>
      </c>
      <c r="E582" s="1" t="n">
        <v>46270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22821-2026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46160</v>
      </c>
      <c r="E583" s="1" t="n">
        <v>46270</v>
      </c>
      <c r="F583" t="inlineStr">
        <is>
          <t>DALARNAS LÄN</t>
        </is>
      </c>
      <c r="G583" t="inlineStr">
        <is>
          <t>LUDVIKA</t>
        </is>
      </c>
      <c r="H583" t="inlineStr">
        <is>
          <t>Naturvårdsverket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46270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25273-2022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44729</v>
      </c>
      <c r="E585" s="1" t="n">
        <v>46270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22817-2026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46160</v>
      </c>
      <c r="E586" s="1" t="n">
        <v>46270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32780-2026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46241</v>
      </c>
      <c r="E587" s="1" t="n">
        <v>46270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22824-2026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46160</v>
      </c>
      <c r="E588" s="1" t="n">
        <v>46270</v>
      </c>
      <c r="F588" t="inlineStr">
        <is>
          <t>DALARNAS LÄN</t>
        </is>
      </c>
      <c r="G588" t="inlineStr">
        <is>
          <t>LUDVIKA</t>
        </is>
      </c>
      <c r="H588" t="inlineStr">
        <is>
          <t>Naturvårdsverket</t>
        </is>
      </c>
      <c r="I588" t="n">
        <v>9.9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32749-2026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46270</v>
      </c>
      <c r="F589" t="inlineStr">
        <is>
          <t>DALARNAS LÄN</t>
        </is>
      </c>
      <c r="G589" t="inlineStr">
        <is>
          <t>LUDVIKA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21034-2026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46146</v>
      </c>
      <c r="E590" s="1" t="n">
        <v>46270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5673-2023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44960</v>
      </c>
      <c r="E591" s="1" t="n">
        <v>46270</v>
      </c>
      <c r="F591" t="inlineStr">
        <is>
          <t>DALARNAS LÄN</t>
        </is>
      </c>
      <c r="G591" t="inlineStr">
        <is>
          <t>LUDVIKA</t>
        </is>
      </c>
      <c r="H591" t="inlineStr">
        <is>
          <t>Naturvårdsverket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21032-2026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46146</v>
      </c>
      <c r="E592" s="1" t="n">
        <v>46270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44967</v>
      </c>
      <c r="E593" s="1" t="n">
        <v>46270</v>
      </c>
      <c r="F593" t="inlineStr">
        <is>
          <t>DALARNAS LÄN</t>
        </is>
      </c>
      <c r="G593" t="inlineStr">
        <is>
          <t>LUDVIKA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22611-2026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46270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24693-2026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46171</v>
      </c>
      <c r="E595" s="1" t="n">
        <v>46270</v>
      </c>
      <c r="F595" t="inlineStr">
        <is>
          <t>DALARNAS LÄN</t>
        </is>
      </c>
      <c r="G595" t="inlineStr">
        <is>
          <t>LUDVIKA</t>
        </is>
      </c>
      <c r="H595" t="inlineStr">
        <is>
          <t>Naturvårdsverket</t>
        </is>
      </c>
      <c r="I595" t="n">
        <v>10.4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60138-2023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46270</v>
      </c>
      <c r="F596" t="inlineStr">
        <is>
          <t>DALARNAS LÄN</t>
        </is>
      </c>
      <c r="G596" t="inlineStr">
        <is>
          <t>LUDVIKA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29734-2026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46270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33419-2026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46247</v>
      </c>
      <c r="E598" s="1" t="n">
        <v>46270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33397-2026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46247</v>
      </c>
      <c r="E599" s="1" t="n">
        <v>46270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33373-2026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46270</v>
      </c>
      <c r="F600" t="inlineStr">
        <is>
          <t>DALARNAS LÄN</t>
        </is>
      </c>
      <c r="G600" t="inlineStr">
        <is>
          <t>LUDVIKA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37586-2024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45541</v>
      </c>
      <c r="E601" s="1" t="n">
        <v>46270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55551-2024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45622</v>
      </c>
      <c r="E602" s="1" t="n">
        <v>46270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33689-2026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46248</v>
      </c>
      <c r="E603" s="1" t="n">
        <v>46270</v>
      </c>
      <c r="F603" t="inlineStr">
        <is>
          <t>DALARNAS LÄN</t>
        </is>
      </c>
      <c r="G603" t="inlineStr">
        <is>
          <t>LUDVIKA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29791-2026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46205</v>
      </c>
      <c r="E604" s="1" t="n">
        <v>46270</v>
      </c>
      <c r="F604" t="inlineStr">
        <is>
          <t>DALARNAS LÄN</t>
        </is>
      </c>
      <c r="G604" t="inlineStr">
        <is>
          <t>LUDVIKA</t>
        </is>
      </c>
      <c r="H604" t="inlineStr">
        <is>
          <t>Naturvårdsverket</t>
        </is>
      </c>
      <c r="I604" t="n">
        <v>8.300000000000001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30844-2024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45497</v>
      </c>
      <c r="E605" s="1" t="n">
        <v>46270</v>
      </c>
      <c r="F605" t="inlineStr">
        <is>
          <t>DALARNAS LÄN</t>
        </is>
      </c>
      <c r="G605" t="inlineStr">
        <is>
          <t>LUDVIKA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30113-2026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46206</v>
      </c>
      <c r="E606" s="1" t="n">
        <v>46270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20411-2023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45056</v>
      </c>
      <c r="E607" s="1" t="n">
        <v>46270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59347-2024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45638</v>
      </c>
      <c r="E608" s="1" t="n">
        <v>46270</v>
      </c>
      <c r="F608" t="inlineStr">
        <is>
          <t>DALARNAS LÄN</t>
        </is>
      </c>
      <c r="G608" t="inlineStr">
        <is>
          <t>LUDVIKA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30106-2026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46270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27608-2026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46190</v>
      </c>
      <c r="E610" s="1" t="n">
        <v>46270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46270</v>
      </c>
      <c r="F611" t="inlineStr">
        <is>
          <t>DALARNAS LÄN</t>
        </is>
      </c>
      <c r="G611" t="inlineStr">
        <is>
          <t>LUDVIKA</t>
        </is>
      </c>
      <c r="H611" t="inlineStr">
        <is>
          <t>Naturvårdsverket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50777-2024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45602</v>
      </c>
      <c r="E612" s="1" t="n">
        <v>46270</v>
      </c>
      <c r="F612" t="inlineStr">
        <is>
          <t>DALARNAS LÄN</t>
        </is>
      </c>
      <c r="G612" t="inlineStr">
        <is>
          <t>LUDVIKA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41668-2023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45176</v>
      </c>
      <c r="E613" s="1" t="n">
        <v>46270</v>
      </c>
      <c r="F613" t="inlineStr">
        <is>
          <t>DALARNAS LÄN</t>
        </is>
      </c>
      <c r="G613" t="inlineStr">
        <is>
          <t>LUDVIKA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55462-2024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45622</v>
      </c>
      <c r="E614" s="1" t="n">
        <v>46270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55474-2024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45622</v>
      </c>
      <c r="E615" s="1" t="n">
        <v>46270</v>
      </c>
      <c r="F615" t="inlineStr">
        <is>
          <t>DALARNAS LÄN</t>
        </is>
      </c>
      <c r="G615" t="inlineStr">
        <is>
          <t>LUDVIKA</t>
        </is>
      </c>
      <c r="H615" t="inlineStr">
        <is>
          <t>Naturvårdsverket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55510-2024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45622</v>
      </c>
      <c r="E616" s="1" t="n">
        <v>46270</v>
      </c>
      <c r="F616" t="inlineStr">
        <is>
          <t>DALARNAS LÄN</t>
        </is>
      </c>
      <c r="G616" t="inlineStr">
        <is>
          <t>LUDVIKA</t>
        </is>
      </c>
      <c r="H616" t="inlineStr">
        <is>
          <t>Naturvårdsverket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45687</v>
      </c>
      <c r="E617" s="1" t="n">
        <v>46270</v>
      </c>
      <c r="F617" t="inlineStr">
        <is>
          <t>DALARNAS LÄN</t>
        </is>
      </c>
      <c r="G617" t="inlineStr">
        <is>
          <t>LUDVIKA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18421-2025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45762</v>
      </c>
      <c r="E618" s="1" t="n">
        <v>46270</v>
      </c>
      <c r="F618" t="inlineStr">
        <is>
          <t>DALARNAS LÄN</t>
        </is>
      </c>
      <c r="G618" t="inlineStr">
        <is>
          <t>LUDVIKA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50714-2024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45602</v>
      </c>
      <c r="E619" s="1" t="n">
        <v>46270</v>
      </c>
      <c r="F619" t="inlineStr">
        <is>
          <t>DALARNAS LÄN</t>
        </is>
      </c>
      <c r="G619" t="inlineStr">
        <is>
          <t>LUDVIKA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23871-2026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46167</v>
      </c>
      <c r="E620" s="1" t="n">
        <v>46270</v>
      </c>
      <c r="F620" t="inlineStr">
        <is>
          <t>DALARNAS LÄN</t>
        </is>
      </c>
      <c r="G620" t="inlineStr">
        <is>
          <t>LUDVIKA</t>
        </is>
      </c>
      <c r="H620" t="inlineStr">
        <is>
          <t>Kommuner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28062-2026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46195</v>
      </c>
      <c r="E621" s="1" t="n">
        <v>46270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20974-2026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46142</v>
      </c>
      <c r="E622" s="1" t="n">
        <v>46270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46253</v>
      </c>
      <c r="E623" s="1" t="n">
        <v>46270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34558-2026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46270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34550-2026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46255</v>
      </c>
      <c r="E625" s="1" t="n">
        <v>46270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45545</v>
      </c>
      <c r="E626" s="1" t="n">
        <v>46270</v>
      </c>
      <c r="F626" t="inlineStr">
        <is>
          <t>DALARNAS LÄN</t>
        </is>
      </c>
      <c r="G626" t="inlineStr">
        <is>
          <t>LUDVIKA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46270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21893-2025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45784</v>
      </c>
      <c r="E628" s="1" t="n">
        <v>46270</v>
      </c>
      <c r="F628" t="inlineStr">
        <is>
          <t>DALARNAS LÄN</t>
        </is>
      </c>
      <c r="G628" t="inlineStr">
        <is>
          <t>LUDVIKA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46270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42421-2024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45565</v>
      </c>
      <c r="E630" s="1" t="n">
        <v>46270</v>
      </c>
      <c r="F630" t="inlineStr">
        <is>
          <t>DALARNAS LÄN</t>
        </is>
      </c>
      <c r="G630" t="inlineStr">
        <is>
          <t>LUDVIKA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53602-2023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45230</v>
      </c>
      <c r="E631" s="1" t="n">
        <v>46270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34631-2026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46255</v>
      </c>
      <c r="E632" s="1" t="n">
        <v>46270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52359-2024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45609</v>
      </c>
      <c r="E633" s="1" t="n">
        <v>46270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34584-2026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46255</v>
      </c>
      <c r="E634" s="1" t="n">
        <v>46270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34638-2026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46255</v>
      </c>
      <c r="E635" s="1" t="n">
        <v>46270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21891-2025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45784</v>
      </c>
      <c r="E636" s="1" t="n">
        <v>46270</v>
      </c>
      <c r="F636" t="inlineStr">
        <is>
          <t>DALARNAS LÄN</t>
        </is>
      </c>
      <c r="G636" t="inlineStr">
        <is>
          <t>LUDVIKA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33914-2023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45134</v>
      </c>
      <c r="E637" s="1" t="n">
        <v>46270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46095-2024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45581</v>
      </c>
      <c r="E638" s="1" t="n">
        <v>46270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41539-2024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45560</v>
      </c>
      <c r="E639" s="1" t="n">
        <v>46270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22594-2025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45789</v>
      </c>
      <c r="E640" s="1" t="n">
        <v>46270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22606-2025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45789</v>
      </c>
      <c r="E641" s="1" t="n">
        <v>46270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45789</v>
      </c>
      <c r="E642" s="1" t="n">
        <v>46270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46093-2024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45581</v>
      </c>
      <c r="E643" s="1" t="n">
        <v>46270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46107-2024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45581</v>
      </c>
      <c r="E644" s="1" t="n">
        <v>46270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34632-2026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46255</v>
      </c>
      <c r="E645" s="1" t="n">
        <v>46270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50240-2024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45600</v>
      </c>
      <c r="E646" s="1" t="n">
        <v>46270</v>
      </c>
      <c r="F646" t="inlineStr">
        <is>
          <t>DALARNAS LÄN</t>
        </is>
      </c>
      <c r="G646" t="inlineStr">
        <is>
          <t>LUDVIKA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22276-2026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46154</v>
      </c>
      <c r="E647" s="1" t="n">
        <v>46270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43702-2024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45569</v>
      </c>
      <c r="E648" s="1" t="n">
        <v>46270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45685</v>
      </c>
      <c r="E649" s="1" t="n">
        <v>46270</v>
      </c>
      <c r="F649" t="inlineStr">
        <is>
          <t>DALARNAS LÄN</t>
        </is>
      </c>
      <c r="G649" t="inlineStr">
        <is>
          <t>LUDVIKA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24712-2024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45460</v>
      </c>
      <c r="E650" s="1" t="n">
        <v>46270</v>
      </c>
      <c r="F650" t="inlineStr">
        <is>
          <t>DALARNAS LÄN</t>
        </is>
      </c>
      <c r="G650" t="inlineStr">
        <is>
          <t>LUDVIKA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34796-2026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46258</v>
      </c>
      <c r="E651" s="1" t="n">
        <v>46270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22599-2025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45789</v>
      </c>
      <c r="E652" s="1" t="n">
        <v>46270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23088-2025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45791</v>
      </c>
      <c r="E653" s="1" t="n">
        <v>46270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23105-2025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45791</v>
      </c>
      <c r="E654" s="1" t="n">
        <v>46270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34780-2026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46258</v>
      </c>
      <c r="E655" s="1" t="n">
        <v>46270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35103-2026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46260</v>
      </c>
      <c r="E656" s="1" t="n">
        <v>46270</v>
      </c>
      <c r="F656" t="inlineStr">
        <is>
          <t>DALARNAS LÄN</t>
        </is>
      </c>
      <c r="G656" t="inlineStr">
        <is>
          <t>LUDVIKA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35104-2026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46260</v>
      </c>
      <c r="E657" s="1" t="n">
        <v>46270</v>
      </c>
      <c r="F657" t="inlineStr">
        <is>
          <t>DALARNAS LÄN</t>
        </is>
      </c>
      <c r="G657" t="inlineStr">
        <is>
          <t>LUDVIKA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35099-2026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46260</v>
      </c>
      <c r="E658" s="1" t="n">
        <v>46270</v>
      </c>
      <c r="F658" t="inlineStr">
        <is>
          <t>DALARNAS LÄN</t>
        </is>
      </c>
      <c r="G658" t="inlineStr">
        <is>
          <t>LUDVIKA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35100-2026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46260</v>
      </c>
      <c r="E659" s="1" t="n">
        <v>46270</v>
      </c>
      <c r="F659" t="inlineStr">
        <is>
          <t>DALARNAS LÄN</t>
        </is>
      </c>
      <c r="G659" t="inlineStr">
        <is>
          <t>LUDVIKA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27989-2026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46195</v>
      </c>
      <c r="E660" s="1" t="n">
        <v>46270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28132-2026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46195</v>
      </c>
      <c r="E661" s="1" t="n">
        <v>46270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28162-2026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46195</v>
      </c>
      <c r="E662" s="1" t="n">
        <v>46270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34280-2024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45524</v>
      </c>
      <c r="E663" s="1" t="n">
        <v>46270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36066-2024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45533</v>
      </c>
      <c r="E664" s="1" t="n">
        <v>46270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28116-2026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46195</v>
      </c>
      <c r="E665" s="1" t="n">
        <v>46270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28158-2026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46195</v>
      </c>
      <c r="E666" s="1" t="n">
        <v>46270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28801-2026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46270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28045-2026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46195</v>
      </c>
      <c r="E668" s="1" t="n">
        <v>46270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28054-2026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46270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28061-2026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46195</v>
      </c>
      <c r="E670" s="1" t="n">
        <v>46270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28073-2026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46195</v>
      </c>
      <c r="E671" s="1" t="n">
        <v>46270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28792-2026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46198</v>
      </c>
      <c r="E672" s="1" t="n">
        <v>46270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47233-2024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45586</v>
      </c>
      <c r="E673" s="1" t="n">
        <v>46270</v>
      </c>
      <c r="F673" t="inlineStr">
        <is>
          <t>DALARNAS LÄN</t>
        </is>
      </c>
      <c r="G673" t="inlineStr">
        <is>
          <t>LUDVIKA</t>
        </is>
      </c>
      <c r="I673" t="n">
        <v>9.5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28067-2026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46270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46218</v>
      </c>
      <c r="E675" s="1" t="n">
        <v>46270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15.8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31227-2026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46217</v>
      </c>
      <c r="E676" s="1" t="n">
        <v>46270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22686-2025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45786</v>
      </c>
      <c r="E677" s="1" t="n">
        <v>46270</v>
      </c>
      <c r="F677" t="inlineStr">
        <is>
          <t>DALARNAS LÄN</t>
        </is>
      </c>
      <c r="G677" t="inlineStr">
        <is>
          <t>LUDVIKA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61278-2022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44915</v>
      </c>
      <c r="E678" s="1" t="n">
        <v>46270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19677-2025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45770</v>
      </c>
      <c r="E679" s="1" t="n">
        <v>46270</v>
      </c>
      <c r="F679" t="inlineStr">
        <is>
          <t>DALARNAS LÄN</t>
        </is>
      </c>
      <c r="G679" t="inlineStr">
        <is>
          <t>LUDVIKA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23137-2025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45791</v>
      </c>
      <c r="E680" s="1" t="n">
        <v>46270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28838-2026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46270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35179-2026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46260</v>
      </c>
      <c r="E682" s="1" t="n">
        <v>46270</v>
      </c>
      <c r="F682" t="inlineStr">
        <is>
          <t>DALARNAS LÄN</t>
        </is>
      </c>
      <c r="G682" t="inlineStr">
        <is>
          <t>LUDVIKA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35101-2026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46260</v>
      </c>
      <c r="E683" s="1" t="n">
        <v>46270</v>
      </c>
      <c r="F683" t="inlineStr">
        <is>
          <t>DALARNAS LÄN</t>
        </is>
      </c>
      <c r="G683" t="inlineStr">
        <is>
          <t>LUDVIKA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35105-2026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46260</v>
      </c>
      <c r="E684" s="1" t="n">
        <v>46270</v>
      </c>
      <c r="F684" t="inlineStr">
        <is>
          <t>DALARNAS LÄN</t>
        </is>
      </c>
      <c r="G684" t="inlineStr">
        <is>
          <t>LUDVIKA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31350-2026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46219</v>
      </c>
      <c r="E685" s="1" t="n">
        <v>46270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23443-2024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45453</v>
      </c>
      <c r="E686" s="1" t="n">
        <v>46270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37549-2024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45541</v>
      </c>
      <c r="E687" s="1" t="n">
        <v>46270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46230</v>
      </c>
      <c r="E688" s="1" t="n">
        <v>46270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35837-2026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46265</v>
      </c>
      <c r="E689" s="1" t="n">
        <v>46270</v>
      </c>
      <c r="F689" t="inlineStr">
        <is>
          <t>DALARNAS LÄN</t>
        </is>
      </c>
      <c r="G689" t="inlineStr">
        <is>
          <t>LUDVIKA</t>
        </is>
      </c>
      <c r="H689" t="inlineStr">
        <is>
          <t>Kyrkan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20642-2025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45776</v>
      </c>
      <c r="E690" s="1" t="n">
        <v>46270</v>
      </c>
      <c r="F690" t="inlineStr">
        <is>
          <t>DALARNAS LÄN</t>
        </is>
      </c>
      <c r="G690" t="inlineStr">
        <is>
          <t>LUDVIKA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35490-2026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46262</v>
      </c>
      <c r="E691" s="1" t="n">
        <v>46270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19.9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24027-2025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45796</v>
      </c>
      <c r="E692" s="1" t="n">
        <v>46270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35648-2026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46265</v>
      </c>
      <c r="E693" s="1" t="n">
        <v>46270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46265</v>
      </c>
      <c r="E694" s="1" t="n">
        <v>46270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31393-2026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46220</v>
      </c>
      <c r="E695" s="1" t="n">
        <v>46270</v>
      </c>
      <c r="F695" t="inlineStr">
        <is>
          <t>DALARNAS LÄN</t>
        </is>
      </c>
      <c r="G695" t="inlineStr">
        <is>
          <t>LUDVIKA</t>
        </is>
      </c>
      <c r="H695" t="inlineStr">
        <is>
          <t>Naturvårdsverket</t>
        </is>
      </c>
      <c r="I695" t="n">
        <v>4.7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36065-2026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46267</v>
      </c>
      <c r="E696" s="1" t="n">
        <v>46270</v>
      </c>
      <c r="F696" t="inlineStr">
        <is>
          <t>DALARNAS LÄN</t>
        </is>
      </c>
      <c r="G696" t="inlineStr">
        <is>
          <t>LUDVIKA</t>
        </is>
      </c>
      <c r="I696" t="n">
        <v>8.5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36126-2026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46267</v>
      </c>
      <c r="E697" s="1" t="n">
        <v>46270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31646-2026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46225</v>
      </c>
      <c r="E698" s="1" t="n">
        <v>46270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46267</v>
      </c>
      <c r="E699" s="1" t="n">
        <v>46270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2837-2023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45167</v>
      </c>
      <c r="E700" s="1" t="n">
        <v>46270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1122-2023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45015</v>
      </c>
      <c r="E701" s="1" t="n">
        <v>46270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115.7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3660-2023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45216</v>
      </c>
      <c r="E702" s="1" t="n">
        <v>46270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1246-2024</t>
        </is>
      </c>
      <c r="B703" t="inlineStr">
        <is>
          <t>samrådsanmälan</t>
        </is>
      </c>
      <c r="C703" t="inlineStr">
        <is>
          <t>Skogsgödsling</t>
        </is>
      </c>
      <c r="D703" s="1" t="n">
        <v>45400</v>
      </c>
      <c r="E703" s="1" t="n">
        <v>46270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35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1096-2024</t>
        </is>
      </c>
      <c r="B704" t="inlineStr">
        <is>
          <t>samrådsanmälan</t>
        </is>
      </c>
      <c r="C704" t="inlineStr">
        <is>
          <t>Skogsgödsling</t>
        </is>
      </c>
      <c r="D704" s="1" t="n">
        <v>45391</v>
      </c>
      <c r="E704" s="1" t="n">
        <v>46270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26.7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4863-2022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44805</v>
      </c>
      <c r="E705" s="1" t="n">
        <v>46270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1113-2023</t>
        </is>
      </c>
      <c r="B706" t="inlineStr">
        <is>
          <t>samrådsanmälan</t>
        </is>
      </c>
      <c r="C706" t="inlineStr">
        <is>
          <t>Skogsgödsling</t>
        </is>
      </c>
      <c r="D706" s="1" t="n">
        <v>45015</v>
      </c>
      <c r="E706" s="1" t="n">
        <v>46270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37.9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>
      <c r="A707" t="inlineStr">
        <is>
          <t>S 1815-2026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46190</v>
      </c>
      <c r="E707" s="1" t="n">
        <v>46270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2026-09-05T02:09:42Z</dcterms:created>
  <dcterms:modified xmlns:dcterms="http://purl.org/dc/terms/" xmlns:xsi="http://www.w3.org/2001/XMLSchema-instance" xsi:type="dcterms:W3CDTF">2026-09-05T02:09:42Z</dcterms:modified>
</cp:coreProperties>
</file>
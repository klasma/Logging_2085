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46174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46174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46174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46174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46174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46174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46174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46174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46174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46174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46174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46174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46174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46174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725-2026</t>
        </is>
      </c>
      <c r="B17" s="1" t="n">
        <v>46029</v>
      </c>
      <c r="C17" s="1" t="n">
        <v>46174</v>
      </c>
      <c r="D17" t="inlineStr">
        <is>
          <t>DALARNAS LÄN</t>
        </is>
      </c>
      <c r="E17" t="inlineStr">
        <is>
          <t>LUDVIKA</t>
        </is>
      </c>
      <c r="F17" t="inlineStr">
        <is>
          <t>Övriga Aktiebolag</t>
        </is>
      </c>
      <c r="G17" t="n">
        <v>13.9</v>
      </c>
      <c r="H17" t="n">
        <v>6</v>
      </c>
      <c r="I17" t="n">
        <v>0</v>
      </c>
      <c r="J17" t="n">
        <v>4</v>
      </c>
      <c r="K17" t="n">
        <v>2</v>
      </c>
      <c r="L17" t="n">
        <v>1</v>
      </c>
      <c r="M17" t="n">
        <v>0</v>
      </c>
      <c r="N17" t="n">
        <v>0</v>
      </c>
      <c r="O17" t="n">
        <v>7</v>
      </c>
      <c r="P17" t="n">
        <v>3</v>
      </c>
      <c r="Q17" t="n">
        <v>8</v>
      </c>
      <c r="R17" s="2" t="inlineStr">
        <is>
          <t>Mosippa
Gräddticka
Knärot
Järpe
Spillkråka
Tretåig hackspett
Vedtrappmossa
Revlummer</t>
        </is>
      </c>
      <c r="S17">
        <f>HYPERLINK("https://klasma.github.io/Logging_2085/artfynd/A 725-2026 artfynd.xlsx", "A 725-2026")</f>
        <v/>
      </c>
      <c r="T17">
        <f>HYPERLINK("https://klasma.github.io/Logging_2085/kartor/A 725-2026 karta.png", "A 725-2026")</f>
        <v/>
      </c>
      <c r="U17">
        <f>HYPERLINK("https://klasma.github.io/Logging_2085/knärot/A 725-2026 karta knärot.png", "A 725-2026")</f>
        <v/>
      </c>
      <c r="V17">
        <f>HYPERLINK("https://klasma.github.io/Logging_2085/klagomål/A 725-2026 FSC-klagomål.docx", "A 725-2026")</f>
        <v/>
      </c>
      <c r="W17">
        <f>HYPERLINK("https://klasma.github.io/Logging_2085/klagomålsmail/A 725-2026 FSC-klagomål mail.docx", "A 725-2026")</f>
        <v/>
      </c>
      <c r="X17">
        <f>HYPERLINK("https://klasma.github.io/Logging_2085/tillsyn/A 725-2026 tillsynsbegäran.docx", "A 725-2026")</f>
        <v/>
      </c>
      <c r="Y17">
        <f>HYPERLINK("https://klasma.github.io/Logging_2085/tillsynsmail/A 725-2026 tillsynsbegäran mail.docx", "A 725-2026")</f>
        <v/>
      </c>
      <c r="Z17">
        <f>HYPERLINK("https://klasma.github.io/Logging_2085/fåglar/A 725-2026 prioriterade fågelarter.docx", "A 725-2026")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46174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46174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46174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46174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46174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46174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Järpe
Spillkråka
Tretåig hackspett
Blodticka
Dropptaggsvamp
Mindre märgborre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46174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46174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46174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46174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46174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46174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46174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46174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46174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23094-2025</t>
        </is>
      </c>
      <c r="B38" s="1" t="n">
        <v>45791.34482638889</v>
      </c>
      <c r="C38" s="1" t="n">
        <v>46174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2.9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Trädporella
Vanlig padda
Blåsippa</t>
        </is>
      </c>
      <c r="S38">
        <f>HYPERLINK("https://klasma.github.io/Logging_2085/artfynd/A 23094-2025 artfynd.xlsx", "A 23094-2025")</f>
        <v/>
      </c>
      <c r="T38">
        <f>HYPERLINK("https://klasma.github.io/Logging_2085/kartor/A 23094-2025 karta.png", "A 23094-2025")</f>
        <v/>
      </c>
      <c r="V38">
        <f>HYPERLINK("https://klasma.github.io/Logging_2085/klagomål/A 23094-2025 FSC-klagomål.docx", "A 23094-2025")</f>
        <v/>
      </c>
      <c r="W38">
        <f>HYPERLINK("https://klasma.github.io/Logging_2085/klagomålsmail/A 23094-2025 FSC-klagomål mail.docx", "A 23094-2025")</f>
        <v/>
      </c>
      <c r="X38">
        <f>HYPERLINK("https://klasma.github.io/Logging_2085/tillsyn/A 23094-2025 tillsynsbegäran.docx", "A 23094-2025")</f>
        <v/>
      </c>
      <c r="Y38">
        <f>HYPERLINK("https://klasma.github.io/Logging_2085/tillsynsmail/A 23094-2025 tillsynsbegäran mail.docx", "A 23094-2025")</f>
        <v/>
      </c>
    </row>
    <row r="39" ht="15" customHeight="1">
      <c r="A39" t="inlineStr">
        <is>
          <t>A 58513-2025</t>
        </is>
      </c>
      <c r="B39" s="1" t="n">
        <v>45985</v>
      </c>
      <c r="C39" s="1" t="n">
        <v>46174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7.2</v>
      </c>
      <c r="H39" t="n">
        <v>2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Spillkråka
Tretåig hackspett
Gullgröppa</t>
        </is>
      </c>
      <c r="S39">
        <f>HYPERLINK("https://klasma.github.io/Logging_2085/artfynd/A 58513-2025 artfynd.xlsx", "A 58513-2025")</f>
        <v/>
      </c>
      <c r="T39">
        <f>HYPERLINK("https://klasma.github.io/Logging_2085/kartor/A 58513-2025 karta.png", "A 58513-2025")</f>
        <v/>
      </c>
      <c r="V39">
        <f>HYPERLINK("https://klasma.github.io/Logging_2085/klagomål/A 58513-2025 FSC-klagomål.docx", "A 58513-2025")</f>
        <v/>
      </c>
      <c r="W39">
        <f>HYPERLINK("https://klasma.github.io/Logging_2085/klagomålsmail/A 58513-2025 FSC-klagomål mail.docx", "A 58513-2025")</f>
        <v/>
      </c>
      <c r="X39">
        <f>HYPERLINK("https://klasma.github.io/Logging_2085/tillsyn/A 58513-2025 tillsynsbegäran.docx", "A 58513-2025")</f>
        <v/>
      </c>
      <c r="Y39">
        <f>HYPERLINK("https://klasma.github.io/Logging_2085/tillsynsmail/A 58513-2025 tillsynsbegäran mail.docx", "A 58513-2025")</f>
        <v/>
      </c>
      <c r="Z39">
        <f>HYPERLINK("https://klasma.github.io/Logging_2085/fåglar/A 58513-2025 prioriterade fågelarter.docx", "A 58513-2025")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46174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46174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Doftskinn
Garnlav
Vedskivlav
Tjäder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  <c r="Z41">
        <f>HYPERLINK("https://klasma.github.io/Logging_2085/fåglar/A 63164-2025 prioriterade fågelarter.docx", "A 63164-2025")</f>
        <v/>
      </c>
    </row>
    <row r="42" ht="15" customHeight="1">
      <c r="A42" t="inlineStr">
        <is>
          <t>A 23711-2026</t>
        </is>
      </c>
      <c r="B42" s="1" t="n">
        <v>46163</v>
      </c>
      <c r="C42" s="1" t="n">
        <v>46174</v>
      </c>
      <c r="D42" t="inlineStr">
        <is>
          <t>DALARNAS LÄN</t>
        </is>
      </c>
      <c r="E42" t="inlineStr">
        <is>
          <t>LUDVIKA</t>
        </is>
      </c>
      <c r="G42" t="n">
        <v>1.4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Järpe
Spillkråka
Mindre märgborre</t>
        </is>
      </c>
      <c r="S42">
        <f>HYPERLINK("https://klasma.github.io/Logging_2085/artfynd/A 23711-2026 artfynd.xlsx", "A 23711-2026")</f>
        <v/>
      </c>
      <c r="T42">
        <f>HYPERLINK("https://klasma.github.io/Logging_2085/kartor/A 23711-2026 karta.png", "A 23711-2026")</f>
        <v/>
      </c>
      <c r="V42">
        <f>HYPERLINK("https://klasma.github.io/Logging_2085/klagomål/A 23711-2026 FSC-klagomål.docx", "A 23711-2026")</f>
        <v/>
      </c>
      <c r="W42">
        <f>HYPERLINK("https://klasma.github.io/Logging_2085/klagomålsmail/A 23711-2026 FSC-klagomål mail.docx", "A 23711-2026")</f>
        <v/>
      </c>
      <c r="X42">
        <f>HYPERLINK("https://klasma.github.io/Logging_2085/tillsyn/A 23711-2026 tillsynsbegäran.docx", "A 23711-2026")</f>
        <v/>
      </c>
      <c r="Y42">
        <f>HYPERLINK("https://klasma.github.io/Logging_2085/tillsynsmail/A 23711-2026 tillsynsbegäran mail.docx", "A 23711-2026")</f>
        <v/>
      </c>
      <c r="Z42">
        <f>HYPERLINK("https://klasma.github.io/Logging_2085/fåglar/A 23711-2026 prioriterade fågelarter.docx", "A 23711-2026")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46174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46174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46174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46174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43226-2025</t>
        </is>
      </c>
      <c r="B47" s="1" t="n">
        <v>45910</v>
      </c>
      <c r="C47" s="1" t="n">
        <v>46174</v>
      </c>
      <c r="D47" t="inlineStr">
        <is>
          <t>DALARNAS LÄN</t>
        </is>
      </c>
      <c r="E47" t="inlineStr">
        <is>
          <t>LUDVIKA</t>
        </is>
      </c>
      <c r="G47" t="n">
        <v>1.1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Tretåig hackspett
Rävticka
Rödgul trumpetsvamp</t>
        </is>
      </c>
      <c r="S47">
        <f>HYPERLINK("https://klasma.github.io/Logging_2085/artfynd/A 43226-2025 artfynd.xlsx", "A 43226-2025")</f>
        <v/>
      </c>
      <c r="T47">
        <f>HYPERLINK("https://klasma.github.io/Logging_2085/kartor/A 43226-2025 karta.png", "A 43226-2025")</f>
        <v/>
      </c>
      <c r="V47">
        <f>HYPERLINK("https://klasma.github.io/Logging_2085/klagomål/A 43226-2025 FSC-klagomål.docx", "A 43226-2025")</f>
        <v/>
      </c>
      <c r="W47">
        <f>HYPERLINK("https://klasma.github.io/Logging_2085/klagomålsmail/A 43226-2025 FSC-klagomål mail.docx", "A 43226-2025")</f>
        <v/>
      </c>
      <c r="X47">
        <f>HYPERLINK("https://klasma.github.io/Logging_2085/tillsyn/A 43226-2025 tillsynsbegäran.docx", "A 43226-2025")</f>
        <v/>
      </c>
      <c r="Y47">
        <f>HYPERLINK("https://klasma.github.io/Logging_2085/tillsynsmail/A 43226-2025 tillsynsbegäran mail.docx", "A 43226-2025")</f>
        <v/>
      </c>
      <c r="Z47">
        <f>HYPERLINK("https://klasma.github.io/Logging_2085/fåglar/A 43226-2025 prioriterade fågelarter.docx", "A 43226-2025")</f>
        <v/>
      </c>
    </row>
    <row r="48" ht="15" customHeight="1">
      <c r="A48" t="inlineStr">
        <is>
          <t>A 49676-2024</t>
        </is>
      </c>
      <c r="B48" s="1" t="n">
        <v>45596.66278935185</v>
      </c>
      <c r="C48" s="1" t="n">
        <v>46174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HYPERLINK("https://klasma.github.io/Logging_2085/artfynd/A 49676-2024 artfynd.xlsx", "A 49676-2024")</f>
        <v/>
      </c>
      <c r="T48">
        <f>HYPERLINK("https://klasma.github.io/Logging_2085/kartor/A 49676-2024 karta.png", "A 49676-2024")</f>
        <v/>
      </c>
      <c r="V48">
        <f>HYPERLINK("https://klasma.github.io/Logging_2085/klagomål/A 49676-2024 FSC-klagomål.docx", "A 49676-2024")</f>
        <v/>
      </c>
      <c r="W48">
        <f>HYPERLINK("https://klasma.github.io/Logging_2085/klagomålsmail/A 49676-2024 FSC-klagomål mail.docx", "A 49676-2024")</f>
        <v/>
      </c>
      <c r="X48">
        <f>HYPERLINK("https://klasma.github.io/Logging_2085/tillsyn/A 49676-2024 tillsynsbegäran.docx", "A 49676-2024")</f>
        <v/>
      </c>
      <c r="Y48">
        <f>HYPERLINK("https://klasma.github.io/Logging_2085/tillsynsmail/A 49676-2024 tillsynsbegäran mail.docx", "A 49676-2024")</f>
        <v/>
      </c>
      <c r="Z48">
        <f>HYPERLINK("https://klasma.github.io/Logging_2085/fåglar/A 49676-2024 prioriterade fågelarter.docx", "A 49676-2024")</f>
        <v/>
      </c>
    </row>
    <row r="49" ht="15" customHeight="1">
      <c r="A49" t="inlineStr">
        <is>
          <t>A 17320-2026</t>
        </is>
      </c>
      <c r="B49" s="1" t="n">
        <v>46119.6046875</v>
      </c>
      <c r="C49" s="1" t="n">
        <v>46174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3.5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Dropptaggsvamp
Nattviol</t>
        </is>
      </c>
      <c r="S49">
        <f>HYPERLINK("https://klasma.github.io/Logging_2085/artfynd/A 17320-2026 artfynd.xlsx", "A 17320-2026")</f>
        <v/>
      </c>
      <c r="T49">
        <f>HYPERLINK("https://klasma.github.io/Logging_2085/kartor/A 17320-2026 karta.png", "A 17320-2026")</f>
        <v/>
      </c>
      <c r="U49">
        <f>HYPERLINK("https://klasma.github.io/Logging_2085/knärot/A 17320-2026 karta knärot.png", "A 17320-2026")</f>
        <v/>
      </c>
      <c r="V49">
        <f>HYPERLINK("https://klasma.github.io/Logging_2085/klagomål/A 17320-2026 FSC-klagomål.docx", "A 17320-2026")</f>
        <v/>
      </c>
      <c r="W49">
        <f>HYPERLINK("https://klasma.github.io/Logging_2085/klagomålsmail/A 17320-2026 FSC-klagomål mail.docx", "A 17320-2026")</f>
        <v/>
      </c>
      <c r="X49">
        <f>HYPERLINK("https://klasma.github.io/Logging_2085/tillsyn/A 17320-2026 tillsynsbegäran.docx", "A 17320-2026")</f>
        <v/>
      </c>
      <c r="Y49">
        <f>HYPERLINK("https://klasma.github.io/Logging_2085/tillsynsmail/A 17320-2026 tillsynsbegäran mail.docx", "A 17320-2026")</f>
        <v/>
      </c>
    </row>
    <row r="50" ht="15" customHeight="1">
      <c r="A50" t="inlineStr">
        <is>
          <t>A 19512-2022</t>
        </is>
      </c>
      <c r="B50" s="1" t="n">
        <v>44693</v>
      </c>
      <c r="C50" s="1" t="n">
        <v>46174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Nästlav</t>
        </is>
      </c>
      <c r="S50">
        <f>HYPERLINK("https://klasma.github.io/Logging_2085/artfynd/A 19512-2022 artfynd.xlsx", "A 19512-2022")</f>
        <v/>
      </c>
      <c r="T50">
        <f>HYPERLINK("https://klasma.github.io/Logging_2085/kartor/A 19512-2022 karta.png", "A 19512-2022")</f>
        <v/>
      </c>
      <c r="V50">
        <f>HYPERLINK("https://klasma.github.io/Logging_2085/klagomål/A 19512-2022 FSC-klagomål.docx", "A 19512-2022")</f>
        <v/>
      </c>
      <c r="W50">
        <f>HYPERLINK("https://klasma.github.io/Logging_2085/klagomålsmail/A 19512-2022 FSC-klagomål mail.docx", "A 19512-2022")</f>
        <v/>
      </c>
      <c r="X50">
        <f>HYPERLINK("https://klasma.github.io/Logging_2085/tillsyn/A 19512-2022 tillsynsbegäran.docx", "A 19512-2022")</f>
        <v/>
      </c>
      <c r="Y50">
        <f>HYPERLINK("https://klasma.github.io/Logging_2085/tillsynsmail/A 19512-2022 tillsynsbegäran mail.docx", "A 19512-2022")</f>
        <v/>
      </c>
      <c r="Z50">
        <f>HYPERLINK("https://klasma.github.io/Logging_2085/fåglar/A 19512-2022 prioriterade fågelarter.docx", "A 19512-2022")</f>
        <v/>
      </c>
    </row>
    <row r="51" ht="15" customHeight="1">
      <c r="A51" t="inlineStr">
        <is>
          <t>A 25448-2024</t>
        </is>
      </c>
      <c r="B51" s="1" t="n">
        <v>45463</v>
      </c>
      <c r="C51" s="1" t="n">
        <v>46174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24.7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Blåsippa</t>
        </is>
      </c>
      <c r="S51">
        <f>HYPERLINK("https://klasma.github.io/Logging_2085/artfynd/A 25448-2024 artfynd.xlsx", "A 25448-2024")</f>
        <v/>
      </c>
      <c r="T51">
        <f>HYPERLINK("https://klasma.github.io/Logging_2085/kartor/A 25448-2024 karta.png", "A 25448-2024")</f>
        <v/>
      </c>
      <c r="V51">
        <f>HYPERLINK("https://klasma.github.io/Logging_2085/klagomål/A 25448-2024 FSC-klagomål.docx", "A 25448-2024")</f>
        <v/>
      </c>
      <c r="W51">
        <f>HYPERLINK("https://klasma.github.io/Logging_2085/klagomålsmail/A 25448-2024 FSC-klagomål mail.docx", "A 25448-2024")</f>
        <v/>
      </c>
      <c r="X51">
        <f>HYPERLINK("https://klasma.github.io/Logging_2085/tillsyn/A 25448-2024 tillsynsbegäran.docx", "A 25448-2024")</f>
        <v/>
      </c>
      <c r="Y51">
        <f>HYPERLINK("https://klasma.github.io/Logging_2085/tillsynsmail/A 25448-2024 tillsynsbegäran mail.docx", "A 25448-2024")</f>
        <v/>
      </c>
      <c r="Z51">
        <f>HYPERLINK("https://klasma.github.io/Logging_2085/fåglar/A 25448-2024 prioriterade fågelarter.docx", "A 25448-2024")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46174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19542-2025</t>
        </is>
      </c>
      <c r="B53" s="1" t="n">
        <v>45770</v>
      </c>
      <c r="C53" s="1" t="n">
        <v>46174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Skinnlav</t>
        </is>
      </c>
      <c r="S53">
        <f>HYPERLINK("https://klasma.github.io/Logging_2085/artfynd/A 19542-2025 artfynd.xlsx", "A 19542-2025")</f>
        <v/>
      </c>
      <c r="T53">
        <f>HYPERLINK("https://klasma.github.io/Logging_2085/kartor/A 19542-2025 karta.png", "A 19542-2025")</f>
        <v/>
      </c>
      <c r="V53">
        <f>HYPERLINK("https://klasma.github.io/Logging_2085/klagomål/A 19542-2025 FSC-klagomål.docx", "A 19542-2025")</f>
        <v/>
      </c>
      <c r="W53">
        <f>HYPERLINK("https://klasma.github.io/Logging_2085/klagomålsmail/A 19542-2025 FSC-klagomål mail.docx", "A 19542-2025")</f>
        <v/>
      </c>
      <c r="X53">
        <f>HYPERLINK("https://klasma.github.io/Logging_2085/tillsyn/A 19542-2025 tillsynsbegäran.docx", "A 19542-2025")</f>
        <v/>
      </c>
      <c r="Y53">
        <f>HYPERLINK("https://klasma.github.io/Logging_2085/tillsynsmail/A 19542-2025 tillsynsbegäran mail.docx", "A 19542-2025")</f>
        <v/>
      </c>
    </row>
    <row r="54" ht="15" customHeight="1">
      <c r="A54" t="inlineStr">
        <is>
          <t>A 49767-2025</t>
        </is>
      </c>
      <c r="B54" s="1" t="n">
        <v>45940</v>
      </c>
      <c r="C54" s="1" t="n">
        <v>46174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49767-2025 artfynd.xlsx", "A 49767-2025")</f>
        <v/>
      </c>
      <c r="T54">
        <f>HYPERLINK("https://klasma.github.io/Logging_2085/kartor/A 49767-2025 karta.png", "A 49767-2025")</f>
        <v/>
      </c>
      <c r="V54">
        <f>HYPERLINK("https://klasma.github.io/Logging_2085/klagomål/A 49767-2025 FSC-klagomål.docx", "A 49767-2025")</f>
        <v/>
      </c>
      <c r="W54">
        <f>HYPERLINK("https://klasma.github.io/Logging_2085/klagomålsmail/A 49767-2025 FSC-klagomål mail.docx", "A 49767-2025")</f>
        <v/>
      </c>
      <c r="X54">
        <f>HYPERLINK("https://klasma.github.io/Logging_2085/tillsyn/A 49767-2025 tillsynsbegäran.docx", "A 49767-2025")</f>
        <v/>
      </c>
      <c r="Y54">
        <f>HYPERLINK("https://klasma.github.io/Logging_2085/tillsynsmail/A 49767-2025 tillsynsbegäran mail.docx", "A 49767-2025")</f>
        <v/>
      </c>
      <c r="Z54">
        <f>HYPERLINK("https://klasma.github.io/Logging_2085/fåglar/A 49767-2025 prioriterade fågelarter.docx", "A 49767-2025")</f>
        <v/>
      </c>
    </row>
    <row r="55" ht="15" customHeight="1">
      <c r="A55" t="inlineStr">
        <is>
          <t>A 55399-2025</t>
        </is>
      </c>
      <c r="B55" s="1" t="n">
        <v>45971</v>
      </c>
      <c r="C55" s="1" t="n">
        <v>46174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11.5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HYPERLINK("https://klasma.github.io/Logging_2085/artfynd/A 55399-2025 artfynd.xlsx", "A 55399-2025")</f>
        <v/>
      </c>
      <c r="T55">
        <f>HYPERLINK("https://klasma.github.io/Logging_2085/kartor/A 55399-2025 karta.png", "A 55399-2025")</f>
        <v/>
      </c>
      <c r="V55">
        <f>HYPERLINK("https://klasma.github.io/Logging_2085/klagomål/A 55399-2025 FSC-klagomål.docx", "A 55399-2025")</f>
        <v/>
      </c>
      <c r="W55">
        <f>HYPERLINK("https://klasma.github.io/Logging_2085/klagomålsmail/A 55399-2025 FSC-klagomål mail.docx", "A 55399-2025")</f>
        <v/>
      </c>
      <c r="X55">
        <f>HYPERLINK("https://klasma.github.io/Logging_2085/tillsyn/A 55399-2025 tillsynsbegäran.docx", "A 55399-2025")</f>
        <v/>
      </c>
      <c r="Y55">
        <f>HYPERLINK("https://klasma.github.io/Logging_2085/tillsynsmail/A 55399-2025 tillsynsbegäran mail.docx", "A 55399-2025")</f>
        <v/>
      </c>
      <c r="Z55">
        <f>HYPERLINK("https://klasma.github.io/Logging_2085/fåglar/A 55399-2025 prioriterade fågelarter.docx", "A 55399-2025")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46174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46174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46174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49763-2025</t>
        </is>
      </c>
      <c r="B59" s="1" t="n">
        <v>45940</v>
      </c>
      <c r="C59" s="1" t="n">
        <v>46174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6.9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Vedticka</t>
        </is>
      </c>
      <c r="S59">
        <f>HYPERLINK("https://klasma.github.io/Logging_2085/artfynd/A 49763-2025 artfynd.xlsx", "A 49763-2025")</f>
        <v/>
      </c>
      <c r="T59">
        <f>HYPERLINK("https://klasma.github.io/Logging_2085/kartor/A 49763-2025 karta.png", "A 49763-2025")</f>
        <v/>
      </c>
      <c r="V59">
        <f>HYPERLINK("https://klasma.github.io/Logging_2085/klagomål/A 49763-2025 FSC-klagomål.docx", "A 49763-2025")</f>
        <v/>
      </c>
      <c r="W59">
        <f>HYPERLINK("https://klasma.github.io/Logging_2085/klagomålsmail/A 49763-2025 FSC-klagomål mail.docx", "A 49763-2025")</f>
        <v/>
      </c>
      <c r="X59">
        <f>HYPERLINK("https://klasma.github.io/Logging_2085/tillsyn/A 49763-2025 tillsynsbegäran.docx", "A 49763-2025")</f>
        <v/>
      </c>
      <c r="Y59">
        <f>HYPERLINK("https://klasma.github.io/Logging_2085/tillsynsmail/A 49763-2025 tillsynsbegäran mail.docx", "A 49763-2025")</f>
        <v/>
      </c>
    </row>
    <row r="60" ht="15" customHeight="1">
      <c r="A60" t="inlineStr">
        <is>
          <t>A 25293-2025</t>
        </is>
      </c>
      <c r="B60" s="1" t="n">
        <v>45800</v>
      </c>
      <c r="C60" s="1" t="n">
        <v>46174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19.6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Nästlav</t>
        </is>
      </c>
      <c r="S60">
        <f>HYPERLINK("https://klasma.github.io/Logging_2085/artfynd/A 25293-2025 artfynd.xlsx", "A 25293-2025")</f>
        <v/>
      </c>
      <c r="T60">
        <f>HYPERLINK("https://klasma.github.io/Logging_2085/kartor/A 25293-2025 karta.png", "A 25293-2025")</f>
        <v/>
      </c>
      <c r="V60">
        <f>HYPERLINK("https://klasma.github.io/Logging_2085/klagomål/A 25293-2025 FSC-klagomål.docx", "A 25293-2025")</f>
        <v/>
      </c>
      <c r="W60">
        <f>HYPERLINK("https://klasma.github.io/Logging_2085/klagomålsmail/A 25293-2025 FSC-klagomål mail.docx", "A 25293-2025")</f>
        <v/>
      </c>
      <c r="X60">
        <f>HYPERLINK("https://klasma.github.io/Logging_2085/tillsyn/A 25293-2025 tillsynsbegäran.docx", "A 25293-2025")</f>
        <v/>
      </c>
      <c r="Y60">
        <f>HYPERLINK("https://klasma.github.io/Logging_2085/tillsynsmail/A 25293-2025 tillsynsbegäran mail.docx", "A 25293-2025")</f>
        <v/>
      </c>
    </row>
    <row r="61" ht="15" customHeight="1">
      <c r="A61" t="inlineStr">
        <is>
          <t>A 63116-2025</t>
        </is>
      </c>
      <c r="B61" s="1" t="n">
        <v>46009.77782407407</v>
      </c>
      <c r="C61" s="1" t="n">
        <v>46174</v>
      </c>
      <c r="D61" t="inlineStr">
        <is>
          <t>DALARNAS LÄN</t>
        </is>
      </c>
      <c r="E61" t="inlineStr">
        <is>
          <t>LUDVIKA</t>
        </is>
      </c>
      <c r="G61" t="n">
        <v>4.8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Björksplintborre</t>
        </is>
      </c>
      <c r="S61">
        <f>HYPERLINK("https://klasma.github.io/Logging_2085/artfynd/A 63116-2025 artfynd.xlsx", "A 63116-2025")</f>
        <v/>
      </c>
      <c r="T61">
        <f>HYPERLINK("https://klasma.github.io/Logging_2085/kartor/A 63116-2025 karta.png", "A 63116-2025")</f>
        <v/>
      </c>
      <c r="V61">
        <f>HYPERLINK("https://klasma.github.io/Logging_2085/klagomål/A 63116-2025 FSC-klagomål.docx", "A 63116-2025")</f>
        <v/>
      </c>
      <c r="W61">
        <f>HYPERLINK("https://klasma.github.io/Logging_2085/klagomålsmail/A 63116-2025 FSC-klagomål mail.docx", "A 63116-2025")</f>
        <v/>
      </c>
      <c r="X61">
        <f>HYPERLINK("https://klasma.github.io/Logging_2085/tillsyn/A 63116-2025 tillsynsbegäran.docx", "A 63116-2025")</f>
        <v/>
      </c>
      <c r="Y61">
        <f>HYPERLINK("https://klasma.github.io/Logging_2085/tillsynsmail/A 63116-2025 tillsynsbegäran mail.docx", "A 63116-2025")</f>
        <v/>
      </c>
    </row>
    <row r="62" ht="15" customHeight="1">
      <c r="A62" t="inlineStr">
        <is>
          <t>A 33908-2025</t>
        </is>
      </c>
      <c r="B62" s="1" t="n">
        <v>45842</v>
      </c>
      <c r="C62" s="1" t="n">
        <v>46174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Tjäder</t>
        </is>
      </c>
      <c r="S62">
        <f>HYPERLINK("https://klasma.github.io/Logging_2085/artfynd/A 33908-2025 artfynd.xlsx", "A 33908-2025")</f>
        <v/>
      </c>
      <c r="T62">
        <f>HYPERLINK("https://klasma.github.io/Logging_2085/kartor/A 33908-2025 karta.png", "A 33908-2025")</f>
        <v/>
      </c>
      <c r="V62">
        <f>HYPERLINK("https://klasma.github.io/Logging_2085/klagomål/A 33908-2025 FSC-klagomål.docx", "A 33908-2025")</f>
        <v/>
      </c>
      <c r="W62">
        <f>HYPERLINK("https://klasma.github.io/Logging_2085/klagomålsmail/A 33908-2025 FSC-klagomål mail.docx", "A 33908-2025")</f>
        <v/>
      </c>
      <c r="X62">
        <f>HYPERLINK("https://klasma.github.io/Logging_2085/tillsyn/A 33908-2025 tillsynsbegäran.docx", "A 33908-2025")</f>
        <v/>
      </c>
      <c r="Y62">
        <f>HYPERLINK("https://klasma.github.io/Logging_2085/tillsynsmail/A 33908-2025 tillsynsbegäran mail.docx", "A 33908-2025")</f>
        <v/>
      </c>
      <c r="Z62">
        <f>HYPERLINK("https://klasma.github.io/Logging_2085/fåglar/A 33908-2025 prioriterade fågelarter.docx", "A 33908-2025")</f>
        <v/>
      </c>
    </row>
    <row r="63" ht="15" customHeight="1">
      <c r="A63" t="inlineStr">
        <is>
          <t>A 11326-2026</t>
        </is>
      </c>
      <c r="B63" s="1" t="n">
        <v>46081.35799768518</v>
      </c>
      <c r="C63" s="1" t="n">
        <v>46174</v>
      </c>
      <c r="D63" t="inlineStr">
        <is>
          <t>DALARNAS LÄN</t>
        </is>
      </c>
      <c r="E63" t="inlineStr">
        <is>
          <t>LUDVIKA</t>
        </is>
      </c>
      <c r="G63" t="n">
        <v>1.6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Dropptaggsvamp</t>
        </is>
      </c>
      <c r="S63">
        <f>HYPERLINK("https://klasma.github.io/Logging_2085/artfynd/A 11326-2026 artfynd.xlsx", "A 11326-2026")</f>
        <v/>
      </c>
      <c r="T63">
        <f>HYPERLINK("https://klasma.github.io/Logging_2085/kartor/A 11326-2026 karta.png", "A 11326-2026")</f>
        <v/>
      </c>
      <c r="V63">
        <f>HYPERLINK("https://klasma.github.io/Logging_2085/klagomål/A 11326-2026 FSC-klagomål.docx", "A 11326-2026")</f>
        <v/>
      </c>
      <c r="W63">
        <f>HYPERLINK("https://klasma.github.io/Logging_2085/klagomålsmail/A 11326-2026 FSC-klagomål mail.docx", "A 11326-2026")</f>
        <v/>
      </c>
      <c r="X63">
        <f>HYPERLINK("https://klasma.github.io/Logging_2085/tillsyn/A 11326-2026 tillsynsbegäran.docx", "A 11326-2026")</f>
        <v/>
      </c>
      <c r="Y63">
        <f>HYPERLINK("https://klasma.github.io/Logging_2085/tillsynsmail/A 11326-2026 tillsynsbegäran mail.docx", "A 11326-2026")</f>
        <v/>
      </c>
    </row>
    <row r="64" ht="15" customHeight="1">
      <c r="A64" t="inlineStr">
        <is>
          <t>A 56826-2025</t>
        </is>
      </c>
      <c r="B64" s="1" t="n">
        <v>45978</v>
      </c>
      <c r="C64" s="1" t="n">
        <v>46174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HYPERLINK("https://klasma.github.io/Logging_2085/artfynd/A 56826-2025 artfynd.xlsx", "A 56826-2025")</f>
        <v/>
      </c>
      <c r="T64">
        <f>HYPERLINK("https://klasma.github.io/Logging_2085/kartor/A 56826-2025 karta.png", "A 56826-2025")</f>
        <v/>
      </c>
      <c r="V64">
        <f>HYPERLINK("https://klasma.github.io/Logging_2085/klagomål/A 56826-2025 FSC-klagomål.docx", "A 56826-2025")</f>
        <v/>
      </c>
      <c r="W64">
        <f>HYPERLINK("https://klasma.github.io/Logging_2085/klagomålsmail/A 56826-2025 FSC-klagomål mail.docx", "A 56826-2025")</f>
        <v/>
      </c>
      <c r="X64">
        <f>HYPERLINK("https://klasma.github.io/Logging_2085/tillsyn/A 56826-2025 tillsynsbegäran.docx", "A 56826-2025")</f>
        <v/>
      </c>
      <c r="Y64">
        <f>HYPERLINK("https://klasma.github.io/Logging_2085/tillsynsmail/A 56826-2025 tillsynsbegäran mail.docx", "A 56826-2025")</f>
        <v/>
      </c>
      <c r="Z64">
        <f>HYPERLINK("https://klasma.github.io/Logging_2085/fåglar/A 56826-2025 prioriterade fågelarter.docx", "A 56826-2025")</f>
        <v/>
      </c>
    </row>
    <row r="65" ht="15" customHeight="1">
      <c r="A65" t="inlineStr">
        <is>
          <t>A 56879-2025</t>
        </is>
      </c>
      <c r="B65" s="1" t="n">
        <v>45978</v>
      </c>
      <c r="C65" s="1" t="n">
        <v>46174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Tjäder</t>
        </is>
      </c>
      <c r="S65">
        <f>HYPERLINK("https://klasma.github.io/Logging_2085/artfynd/A 56879-2025 artfynd.xlsx", "A 56879-2025")</f>
        <v/>
      </c>
      <c r="T65">
        <f>HYPERLINK("https://klasma.github.io/Logging_2085/kartor/A 56879-2025 karta.png", "A 56879-2025")</f>
        <v/>
      </c>
      <c r="V65">
        <f>HYPERLINK("https://klasma.github.io/Logging_2085/klagomål/A 56879-2025 FSC-klagomål.docx", "A 56879-2025")</f>
        <v/>
      </c>
      <c r="W65">
        <f>HYPERLINK("https://klasma.github.io/Logging_2085/klagomålsmail/A 56879-2025 FSC-klagomål mail.docx", "A 56879-2025")</f>
        <v/>
      </c>
      <c r="X65">
        <f>HYPERLINK("https://klasma.github.io/Logging_2085/tillsyn/A 56879-2025 tillsynsbegäran.docx", "A 56879-2025")</f>
        <v/>
      </c>
      <c r="Y65">
        <f>HYPERLINK("https://klasma.github.io/Logging_2085/tillsynsmail/A 56879-2025 tillsynsbegäran mail.docx", "A 56879-2025")</f>
        <v/>
      </c>
      <c r="Z65">
        <f>HYPERLINK("https://klasma.github.io/Logging_2085/fåglar/A 56879-2025 prioriterade fågelarter.docx", "A 56879-2025")</f>
        <v/>
      </c>
    </row>
    <row r="66" ht="15" customHeight="1">
      <c r="A66" t="inlineStr">
        <is>
          <t>A 8202-2025</t>
        </is>
      </c>
      <c r="B66" s="1" t="n">
        <v>45708.43793981482</v>
      </c>
      <c r="C66" s="1" t="n">
        <v>46174</v>
      </c>
      <c r="D66" t="inlineStr">
        <is>
          <t>DALARNAS LÄN</t>
        </is>
      </c>
      <c r="E66" t="inlineStr">
        <is>
          <t>LUDVIKA</t>
        </is>
      </c>
      <c r="G66" t="n">
        <v>6.4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Tretåig hackspett</t>
        </is>
      </c>
      <c r="S66">
        <f>HYPERLINK("https://klasma.github.io/Logging_2085/artfynd/A 8202-2025 artfynd.xlsx", "A 8202-2025")</f>
        <v/>
      </c>
      <c r="T66">
        <f>HYPERLINK("https://klasma.github.io/Logging_2085/kartor/A 8202-2025 karta.png", "A 8202-2025")</f>
        <v/>
      </c>
      <c r="V66">
        <f>HYPERLINK("https://klasma.github.io/Logging_2085/klagomål/A 8202-2025 FSC-klagomål.docx", "A 8202-2025")</f>
        <v/>
      </c>
      <c r="W66">
        <f>HYPERLINK("https://klasma.github.io/Logging_2085/klagomålsmail/A 8202-2025 FSC-klagomål mail.docx", "A 8202-2025")</f>
        <v/>
      </c>
      <c r="X66">
        <f>HYPERLINK("https://klasma.github.io/Logging_2085/tillsyn/A 8202-2025 tillsynsbegäran.docx", "A 8202-2025")</f>
        <v/>
      </c>
      <c r="Y66">
        <f>HYPERLINK("https://klasma.github.io/Logging_2085/tillsynsmail/A 8202-2025 tillsynsbegäran mail.docx", "A 8202-2025")</f>
        <v/>
      </c>
      <c r="Z66">
        <f>HYPERLINK("https://klasma.github.io/Logging_2085/fåglar/A 8202-2025 prioriterade fågelarter.docx", "A 8202-2025")</f>
        <v/>
      </c>
    </row>
    <row r="67" ht="15" customHeight="1">
      <c r="A67" t="inlineStr">
        <is>
          <t>A 21876-2026</t>
        </is>
      </c>
      <c r="B67" s="1" t="n">
        <v>46150</v>
      </c>
      <c r="C67" s="1" t="n">
        <v>46174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Tretåig hackspett</t>
        </is>
      </c>
      <c r="S67">
        <f>HYPERLINK("https://klasma.github.io/Logging_2085/artfynd/A 21876-2026 artfynd.xlsx", "A 21876-2026")</f>
        <v/>
      </c>
      <c r="T67">
        <f>HYPERLINK("https://klasma.github.io/Logging_2085/kartor/A 21876-2026 karta.png", "A 21876-2026")</f>
        <v/>
      </c>
      <c r="V67">
        <f>HYPERLINK("https://klasma.github.io/Logging_2085/klagomål/A 21876-2026 FSC-klagomål.docx", "A 21876-2026")</f>
        <v/>
      </c>
      <c r="W67">
        <f>HYPERLINK("https://klasma.github.io/Logging_2085/klagomålsmail/A 21876-2026 FSC-klagomål mail.docx", "A 21876-2026")</f>
        <v/>
      </c>
      <c r="X67">
        <f>HYPERLINK("https://klasma.github.io/Logging_2085/tillsyn/A 21876-2026 tillsynsbegäran.docx", "A 21876-2026")</f>
        <v/>
      </c>
      <c r="Y67">
        <f>HYPERLINK("https://klasma.github.io/Logging_2085/tillsynsmail/A 21876-2026 tillsynsbegäran mail.docx", "A 21876-2026")</f>
        <v/>
      </c>
      <c r="Z67">
        <f>HYPERLINK("https://klasma.github.io/Logging_2085/fåglar/A 21876-2026 prioriterade fågelarter.docx", "A 21876-2026")</f>
        <v/>
      </c>
    </row>
    <row r="68" ht="15" customHeight="1">
      <c r="A68" t="inlineStr">
        <is>
          <t>A 23503-2026</t>
        </is>
      </c>
      <c r="B68" s="1" t="n">
        <v>46163.45636574074</v>
      </c>
      <c r="C68" s="1" t="n">
        <v>46174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Tjäder</t>
        </is>
      </c>
      <c r="S68">
        <f>HYPERLINK("https://klasma.github.io/Logging_2085/artfynd/A 23503-2026 artfynd.xlsx", "A 23503-2026")</f>
        <v/>
      </c>
      <c r="T68">
        <f>HYPERLINK("https://klasma.github.io/Logging_2085/kartor/A 23503-2026 karta.png", "A 23503-2026")</f>
        <v/>
      </c>
      <c r="V68">
        <f>HYPERLINK("https://klasma.github.io/Logging_2085/klagomål/A 23503-2026 FSC-klagomål.docx", "A 23503-2026")</f>
        <v/>
      </c>
      <c r="W68">
        <f>HYPERLINK("https://klasma.github.io/Logging_2085/klagomålsmail/A 23503-2026 FSC-klagomål mail.docx", "A 23503-2026")</f>
        <v/>
      </c>
      <c r="X68">
        <f>HYPERLINK("https://klasma.github.io/Logging_2085/tillsyn/A 23503-2026 tillsynsbegäran.docx", "A 23503-2026")</f>
        <v/>
      </c>
      <c r="Y68">
        <f>HYPERLINK("https://klasma.github.io/Logging_2085/tillsynsmail/A 23503-2026 tillsynsbegäran mail.docx", "A 23503-2026")</f>
        <v/>
      </c>
      <c r="Z68">
        <f>HYPERLINK("https://klasma.github.io/Logging_2085/fåglar/A 23503-2026 prioriterade fågelarter.docx", "A 23503-2026")</f>
        <v/>
      </c>
    </row>
    <row r="69" ht="15" customHeight="1">
      <c r="A69" t="inlineStr">
        <is>
          <t>A 45995-2021</t>
        </is>
      </c>
      <c r="B69" s="1" t="n">
        <v>44441</v>
      </c>
      <c r="C69" s="1" t="n">
        <v>46174</v>
      </c>
      <c r="D69" t="inlineStr">
        <is>
          <t>DALARNAS LÄN</t>
        </is>
      </c>
      <c r="E69" t="inlineStr">
        <is>
          <t>LUDVIKA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HYPERLINK("https://klasma.github.io/Logging_2085/artfynd/A 45995-2021 artfynd.xlsx", "A 45995-2021")</f>
        <v/>
      </c>
      <c r="T69">
        <f>HYPERLINK("https://klasma.github.io/Logging_2085/kartor/A 45995-2021 karta.png", "A 45995-2021")</f>
        <v/>
      </c>
      <c r="V69">
        <f>HYPERLINK("https://klasma.github.io/Logging_2085/klagomål/A 45995-2021 FSC-klagomål.docx", "A 45995-2021")</f>
        <v/>
      </c>
      <c r="W69">
        <f>HYPERLINK("https://klasma.github.io/Logging_2085/klagomålsmail/A 45995-2021 FSC-klagomål mail.docx", "A 45995-2021")</f>
        <v/>
      </c>
      <c r="X69">
        <f>HYPERLINK("https://klasma.github.io/Logging_2085/tillsyn/A 45995-2021 tillsynsbegäran.docx", "A 45995-2021")</f>
        <v/>
      </c>
      <c r="Y69">
        <f>HYPERLINK("https://klasma.github.io/Logging_2085/tillsynsmail/A 45995-2021 tillsynsbegäran mail.docx", "A 45995-2021")</f>
        <v/>
      </c>
    </row>
    <row r="70" ht="15" customHeight="1">
      <c r="A70" t="inlineStr">
        <is>
          <t>A 927-2022</t>
        </is>
      </c>
      <c r="B70" s="1" t="n">
        <v>44571</v>
      </c>
      <c r="C70" s="1" t="n">
        <v>46174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HYPERLINK("https://klasma.github.io/Logging_2085/artfynd/A 927-2022 artfynd.xlsx", "A 927-2022")</f>
        <v/>
      </c>
      <c r="T70">
        <f>HYPERLINK("https://klasma.github.io/Logging_2085/kartor/A 927-2022 karta.png", "A 927-2022")</f>
        <v/>
      </c>
      <c r="V70">
        <f>HYPERLINK("https://klasma.github.io/Logging_2085/klagomål/A 927-2022 FSC-klagomål.docx", "A 927-2022")</f>
        <v/>
      </c>
      <c r="W70">
        <f>HYPERLINK("https://klasma.github.io/Logging_2085/klagomålsmail/A 927-2022 FSC-klagomål mail.docx", "A 927-2022")</f>
        <v/>
      </c>
      <c r="X70">
        <f>HYPERLINK("https://klasma.github.io/Logging_2085/tillsyn/A 927-2022 tillsynsbegäran.docx", "A 927-2022")</f>
        <v/>
      </c>
      <c r="Y70">
        <f>HYPERLINK("https://klasma.github.io/Logging_2085/tillsynsmail/A 927-2022 tillsynsbegäran mail.docx", "A 927-2022")</f>
        <v/>
      </c>
    </row>
    <row r="71" ht="15" customHeight="1">
      <c r="A71" t="inlineStr">
        <is>
          <t>A 19717-2022</t>
        </is>
      </c>
      <c r="B71" s="1" t="n">
        <v>44694</v>
      </c>
      <c r="C71" s="1" t="n">
        <v>46174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HYPERLINK("https://klasma.github.io/Logging_2085/artfynd/A 19717-2022 artfynd.xlsx", "A 19717-2022")</f>
        <v/>
      </c>
      <c r="T71">
        <f>HYPERLINK("https://klasma.github.io/Logging_2085/kartor/A 19717-2022 karta.png", "A 19717-2022")</f>
        <v/>
      </c>
      <c r="V71">
        <f>HYPERLINK("https://klasma.github.io/Logging_2085/klagomål/A 19717-2022 FSC-klagomål.docx", "A 19717-2022")</f>
        <v/>
      </c>
      <c r="W71">
        <f>HYPERLINK("https://klasma.github.io/Logging_2085/klagomålsmail/A 19717-2022 FSC-klagomål mail.docx", "A 19717-2022")</f>
        <v/>
      </c>
      <c r="X71">
        <f>HYPERLINK("https://klasma.github.io/Logging_2085/tillsyn/A 19717-2022 tillsynsbegäran.docx", "A 19717-2022")</f>
        <v/>
      </c>
      <c r="Y71">
        <f>HYPERLINK("https://klasma.github.io/Logging_2085/tillsynsmail/A 19717-2022 tillsynsbegäran mail.docx", "A 19717-2022")</f>
        <v/>
      </c>
    </row>
    <row r="72" ht="15" customHeight="1">
      <c r="A72" t="inlineStr">
        <is>
          <t>A 18189-2025</t>
        </is>
      </c>
      <c r="B72" s="1" t="n">
        <v>45761.67243055555</v>
      </c>
      <c r="C72" s="1" t="n">
        <v>46174</v>
      </c>
      <c r="D72" t="inlineStr">
        <is>
          <t>DALARNAS LÄN</t>
        </is>
      </c>
      <c r="E72" t="inlineStr">
        <is>
          <t>LUDVIKA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18189-2025 artfynd.xlsx", "A 18189-2025")</f>
        <v/>
      </c>
      <c r="T72">
        <f>HYPERLINK("https://klasma.github.io/Logging_2085/kartor/A 18189-2025 karta.png", "A 18189-2025")</f>
        <v/>
      </c>
      <c r="V72">
        <f>HYPERLINK("https://klasma.github.io/Logging_2085/klagomål/A 18189-2025 FSC-klagomål.docx", "A 18189-2025")</f>
        <v/>
      </c>
      <c r="W72">
        <f>HYPERLINK("https://klasma.github.io/Logging_2085/klagomålsmail/A 18189-2025 FSC-klagomål mail.docx", "A 18189-2025")</f>
        <v/>
      </c>
      <c r="X72">
        <f>HYPERLINK("https://klasma.github.io/Logging_2085/tillsyn/A 18189-2025 tillsynsbegäran.docx", "A 18189-2025")</f>
        <v/>
      </c>
      <c r="Y72">
        <f>HYPERLINK("https://klasma.github.io/Logging_2085/tillsynsmail/A 18189-2025 tillsynsbegäran mail.docx", "A 18189-2025")</f>
        <v/>
      </c>
    </row>
    <row r="73" ht="15" customHeight="1">
      <c r="A73" t="inlineStr">
        <is>
          <t>A 44578-2023</t>
        </is>
      </c>
      <c r="B73" s="1" t="n">
        <v>45189</v>
      </c>
      <c r="C73" s="1" t="n">
        <v>46174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12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HYPERLINK("https://klasma.github.io/Logging_2085/artfynd/A 44578-2023 artfynd.xlsx", "A 44578-2023")</f>
        <v/>
      </c>
      <c r="T73">
        <f>HYPERLINK("https://klasma.github.io/Logging_2085/kartor/A 44578-2023 karta.png", "A 44578-2023")</f>
        <v/>
      </c>
      <c r="V73">
        <f>HYPERLINK("https://klasma.github.io/Logging_2085/klagomål/A 44578-2023 FSC-klagomål.docx", "A 44578-2023")</f>
        <v/>
      </c>
      <c r="W73">
        <f>HYPERLINK("https://klasma.github.io/Logging_2085/klagomålsmail/A 44578-2023 FSC-klagomål mail.docx", "A 44578-2023")</f>
        <v/>
      </c>
      <c r="X73">
        <f>HYPERLINK("https://klasma.github.io/Logging_2085/tillsyn/A 44578-2023 tillsynsbegäran.docx", "A 44578-2023")</f>
        <v/>
      </c>
      <c r="Y73">
        <f>HYPERLINK("https://klasma.github.io/Logging_2085/tillsynsmail/A 44578-2023 tillsynsbegäran mail.docx", "A 44578-2023")</f>
        <v/>
      </c>
    </row>
    <row r="74" ht="15" customHeight="1">
      <c r="A74" t="inlineStr">
        <is>
          <t>A 21499-2022</t>
        </is>
      </c>
      <c r="B74" s="1" t="n">
        <v>44706</v>
      </c>
      <c r="C74" s="1" t="n">
        <v>46174</v>
      </c>
      <c r="D74" t="inlineStr">
        <is>
          <t>DALARNAS LÄN</t>
        </is>
      </c>
      <c r="E74" t="inlineStr">
        <is>
          <t>LUDVIKA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Strimspindling</t>
        </is>
      </c>
      <c r="S74">
        <f>HYPERLINK("https://klasma.github.io/Logging_2085/artfynd/A 21499-2022 artfynd.xlsx", "A 21499-2022")</f>
        <v/>
      </c>
      <c r="T74">
        <f>HYPERLINK("https://klasma.github.io/Logging_2085/kartor/A 21499-2022 karta.png", "A 21499-2022")</f>
        <v/>
      </c>
      <c r="V74">
        <f>HYPERLINK("https://klasma.github.io/Logging_2085/klagomål/A 21499-2022 FSC-klagomål.docx", "A 21499-2022")</f>
        <v/>
      </c>
      <c r="W74">
        <f>HYPERLINK("https://klasma.github.io/Logging_2085/klagomålsmail/A 21499-2022 FSC-klagomål mail.docx", "A 21499-2022")</f>
        <v/>
      </c>
      <c r="X74">
        <f>HYPERLINK("https://klasma.github.io/Logging_2085/tillsyn/A 21499-2022 tillsynsbegäran.docx", "A 21499-2022")</f>
        <v/>
      </c>
      <c r="Y74">
        <f>HYPERLINK("https://klasma.github.io/Logging_2085/tillsynsmail/A 21499-2022 tillsynsbegäran mail.docx", "A 21499-2022")</f>
        <v/>
      </c>
    </row>
    <row r="75" ht="15" customHeight="1">
      <c r="A75" t="inlineStr">
        <is>
          <t>A 55550-2022</t>
        </is>
      </c>
      <c r="B75" s="1" t="n">
        <v>44888</v>
      </c>
      <c r="C75" s="1" t="n">
        <v>46174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HYPERLINK("https://klasma.github.io/Logging_2085/artfynd/A 55550-2022 artfynd.xlsx", "A 55550-2022")</f>
        <v/>
      </c>
      <c r="T75">
        <f>HYPERLINK("https://klasma.github.io/Logging_2085/kartor/A 55550-2022 karta.png", "A 55550-2022")</f>
        <v/>
      </c>
      <c r="V75">
        <f>HYPERLINK("https://klasma.github.io/Logging_2085/klagomål/A 55550-2022 FSC-klagomål.docx", "A 55550-2022")</f>
        <v/>
      </c>
      <c r="W75">
        <f>HYPERLINK("https://klasma.github.io/Logging_2085/klagomålsmail/A 55550-2022 FSC-klagomål mail.docx", "A 55550-2022")</f>
        <v/>
      </c>
      <c r="X75">
        <f>HYPERLINK("https://klasma.github.io/Logging_2085/tillsyn/A 55550-2022 tillsynsbegäran.docx", "A 55550-2022")</f>
        <v/>
      </c>
      <c r="Y75">
        <f>HYPERLINK("https://klasma.github.io/Logging_2085/tillsynsmail/A 55550-2022 tillsynsbegäran mail.docx", "A 55550-2022")</f>
        <v/>
      </c>
    </row>
    <row r="76" ht="15" customHeight="1">
      <c r="A76" t="inlineStr">
        <is>
          <t>A 37639-2024</t>
        </is>
      </c>
      <c r="B76" s="1" t="n">
        <v>45541.54527777778</v>
      </c>
      <c r="C76" s="1" t="n">
        <v>46174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37639-2024 artfynd.xlsx", "A 37639-2024")</f>
        <v/>
      </c>
      <c r="T76">
        <f>HYPERLINK("https://klasma.github.io/Logging_2085/kartor/A 37639-2024 karta.png", "A 37639-2024")</f>
        <v/>
      </c>
      <c r="V76">
        <f>HYPERLINK("https://klasma.github.io/Logging_2085/klagomål/A 37639-2024 FSC-klagomål.docx", "A 37639-2024")</f>
        <v/>
      </c>
      <c r="W76">
        <f>HYPERLINK("https://klasma.github.io/Logging_2085/klagomålsmail/A 37639-2024 FSC-klagomål mail.docx", "A 37639-2024")</f>
        <v/>
      </c>
      <c r="X76">
        <f>HYPERLINK("https://klasma.github.io/Logging_2085/tillsyn/A 37639-2024 tillsynsbegäran.docx", "A 37639-2024")</f>
        <v/>
      </c>
      <c r="Y76">
        <f>HYPERLINK("https://klasma.github.io/Logging_2085/tillsynsmail/A 37639-2024 tillsynsbegäran mail.docx", "A 37639-2024")</f>
        <v/>
      </c>
    </row>
    <row r="77" ht="15" customHeight="1">
      <c r="A77" t="inlineStr">
        <is>
          <t>A 33155-2024</t>
        </is>
      </c>
      <c r="B77" s="1" t="n">
        <v>45518.38504629629</v>
      </c>
      <c r="C77" s="1" t="n">
        <v>46174</v>
      </c>
      <c r="D77" t="inlineStr">
        <is>
          <t>DALARNAS LÄN</t>
        </is>
      </c>
      <c r="E77" t="inlineStr">
        <is>
          <t>LUDVIKA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Brunpudrad nållav</t>
        </is>
      </c>
      <c r="S77">
        <f>HYPERLINK("https://klasma.github.io/Logging_2085/artfynd/A 33155-2024 artfynd.xlsx", "A 33155-2024")</f>
        <v/>
      </c>
      <c r="T77">
        <f>HYPERLINK("https://klasma.github.io/Logging_2085/kartor/A 33155-2024 karta.png", "A 33155-2024")</f>
        <v/>
      </c>
      <c r="V77">
        <f>HYPERLINK("https://klasma.github.io/Logging_2085/klagomål/A 33155-2024 FSC-klagomål.docx", "A 33155-2024")</f>
        <v/>
      </c>
      <c r="W77">
        <f>HYPERLINK("https://klasma.github.io/Logging_2085/klagomålsmail/A 33155-2024 FSC-klagomål mail.docx", "A 33155-2024")</f>
        <v/>
      </c>
      <c r="X77">
        <f>HYPERLINK("https://klasma.github.io/Logging_2085/tillsyn/A 33155-2024 tillsynsbegäran.docx", "A 33155-2024")</f>
        <v/>
      </c>
      <c r="Y77">
        <f>HYPERLINK("https://klasma.github.io/Logging_2085/tillsynsmail/A 33155-2024 tillsynsbegäran mail.docx", "A 33155-2024")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46174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20985-2025</t>
        </is>
      </c>
      <c r="B79" s="1" t="n">
        <v>45777</v>
      </c>
      <c r="C79" s="1" t="n">
        <v>46174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20985-2025 artfynd.xlsx", "A 20985-2025")</f>
        <v/>
      </c>
      <c r="T79">
        <f>HYPERLINK("https://klasma.github.io/Logging_2085/kartor/A 20985-2025 karta.png", "A 20985-2025")</f>
        <v/>
      </c>
      <c r="V79">
        <f>HYPERLINK("https://klasma.github.io/Logging_2085/klagomål/A 20985-2025 FSC-klagomål.docx", "A 20985-2025")</f>
        <v/>
      </c>
      <c r="W79">
        <f>HYPERLINK("https://klasma.github.io/Logging_2085/klagomålsmail/A 20985-2025 FSC-klagomål mail.docx", "A 20985-2025")</f>
        <v/>
      </c>
      <c r="X79">
        <f>HYPERLINK("https://klasma.github.io/Logging_2085/tillsyn/A 20985-2025 tillsynsbegäran.docx", "A 20985-2025")</f>
        <v/>
      </c>
      <c r="Y79">
        <f>HYPERLINK("https://klasma.github.io/Logging_2085/tillsynsmail/A 20985-2025 tillsynsbegäran mail.docx", "A 20985-2025")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46174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45151-2025</t>
        </is>
      </c>
      <c r="B81" s="1" t="n">
        <v>45919</v>
      </c>
      <c r="C81" s="1" t="n">
        <v>46174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45151-2025 artfynd.xlsx", "A 45151-2025")</f>
        <v/>
      </c>
      <c r="T81">
        <f>HYPERLINK("https://klasma.github.io/Logging_2085/kartor/A 45151-2025 karta.png", "A 45151-2025")</f>
        <v/>
      </c>
      <c r="V81">
        <f>HYPERLINK("https://klasma.github.io/Logging_2085/klagomål/A 45151-2025 FSC-klagomål.docx", "A 45151-2025")</f>
        <v/>
      </c>
      <c r="W81">
        <f>HYPERLINK("https://klasma.github.io/Logging_2085/klagomålsmail/A 45151-2025 FSC-klagomål mail.docx", "A 45151-2025")</f>
        <v/>
      </c>
      <c r="X81">
        <f>HYPERLINK("https://klasma.github.io/Logging_2085/tillsyn/A 45151-2025 tillsynsbegäran.docx", "A 45151-2025")</f>
        <v/>
      </c>
      <c r="Y81">
        <f>HYPERLINK("https://klasma.github.io/Logging_2085/tillsynsmail/A 45151-2025 tillsynsbegäran mail.docx", "A 45151-2025")</f>
        <v/>
      </c>
    </row>
    <row r="82" ht="15" customHeight="1">
      <c r="A82" t="inlineStr">
        <is>
          <t>A 45225-2024</t>
        </is>
      </c>
      <c r="B82" s="1" t="n">
        <v>45575.77649305556</v>
      </c>
      <c r="C82" s="1" t="n">
        <v>46174</v>
      </c>
      <c r="D82" t="inlineStr">
        <is>
          <t>DALARNAS LÄN</t>
        </is>
      </c>
      <c r="E82" t="inlineStr">
        <is>
          <t>LUDVIKA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Ärtsångare</t>
        </is>
      </c>
      <c r="S82">
        <f>HYPERLINK("https://klasma.github.io/Logging_2085/artfynd/A 45225-2024 artfynd.xlsx", "A 45225-2024")</f>
        <v/>
      </c>
      <c r="T82">
        <f>HYPERLINK("https://klasma.github.io/Logging_2085/kartor/A 45225-2024 karta.png", "A 45225-2024")</f>
        <v/>
      </c>
      <c r="V82">
        <f>HYPERLINK("https://klasma.github.io/Logging_2085/klagomål/A 45225-2024 FSC-klagomål.docx", "A 45225-2024")</f>
        <v/>
      </c>
      <c r="W82">
        <f>HYPERLINK("https://klasma.github.io/Logging_2085/klagomålsmail/A 45225-2024 FSC-klagomål mail.docx", "A 45225-2024")</f>
        <v/>
      </c>
      <c r="X82">
        <f>HYPERLINK("https://klasma.github.io/Logging_2085/tillsyn/A 45225-2024 tillsynsbegäran.docx", "A 45225-2024")</f>
        <v/>
      </c>
      <c r="Y82">
        <f>HYPERLINK("https://klasma.github.io/Logging_2085/tillsynsmail/A 45225-2024 tillsynsbegäran mail.docx", "A 45225-2024")</f>
        <v/>
      </c>
      <c r="Z82">
        <f>HYPERLINK("https://klasma.github.io/Logging_2085/fåglar/A 45225-2024 prioriterade fågelarter.docx", "A 45225-2024")</f>
        <v/>
      </c>
    </row>
    <row r="83" ht="15" customHeight="1">
      <c r="A83" t="inlineStr">
        <is>
          <t>A 62275-2022</t>
        </is>
      </c>
      <c r="B83" s="1" t="n">
        <v>44923.35560185185</v>
      </c>
      <c r="C83" s="1" t="n">
        <v>46174</v>
      </c>
      <c r="D83" t="inlineStr">
        <is>
          <t>DALARNAS LÄN</t>
        </is>
      </c>
      <c r="E83" t="inlineStr">
        <is>
          <t>LUDVIKA</t>
        </is>
      </c>
      <c r="G83" t="n">
        <v>4.6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62275-2022 artfynd.xlsx", "A 62275-2022")</f>
        <v/>
      </c>
      <c r="T83">
        <f>HYPERLINK("https://klasma.github.io/Logging_2085/kartor/A 62275-2022 karta.png", "A 62275-2022")</f>
        <v/>
      </c>
      <c r="U83">
        <f>HYPERLINK("https://klasma.github.io/Logging_2085/knärot/A 62275-2022 karta knärot.png", "A 62275-2022")</f>
        <v/>
      </c>
      <c r="V83">
        <f>HYPERLINK("https://klasma.github.io/Logging_2085/klagomål/A 62275-2022 FSC-klagomål.docx", "A 62275-2022")</f>
        <v/>
      </c>
      <c r="W83">
        <f>HYPERLINK("https://klasma.github.io/Logging_2085/klagomålsmail/A 62275-2022 FSC-klagomål mail.docx", "A 62275-2022")</f>
        <v/>
      </c>
      <c r="X83">
        <f>HYPERLINK("https://klasma.github.io/Logging_2085/tillsyn/A 62275-2022 tillsynsbegäran.docx", "A 62275-2022")</f>
        <v/>
      </c>
      <c r="Y83">
        <f>HYPERLINK("https://klasma.github.io/Logging_2085/tillsynsmail/A 62275-2022 tillsynsbegäran mail.docx", "A 62275-2022")</f>
        <v/>
      </c>
    </row>
    <row r="84" ht="15" customHeight="1">
      <c r="A84" t="inlineStr">
        <is>
          <t>A 46912-2025</t>
        </is>
      </c>
      <c r="B84" s="1" t="n">
        <v>45929</v>
      </c>
      <c r="C84" s="1" t="n">
        <v>46174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46912-2025 artfynd.xlsx", "A 46912-2025")</f>
        <v/>
      </c>
      <c r="T84">
        <f>HYPERLINK("https://klasma.github.io/Logging_2085/kartor/A 46912-2025 karta.png", "A 46912-2025")</f>
        <v/>
      </c>
      <c r="V84">
        <f>HYPERLINK("https://klasma.github.io/Logging_2085/klagomål/A 46912-2025 FSC-klagomål.docx", "A 46912-2025")</f>
        <v/>
      </c>
      <c r="W84">
        <f>HYPERLINK("https://klasma.github.io/Logging_2085/klagomålsmail/A 46912-2025 FSC-klagomål mail.docx", "A 46912-2025")</f>
        <v/>
      </c>
      <c r="X84">
        <f>HYPERLINK("https://klasma.github.io/Logging_2085/tillsyn/A 46912-2025 tillsynsbegäran.docx", "A 46912-2025")</f>
        <v/>
      </c>
      <c r="Y84">
        <f>HYPERLINK("https://klasma.github.io/Logging_2085/tillsynsmail/A 46912-2025 tillsynsbegäran mail.docx", "A 46912-2025")</f>
        <v/>
      </c>
    </row>
    <row r="85" ht="15" customHeight="1">
      <c r="A85" t="inlineStr">
        <is>
          <t>A 25588-2023</t>
        </is>
      </c>
      <c r="B85" s="1" t="n">
        <v>45089</v>
      </c>
      <c r="C85" s="1" t="n">
        <v>46174</v>
      </c>
      <c r="D85" t="inlineStr">
        <is>
          <t>DALARNAS LÄN</t>
        </is>
      </c>
      <c r="E85" t="inlineStr">
        <is>
          <t>LUDVIKA</t>
        </is>
      </c>
      <c r="G85" t="n">
        <v>9.4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25588-2023 artfynd.xlsx", "A 25588-2023")</f>
        <v/>
      </c>
      <c r="T85">
        <f>HYPERLINK("https://klasma.github.io/Logging_2085/kartor/A 25588-2023 karta.png", "A 25588-2023")</f>
        <v/>
      </c>
      <c r="V85">
        <f>HYPERLINK("https://klasma.github.io/Logging_2085/klagomål/A 25588-2023 FSC-klagomål.docx", "A 25588-2023")</f>
        <v/>
      </c>
      <c r="W85">
        <f>HYPERLINK("https://klasma.github.io/Logging_2085/klagomålsmail/A 25588-2023 FSC-klagomål mail.docx", "A 25588-2023")</f>
        <v/>
      </c>
      <c r="X85">
        <f>HYPERLINK("https://klasma.github.io/Logging_2085/tillsyn/A 25588-2023 tillsynsbegäran.docx", "A 25588-2023")</f>
        <v/>
      </c>
      <c r="Y85">
        <f>HYPERLINK("https://klasma.github.io/Logging_2085/tillsynsmail/A 25588-2023 tillsynsbegäran mail.docx", "A 25588-2023")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46174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50454-2025</t>
        </is>
      </c>
      <c r="B87" s="1" t="n">
        <v>45945</v>
      </c>
      <c r="C87" s="1" t="n">
        <v>46174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50454-2025 artfynd.xlsx", "A 50454-2025")</f>
        <v/>
      </c>
      <c r="T87">
        <f>HYPERLINK("https://klasma.github.io/Logging_2085/kartor/A 50454-2025 karta.png", "A 50454-2025")</f>
        <v/>
      </c>
      <c r="V87">
        <f>HYPERLINK("https://klasma.github.io/Logging_2085/klagomål/A 50454-2025 FSC-klagomål.docx", "A 50454-2025")</f>
        <v/>
      </c>
      <c r="W87">
        <f>HYPERLINK("https://klasma.github.io/Logging_2085/klagomålsmail/A 50454-2025 FSC-klagomål mail.docx", "A 50454-2025")</f>
        <v/>
      </c>
      <c r="X87">
        <f>HYPERLINK("https://klasma.github.io/Logging_2085/tillsyn/A 50454-2025 tillsynsbegäran.docx", "A 50454-2025")</f>
        <v/>
      </c>
      <c r="Y87">
        <f>HYPERLINK("https://klasma.github.io/Logging_2085/tillsynsmail/A 50454-2025 tillsynsbegäran mail.docx", "A 50454-2025")</f>
        <v/>
      </c>
    </row>
    <row r="88" ht="15" customHeight="1">
      <c r="A88" t="inlineStr">
        <is>
          <t>A 11755-2023</t>
        </is>
      </c>
      <c r="B88" s="1" t="n">
        <v>44994</v>
      </c>
      <c r="C88" s="1" t="n">
        <v>46174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11755-2023 artfynd.xlsx", "A 11755-2023")</f>
        <v/>
      </c>
      <c r="T88">
        <f>HYPERLINK("https://klasma.github.io/Logging_2085/kartor/A 11755-2023 karta.png", "A 11755-2023")</f>
        <v/>
      </c>
      <c r="V88">
        <f>HYPERLINK("https://klasma.github.io/Logging_2085/klagomål/A 11755-2023 FSC-klagomål.docx", "A 11755-2023")</f>
        <v/>
      </c>
      <c r="W88">
        <f>HYPERLINK("https://klasma.github.io/Logging_2085/klagomålsmail/A 11755-2023 FSC-klagomål mail.docx", "A 11755-2023")</f>
        <v/>
      </c>
      <c r="X88">
        <f>HYPERLINK("https://klasma.github.io/Logging_2085/tillsyn/A 11755-2023 tillsynsbegäran.docx", "A 11755-2023")</f>
        <v/>
      </c>
      <c r="Y88">
        <f>HYPERLINK("https://klasma.github.io/Logging_2085/tillsynsmail/A 11755-2023 tillsynsbegäran mail.docx", "A 11755-2023")</f>
        <v/>
      </c>
      <c r="Z88">
        <f>HYPERLINK("https://klasma.github.io/Logging_2085/fåglar/A 11755-2023 prioriterade fågelarter.docx", "A 11755-2023")</f>
        <v/>
      </c>
    </row>
    <row r="89" ht="15" customHeight="1">
      <c r="A89" t="inlineStr">
        <is>
          <t>A 51105-2025</t>
        </is>
      </c>
      <c r="B89" s="1" t="n">
        <v>45947</v>
      </c>
      <c r="C89" s="1" t="n">
        <v>46174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51105-2025 artfynd.xlsx", "A 51105-2025")</f>
        <v/>
      </c>
      <c r="T89">
        <f>HYPERLINK("https://klasma.github.io/Logging_2085/kartor/A 51105-2025 karta.png", "A 51105-2025")</f>
        <v/>
      </c>
      <c r="V89">
        <f>HYPERLINK("https://klasma.github.io/Logging_2085/klagomål/A 51105-2025 FSC-klagomål.docx", "A 51105-2025")</f>
        <v/>
      </c>
      <c r="W89">
        <f>HYPERLINK("https://klasma.github.io/Logging_2085/klagomålsmail/A 51105-2025 FSC-klagomål mail.docx", "A 51105-2025")</f>
        <v/>
      </c>
      <c r="X89">
        <f>HYPERLINK("https://klasma.github.io/Logging_2085/tillsyn/A 51105-2025 tillsynsbegäran.docx", "A 51105-2025")</f>
        <v/>
      </c>
      <c r="Y89">
        <f>HYPERLINK("https://klasma.github.io/Logging_2085/tillsynsmail/A 51105-2025 tillsynsbegäran mail.docx", "A 51105-2025")</f>
        <v/>
      </c>
      <c r="Z89">
        <f>HYPERLINK("https://klasma.github.io/Logging_2085/fåglar/A 51105-2025 prioriterade fågelarter.docx", "A 51105-2025")</f>
        <v/>
      </c>
    </row>
    <row r="90" ht="15" customHeight="1">
      <c r="A90" t="inlineStr">
        <is>
          <t>A 3809-2024</t>
        </is>
      </c>
      <c r="B90" s="1" t="n">
        <v>45321</v>
      </c>
      <c r="C90" s="1" t="n">
        <v>46174</v>
      </c>
      <c r="D90" t="inlineStr">
        <is>
          <t>DALARNAS LÄN</t>
        </is>
      </c>
      <c r="E90" t="inlineStr">
        <is>
          <t>LUDVIKA</t>
        </is>
      </c>
      <c r="G90" t="n">
        <v>0.5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3809-2024 artfynd.xlsx", "A 3809-2024")</f>
        <v/>
      </c>
      <c r="T90">
        <f>HYPERLINK("https://klasma.github.io/Logging_2085/kartor/A 3809-2024 karta.png", "A 3809-2024")</f>
        <v/>
      </c>
      <c r="V90">
        <f>HYPERLINK("https://klasma.github.io/Logging_2085/klagomål/A 3809-2024 FSC-klagomål.docx", "A 3809-2024")</f>
        <v/>
      </c>
      <c r="W90">
        <f>HYPERLINK("https://klasma.github.io/Logging_2085/klagomålsmail/A 3809-2024 FSC-klagomål mail.docx", "A 3809-2024")</f>
        <v/>
      </c>
      <c r="X90">
        <f>HYPERLINK("https://klasma.github.io/Logging_2085/tillsyn/A 3809-2024 tillsynsbegäran.docx", "A 3809-2024")</f>
        <v/>
      </c>
      <c r="Y90">
        <f>HYPERLINK("https://klasma.github.io/Logging_2085/tillsynsmail/A 3809-2024 tillsynsbegäran mail.docx", "A 3809-2024")</f>
        <v/>
      </c>
    </row>
    <row r="91" ht="15" customHeight="1">
      <c r="A91" t="inlineStr">
        <is>
          <t>A 36050-2025</t>
        </is>
      </c>
      <c r="B91" s="1" t="n">
        <v>45866</v>
      </c>
      <c r="C91" s="1" t="n">
        <v>46174</v>
      </c>
      <c r="D91" t="inlineStr">
        <is>
          <t>DALARNAS LÄN</t>
        </is>
      </c>
      <c r="E91" t="inlineStr">
        <is>
          <t>LUDVIKA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36050-2025 artfynd.xlsx", "A 36050-2025")</f>
        <v/>
      </c>
      <c r="T91">
        <f>HYPERLINK("https://klasma.github.io/Logging_2085/kartor/A 36050-2025 karta.png", "A 36050-2025")</f>
        <v/>
      </c>
      <c r="V91">
        <f>HYPERLINK("https://klasma.github.io/Logging_2085/klagomål/A 36050-2025 FSC-klagomål.docx", "A 36050-2025")</f>
        <v/>
      </c>
      <c r="W91">
        <f>HYPERLINK("https://klasma.github.io/Logging_2085/klagomålsmail/A 36050-2025 FSC-klagomål mail.docx", "A 36050-2025")</f>
        <v/>
      </c>
      <c r="X91">
        <f>HYPERLINK("https://klasma.github.io/Logging_2085/tillsyn/A 36050-2025 tillsynsbegäran.docx", "A 36050-2025")</f>
        <v/>
      </c>
      <c r="Y91">
        <f>HYPERLINK("https://klasma.github.io/Logging_2085/tillsynsmail/A 36050-2025 tillsynsbegäran mail.docx", "A 36050-2025")</f>
        <v/>
      </c>
      <c r="Z91">
        <f>HYPERLINK("https://klasma.github.io/Logging_2085/fåglar/A 36050-2025 prioriterade fågelarter.docx", "A 36050-2025")</f>
        <v/>
      </c>
    </row>
    <row r="92" ht="15" customHeight="1">
      <c r="A92" t="inlineStr">
        <is>
          <t>A 50170-2025</t>
        </is>
      </c>
      <c r="B92" s="1" t="n">
        <v>45943</v>
      </c>
      <c r="C92" s="1" t="n">
        <v>46174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Gulnål</t>
        </is>
      </c>
      <c r="S92">
        <f>HYPERLINK("https://klasma.github.io/Logging_2085/artfynd/A 50170-2025 artfynd.xlsx", "A 50170-2025")</f>
        <v/>
      </c>
      <c r="T92">
        <f>HYPERLINK("https://klasma.github.io/Logging_2085/kartor/A 50170-2025 karta.png", "A 50170-2025")</f>
        <v/>
      </c>
      <c r="V92">
        <f>HYPERLINK("https://klasma.github.io/Logging_2085/klagomål/A 50170-2025 FSC-klagomål.docx", "A 50170-2025")</f>
        <v/>
      </c>
      <c r="W92">
        <f>HYPERLINK("https://klasma.github.io/Logging_2085/klagomålsmail/A 50170-2025 FSC-klagomål mail.docx", "A 50170-2025")</f>
        <v/>
      </c>
      <c r="X92">
        <f>HYPERLINK("https://klasma.github.io/Logging_2085/tillsyn/A 50170-2025 tillsynsbegäran.docx", "A 50170-2025")</f>
        <v/>
      </c>
      <c r="Y92">
        <f>HYPERLINK("https://klasma.github.io/Logging_2085/tillsynsmail/A 50170-2025 tillsynsbegäran mail.docx", "A 50170-2025")</f>
        <v/>
      </c>
    </row>
    <row r="93" ht="15" customHeight="1">
      <c r="A93" t="inlineStr">
        <is>
          <t>A 55410-2025</t>
        </is>
      </c>
      <c r="B93" s="1" t="n">
        <v>45971</v>
      </c>
      <c r="C93" s="1" t="n">
        <v>46174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HYPERLINK("https://klasma.github.io/Logging_2085/artfynd/A 55410-2025 artfynd.xlsx", "A 55410-2025")</f>
        <v/>
      </c>
      <c r="T93">
        <f>HYPERLINK("https://klasma.github.io/Logging_2085/kartor/A 55410-2025 karta.png", "A 55410-2025")</f>
        <v/>
      </c>
      <c r="V93">
        <f>HYPERLINK("https://klasma.github.io/Logging_2085/klagomål/A 55410-2025 FSC-klagomål.docx", "A 55410-2025")</f>
        <v/>
      </c>
      <c r="W93">
        <f>HYPERLINK("https://klasma.github.io/Logging_2085/klagomålsmail/A 55410-2025 FSC-klagomål mail.docx", "A 55410-2025")</f>
        <v/>
      </c>
      <c r="X93">
        <f>HYPERLINK("https://klasma.github.io/Logging_2085/tillsyn/A 55410-2025 tillsynsbegäran.docx", "A 55410-2025")</f>
        <v/>
      </c>
      <c r="Y93">
        <f>HYPERLINK("https://klasma.github.io/Logging_2085/tillsynsmail/A 55410-2025 tillsynsbegäran mail.docx", "A 55410-2025")</f>
        <v/>
      </c>
      <c r="Z93">
        <f>HYPERLINK("https://klasma.github.io/Logging_2085/fåglar/A 55410-2025 prioriterade fågelarter.docx", "A 55410-2025")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46174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56179-2025</t>
        </is>
      </c>
      <c r="B95" s="1" t="n">
        <v>45974</v>
      </c>
      <c r="C95" s="1" t="n">
        <v>46174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Gultoppig fingersvamp</t>
        </is>
      </c>
      <c r="S95">
        <f>HYPERLINK("https://klasma.github.io/Logging_2085/artfynd/A 56179-2025 artfynd.xlsx", "A 56179-2025")</f>
        <v/>
      </c>
      <c r="T95">
        <f>HYPERLINK("https://klasma.github.io/Logging_2085/kartor/A 56179-2025 karta.png", "A 56179-2025")</f>
        <v/>
      </c>
      <c r="U95">
        <f>HYPERLINK("https://klasma.github.io/Logging_2085/knärot/A 56179-2025 karta knärot.png", "A 56179-2025")</f>
        <v/>
      </c>
      <c r="V95">
        <f>HYPERLINK("https://klasma.github.io/Logging_2085/klagomål/A 56179-2025 FSC-klagomål.docx", "A 56179-2025")</f>
        <v/>
      </c>
      <c r="W95">
        <f>HYPERLINK("https://klasma.github.io/Logging_2085/klagomålsmail/A 56179-2025 FSC-klagomål mail.docx", "A 56179-2025")</f>
        <v/>
      </c>
      <c r="X95">
        <f>HYPERLINK("https://klasma.github.io/Logging_2085/tillsyn/A 56179-2025 tillsynsbegäran.docx", "A 56179-2025")</f>
        <v/>
      </c>
      <c r="Y95">
        <f>HYPERLINK("https://klasma.github.io/Logging_2085/tillsynsmail/A 56179-2025 tillsynsbegäran mail.docx", "A 56179-2025")</f>
        <v/>
      </c>
    </row>
    <row r="96" ht="15" customHeight="1">
      <c r="A96" t="inlineStr">
        <is>
          <t>A 60787-2024</t>
        </is>
      </c>
      <c r="B96" s="1" t="n">
        <v>45644</v>
      </c>
      <c r="C96" s="1" t="n">
        <v>46174</v>
      </c>
      <c r="D96" t="inlineStr">
        <is>
          <t>DALARNAS LÄN</t>
        </is>
      </c>
      <c r="E96" t="inlineStr">
        <is>
          <t>LUDVIKA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HYPERLINK("https://klasma.github.io/Logging_2085/artfynd/A 60787-2024 artfynd.xlsx", "A 60787-2024")</f>
        <v/>
      </c>
      <c r="T96">
        <f>HYPERLINK("https://klasma.github.io/Logging_2085/kartor/A 60787-2024 karta.png", "A 60787-2024")</f>
        <v/>
      </c>
      <c r="V96">
        <f>HYPERLINK("https://klasma.github.io/Logging_2085/klagomål/A 60787-2024 FSC-klagomål.docx", "A 60787-2024")</f>
        <v/>
      </c>
      <c r="W96">
        <f>HYPERLINK("https://klasma.github.io/Logging_2085/klagomålsmail/A 60787-2024 FSC-klagomål mail.docx", "A 60787-2024")</f>
        <v/>
      </c>
      <c r="X96">
        <f>HYPERLINK("https://klasma.github.io/Logging_2085/tillsyn/A 60787-2024 tillsynsbegäran.docx", "A 60787-2024")</f>
        <v/>
      </c>
      <c r="Y96">
        <f>HYPERLINK("https://klasma.github.io/Logging_2085/tillsynsmail/A 60787-2024 tillsynsbegäran mail.docx", "A 60787-2024")</f>
        <v/>
      </c>
      <c r="Z96">
        <f>HYPERLINK("https://klasma.github.io/Logging_2085/fåglar/A 60787-2024 prioriterade fågelarter.docx", "A 60787-2024")</f>
        <v/>
      </c>
    </row>
    <row r="97" ht="15" customHeight="1">
      <c r="A97" t="inlineStr">
        <is>
          <t>A 23085-2025</t>
        </is>
      </c>
      <c r="B97" s="1" t="n">
        <v>45791</v>
      </c>
      <c r="C97" s="1" t="n">
        <v>46174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Berguv</t>
        </is>
      </c>
      <c r="S97">
        <f>HYPERLINK("https://klasma.github.io/Logging_2085/artfynd/A 23085-2025 artfynd.xlsx", "A 23085-2025")</f>
        <v/>
      </c>
      <c r="T97">
        <f>HYPERLINK("https://klasma.github.io/Logging_2085/kartor/A 23085-2025 karta.png", "A 23085-2025")</f>
        <v/>
      </c>
      <c r="V97">
        <f>HYPERLINK("https://klasma.github.io/Logging_2085/klagomål/A 23085-2025 FSC-klagomål.docx", "A 23085-2025")</f>
        <v/>
      </c>
      <c r="W97">
        <f>HYPERLINK("https://klasma.github.io/Logging_2085/klagomålsmail/A 23085-2025 FSC-klagomål mail.docx", "A 23085-2025")</f>
        <v/>
      </c>
      <c r="X97">
        <f>HYPERLINK("https://klasma.github.io/Logging_2085/tillsyn/A 23085-2025 tillsynsbegäran.docx", "A 23085-2025")</f>
        <v/>
      </c>
      <c r="Y97">
        <f>HYPERLINK("https://klasma.github.io/Logging_2085/tillsynsmail/A 23085-2025 tillsynsbegäran mail.docx", "A 23085-2025")</f>
        <v/>
      </c>
      <c r="Z97">
        <f>HYPERLINK("https://klasma.github.io/Logging_2085/fåglar/A 23085-2025 prioriterade fågelarter.docx", "A 23085-2025")</f>
        <v/>
      </c>
    </row>
    <row r="98" ht="15" customHeight="1">
      <c r="A98" t="inlineStr">
        <is>
          <t>A 22235-2026</t>
        </is>
      </c>
      <c r="B98" s="1" t="n">
        <v>46153.92482638889</v>
      </c>
      <c r="C98" s="1" t="n">
        <v>46174</v>
      </c>
      <c r="D98" t="inlineStr">
        <is>
          <t>DALARNAS LÄN</t>
        </is>
      </c>
      <c r="E98" t="inlineStr">
        <is>
          <t>LUDVIKA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HYPERLINK("https://klasma.github.io/Logging_2085/artfynd/A 22235-2026 artfynd.xlsx", "A 22235-2026")</f>
        <v/>
      </c>
      <c r="T98">
        <f>HYPERLINK("https://klasma.github.io/Logging_2085/kartor/A 22235-2026 karta.png", "A 22235-2026")</f>
        <v/>
      </c>
      <c r="V98">
        <f>HYPERLINK("https://klasma.github.io/Logging_2085/klagomål/A 22235-2026 FSC-klagomål.docx", "A 22235-2026")</f>
        <v/>
      </c>
      <c r="W98">
        <f>HYPERLINK("https://klasma.github.io/Logging_2085/klagomålsmail/A 22235-2026 FSC-klagomål mail.docx", "A 22235-2026")</f>
        <v/>
      </c>
      <c r="X98">
        <f>HYPERLINK("https://klasma.github.io/Logging_2085/tillsyn/A 22235-2026 tillsynsbegäran.docx", "A 22235-2026")</f>
        <v/>
      </c>
      <c r="Y98">
        <f>HYPERLINK("https://klasma.github.io/Logging_2085/tillsynsmail/A 22235-2026 tillsynsbegäran mail.docx", "A 22235-2026")</f>
        <v/>
      </c>
      <c r="Z98">
        <f>HYPERLINK("https://klasma.github.io/Logging_2085/fåglar/A 22235-2026 prioriterade fågelarter.docx", "A 22235-2026")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46174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46174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23107-2025</t>
        </is>
      </c>
      <c r="B101" s="1" t="n">
        <v>45791.36149305556</v>
      </c>
      <c r="C101" s="1" t="n">
        <v>46174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Större vattensalamander</t>
        </is>
      </c>
      <c r="S101">
        <f>HYPERLINK("https://klasma.github.io/Logging_2085/artfynd/A 23107-2025 artfynd.xlsx", "A 23107-2025")</f>
        <v/>
      </c>
      <c r="T101">
        <f>HYPERLINK("https://klasma.github.io/Logging_2085/kartor/A 23107-2025 karta.png", "A 23107-2025")</f>
        <v/>
      </c>
      <c r="V101">
        <f>HYPERLINK("https://klasma.github.io/Logging_2085/klagomål/A 23107-2025 FSC-klagomål.docx", "A 23107-2025")</f>
        <v/>
      </c>
      <c r="W101">
        <f>HYPERLINK("https://klasma.github.io/Logging_2085/klagomålsmail/A 23107-2025 FSC-klagomål mail.docx", "A 23107-2025")</f>
        <v/>
      </c>
      <c r="X101">
        <f>HYPERLINK("https://klasma.github.io/Logging_2085/tillsyn/A 23107-2025 tillsynsbegäran.docx", "A 23107-2025")</f>
        <v/>
      </c>
      <c r="Y101">
        <f>HYPERLINK("https://klasma.github.io/Logging_2085/tillsynsmail/A 23107-2025 tillsynsbegäran mail.docx", "A 23107-2025")</f>
        <v/>
      </c>
    </row>
    <row r="102" ht="15" customHeight="1">
      <c r="A102" t="inlineStr">
        <is>
          <t>A 59873-2025</t>
        </is>
      </c>
      <c r="B102" s="1" t="n">
        <v>45992.950625</v>
      </c>
      <c r="C102" s="1" t="n">
        <v>46174</v>
      </c>
      <c r="D102" t="inlineStr">
        <is>
          <t>DALARNAS LÄN</t>
        </is>
      </c>
      <c r="E102" t="inlineStr">
        <is>
          <t>LUDVIKA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Lateritticka</t>
        </is>
      </c>
      <c r="S102">
        <f>HYPERLINK("https://klasma.github.io/Logging_2085/artfynd/A 59873-2025 artfynd.xlsx", "A 59873-2025")</f>
        <v/>
      </c>
      <c r="T102">
        <f>HYPERLINK("https://klasma.github.io/Logging_2085/kartor/A 59873-2025 karta.png", "A 59873-2025")</f>
        <v/>
      </c>
      <c r="V102">
        <f>HYPERLINK("https://klasma.github.io/Logging_2085/klagomål/A 59873-2025 FSC-klagomål.docx", "A 59873-2025")</f>
        <v/>
      </c>
      <c r="W102">
        <f>HYPERLINK("https://klasma.github.io/Logging_2085/klagomålsmail/A 59873-2025 FSC-klagomål mail.docx", "A 59873-2025")</f>
        <v/>
      </c>
      <c r="X102">
        <f>HYPERLINK("https://klasma.github.io/Logging_2085/tillsyn/A 59873-2025 tillsynsbegäran.docx", "A 59873-2025")</f>
        <v/>
      </c>
      <c r="Y102">
        <f>HYPERLINK("https://klasma.github.io/Logging_2085/tillsynsmail/A 59873-2025 tillsynsbegäran mail.docx", "A 59873-2025")</f>
        <v/>
      </c>
    </row>
    <row r="103" ht="15" customHeight="1">
      <c r="A103" t="inlineStr">
        <is>
          <t>A 25282-2025</t>
        </is>
      </c>
      <c r="B103" s="1" t="n">
        <v>45800</v>
      </c>
      <c r="C103" s="1" t="n">
        <v>46174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25282-2025 artfynd.xlsx", "A 25282-2025")</f>
        <v/>
      </c>
      <c r="T103">
        <f>HYPERLINK("https://klasma.github.io/Logging_2085/kartor/A 25282-2025 karta.png", "A 25282-2025")</f>
        <v/>
      </c>
      <c r="V103">
        <f>HYPERLINK("https://klasma.github.io/Logging_2085/klagomål/A 25282-2025 FSC-klagomål.docx", "A 25282-2025")</f>
        <v/>
      </c>
      <c r="W103">
        <f>HYPERLINK("https://klasma.github.io/Logging_2085/klagomålsmail/A 25282-2025 FSC-klagomål mail.docx", "A 25282-2025")</f>
        <v/>
      </c>
      <c r="X103">
        <f>HYPERLINK("https://klasma.github.io/Logging_2085/tillsyn/A 25282-2025 tillsynsbegäran.docx", "A 25282-2025")</f>
        <v/>
      </c>
      <c r="Y103">
        <f>HYPERLINK("https://klasma.github.io/Logging_2085/tillsynsmail/A 25282-2025 tillsynsbegäran mail.docx", "A 25282-2025")</f>
        <v/>
      </c>
    </row>
    <row r="104" ht="15" customHeight="1">
      <c r="A104" t="inlineStr">
        <is>
          <t>A 62676-2025</t>
        </is>
      </c>
      <c r="B104" s="1" t="n">
        <v>46008</v>
      </c>
      <c r="C104" s="1" t="n">
        <v>46174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HYPERLINK("https://klasma.github.io/Logging_2085/artfynd/A 62676-2025 artfynd.xlsx", "A 62676-2025")</f>
        <v/>
      </c>
      <c r="T104">
        <f>HYPERLINK("https://klasma.github.io/Logging_2085/kartor/A 62676-2025 karta.png", "A 62676-2025")</f>
        <v/>
      </c>
      <c r="V104">
        <f>HYPERLINK("https://klasma.github.io/Logging_2085/klagomål/A 62676-2025 FSC-klagomål.docx", "A 62676-2025")</f>
        <v/>
      </c>
      <c r="W104">
        <f>HYPERLINK("https://klasma.github.io/Logging_2085/klagomålsmail/A 62676-2025 FSC-klagomål mail.docx", "A 62676-2025")</f>
        <v/>
      </c>
      <c r="X104">
        <f>HYPERLINK("https://klasma.github.io/Logging_2085/tillsyn/A 62676-2025 tillsynsbegäran.docx", "A 62676-2025")</f>
        <v/>
      </c>
      <c r="Y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63005-2025</t>
        </is>
      </c>
      <c r="B105" s="1" t="n">
        <v>46009.56876157408</v>
      </c>
      <c r="C105" s="1" t="n">
        <v>46174</v>
      </c>
      <c r="D105" t="inlineStr">
        <is>
          <t>DALARNAS LÄN</t>
        </is>
      </c>
      <c r="E105" t="inlineStr">
        <is>
          <t>LUDVIKA</t>
        </is>
      </c>
      <c r="G105" t="n">
        <v>4.4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63005-2025 artfynd.xlsx", "A 63005-2025")</f>
        <v/>
      </c>
      <c r="T105">
        <f>HYPERLINK("https://klasma.github.io/Logging_2085/kartor/A 63005-2025 karta.png", "A 63005-2025")</f>
        <v/>
      </c>
      <c r="V105">
        <f>HYPERLINK("https://klasma.github.io/Logging_2085/klagomål/A 63005-2025 FSC-klagomål.docx", "A 63005-2025")</f>
        <v/>
      </c>
      <c r="W105">
        <f>HYPERLINK("https://klasma.github.io/Logging_2085/klagomålsmail/A 63005-2025 FSC-klagomål mail.docx", "A 63005-2025")</f>
        <v/>
      </c>
      <c r="X105">
        <f>HYPERLINK("https://klasma.github.io/Logging_2085/tillsyn/A 63005-2025 tillsynsbegäran.docx", "A 63005-2025")</f>
        <v/>
      </c>
      <c r="Y105">
        <f>HYPERLINK("https://klasma.github.io/Logging_2085/tillsynsmail/A 63005-2025 tillsynsbegäran mail.docx", "A 63005-2025")</f>
        <v/>
      </c>
      <c r="Z105">
        <f>HYPERLINK("https://klasma.github.io/Logging_2085/fåglar/A 63005-2025 prioriterade fågelarter.docx", "A 63005-2025")</f>
        <v/>
      </c>
    </row>
    <row r="106" ht="15" customHeight="1">
      <c r="A106" t="inlineStr">
        <is>
          <t>A 64097-2025</t>
        </is>
      </c>
      <c r="B106" s="1" t="n">
        <v>46021</v>
      </c>
      <c r="C106" s="1" t="n">
        <v>46174</v>
      </c>
      <c r="D106" t="inlineStr">
        <is>
          <t>DALARNAS LÄN</t>
        </is>
      </c>
      <c r="E106" t="inlineStr">
        <is>
          <t>LUDVIKA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HYPERLINK("https://klasma.github.io/Logging_2085/artfynd/A 64097-2025 artfynd.xlsx", "A 64097-2025")</f>
        <v/>
      </c>
      <c r="T106">
        <f>HYPERLINK("https://klasma.github.io/Logging_2085/kartor/A 64097-2025 karta.png", "A 64097-2025")</f>
        <v/>
      </c>
      <c r="V106">
        <f>HYPERLINK("https://klasma.github.io/Logging_2085/klagomål/A 64097-2025 FSC-klagomål.docx", "A 64097-2025")</f>
        <v/>
      </c>
      <c r="W106">
        <f>HYPERLINK("https://klasma.github.io/Logging_2085/klagomålsmail/A 64097-2025 FSC-klagomål mail.docx", "A 64097-2025")</f>
        <v/>
      </c>
      <c r="X106">
        <f>HYPERLINK("https://klasma.github.io/Logging_2085/tillsyn/A 64097-2025 tillsynsbegäran.docx", "A 64097-2025")</f>
        <v/>
      </c>
      <c r="Y106">
        <f>HYPERLINK("https://klasma.github.io/Logging_2085/tillsynsmail/A 64097-2025 tillsynsbegäran mail.docx", "A 64097-2025")</f>
        <v/>
      </c>
    </row>
    <row r="107" ht="15" customHeight="1">
      <c r="A107" t="inlineStr">
        <is>
          <t>A 1237-2026</t>
        </is>
      </c>
      <c r="B107" s="1" t="n">
        <v>46031.41959490741</v>
      </c>
      <c r="C107" s="1" t="n">
        <v>46174</v>
      </c>
      <c r="D107" t="inlineStr">
        <is>
          <t>DALARNAS LÄN</t>
        </is>
      </c>
      <c r="E107" t="inlineStr">
        <is>
          <t>LUDVIKA</t>
        </is>
      </c>
      <c r="G107" t="n">
        <v>5.9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1237-2026 artfynd.xlsx", "A 1237-2026")</f>
        <v/>
      </c>
      <c r="T107">
        <f>HYPERLINK("https://klasma.github.io/Logging_2085/kartor/A 1237-2026 karta.png", "A 1237-2026")</f>
        <v/>
      </c>
      <c r="V107">
        <f>HYPERLINK("https://klasma.github.io/Logging_2085/klagomål/A 1237-2026 FSC-klagomål.docx", "A 1237-2026")</f>
        <v/>
      </c>
      <c r="W107">
        <f>HYPERLINK("https://klasma.github.io/Logging_2085/klagomålsmail/A 1237-2026 FSC-klagomål mail.docx", "A 1237-2026")</f>
        <v/>
      </c>
      <c r="X107">
        <f>HYPERLINK("https://klasma.github.io/Logging_2085/tillsyn/A 1237-2026 tillsynsbegäran.docx", "A 1237-2026")</f>
        <v/>
      </c>
      <c r="Y107">
        <f>HYPERLINK("https://klasma.github.io/Logging_2085/tillsynsmail/A 1237-2026 tillsynsbegäran mail.docx", "A 1237-2026")</f>
        <v/>
      </c>
    </row>
    <row r="108" ht="15" customHeight="1">
      <c r="A108" t="inlineStr">
        <is>
          <t>A 59947-2025</t>
        </is>
      </c>
      <c r="B108" s="1" t="n">
        <v>45993</v>
      </c>
      <c r="C108" s="1" t="n">
        <v>46174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HYPERLINK("https://klasma.github.io/Logging_2085/artfynd/A 59947-2025 artfynd.xlsx", "A 59947-2025")</f>
        <v/>
      </c>
      <c r="T108">
        <f>HYPERLINK("https://klasma.github.io/Logging_2085/kartor/A 59947-2025 karta.png", "A 59947-2025")</f>
        <v/>
      </c>
      <c r="V108">
        <f>HYPERLINK("https://klasma.github.io/Logging_2085/klagomål/A 59947-2025 FSC-klagomål.docx", "A 59947-2025")</f>
        <v/>
      </c>
      <c r="W108">
        <f>HYPERLINK("https://klasma.github.io/Logging_2085/klagomålsmail/A 59947-2025 FSC-klagomål mail.docx", "A 59947-2025")</f>
        <v/>
      </c>
      <c r="X108">
        <f>HYPERLINK("https://klasma.github.io/Logging_2085/tillsyn/A 59947-2025 tillsynsbegäran.docx", "A 59947-2025")</f>
        <v/>
      </c>
      <c r="Y108">
        <f>HYPERLINK("https://klasma.github.io/Logging_2085/tillsynsmail/A 59947-2025 tillsynsbegäran mail.docx", "A 59947-2025")</f>
        <v/>
      </c>
      <c r="Z108">
        <f>HYPERLINK("https://klasma.github.io/Logging_2085/fåglar/A 59947-2025 prioriterade fågelarter.docx", "A 59947-2025")</f>
        <v/>
      </c>
    </row>
    <row r="109" ht="15" customHeight="1">
      <c r="A109" t="inlineStr">
        <is>
          <t>A 56655-2025</t>
        </is>
      </c>
      <c r="B109" s="1" t="n">
        <v>45975.64983796296</v>
      </c>
      <c r="C109" s="1" t="n">
        <v>46174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8.5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HYPERLINK("https://klasma.github.io/Logging_2085/artfynd/A 56655-2025 artfynd.xlsx", "A 56655-2025")</f>
        <v/>
      </c>
      <c r="T109">
        <f>HYPERLINK("https://klasma.github.io/Logging_2085/kartor/A 56655-2025 karta.png", "A 56655-2025")</f>
        <v/>
      </c>
      <c r="V109">
        <f>HYPERLINK("https://klasma.github.io/Logging_2085/klagomål/A 56655-2025 FSC-klagomål.docx", "A 56655-2025")</f>
        <v/>
      </c>
      <c r="W109">
        <f>HYPERLINK("https://klasma.github.io/Logging_2085/klagomålsmail/A 56655-2025 FSC-klagomål mail.docx", "A 56655-2025")</f>
        <v/>
      </c>
      <c r="X109">
        <f>HYPERLINK("https://klasma.github.io/Logging_2085/tillsyn/A 56655-2025 tillsynsbegäran.docx", "A 56655-2025")</f>
        <v/>
      </c>
      <c r="Y109">
        <f>HYPERLINK("https://klasma.github.io/Logging_2085/tillsynsmail/A 56655-2025 tillsynsbegäran mail.docx", "A 56655-2025")</f>
        <v/>
      </c>
      <c r="Z109">
        <f>HYPERLINK("https://klasma.github.io/Logging_2085/fåglar/A 56655-2025 prioriterade fågelarter.docx", "A 56655-2025")</f>
        <v/>
      </c>
    </row>
    <row r="110" ht="15" customHeight="1">
      <c r="A110" t="inlineStr">
        <is>
          <t>A 49660-2024</t>
        </is>
      </c>
      <c r="B110" s="1" t="n">
        <v>45596.63347222222</v>
      </c>
      <c r="C110" s="1" t="n">
        <v>46174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Mörk husmossa</t>
        </is>
      </c>
      <c r="S110">
        <f>HYPERLINK("https://klasma.github.io/Logging_2085/artfynd/A 49660-2024 artfynd.xlsx", "A 49660-2024")</f>
        <v/>
      </c>
      <c r="T110">
        <f>HYPERLINK("https://klasma.github.io/Logging_2085/kartor/A 49660-2024 karta.png", "A 49660-2024")</f>
        <v/>
      </c>
      <c r="V110">
        <f>HYPERLINK("https://klasma.github.io/Logging_2085/klagomål/A 49660-2024 FSC-klagomål.docx", "A 49660-2024")</f>
        <v/>
      </c>
      <c r="W110">
        <f>HYPERLINK("https://klasma.github.io/Logging_2085/klagomålsmail/A 49660-2024 FSC-klagomål mail.docx", "A 49660-2024")</f>
        <v/>
      </c>
      <c r="X110">
        <f>HYPERLINK("https://klasma.github.io/Logging_2085/tillsyn/A 49660-2024 tillsynsbegäran.docx", "A 49660-2024")</f>
        <v/>
      </c>
      <c r="Y110">
        <f>HYPERLINK("https://klasma.github.io/Logging_2085/tillsynsmail/A 49660-2024 tillsynsbegäran mail.docx", "A 49660-2024")</f>
        <v/>
      </c>
    </row>
    <row r="111" ht="15" customHeight="1">
      <c r="A111" t="inlineStr">
        <is>
          <t>A 29733-2025</t>
        </is>
      </c>
      <c r="B111" s="1" t="n">
        <v>45825</v>
      </c>
      <c r="C111" s="1" t="n">
        <v>46174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Stuplav</t>
        </is>
      </c>
      <c r="S111">
        <f>HYPERLINK("https://klasma.github.io/Logging_2085/artfynd/A 29733-2025 artfynd.xlsx", "A 29733-2025")</f>
        <v/>
      </c>
      <c r="T111">
        <f>HYPERLINK("https://klasma.github.io/Logging_2085/kartor/A 29733-2025 karta.png", "A 29733-2025")</f>
        <v/>
      </c>
      <c r="V111">
        <f>HYPERLINK("https://klasma.github.io/Logging_2085/klagomål/A 29733-2025 FSC-klagomål.docx", "A 29733-2025")</f>
        <v/>
      </c>
      <c r="W111">
        <f>HYPERLINK("https://klasma.github.io/Logging_2085/klagomålsmail/A 29733-2025 FSC-klagomål mail.docx", "A 29733-2025")</f>
        <v/>
      </c>
      <c r="X111">
        <f>HYPERLINK("https://klasma.github.io/Logging_2085/tillsyn/A 29733-2025 tillsynsbegäran.docx", "A 29733-2025")</f>
        <v/>
      </c>
      <c r="Y111">
        <f>HYPERLINK("https://klasma.github.io/Logging_2085/tillsynsmail/A 29733-2025 tillsynsbegäran mail.docx", "A 29733-2025")</f>
        <v/>
      </c>
    </row>
    <row r="112" ht="15" customHeight="1">
      <c r="A112" t="inlineStr">
        <is>
          <t>A 29144-2023</t>
        </is>
      </c>
      <c r="B112" s="1" t="n">
        <v>45105</v>
      </c>
      <c r="C112" s="1" t="n">
        <v>46174</v>
      </c>
      <c r="D112" t="inlineStr">
        <is>
          <t>DALARNAS LÄN</t>
        </is>
      </c>
      <c r="E112" t="inlineStr">
        <is>
          <t>LUDVIKA</t>
        </is>
      </c>
      <c r="F112" t="inlineStr">
        <is>
          <t>Allmännings- och besparingsskogar</t>
        </is>
      </c>
      <c r="G112" t="n">
        <v>6.2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HYPERLINK("https://klasma.github.io/Logging_2085/artfynd/A 29144-2023 artfynd.xlsx", "A 29144-2023")</f>
        <v/>
      </c>
      <c r="T112">
        <f>HYPERLINK("https://klasma.github.io/Logging_2085/kartor/A 29144-2023 karta.png", "A 29144-2023")</f>
        <v/>
      </c>
      <c r="U112">
        <f>HYPERLINK("https://klasma.github.io/Logging_2085/knärot/A 29144-2023 karta knärot.png", "A 29144-2023")</f>
        <v/>
      </c>
      <c r="V112">
        <f>HYPERLINK("https://klasma.github.io/Logging_2085/klagomål/A 29144-2023 FSC-klagomål.docx", "A 29144-2023")</f>
        <v/>
      </c>
      <c r="W112">
        <f>HYPERLINK("https://klasma.github.io/Logging_2085/klagomålsmail/A 29144-2023 FSC-klagomål mail.docx", "A 29144-2023")</f>
        <v/>
      </c>
      <c r="X112">
        <f>HYPERLINK("https://klasma.github.io/Logging_2085/tillsyn/A 29144-2023 tillsynsbegäran.docx", "A 29144-2023")</f>
        <v/>
      </c>
      <c r="Y112">
        <f>HYPERLINK("https://klasma.github.io/Logging_2085/tillsynsmail/A 29144-2023 tillsynsbegäran mail.docx", "A 29144-2023")</f>
        <v/>
      </c>
    </row>
    <row r="113" ht="15" customHeight="1">
      <c r="A113" t="inlineStr">
        <is>
          <t>A 33162-2025</t>
        </is>
      </c>
      <c r="B113" s="1" t="n">
        <v>45840</v>
      </c>
      <c r="C113" s="1" t="n">
        <v>46174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Kandelabersvamp</t>
        </is>
      </c>
      <c r="S113">
        <f>HYPERLINK("https://klasma.github.io/Logging_2085/artfynd/A 33162-2025 artfynd.xlsx", "A 33162-2025")</f>
        <v/>
      </c>
      <c r="T113">
        <f>HYPERLINK("https://klasma.github.io/Logging_2085/kartor/A 33162-2025 karta.png", "A 33162-2025")</f>
        <v/>
      </c>
      <c r="V113">
        <f>HYPERLINK("https://klasma.github.io/Logging_2085/klagomål/A 33162-2025 FSC-klagomål.docx", "A 33162-2025")</f>
        <v/>
      </c>
      <c r="W113">
        <f>HYPERLINK("https://klasma.github.io/Logging_2085/klagomålsmail/A 33162-2025 FSC-klagomål mail.docx", "A 33162-2025")</f>
        <v/>
      </c>
      <c r="X113">
        <f>HYPERLINK("https://klasma.github.io/Logging_2085/tillsyn/A 33162-2025 tillsynsbegäran.docx", "A 33162-2025")</f>
        <v/>
      </c>
      <c r="Y113">
        <f>HYPERLINK("https://klasma.github.io/Logging_2085/tillsynsmail/A 33162-2025 tillsynsbegäran mail.docx", "A 33162-2025")</f>
        <v/>
      </c>
    </row>
    <row r="114" ht="15" customHeight="1">
      <c r="A114" t="inlineStr">
        <is>
          <t>A 74401-2021</t>
        </is>
      </c>
      <c r="B114" s="1" t="n">
        <v>44560</v>
      </c>
      <c r="C114" s="1" t="n">
        <v>46174</v>
      </c>
      <c r="D114" t="inlineStr">
        <is>
          <t>DALARNAS LÄN</t>
        </is>
      </c>
      <c r="E114" t="inlineStr">
        <is>
          <t>LUDVIKA</t>
        </is>
      </c>
      <c r="F114" t="inlineStr">
        <is>
          <t>Kommuner</t>
        </is>
      </c>
      <c r="G114" t="n">
        <v>0.6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Gullgröppa</t>
        </is>
      </c>
      <c r="S114">
        <f>HYPERLINK("https://klasma.github.io/Logging_2085/artfynd/A 74401-2021 artfynd.xlsx", "A 74401-2021")</f>
        <v/>
      </c>
      <c r="T114">
        <f>HYPERLINK("https://klasma.github.io/Logging_2085/kartor/A 74401-2021 karta.png", "A 74401-2021")</f>
        <v/>
      </c>
      <c r="V114">
        <f>HYPERLINK("https://klasma.github.io/Logging_2085/klagomål/A 74401-2021 FSC-klagomål.docx", "A 74401-2021")</f>
        <v/>
      </c>
      <c r="W114">
        <f>HYPERLINK("https://klasma.github.io/Logging_2085/klagomålsmail/A 74401-2021 FSC-klagomål mail.docx", "A 74401-2021")</f>
        <v/>
      </c>
      <c r="X114">
        <f>HYPERLINK("https://klasma.github.io/Logging_2085/tillsyn/A 74401-2021 tillsynsbegäran.docx", "A 74401-2021")</f>
        <v/>
      </c>
      <c r="Y114">
        <f>HYPERLINK("https://klasma.github.io/Logging_2085/tillsynsmail/A 74401-2021 tillsynsbegäran mail.docx", "A 74401-2021")</f>
        <v/>
      </c>
    </row>
    <row r="115" ht="15" customHeight="1">
      <c r="A115" t="inlineStr">
        <is>
          <t>A 19538-2026</t>
        </is>
      </c>
      <c r="B115" s="1" t="n">
        <v>46134.37796296296</v>
      </c>
      <c r="C115" s="1" t="n">
        <v>46174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HYPERLINK("https://klasma.github.io/Logging_2085/artfynd/A 19538-2026 artfynd.xlsx", "A 19538-2026")</f>
        <v/>
      </c>
      <c r="T115">
        <f>HYPERLINK("https://klasma.github.io/Logging_2085/kartor/A 19538-2026 karta.png", "A 19538-2026")</f>
        <v/>
      </c>
      <c r="V115">
        <f>HYPERLINK("https://klasma.github.io/Logging_2085/klagomål/A 19538-2026 FSC-klagomål.docx", "A 19538-2026")</f>
        <v/>
      </c>
      <c r="W115">
        <f>HYPERLINK("https://klasma.github.io/Logging_2085/klagomålsmail/A 19538-2026 FSC-klagomål mail.docx", "A 19538-2026")</f>
        <v/>
      </c>
      <c r="X115">
        <f>HYPERLINK("https://klasma.github.io/Logging_2085/tillsyn/A 19538-2026 tillsynsbegäran.docx", "A 19538-2026")</f>
        <v/>
      </c>
      <c r="Y115">
        <f>HYPERLINK("https://klasma.github.io/Logging_2085/tillsynsmail/A 19538-2026 tillsynsbegäran mail.docx", "A 19538-2026")</f>
        <v/>
      </c>
    </row>
    <row r="116" ht="15" customHeight="1">
      <c r="A116" t="inlineStr">
        <is>
          <t>A 21880-2026</t>
        </is>
      </c>
      <c r="B116" s="1" t="n">
        <v>46150</v>
      </c>
      <c r="C116" s="1" t="n">
        <v>46174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21880-2026 artfynd.xlsx", "A 21880-2026")</f>
        <v/>
      </c>
      <c r="T116">
        <f>HYPERLINK("https://klasma.github.io/Logging_2085/kartor/A 21880-2026 karta.png", "A 21880-2026")</f>
        <v/>
      </c>
      <c r="V116">
        <f>HYPERLINK("https://klasma.github.io/Logging_2085/klagomål/A 21880-2026 FSC-klagomål.docx", "A 21880-2026")</f>
        <v/>
      </c>
      <c r="W116">
        <f>HYPERLINK("https://klasma.github.io/Logging_2085/klagomålsmail/A 21880-2026 FSC-klagomål mail.docx", "A 21880-2026")</f>
        <v/>
      </c>
      <c r="X116">
        <f>HYPERLINK("https://klasma.github.io/Logging_2085/tillsyn/A 21880-2026 tillsynsbegäran.docx", "A 21880-2026")</f>
        <v/>
      </c>
      <c r="Y116">
        <f>HYPERLINK("https://klasma.github.io/Logging_2085/tillsynsmail/A 21880-2026 tillsynsbegäran mail.docx", "A 21880-2026")</f>
        <v/>
      </c>
      <c r="Z116">
        <f>HYPERLINK("https://klasma.github.io/Logging_2085/fåglar/A 21880-2026 prioriterade fågelarter.docx", "A 21880-2026")</f>
        <v/>
      </c>
    </row>
    <row r="117" ht="15" customHeight="1">
      <c r="A117" t="inlineStr">
        <is>
          <t>A 17338-2026</t>
        </is>
      </c>
      <c r="B117" s="1" t="n">
        <v>46119.63225694445</v>
      </c>
      <c r="C117" s="1" t="n">
        <v>46174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2.2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HYPERLINK("https://klasma.github.io/Logging_2085/artfynd/A 17338-2026 artfynd.xlsx", "A 17338-2026")</f>
        <v/>
      </c>
      <c r="T117">
        <f>HYPERLINK("https://klasma.github.io/Logging_2085/kartor/A 17338-2026 karta.png", "A 17338-2026")</f>
        <v/>
      </c>
      <c r="U117">
        <f>HYPERLINK("https://klasma.github.io/Logging_2085/knärot/A 17338-2026 karta knärot.png", "A 17338-2026")</f>
        <v/>
      </c>
      <c r="V117">
        <f>HYPERLINK("https://klasma.github.io/Logging_2085/klagomål/A 17338-2026 FSC-klagomål.docx", "A 17338-2026")</f>
        <v/>
      </c>
      <c r="W117">
        <f>HYPERLINK("https://klasma.github.io/Logging_2085/klagomålsmail/A 17338-2026 FSC-klagomål mail.docx", "A 17338-2026")</f>
        <v/>
      </c>
      <c r="X117">
        <f>HYPERLINK("https://klasma.github.io/Logging_2085/tillsyn/A 17338-2026 tillsynsbegäran.docx", "A 17338-2026")</f>
        <v/>
      </c>
      <c r="Y117">
        <f>HYPERLINK("https://klasma.github.io/Logging_2085/tillsynsmail/A 17338-2026 tillsynsbegäran mail.docx", "A 17338-2026")</f>
        <v/>
      </c>
    </row>
    <row r="118" ht="15" customHeight="1">
      <c r="A118" t="inlineStr">
        <is>
          <t>A 65699-2021</t>
        </is>
      </c>
      <c r="B118" s="1" t="n">
        <v>44516</v>
      </c>
      <c r="C118" s="1" t="n">
        <v>46174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47216-2021</t>
        </is>
      </c>
      <c r="B119" s="1" t="n">
        <v>44447</v>
      </c>
      <c r="C119" s="1" t="n">
        <v>46174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29000-2021</t>
        </is>
      </c>
      <c r="B120" s="1" t="n">
        <v>44358</v>
      </c>
      <c r="C120" s="1" t="n">
        <v>46174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38084-2021</t>
        </is>
      </c>
      <c r="B121" s="1" t="n">
        <v>44404.87238425926</v>
      </c>
      <c r="C121" s="1" t="n">
        <v>46174</v>
      </c>
      <c r="D121" t="inlineStr">
        <is>
          <t>DALARNAS LÄN</t>
        </is>
      </c>
      <c r="E121" t="inlineStr">
        <is>
          <t>LUDVIKA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31273-2022</t>
        </is>
      </c>
      <c r="B122" s="1" t="n">
        <v>44771.62452546296</v>
      </c>
      <c r="C122" s="1" t="n">
        <v>46174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48580-2021</t>
        </is>
      </c>
      <c r="B123" s="1" t="n">
        <v>44452</v>
      </c>
      <c r="C123" s="1" t="n">
        <v>46174</v>
      </c>
      <c r="D123" t="inlineStr">
        <is>
          <t>DALARNAS LÄN</t>
        </is>
      </c>
      <c r="E123" t="inlineStr">
        <is>
          <t>LUDVIKA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52303-2022</t>
        </is>
      </c>
      <c r="B124" s="1" t="n">
        <v>44869</v>
      </c>
      <c r="C124" s="1" t="n">
        <v>46174</v>
      </c>
      <c r="D124" t="inlineStr">
        <is>
          <t>DALARNAS LÄN</t>
        </is>
      </c>
      <c r="E124" t="inlineStr">
        <is>
          <t>LUDVIKA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62152-2021</t>
        </is>
      </c>
      <c r="B125" s="1" t="n">
        <v>44502.71049768518</v>
      </c>
      <c r="C125" s="1" t="n">
        <v>46174</v>
      </c>
      <c r="D125" t="inlineStr">
        <is>
          <t>DALARNAS LÄN</t>
        </is>
      </c>
      <c r="E125" t="inlineStr">
        <is>
          <t>LUDVIKA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62467-2021</t>
        </is>
      </c>
      <c r="B126" s="1" t="n">
        <v>44503.53900462963</v>
      </c>
      <c r="C126" s="1" t="n">
        <v>46174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73167-2021</t>
        </is>
      </c>
      <c r="B127" s="1" t="n">
        <v>44550.55576388889</v>
      </c>
      <c r="C127" s="1" t="n">
        <v>46174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29789-2021</t>
        </is>
      </c>
      <c r="B128" s="1" t="n">
        <v>44362</v>
      </c>
      <c r="C128" s="1" t="n">
        <v>46174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31921-2021</t>
        </is>
      </c>
      <c r="B129" s="1" t="n">
        <v>44370</v>
      </c>
      <c r="C129" s="1" t="n">
        <v>46174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35892-2021</t>
        </is>
      </c>
      <c r="B130" s="1" t="n">
        <v>44387</v>
      </c>
      <c r="C130" s="1" t="n">
        <v>46174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31086-2021</t>
        </is>
      </c>
      <c r="B131" s="1" t="n">
        <v>44368.49107638889</v>
      </c>
      <c r="C131" s="1" t="n">
        <v>46174</v>
      </c>
      <c r="D131" t="inlineStr">
        <is>
          <t>DALARNAS LÄN</t>
        </is>
      </c>
      <c r="E131" t="inlineStr">
        <is>
          <t>LUDVIKA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31925-2021</t>
        </is>
      </c>
      <c r="B132" s="1" t="n">
        <v>44370</v>
      </c>
      <c r="C132" s="1" t="n">
        <v>46174</v>
      </c>
      <c r="D132" t="inlineStr">
        <is>
          <t>DALARNAS LÄN</t>
        </is>
      </c>
      <c r="E132" t="inlineStr">
        <is>
          <t>LUDVIKA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46174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46174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46174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46174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45313-2021</t>
        </is>
      </c>
      <c r="B137" s="1" t="n">
        <v>44439</v>
      </c>
      <c r="C137" s="1" t="n">
        <v>46174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35731-2021</t>
        </is>
      </c>
      <c r="B138" s="1" t="n">
        <v>44386</v>
      </c>
      <c r="C138" s="1" t="n">
        <v>46174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33416-2021</t>
        </is>
      </c>
      <c r="B139" s="1" t="n">
        <v>44377</v>
      </c>
      <c r="C139" s="1" t="n">
        <v>46174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50273-2021</t>
        </is>
      </c>
      <c r="B140" s="1" t="n">
        <v>44459.29900462963</v>
      </c>
      <c r="C140" s="1" t="n">
        <v>46174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46174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25297-2022</t>
        </is>
      </c>
      <c r="B142" s="1" t="n">
        <v>44730.99023148148</v>
      </c>
      <c r="C142" s="1" t="n">
        <v>46174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33032-2021</t>
        </is>
      </c>
      <c r="B143" s="1" t="n">
        <v>44376.4954050926</v>
      </c>
      <c r="C143" s="1" t="n">
        <v>46174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44851.3506712963</v>
      </c>
      <c r="C144" s="1" t="n">
        <v>46174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57076-2021</t>
        </is>
      </c>
      <c r="B145" s="1" t="n">
        <v>44482</v>
      </c>
      <c r="C145" s="1" t="n">
        <v>46174</v>
      </c>
      <c r="D145" t="inlineStr">
        <is>
          <t>DALARNAS LÄN</t>
        </is>
      </c>
      <c r="E145" t="inlineStr">
        <is>
          <t>LUDVIKA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51709-2022</t>
        </is>
      </c>
      <c r="B146" s="1" t="n">
        <v>44872</v>
      </c>
      <c r="C146" s="1" t="n">
        <v>46174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51713-2022</t>
        </is>
      </c>
      <c r="B147" s="1" t="n">
        <v>44872.4658912037</v>
      </c>
      <c r="C147" s="1" t="n">
        <v>46174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35720-2021</t>
        </is>
      </c>
      <c r="B148" s="1" t="n">
        <v>44386</v>
      </c>
      <c r="C148" s="1" t="n">
        <v>46174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31272-2022</t>
        </is>
      </c>
      <c r="B149" s="1" t="n">
        <v>44771.62211805556</v>
      </c>
      <c r="C149" s="1" t="n">
        <v>46174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44590.92709490741</v>
      </c>
      <c r="C150" s="1" t="n">
        <v>46174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46174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46174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46174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25291-2022</t>
        </is>
      </c>
      <c r="B154" s="1" t="n">
        <v>44730.92502314815</v>
      </c>
      <c r="C154" s="1" t="n">
        <v>46174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22920-2022</t>
        </is>
      </c>
      <c r="B155" s="1" t="n">
        <v>44715.63222222222</v>
      </c>
      <c r="C155" s="1" t="n">
        <v>46174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23345-2022</t>
        </is>
      </c>
      <c r="B156" s="1" t="n">
        <v>44720</v>
      </c>
      <c r="C156" s="1" t="n">
        <v>46174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37384-2021</t>
        </is>
      </c>
      <c r="B157" s="1" t="n">
        <v>44397</v>
      </c>
      <c r="C157" s="1" t="n">
        <v>46174</v>
      </c>
      <c r="D157" t="inlineStr">
        <is>
          <t>DALARNAS LÄN</t>
        </is>
      </c>
      <c r="E157" t="inlineStr">
        <is>
          <t>LUDVIKA</t>
        </is>
      </c>
      <c r="F157" t="inlineStr">
        <is>
          <t>Kommuner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9464-2022</t>
        </is>
      </c>
      <c r="B158" s="1" t="n">
        <v>44616.7841550926</v>
      </c>
      <c r="C158" s="1" t="n">
        <v>46174</v>
      </c>
      <c r="D158" t="inlineStr">
        <is>
          <t>DALARNAS LÄN</t>
        </is>
      </c>
      <c r="E158" t="inlineStr">
        <is>
          <t>LUDVIKA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21466-2022</t>
        </is>
      </c>
      <c r="B159" s="1" t="n">
        <v>44706</v>
      </c>
      <c r="C159" s="1" t="n">
        <v>46174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4544-2025</t>
        </is>
      </c>
      <c r="B160" s="1" t="n">
        <v>45687.39811342592</v>
      </c>
      <c r="C160" s="1" t="n">
        <v>46174</v>
      </c>
      <c r="D160" t="inlineStr">
        <is>
          <t>DALARNAS LÄN</t>
        </is>
      </c>
      <c r="E160" t="inlineStr">
        <is>
          <t>LUDVIKA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33108-2022</t>
        </is>
      </c>
      <c r="B161" s="1" t="n">
        <v>44785</v>
      </c>
      <c r="C161" s="1" t="n">
        <v>46174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53509-2022</t>
        </is>
      </c>
      <c r="B162" s="1" t="n">
        <v>44879</v>
      </c>
      <c r="C162" s="1" t="n">
        <v>46174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59356-2024</t>
        </is>
      </c>
      <c r="B163" s="1" t="n">
        <v>45638.31543981482</v>
      </c>
      <c r="C163" s="1" t="n">
        <v>46174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44881-2024</t>
        </is>
      </c>
      <c r="B164" s="1" t="n">
        <v>45575.35040509259</v>
      </c>
      <c r="C164" s="1" t="n">
        <v>46174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44885-2024</t>
        </is>
      </c>
      <c r="B165" s="1" t="n">
        <v>45575</v>
      </c>
      <c r="C165" s="1" t="n">
        <v>46174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31958-2024</t>
        </is>
      </c>
      <c r="B166" s="1" t="n">
        <v>45510.51506944445</v>
      </c>
      <c r="C166" s="1" t="n">
        <v>46174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7526-2025</t>
        </is>
      </c>
      <c r="B167" s="1" t="n">
        <v>45705.54684027778</v>
      </c>
      <c r="C167" s="1" t="n">
        <v>46174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32854-2023</t>
        </is>
      </c>
      <c r="B168" s="1" t="n">
        <v>45112</v>
      </c>
      <c r="C168" s="1" t="n">
        <v>46174</v>
      </c>
      <c r="D168" t="inlineStr">
        <is>
          <t>DALARNAS LÄN</t>
        </is>
      </c>
      <c r="E168" t="inlineStr">
        <is>
          <t>LUDVIKA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46620-2023</t>
        </is>
      </c>
      <c r="B169" s="1" t="n">
        <v>45198.41046296297</v>
      </c>
      <c r="C169" s="1" t="n">
        <v>46174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17999-2025</t>
        </is>
      </c>
      <c r="B170" s="1" t="n">
        <v>45761</v>
      </c>
      <c r="C170" s="1" t="n">
        <v>46174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45361-2022</t>
        </is>
      </c>
      <c r="B171" s="1" t="n">
        <v>44844.62275462963</v>
      </c>
      <c r="C171" s="1" t="n">
        <v>46174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56996-2021</t>
        </is>
      </c>
      <c r="B172" s="1" t="n">
        <v>44482.46025462963</v>
      </c>
      <c r="C172" s="1" t="n">
        <v>46174</v>
      </c>
      <c r="D172" t="inlineStr">
        <is>
          <t>DALARNAS LÄN</t>
        </is>
      </c>
      <c r="E172" t="inlineStr">
        <is>
          <t>LUDVIKA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61507-2023</t>
        </is>
      </c>
      <c r="B173" s="1" t="n">
        <v>45265</v>
      </c>
      <c r="C173" s="1" t="n">
        <v>46174</v>
      </c>
      <c r="D173" t="inlineStr">
        <is>
          <t>DALARNAS LÄN</t>
        </is>
      </c>
      <c r="E173" t="inlineStr">
        <is>
          <t>LUDVIKA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32301-2024</t>
        </is>
      </c>
      <c r="B174" s="1" t="n">
        <v>45512.44429398148</v>
      </c>
      <c r="C174" s="1" t="n">
        <v>46174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61054-2024</t>
        </is>
      </c>
      <c r="B175" s="1" t="n">
        <v>45645</v>
      </c>
      <c r="C175" s="1" t="n">
        <v>46174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47071-2022</t>
        </is>
      </c>
      <c r="B176" s="1" t="n">
        <v>44852</v>
      </c>
      <c r="C176" s="1" t="n">
        <v>46174</v>
      </c>
      <c r="D176" t="inlineStr">
        <is>
          <t>DALARNAS LÄN</t>
        </is>
      </c>
      <c r="E176" t="inlineStr">
        <is>
          <t>LUDVIKA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49951-2022</t>
        </is>
      </c>
      <c r="B177" s="1" t="n">
        <v>44865.36378472222</v>
      </c>
      <c r="C177" s="1" t="n">
        <v>46174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51886-2022</t>
        </is>
      </c>
      <c r="B178" s="1" t="n">
        <v>44872</v>
      </c>
      <c r="C178" s="1" t="n">
        <v>46174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35353-2024</t>
        </is>
      </c>
      <c r="B179" s="1" t="n">
        <v>45531.30570601852</v>
      </c>
      <c r="C179" s="1" t="n">
        <v>46174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56686-2022</t>
        </is>
      </c>
      <c r="B180" s="1" t="n">
        <v>44893</v>
      </c>
      <c r="C180" s="1" t="n">
        <v>46174</v>
      </c>
      <c r="D180" t="inlineStr">
        <is>
          <t>DALARNAS LÄN</t>
        </is>
      </c>
      <c r="E180" t="inlineStr">
        <is>
          <t>LUDVIKA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5672-2023</t>
        </is>
      </c>
      <c r="B181" s="1" t="n">
        <v>44960.65628472222</v>
      </c>
      <c r="C181" s="1" t="n">
        <v>46174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43694-2024</t>
        </is>
      </c>
      <c r="B182" s="1" t="n">
        <v>45569</v>
      </c>
      <c r="C182" s="1" t="n">
        <v>46174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49051-2024</t>
        </is>
      </c>
      <c r="B183" s="1" t="n">
        <v>45594.57820601852</v>
      </c>
      <c r="C183" s="1" t="n">
        <v>46174</v>
      </c>
      <c r="D183" t="inlineStr">
        <is>
          <t>DALARNAS LÄN</t>
        </is>
      </c>
      <c r="E183" t="inlineStr">
        <is>
          <t>LUDVIKA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45060-2022</t>
        </is>
      </c>
      <c r="B184" s="1" t="n">
        <v>44841.75935185186</v>
      </c>
      <c r="C184" s="1" t="n">
        <v>46174</v>
      </c>
      <c r="D184" t="inlineStr">
        <is>
          <t>DALARNAS LÄN</t>
        </is>
      </c>
      <c r="E184" t="inlineStr">
        <is>
          <t>LUDVIKA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56119-2021</t>
        </is>
      </c>
      <c r="B185" s="1" t="n">
        <v>44477</v>
      </c>
      <c r="C185" s="1" t="n">
        <v>46174</v>
      </c>
      <c r="D185" t="inlineStr">
        <is>
          <t>DALARNAS LÄN</t>
        </is>
      </c>
      <c r="E185" t="inlineStr">
        <is>
          <t>LUDVIKA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49805-2023</t>
        </is>
      </c>
      <c r="B186" s="1" t="n">
        <v>45212.65407407407</v>
      </c>
      <c r="C186" s="1" t="n">
        <v>46174</v>
      </c>
      <c r="D186" t="inlineStr">
        <is>
          <t>DALARNAS LÄN</t>
        </is>
      </c>
      <c r="E186" t="inlineStr">
        <is>
          <t>LUDVIKA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9386-2023</t>
        </is>
      </c>
      <c r="B187" s="1" t="n">
        <v>44981.40171296296</v>
      </c>
      <c r="C187" s="1" t="n">
        <v>46174</v>
      </c>
      <c r="D187" t="inlineStr">
        <is>
          <t>DALARNAS LÄN</t>
        </is>
      </c>
      <c r="E187" t="inlineStr">
        <is>
          <t>LUDVIKA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8162-2024</t>
        </is>
      </c>
      <c r="B188" s="1" t="n">
        <v>45349</v>
      </c>
      <c r="C188" s="1" t="n">
        <v>46174</v>
      </c>
      <c r="D188" t="inlineStr">
        <is>
          <t>DALARNAS LÄN</t>
        </is>
      </c>
      <c r="E188" t="inlineStr">
        <is>
          <t>LUDVIKA</t>
        </is>
      </c>
      <c r="F188" t="inlineStr">
        <is>
          <t>Allmännings- och besparingsskogar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HYPERLINK("https://klasma.github.io/Logging_2085/knärot/A 8162-2024 karta knärot.png", "A 8162-2024")</f>
        <v/>
      </c>
      <c r="V188">
        <f>HYPERLINK("https://klasma.github.io/Logging_2085/klagomål/A 8162-2024 FSC-klagomål.docx", "A 8162-2024")</f>
        <v/>
      </c>
      <c r="W188">
        <f>HYPERLINK("https://klasma.github.io/Logging_2085/klagomålsmail/A 8162-2024 FSC-klagomål mail.docx", "A 8162-2024")</f>
        <v/>
      </c>
      <c r="X188">
        <f>HYPERLINK("https://klasma.github.io/Logging_2085/tillsyn/A 8162-2024 tillsynsbegäran.docx", "A 8162-2024")</f>
        <v/>
      </c>
      <c r="Y188">
        <f>HYPERLINK("https://klasma.github.io/Logging_2085/tillsynsmail/A 8162-2024 tillsynsbegäran mail.docx", "A 8162-2024")</f>
        <v/>
      </c>
    </row>
    <row r="189" ht="15" customHeight="1">
      <c r="A189" t="inlineStr">
        <is>
          <t>A 19226-2025</t>
        </is>
      </c>
      <c r="B189" s="1" t="n">
        <v>45769</v>
      </c>
      <c r="C189" s="1" t="n">
        <v>46174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13809-2025</t>
        </is>
      </c>
      <c r="B190" s="1" t="n">
        <v>45737.49886574074</v>
      </c>
      <c r="C190" s="1" t="n">
        <v>46174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33330-2024</t>
        </is>
      </c>
      <c r="B191" s="1" t="n">
        <v>45519</v>
      </c>
      <c r="C191" s="1" t="n">
        <v>46174</v>
      </c>
      <c r="D191" t="inlineStr">
        <is>
          <t>DALARNAS LÄN</t>
        </is>
      </c>
      <c r="E191" t="inlineStr">
        <is>
          <t>LUDVIKA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40582-2021</t>
        </is>
      </c>
      <c r="B192" s="1" t="n">
        <v>44420</v>
      </c>
      <c r="C192" s="1" t="n">
        <v>46174</v>
      </c>
      <c r="D192" t="inlineStr">
        <is>
          <t>DALARNAS LÄN</t>
        </is>
      </c>
      <c r="E192" t="inlineStr">
        <is>
          <t>LUDVIKA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52868-2023</t>
        </is>
      </c>
      <c r="B193" s="1" t="n">
        <v>45226.4590625</v>
      </c>
      <c r="C193" s="1" t="n">
        <v>46174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29114-2024</t>
        </is>
      </c>
      <c r="B194" s="1" t="n">
        <v>45481.9578125</v>
      </c>
      <c r="C194" s="1" t="n">
        <v>46174</v>
      </c>
      <c r="D194" t="inlineStr">
        <is>
          <t>DALARNAS LÄN</t>
        </is>
      </c>
      <c r="E194" t="inlineStr">
        <is>
          <t>LUDVIKA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42106-2024</t>
        </is>
      </c>
      <c r="B195" s="1" t="n">
        <v>45562.36709490741</v>
      </c>
      <c r="C195" s="1" t="n">
        <v>46174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54154-2024</t>
        </is>
      </c>
      <c r="B196" s="1" t="n">
        <v>45616.60813657408</v>
      </c>
      <c r="C196" s="1" t="n">
        <v>46174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60668-2024</t>
        </is>
      </c>
      <c r="B197" s="1" t="n">
        <v>45644.45210648148</v>
      </c>
      <c r="C197" s="1" t="n">
        <v>46174</v>
      </c>
      <c r="D197" t="inlineStr">
        <is>
          <t>DALARNAS LÄN</t>
        </is>
      </c>
      <c r="E197" t="inlineStr">
        <is>
          <t>LUDVIKA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49043-2024</t>
        </is>
      </c>
      <c r="B198" s="1" t="n">
        <v>45594.5666550926</v>
      </c>
      <c r="C198" s="1" t="n">
        <v>46174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16814-2024</t>
        </is>
      </c>
      <c r="B199" s="1" t="n">
        <v>45411.46208333333</v>
      </c>
      <c r="C199" s="1" t="n">
        <v>46174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48922-2024</t>
        </is>
      </c>
      <c r="B200" s="1" t="n">
        <v>45594.37241898148</v>
      </c>
      <c r="C200" s="1" t="n">
        <v>46174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3170-2025</t>
        </is>
      </c>
      <c r="B201" s="1" t="n">
        <v>45679.36682870371</v>
      </c>
      <c r="C201" s="1" t="n">
        <v>46174</v>
      </c>
      <c r="D201" t="inlineStr">
        <is>
          <t>DALARNAS LÄN</t>
        </is>
      </c>
      <c r="E201" t="inlineStr">
        <is>
          <t>LUDVIKA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6579-2023</t>
        </is>
      </c>
      <c r="B202" s="1" t="n">
        <v>44960</v>
      </c>
      <c r="C202" s="1" t="n">
        <v>46174</v>
      </c>
      <c r="D202" t="inlineStr">
        <is>
          <t>DALARNAS LÄN</t>
        </is>
      </c>
      <c r="E202" t="inlineStr">
        <is>
          <t>LUDVIKA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31270-2022</t>
        </is>
      </c>
      <c r="B203" s="1" t="n">
        <v>44771.61702546296</v>
      </c>
      <c r="C203" s="1" t="n">
        <v>46174</v>
      </c>
      <c r="D203" t="inlineStr">
        <is>
          <t>DALARNAS LÄN</t>
        </is>
      </c>
      <c r="E203" t="inlineStr">
        <is>
          <t>LUDVIKA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56203-2024</t>
        </is>
      </c>
      <c r="B204" s="1" t="n">
        <v>45624.59535879629</v>
      </c>
      <c r="C204" s="1" t="n">
        <v>46174</v>
      </c>
      <c r="D204" t="inlineStr">
        <is>
          <t>DALARNAS LÄN</t>
        </is>
      </c>
      <c r="E204" t="inlineStr">
        <is>
          <t>LUDVIKA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57247-2024</t>
        </is>
      </c>
      <c r="B205" s="1" t="n">
        <v>45629.55177083334</v>
      </c>
      <c r="C205" s="1" t="n">
        <v>46174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57310-2024</t>
        </is>
      </c>
      <c r="B206" s="1" t="n">
        <v>45629.60636574074</v>
      </c>
      <c r="C206" s="1" t="n">
        <v>46174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25296-2022</t>
        </is>
      </c>
      <c r="B207" s="1" t="n">
        <v>44730.98890046297</v>
      </c>
      <c r="C207" s="1" t="n">
        <v>46174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23103-2024</t>
        </is>
      </c>
      <c r="B208" s="1" t="n">
        <v>45450</v>
      </c>
      <c r="C208" s="1" t="n">
        <v>46174</v>
      </c>
      <c r="D208" t="inlineStr">
        <is>
          <t>DALARNAS LÄN</t>
        </is>
      </c>
      <c r="E208" t="inlineStr">
        <is>
          <t>LUDVIKA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31702-2023</t>
        </is>
      </c>
      <c r="B209" s="1" t="n">
        <v>45105</v>
      </c>
      <c r="C209" s="1" t="n">
        <v>46174</v>
      </c>
      <c r="D209" t="inlineStr">
        <is>
          <t>DALARNAS LÄN</t>
        </is>
      </c>
      <c r="E209" t="inlineStr">
        <is>
          <t>LUDVIKA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59448-2024</t>
        </is>
      </c>
      <c r="B210" s="1" t="n">
        <v>45638.46208333333</v>
      </c>
      <c r="C210" s="1" t="n">
        <v>46174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28507-2023</t>
        </is>
      </c>
      <c r="B211" s="1" t="n">
        <v>45103.46510416667</v>
      </c>
      <c r="C211" s="1" t="n">
        <v>46174</v>
      </c>
      <c r="D211" t="inlineStr">
        <is>
          <t>DALARNAS LÄN</t>
        </is>
      </c>
      <c r="E211" t="inlineStr">
        <is>
          <t>LUDVIKA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57193-2022</t>
        </is>
      </c>
      <c r="B212" s="1" t="n">
        <v>44895</v>
      </c>
      <c r="C212" s="1" t="n">
        <v>46174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20427-2025</t>
        </is>
      </c>
      <c r="B213" s="1" t="n">
        <v>45775</v>
      </c>
      <c r="C213" s="1" t="n">
        <v>46174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53048-2024</t>
        </is>
      </c>
      <c r="B214" s="1" t="n">
        <v>45611.45319444445</v>
      </c>
      <c r="C214" s="1" t="n">
        <v>46174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39437-2023</t>
        </is>
      </c>
      <c r="B215" s="1" t="n">
        <v>45166.70038194444</v>
      </c>
      <c r="C215" s="1" t="n">
        <v>46174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48740-2022</t>
        </is>
      </c>
      <c r="B216" s="1" t="n">
        <v>44859</v>
      </c>
      <c r="C216" s="1" t="n">
        <v>46174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39247-2021</t>
        </is>
      </c>
      <c r="B217" s="1" t="n">
        <v>44413</v>
      </c>
      <c r="C217" s="1" t="n">
        <v>46174</v>
      </c>
      <c r="D217" t="inlineStr">
        <is>
          <t>DALARNAS LÄN</t>
        </is>
      </c>
      <c r="E217" t="inlineStr">
        <is>
          <t>LUDVIKA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22000-2022</t>
        </is>
      </c>
      <c r="B218" s="1" t="n">
        <v>44711</v>
      </c>
      <c r="C218" s="1" t="n">
        <v>46174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57230-2024</t>
        </is>
      </c>
      <c r="B219" s="1" t="n">
        <v>45629.54122685185</v>
      </c>
      <c r="C219" s="1" t="n">
        <v>46174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11237-2024</t>
        </is>
      </c>
      <c r="B220" s="1" t="n">
        <v>45371.61341435185</v>
      </c>
      <c r="C220" s="1" t="n">
        <v>46174</v>
      </c>
      <c r="D220" t="inlineStr">
        <is>
          <t>DALARNAS LÄN</t>
        </is>
      </c>
      <c r="E220" t="inlineStr">
        <is>
          <t>LUDVIKA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33839-2024</t>
        </is>
      </c>
      <c r="B221" s="1" t="n">
        <v>45520.63197916667</v>
      </c>
      <c r="C221" s="1" t="n">
        <v>46174</v>
      </c>
      <c r="D221" t="inlineStr">
        <is>
          <t>DALARNAS LÄN</t>
        </is>
      </c>
      <c r="E221" t="inlineStr">
        <is>
          <t>LUDVIKA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36862-2021</t>
        </is>
      </c>
      <c r="B222" s="1" t="n">
        <v>44393</v>
      </c>
      <c r="C222" s="1" t="n">
        <v>46174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29535-2023</t>
        </is>
      </c>
      <c r="B223" s="1" t="n">
        <v>45106</v>
      </c>
      <c r="C223" s="1" t="n">
        <v>46174</v>
      </c>
      <c r="D223" t="inlineStr">
        <is>
          <t>DALARNAS LÄN</t>
        </is>
      </c>
      <c r="E223" t="inlineStr">
        <is>
          <t>LUDVIKA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20411-2023</t>
        </is>
      </c>
      <c r="B224" s="1" t="n">
        <v>45056.64452546297</v>
      </c>
      <c r="C224" s="1" t="n">
        <v>46174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16807-2025</t>
        </is>
      </c>
      <c r="B225" s="1" t="n">
        <v>45754</v>
      </c>
      <c r="C225" s="1" t="n">
        <v>46174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8172-2024</t>
        </is>
      </c>
      <c r="B226" s="1" t="n">
        <v>45349</v>
      </c>
      <c r="C226" s="1" t="n">
        <v>46174</v>
      </c>
      <c r="D226" t="inlineStr">
        <is>
          <t>DALARNAS LÄN</t>
        </is>
      </c>
      <c r="E226" t="inlineStr">
        <is>
          <t>LUDVIKA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8175-2024</t>
        </is>
      </c>
      <c r="B227" s="1" t="n">
        <v>45349</v>
      </c>
      <c r="C227" s="1" t="n">
        <v>46174</v>
      </c>
      <c r="D227" t="inlineStr">
        <is>
          <t>DALARNAS LÄN</t>
        </is>
      </c>
      <c r="E227" t="inlineStr">
        <is>
          <t>LUDVIKA</t>
        </is>
      </c>
      <c r="F227" t="inlineStr">
        <is>
          <t>Allmännings- och besparingsskogar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54730-2022</t>
        </is>
      </c>
      <c r="B228" s="1" t="n">
        <v>44883</v>
      </c>
      <c r="C228" s="1" t="n">
        <v>46174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3277-2024</t>
        </is>
      </c>
      <c r="B229" s="1" t="n">
        <v>45317.4196875</v>
      </c>
      <c r="C229" s="1" t="n">
        <v>46174</v>
      </c>
      <c r="D229" t="inlineStr">
        <is>
          <t>DALARNAS LÄN</t>
        </is>
      </c>
      <c r="E229" t="inlineStr">
        <is>
          <t>LUDVIKA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38170-2023</t>
        </is>
      </c>
      <c r="B230" s="1" t="n">
        <v>45161.42324074074</v>
      </c>
      <c r="C230" s="1" t="n">
        <v>46174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51160-2023</t>
        </is>
      </c>
      <c r="B231" s="1" t="n">
        <v>45219.37885416667</v>
      </c>
      <c r="C231" s="1" t="n">
        <v>46174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55472-2024</t>
        </is>
      </c>
      <c r="B232" s="1" t="n">
        <v>45622.43274305556</v>
      </c>
      <c r="C232" s="1" t="n">
        <v>46174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43981-2024</t>
        </is>
      </c>
      <c r="B233" s="1" t="n">
        <v>45572.4962037037</v>
      </c>
      <c r="C233" s="1" t="n">
        <v>46174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59347-2024</t>
        </is>
      </c>
      <c r="B234" s="1" t="n">
        <v>45638.00060185185</v>
      </c>
      <c r="C234" s="1" t="n">
        <v>46174</v>
      </c>
      <c r="D234" t="inlineStr">
        <is>
          <t>DALARNAS LÄN</t>
        </is>
      </c>
      <c r="E234" t="inlineStr">
        <is>
          <t>LUDVIKA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61384-2024</t>
        </is>
      </c>
      <c r="B235" s="1" t="n">
        <v>45646.40943287037</v>
      </c>
      <c r="C235" s="1" t="n">
        <v>46174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21152-2023</t>
        </is>
      </c>
      <c r="B236" s="1" t="n">
        <v>45062.39581018518</v>
      </c>
      <c r="C236" s="1" t="n">
        <v>46174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39849-2023</t>
        </is>
      </c>
      <c r="B237" s="1" t="n">
        <v>45168.36769675926</v>
      </c>
      <c r="C237" s="1" t="n">
        <v>46174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55485-2024</t>
        </is>
      </c>
      <c r="B238" s="1" t="n">
        <v>45622.44318287037</v>
      </c>
      <c r="C238" s="1" t="n">
        <v>46174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53996-2024</t>
        </is>
      </c>
      <c r="B239" s="1" t="n">
        <v>45616.35984953704</v>
      </c>
      <c r="C239" s="1" t="n">
        <v>46174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19071-2025</t>
        </is>
      </c>
      <c r="B240" s="1" t="n">
        <v>45765.67115740741</v>
      </c>
      <c r="C240" s="1" t="n">
        <v>46174</v>
      </c>
      <c r="D240" t="inlineStr">
        <is>
          <t>DALARNAS LÄN</t>
        </is>
      </c>
      <c r="E240" t="inlineStr">
        <is>
          <t>LUDVIKA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49045-2024</t>
        </is>
      </c>
      <c r="B241" s="1" t="n">
        <v>45594.57032407408</v>
      </c>
      <c r="C241" s="1" t="n">
        <v>46174</v>
      </c>
      <c r="D241" t="inlineStr">
        <is>
          <t>DALARNAS LÄN</t>
        </is>
      </c>
      <c r="E241" t="inlineStr">
        <is>
          <t>LUDVIKA</t>
        </is>
      </c>
      <c r="F241" t="inlineStr">
        <is>
          <t>Naturvårdsverket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47940-2023</t>
        </is>
      </c>
      <c r="B242" s="1" t="n">
        <v>45204</v>
      </c>
      <c r="C242" s="1" t="n">
        <v>46174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14046-2025</t>
        </is>
      </c>
      <c r="B243" s="1" t="n">
        <v>45740.37754629629</v>
      </c>
      <c r="C243" s="1" t="n">
        <v>46174</v>
      </c>
      <c r="D243" t="inlineStr">
        <is>
          <t>DALARNAS LÄN</t>
        </is>
      </c>
      <c r="E243" t="inlineStr">
        <is>
          <t>LUDVIKA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52347-2024</t>
        </is>
      </c>
      <c r="B244" s="1" t="n">
        <v>45609</v>
      </c>
      <c r="C244" s="1" t="n">
        <v>46174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56445-2024</t>
        </is>
      </c>
      <c r="B245" s="1" t="n">
        <v>45625.42575231481</v>
      </c>
      <c r="C245" s="1" t="n">
        <v>46174</v>
      </c>
      <c r="D245" t="inlineStr">
        <is>
          <t>DALARNAS LÄN</t>
        </is>
      </c>
      <c r="E245" t="inlineStr">
        <is>
          <t>LUDVIKA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48522-2023</t>
        </is>
      </c>
      <c r="B246" s="1" t="n">
        <v>45208.35689814815</v>
      </c>
      <c r="C246" s="1" t="n">
        <v>46174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52461-2023</t>
        </is>
      </c>
      <c r="B247" s="1" t="n">
        <v>45225.40709490741</v>
      </c>
      <c r="C247" s="1" t="n">
        <v>46174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52466-2023</t>
        </is>
      </c>
      <c r="B248" s="1" t="n">
        <v>45225.41042824074</v>
      </c>
      <c r="C248" s="1" t="n">
        <v>46174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400-2023</t>
        </is>
      </c>
      <c r="B249" s="1" t="n">
        <v>44929.61017361111</v>
      </c>
      <c r="C249" s="1" t="n">
        <v>46174</v>
      </c>
      <c r="D249" t="inlineStr">
        <is>
          <t>DALARNAS LÄN</t>
        </is>
      </c>
      <c r="E249" t="inlineStr">
        <is>
          <t>LUDVIKA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48589-2023</t>
        </is>
      </c>
      <c r="B250" s="1" t="n">
        <v>45208</v>
      </c>
      <c r="C250" s="1" t="n">
        <v>46174</v>
      </c>
      <c r="D250" t="inlineStr">
        <is>
          <t>DALARNAS LÄN</t>
        </is>
      </c>
      <c r="E250" t="inlineStr">
        <is>
          <t>LUDVIKA</t>
        </is>
      </c>
      <c r="F250" t="inlineStr">
        <is>
          <t>Naturvårdsverket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44880-2024</t>
        </is>
      </c>
      <c r="B251" s="1" t="n">
        <v>45575.34820601852</v>
      </c>
      <c r="C251" s="1" t="n">
        <v>46174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48715-2022</t>
        </is>
      </c>
      <c r="B252" s="1" t="n">
        <v>44859.49887731481</v>
      </c>
      <c r="C252" s="1" t="n">
        <v>46174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55633-2021</t>
        </is>
      </c>
      <c r="B253" s="1" t="n">
        <v>44476</v>
      </c>
      <c r="C253" s="1" t="n">
        <v>46174</v>
      </c>
      <c r="D253" t="inlineStr">
        <is>
          <t>DALARNAS LÄN</t>
        </is>
      </c>
      <c r="E253" t="inlineStr">
        <is>
          <t>LUDVIKA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45559-2024</t>
        </is>
      </c>
      <c r="B254" s="1" t="n">
        <v>45579.35708333334</v>
      </c>
      <c r="C254" s="1" t="n">
        <v>46174</v>
      </c>
      <c r="D254" t="inlineStr">
        <is>
          <t>DALARNAS LÄN</t>
        </is>
      </c>
      <c r="E254" t="inlineStr">
        <is>
          <t>LUDVIKA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70046-2021</t>
        </is>
      </c>
      <c r="B255" s="1" t="n">
        <v>44533</v>
      </c>
      <c r="C255" s="1" t="n">
        <v>46174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1047-2023</t>
        </is>
      </c>
      <c r="B256" s="1" t="n">
        <v>44929</v>
      </c>
      <c r="C256" s="1" t="n">
        <v>46174</v>
      </c>
      <c r="D256" t="inlineStr">
        <is>
          <t>DALARNAS LÄN</t>
        </is>
      </c>
      <c r="E256" t="inlineStr">
        <is>
          <t>LUDVIKA</t>
        </is>
      </c>
      <c r="F256" t="inlineStr">
        <is>
          <t>Kommuner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43704-2024</t>
        </is>
      </c>
      <c r="B257" s="1" t="n">
        <v>45569.59278935185</v>
      </c>
      <c r="C257" s="1" t="n">
        <v>46174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17998-2025</t>
        </is>
      </c>
      <c r="B258" s="1" t="n">
        <v>45761</v>
      </c>
      <c r="C258" s="1" t="n">
        <v>46174</v>
      </c>
      <c r="D258" t="inlineStr">
        <is>
          <t>DALARNAS LÄN</t>
        </is>
      </c>
      <c r="E258" t="inlineStr">
        <is>
          <t>LUDVIKA</t>
        </is>
      </c>
      <c r="F258" t="inlineStr">
        <is>
          <t>Naturvårdsverket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43057-2024</t>
        </is>
      </c>
      <c r="B259" s="1" t="n">
        <v>45567.46006944445</v>
      </c>
      <c r="C259" s="1" t="n">
        <v>46174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36527-2024</t>
        </is>
      </c>
      <c r="B260" s="1" t="n">
        <v>45537.44119212963</v>
      </c>
      <c r="C260" s="1" t="n">
        <v>46174</v>
      </c>
      <c r="D260" t="inlineStr">
        <is>
          <t>DALARNAS LÄN</t>
        </is>
      </c>
      <c r="E260" t="inlineStr">
        <is>
          <t>LUDVIKA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30502-2021</t>
        </is>
      </c>
      <c r="B261" s="1" t="n">
        <v>44364.63512731482</v>
      </c>
      <c r="C261" s="1" t="n">
        <v>46174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48003-2024</t>
        </is>
      </c>
      <c r="B262" s="1" t="n">
        <v>45589.44950231481</v>
      </c>
      <c r="C262" s="1" t="n">
        <v>46174</v>
      </c>
      <c r="D262" t="inlineStr">
        <is>
          <t>DALARNAS LÄN</t>
        </is>
      </c>
      <c r="E262" t="inlineStr">
        <is>
          <t>LUDVIKA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31478-2023</t>
        </is>
      </c>
      <c r="B263" s="1" t="n">
        <v>45114</v>
      </c>
      <c r="C263" s="1" t="n">
        <v>46174</v>
      </c>
      <c r="D263" t="inlineStr">
        <is>
          <t>DALARNAS LÄN</t>
        </is>
      </c>
      <c r="E263" t="inlineStr">
        <is>
          <t>LUDVIKA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30123-2023</t>
        </is>
      </c>
      <c r="B264" s="1" t="n">
        <v>45110.48509259259</v>
      </c>
      <c r="C264" s="1" t="n">
        <v>46174</v>
      </c>
      <c r="D264" t="inlineStr">
        <is>
          <t>DALARNAS LÄN</t>
        </is>
      </c>
      <c r="E264" t="inlineStr">
        <is>
          <t>LUDVIKA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50777-2024</t>
        </is>
      </c>
      <c r="B265" s="1" t="n">
        <v>45602.4575</v>
      </c>
      <c r="C265" s="1" t="n">
        <v>46174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41668-2023</t>
        </is>
      </c>
      <c r="B266" s="1" t="n">
        <v>45176.30253472222</v>
      </c>
      <c r="C266" s="1" t="n">
        <v>46174</v>
      </c>
      <c r="D266" t="inlineStr">
        <is>
          <t>DALARNAS LÄN</t>
        </is>
      </c>
      <c r="E266" t="inlineStr">
        <is>
          <t>LUDVIKA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39400-2023</t>
        </is>
      </c>
      <c r="B267" s="1" t="n">
        <v>45166.66240740741</v>
      </c>
      <c r="C267" s="1" t="n">
        <v>46174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31550-2021</t>
        </is>
      </c>
      <c r="B268" s="1" t="n">
        <v>44369</v>
      </c>
      <c r="C268" s="1" t="n">
        <v>46174</v>
      </c>
      <c r="D268" t="inlineStr">
        <is>
          <t>DALARNAS LÄN</t>
        </is>
      </c>
      <c r="E268" t="inlineStr">
        <is>
          <t>LUDVIKA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41495-2024</t>
        </is>
      </c>
      <c r="B269" s="1" t="n">
        <v>45560.45458333333</v>
      </c>
      <c r="C269" s="1" t="n">
        <v>46174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45405-2024</t>
        </is>
      </c>
      <c r="B270" s="1" t="n">
        <v>45576</v>
      </c>
      <c r="C270" s="1" t="n">
        <v>46174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42215-2024</t>
        </is>
      </c>
      <c r="B271" s="1" t="n">
        <v>45562.53986111111</v>
      </c>
      <c r="C271" s="1" t="n">
        <v>46174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38625-2025</t>
        </is>
      </c>
      <c r="B272" s="1" t="n">
        <v>45884</v>
      </c>
      <c r="C272" s="1" t="n">
        <v>46174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38630-2025</t>
        </is>
      </c>
      <c r="B273" s="1" t="n">
        <v>45884</v>
      </c>
      <c r="C273" s="1" t="n">
        <v>46174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32119-2023</t>
        </is>
      </c>
      <c r="B274" s="1" t="n">
        <v>45119.6334375</v>
      </c>
      <c r="C274" s="1" t="n">
        <v>46174</v>
      </c>
      <c r="D274" t="inlineStr">
        <is>
          <t>DALARNAS LÄN</t>
        </is>
      </c>
      <c r="E274" t="inlineStr">
        <is>
          <t>LUDVIKA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37538-2024</t>
        </is>
      </c>
      <c r="B275" s="1" t="n">
        <v>45541.41780092593</v>
      </c>
      <c r="C275" s="1" t="n">
        <v>46174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48925-2024</t>
        </is>
      </c>
      <c r="B276" s="1" t="n">
        <v>45594.37643518519</v>
      </c>
      <c r="C276" s="1" t="n">
        <v>46174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55462-2024</t>
        </is>
      </c>
      <c r="B277" s="1" t="n">
        <v>45622.42880787037</v>
      </c>
      <c r="C277" s="1" t="n">
        <v>46174</v>
      </c>
      <c r="D277" t="inlineStr">
        <is>
          <t>DALARNAS LÄN</t>
        </is>
      </c>
      <c r="E277" t="inlineStr">
        <is>
          <t>LUDVIKA</t>
        </is>
      </c>
      <c r="F277" t="inlineStr">
        <is>
          <t>Naturvårdsverket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55474-2024</t>
        </is>
      </c>
      <c r="B278" s="1" t="n">
        <v>45622.43456018518</v>
      </c>
      <c r="C278" s="1" t="n">
        <v>46174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55510-2024</t>
        </is>
      </c>
      <c r="B279" s="1" t="n">
        <v>45622.46479166667</v>
      </c>
      <c r="C279" s="1" t="n">
        <v>46174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45309-2021</t>
        </is>
      </c>
      <c r="B280" s="1" t="n">
        <v>44439.68940972222</v>
      </c>
      <c r="C280" s="1" t="n">
        <v>46174</v>
      </c>
      <c r="D280" t="inlineStr">
        <is>
          <t>DALARNAS LÄN</t>
        </is>
      </c>
      <c r="E280" t="inlineStr">
        <is>
          <t>LUDVIKA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24974-2025</t>
        </is>
      </c>
      <c r="B281" s="1" t="n">
        <v>45799</v>
      </c>
      <c r="C281" s="1" t="n">
        <v>46174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51080-2024</t>
        </is>
      </c>
      <c r="B282" s="1" t="n">
        <v>45603.4574074074</v>
      </c>
      <c r="C282" s="1" t="n">
        <v>46174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44732-2024</t>
        </is>
      </c>
      <c r="B283" s="1" t="n">
        <v>45574</v>
      </c>
      <c r="C283" s="1" t="n">
        <v>46174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34845-2024</t>
        </is>
      </c>
      <c r="B284" s="1" t="n">
        <v>45526</v>
      </c>
      <c r="C284" s="1" t="n">
        <v>46174</v>
      </c>
      <c r="D284" t="inlineStr">
        <is>
          <t>DALARNAS LÄN</t>
        </is>
      </c>
      <c r="E284" t="inlineStr">
        <is>
          <t>LUDVIKA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25299-2022</t>
        </is>
      </c>
      <c r="B285" s="1" t="n">
        <v>44730.99318287037</v>
      </c>
      <c r="C285" s="1" t="n">
        <v>46174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56346-2022</t>
        </is>
      </c>
      <c r="B286" s="1" t="n">
        <v>44890</v>
      </c>
      <c r="C286" s="1" t="n">
        <v>46174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4550-2025</t>
        </is>
      </c>
      <c r="B287" s="1" t="n">
        <v>45687.40626157408</v>
      </c>
      <c r="C287" s="1" t="n">
        <v>46174</v>
      </c>
      <c r="D287" t="inlineStr">
        <is>
          <t>DALARNAS LÄN</t>
        </is>
      </c>
      <c r="E287" t="inlineStr">
        <is>
          <t>LUDVIKA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18421-2025</t>
        </is>
      </c>
      <c r="B288" s="1" t="n">
        <v>45762.61923611111</v>
      </c>
      <c r="C288" s="1" t="n">
        <v>46174</v>
      </c>
      <c r="D288" t="inlineStr">
        <is>
          <t>DALARNAS LÄN</t>
        </is>
      </c>
      <c r="E288" t="inlineStr">
        <is>
          <t>LUDVIKA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51704-2024</t>
        </is>
      </c>
      <c r="B289" s="1" t="n">
        <v>45607.36243055556</v>
      </c>
      <c r="C289" s="1" t="n">
        <v>46174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11632-2024</t>
        </is>
      </c>
      <c r="B290" s="1" t="n">
        <v>45373.4712037037</v>
      </c>
      <c r="C290" s="1" t="n">
        <v>46174</v>
      </c>
      <c r="D290" t="inlineStr">
        <is>
          <t>DALARNAS LÄN</t>
        </is>
      </c>
      <c r="E290" t="inlineStr">
        <is>
          <t>LUDVIKA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50714-2024</t>
        </is>
      </c>
      <c r="B291" s="1" t="n">
        <v>45602</v>
      </c>
      <c r="C291" s="1" t="n">
        <v>46174</v>
      </c>
      <c r="D291" t="inlineStr">
        <is>
          <t>DALARNAS LÄN</t>
        </is>
      </c>
      <c r="E291" t="inlineStr">
        <is>
          <t>LUDVIKA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45045-2023</t>
        </is>
      </c>
      <c r="B292" s="1" t="n">
        <v>45191.34273148148</v>
      </c>
      <c r="C292" s="1" t="n">
        <v>46174</v>
      </c>
      <c r="D292" t="inlineStr">
        <is>
          <t>DALARNAS LÄN</t>
        </is>
      </c>
      <c r="E292" t="inlineStr">
        <is>
          <t>LUDVIKA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56672-2023</t>
        </is>
      </c>
      <c r="B293" s="1" t="n">
        <v>45243.89579861111</v>
      </c>
      <c r="C293" s="1" t="n">
        <v>46174</v>
      </c>
      <c r="D293" t="inlineStr">
        <is>
          <t>DALARNAS LÄN</t>
        </is>
      </c>
      <c r="E293" t="inlineStr">
        <is>
          <t>LUDVIKA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32305-2024</t>
        </is>
      </c>
      <c r="B294" s="1" t="n">
        <v>45512</v>
      </c>
      <c r="C294" s="1" t="n">
        <v>46174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74432-2021</t>
        </is>
      </c>
      <c r="B295" s="1" t="n">
        <v>44560.4366087963</v>
      </c>
      <c r="C295" s="1" t="n">
        <v>46174</v>
      </c>
      <c r="D295" t="inlineStr">
        <is>
          <t>DALARNAS LÄN</t>
        </is>
      </c>
      <c r="E295" t="inlineStr">
        <is>
          <t>LUDVIKA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55961-2024</t>
        </is>
      </c>
      <c r="B296" s="1" t="n">
        <v>45623.64104166667</v>
      </c>
      <c r="C296" s="1" t="n">
        <v>46174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34555-2023</t>
        </is>
      </c>
      <c r="B297" s="1" t="n">
        <v>45140.50491898148</v>
      </c>
      <c r="C297" s="1" t="n">
        <v>46174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15128-2025</t>
        </is>
      </c>
      <c r="B298" s="1" t="n">
        <v>45744.38216435185</v>
      </c>
      <c r="C298" s="1" t="n">
        <v>46174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36297-2023</t>
        </is>
      </c>
      <c r="B299" s="1" t="n">
        <v>45152.36019675926</v>
      </c>
      <c r="C299" s="1" t="n">
        <v>46174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27644-2025</t>
        </is>
      </c>
      <c r="B300" s="1" t="n">
        <v>45813</v>
      </c>
      <c r="C300" s="1" t="n">
        <v>46174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61309-2022</t>
        </is>
      </c>
      <c r="B301" s="1" t="n">
        <v>44915.64177083333</v>
      </c>
      <c r="C301" s="1" t="n">
        <v>46174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29780-2024</t>
        </is>
      </c>
      <c r="B302" s="1" t="n">
        <v>45485.45513888889</v>
      </c>
      <c r="C302" s="1" t="n">
        <v>46174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60788-2024</t>
        </is>
      </c>
      <c r="B303" s="1" t="n">
        <v>45644.59341435185</v>
      </c>
      <c r="C303" s="1" t="n">
        <v>46174</v>
      </c>
      <c r="D303" t="inlineStr">
        <is>
          <t>DALARNAS LÄN</t>
        </is>
      </c>
      <c r="E303" t="inlineStr">
        <is>
          <t>LUDVIKA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65195-2021</t>
        </is>
      </c>
      <c r="B304" s="1" t="n">
        <v>44515.48929398148</v>
      </c>
      <c r="C304" s="1" t="n">
        <v>46174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43115-2021</t>
        </is>
      </c>
      <c r="B305" s="1" t="n">
        <v>44431.63481481482</v>
      </c>
      <c r="C305" s="1" t="n">
        <v>46174</v>
      </c>
      <c r="D305" t="inlineStr">
        <is>
          <t>DALARNAS LÄN</t>
        </is>
      </c>
      <c r="E305" t="inlineStr">
        <is>
          <t>LUDVIKA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56685-2022</t>
        </is>
      </c>
      <c r="B306" s="1" t="n">
        <v>44893.675</v>
      </c>
      <c r="C306" s="1" t="n">
        <v>46174</v>
      </c>
      <c r="D306" t="inlineStr">
        <is>
          <t>DALARNAS LÄN</t>
        </is>
      </c>
      <c r="E306" t="inlineStr">
        <is>
          <t>LUDVIKA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35713-2025</t>
        </is>
      </c>
      <c r="B307" s="1" t="n">
        <v>45860</v>
      </c>
      <c r="C307" s="1" t="n">
        <v>46174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11797-2023</t>
        </is>
      </c>
      <c r="B308" s="1" t="n">
        <v>44994</v>
      </c>
      <c r="C308" s="1" t="n">
        <v>46174</v>
      </c>
      <c r="D308" t="inlineStr">
        <is>
          <t>DALARNAS LÄN</t>
        </is>
      </c>
      <c r="E308" t="inlineStr">
        <is>
          <t>LUDVIKA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51043-2024</t>
        </is>
      </c>
      <c r="B309" s="1" t="n">
        <v>45603.43526620371</v>
      </c>
      <c r="C309" s="1" t="n">
        <v>46174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31100-2024</t>
        </is>
      </c>
      <c r="B310" s="1" t="n">
        <v>45502</v>
      </c>
      <c r="C310" s="1" t="n">
        <v>46174</v>
      </c>
      <c r="D310" t="inlineStr">
        <is>
          <t>DALARNAS LÄN</t>
        </is>
      </c>
      <c r="E310" t="inlineStr">
        <is>
          <t>LUDVIKA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38223-2021</t>
        </is>
      </c>
      <c r="B311" s="1" t="n">
        <v>44405.60167824074</v>
      </c>
      <c r="C311" s="1" t="n">
        <v>46174</v>
      </c>
      <c r="D311" t="inlineStr">
        <is>
          <t>DALARNAS LÄN</t>
        </is>
      </c>
      <c r="E311" t="inlineStr">
        <is>
          <t>LUDVIKA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55034-2024</t>
        </is>
      </c>
      <c r="B312" s="1" t="n">
        <v>45621.38265046296</v>
      </c>
      <c r="C312" s="1" t="n">
        <v>46174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39754-2025</t>
        </is>
      </c>
      <c r="B313" s="1" t="n">
        <v>45891.41975694444</v>
      </c>
      <c r="C313" s="1" t="n">
        <v>46174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2614-2023</t>
        </is>
      </c>
      <c r="B314" s="1" t="n">
        <v>44942</v>
      </c>
      <c r="C314" s="1" t="n">
        <v>46174</v>
      </c>
      <c r="D314" t="inlineStr">
        <is>
          <t>DALARNAS LÄN</t>
        </is>
      </c>
      <c r="E314" t="inlineStr">
        <is>
          <t>LUDVIKA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15421-2025</t>
        </is>
      </c>
      <c r="B315" s="1" t="n">
        <v>45747.46331018519</v>
      </c>
      <c r="C315" s="1" t="n">
        <v>46174</v>
      </c>
      <c r="D315" t="inlineStr">
        <is>
          <t>DALARNAS LÄN</t>
        </is>
      </c>
      <c r="E315" t="inlineStr">
        <is>
          <t>LUDVIKA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40246-2025</t>
        </is>
      </c>
      <c r="B316" s="1" t="n">
        <v>45895.00098379629</v>
      </c>
      <c r="C316" s="1" t="n">
        <v>46174</v>
      </c>
      <c r="D316" t="inlineStr">
        <is>
          <t>DALARNAS LÄN</t>
        </is>
      </c>
      <c r="E316" t="inlineStr">
        <is>
          <t>LUDVIKA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15100-2024</t>
        </is>
      </c>
      <c r="B317" s="1" t="n">
        <v>45399.66118055556</v>
      </c>
      <c r="C317" s="1" t="n">
        <v>46174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21369-2023</t>
        </is>
      </c>
      <c r="B318" s="1" t="n">
        <v>45063</v>
      </c>
      <c r="C318" s="1" t="n">
        <v>46174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2603-2024</t>
        </is>
      </c>
      <c r="B319" s="1" t="n">
        <v>45313.73107638889</v>
      </c>
      <c r="C319" s="1" t="n">
        <v>46174</v>
      </c>
      <c r="D319" t="inlineStr">
        <is>
          <t>DALARNAS LÄN</t>
        </is>
      </c>
      <c r="E319" t="inlineStr">
        <is>
          <t>LUDVIKA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18585-2023</t>
        </is>
      </c>
      <c r="B320" s="1" t="n">
        <v>45043.39247685186</v>
      </c>
      <c r="C320" s="1" t="n">
        <v>46174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3687-2024</t>
        </is>
      </c>
      <c r="B321" s="1" t="n">
        <v>45321</v>
      </c>
      <c r="C321" s="1" t="n">
        <v>46174</v>
      </c>
      <c r="D321" t="inlineStr">
        <is>
          <t>DALARNAS LÄN</t>
        </is>
      </c>
      <c r="E321" t="inlineStr">
        <is>
          <t>LUDVIKA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33560-2023</t>
        </is>
      </c>
      <c r="B322" s="1" t="n">
        <v>45131</v>
      </c>
      <c r="C322" s="1" t="n">
        <v>46174</v>
      </c>
      <c r="D322" t="inlineStr">
        <is>
          <t>DALARNAS LÄN</t>
        </is>
      </c>
      <c r="E322" t="inlineStr">
        <is>
          <t>LUDVIKA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8703-2023</t>
        </is>
      </c>
      <c r="B323" s="1" t="n">
        <v>44978</v>
      </c>
      <c r="C323" s="1" t="n">
        <v>46174</v>
      </c>
      <c r="D323" t="inlineStr">
        <is>
          <t>DALARNAS LÄN</t>
        </is>
      </c>
      <c r="E323" t="inlineStr">
        <is>
          <t>LUDVIKA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59351-2023</t>
        </is>
      </c>
      <c r="B324" s="1" t="n">
        <v>45253.65673611111</v>
      </c>
      <c r="C324" s="1" t="n">
        <v>46174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44534-2024</t>
        </is>
      </c>
      <c r="B325" s="1" t="n">
        <v>45574.45234953704</v>
      </c>
      <c r="C325" s="1" t="n">
        <v>46174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44537-2024</t>
        </is>
      </c>
      <c r="B326" s="1" t="n">
        <v>45574.45362268519</v>
      </c>
      <c r="C326" s="1" t="n">
        <v>46174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48683-2023</t>
        </is>
      </c>
      <c r="B327" s="1" t="n">
        <v>45208.65275462963</v>
      </c>
      <c r="C327" s="1" t="n">
        <v>46174</v>
      </c>
      <c r="D327" t="inlineStr">
        <is>
          <t>DALARNAS LÄN</t>
        </is>
      </c>
      <c r="E327" t="inlineStr">
        <is>
          <t>LUDVIKA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41269-2025</t>
        </is>
      </c>
      <c r="B328" s="1" t="n">
        <v>45898</v>
      </c>
      <c r="C328" s="1" t="n">
        <v>46174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41099-2025</t>
        </is>
      </c>
      <c r="B329" s="1" t="n">
        <v>45898</v>
      </c>
      <c r="C329" s="1" t="n">
        <v>46174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32332-2024</t>
        </is>
      </c>
      <c r="B330" s="1" t="n">
        <v>45512.48011574074</v>
      </c>
      <c r="C330" s="1" t="n">
        <v>46174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41394-2025</t>
        </is>
      </c>
      <c r="B331" s="1" t="n">
        <v>45901.31774305556</v>
      </c>
      <c r="C331" s="1" t="n">
        <v>46174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41249-2025</t>
        </is>
      </c>
      <c r="B332" s="1" t="n">
        <v>45898</v>
      </c>
      <c r="C332" s="1" t="n">
        <v>46174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4173-2025</t>
        </is>
      </c>
      <c r="B333" s="1" t="n">
        <v>45685.42758101852</v>
      </c>
      <c r="C333" s="1" t="n">
        <v>46174</v>
      </c>
      <c r="D333" t="inlineStr">
        <is>
          <t>DALARNAS LÄN</t>
        </is>
      </c>
      <c r="E333" t="inlineStr">
        <is>
          <t>LUDVIKA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41254-2025</t>
        </is>
      </c>
      <c r="B334" s="1" t="n">
        <v>45898.60778935185</v>
      </c>
      <c r="C334" s="1" t="n">
        <v>46174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22807-2025</t>
        </is>
      </c>
      <c r="B335" s="1" t="n">
        <v>45789.67512731482</v>
      </c>
      <c r="C335" s="1" t="n">
        <v>46174</v>
      </c>
      <c r="D335" t="inlineStr">
        <is>
          <t>DALARNAS LÄN</t>
        </is>
      </c>
      <c r="E335" t="inlineStr">
        <is>
          <t>LUDVIKA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41109-2025</t>
        </is>
      </c>
      <c r="B336" s="1" t="n">
        <v>45898</v>
      </c>
      <c r="C336" s="1" t="n">
        <v>46174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48760-2024</t>
        </is>
      </c>
      <c r="B337" s="1" t="n">
        <v>45593.60061342592</v>
      </c>
      <c r="C337" s="1" t="n">
        <v>46174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57557-2023</t>
        </is>
      </c>
      <c r="B338" s="1" t="n">
        <v>45246</v>
      </c>
      <c r="C338" s="1" t="n">
        <v>46174</v>
      </c>
      <c r="D338" t="inlineStr">
        <is>
          <t>DALARNAS LÄN</t>
        </is>
      </c>
      <c r="E338" t="inlineStr">
        <is>
          <t>LUDVIKA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41900-2025</t>
        </is>
      </c>
      <c r="B339" s="1" t="n">
        <v>45903.39708333334</v>
      </c>
      <c r="C339" s="1" t="n">
        <v>46174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52351-2024</t>
        </is>
      </c>
      <c r="B340" s="1" t="n">
        <v>45609</v>
      </c>
      <c r="C340" s="1" t="n">
        <v>46174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41916-2025</t>
        </is>
      </c>
      <c r="B341" s="1" t="n">
        <v>45903.41763888889</v>
      </c>
      <c r="C341" s="1" t="n">
        <v>46174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41890-2025</t>
        </is>
      </c>
      <c r="B342" s="1" t="n">
        <v>45903</v>
      </c>
      <c r="C342" s="1" t="n">
        <v>46174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33505-2021</t>
        </is>
      </c>
      <c r="B343" s="1" t="n">
        <v>44377</v>
      </c>
      <c r="C343" s="1" t="n">
        <v>46174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41731-2025</t>
        </is>
      </c>
      <c r="B344" s="1" t="n">
        <v>45902</v>
      </c>
      <c r="C344" s="1" t="n">
        <v>46174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41866-2025</t>
        </is>
      </c>
      <c r="B345" s="1" t="n">
        <v>45903</v>
      </c>
      <c r="C345" s="1" t="n">
        <v>46174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42005-2025</t>
        </is>
      </c>
      <c r="B346" s="1" t="n">
        <v>45903.55486111111</v>
      </c>
      <c r="C346" s="1" t="n">
        <v>46174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53106-2024</t>
        </is>
      </c>
      <c r="B347" s="1" t="n">
        <v>45611.55626157407</v>
      </c>
      <c r="C347" s="1" t="n">
        <v>46174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41828-2025</t>
        </is>
      </c>
      <c r="B348" s="1" t="n">
        <v>45902.67721064815</v>
      </c>
      <c r="C348" s="1" t="n">
        <v>46174</v>
      </c>
      <c r="D348" t="inlineStr">
        <is>
          <t>DALARNAS LÄN</t>
        </is>
      </c>
      <c r="E348" t="inlineStr">
        <is>
          <t>LUDVIKA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16768-2025</t>
        </is>
      </c>
      <c r="B349" s="1" t="n">
        <v>45754</v>
      </c>
      <c r="C349" s="1" t="n">
        <v>46174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41848-2025</t>
        </is>
      </c>
      <c r="B350" s="1" t="n">
        <v>45902.78278935186</v>
      </c>
      <c r="C350" s="1" t="n">
        <v>46174</v>
      </c>
      <c r="D350" t="inlineStr">
        <is>
          <t>DALARNAS LÄN</t>
        </is>
      </c>
      <c r="E350" t="inlineStr">
        <is>
          <t>LUDVIKA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5970-2022</t>
        </is>
      </c>
      <c r="B351" s="1" t="n">
        <v>44599</v>
      </c>
      <c r="C351" s="1" t="n">
        <v>46174</v>
      </c>
      <c r="D351" t="inlineStr">
        <is>
          <t>DALARNAS LÄN</t>
        </is>
      </c>
      <c r="E351" t="inlineStr">
        <is>
          <t>LUDVIKA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36338-2025</t>
        </is>
      </c>
      <c r="B352" s="1" t="n">
        <v>45868.4570949074</v>
      </c>
      <c r="C352" s="1" t="n">
        <v>46174</v>
      </c>
      <c r="D352" t="inlineStr">
        <is>
          <t>DALARNAS LÄN</t>
        </is>
      </c>
      <c r="E352" t="inlineStr">
        <is>
          <t>LUDVIKA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42213-2024</t>
        </is>
      </c>
      <c r="B353" s="1" t="n">
        <v>45562.53810185185</v>
      </c>
      <c r="C353" s="1" t="n">
        <v>46174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42254-2024</t>
        </is>
      </c>
      <c r="B354" s="1" t="n">
        <v>45562.58427083334</v>
      </c>
      <c r="C354" s="1" t="n">
        <v>46174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49035-2024</t>
        </is>
      </c>
      <c r="B355" s="1" t="n">
        <v>45594.55173611111</v>
      </c>
      <c r="C355" s="1" t="n">
        <v>46174</v>
      </c>
      <c r="D355" t="inlineStr">
        <is>
          <t>DALARNAS LÄN</t>
        </is>
      </c>
      <c r="E355" t="inlineStr">
        <is>
          <t>LUDVIKA</t>
        </is>
      </c>
      <c r="F355" t="inlineStr">
        <is>
          <t>Naturvårdsverket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42337-2025</t>
        </is>
      </c>
      <c r="B356" s="1" t="n">
        <v>45904.70763888889</v>
      </c>
      <c r="C356" s="1" t="n">
        <v>46174</v>
      </c>
      <c r="D356" t="inlineStr">
        <is>
          <t>DALARNAS LÄN</t>
        </is>
      </c>
      <c r="E356" t="inlineStr">
        <is>
          <t>LUDVIKA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42264-2025</t>
        </is>
      </c>
      <c r="B357" s="1" t="n">
        <v>45904.59947916667</v>
      </c>
      <c r="C357" s="1" t="n">
        <v>46174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42108-2024</t>
        </is>
      </c>
      <c r="B358" s="1" t="n">
        <v>45562.3693287037</v>
      </c>
      <c r="C358" s="1" t="n">
        <v>46174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61621-2022</t>
        </is>
      </c>
      <c r="B359" s="1" t="n">
        <v>44916.67578703703</v>
      </c>
      <c r="C359" s="1" t="n">
        <v>46174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54096-2024</t>
        </is>
      </c>
      <c r="B360" s="1" t="n">
        <v>45616.51402777778</v>
      </c>
      <c r="C360" s="1" t="n">
        <v>46174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49060-2023</t>
        </is>
      </c>
      <c r="B361" s="1" t="n">
        <v>45210</v>
      </c>
      <c r="C361" s="1" t="n">
        <v>46174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49114-2023</t>
        </is>
      </c>
      <c r="B362" s="1" t="n">
        <v>45210</v>
      </c>
      <c r="C362" s="1" t="n">
        <v>46174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56818-2023</t>
        </is>
      </c>
      <c r="B363" s="1" t="n">
        <v>45244.45287037037</v>
      </c>
      <c r="C363" s="1" t="n">
        <v>46174</v>
      </c>
      <c r="D363" t="inlineStr">
        <is>
          <t>DALARNAS LÄN</t>
        </is>
      </c>
      <c r="E363" t="inlineStr">
        <is>
          <t>LUDVIKA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47366-2023</t>
        </is>
      </c>
      <c r="B364" s="1" t="n">
        <v>45202.59850694444</v>
      </c>
      <c r="C364" s="1" t="n">
        <v>46174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7173-2023</t>
        </is>
      </c>
      <c r="B365" s="1" t="n">
        <v>44970.50298611111</v>
      </c>
      <c r="C365" s="1" t="n">
        <v>46174</v>
      </c>
      <c r="D365" t="inlineStr">
        <is>
          <t>DALARNAS LÄN</t>
        </is>
      </c>
      <c r="E365" t="inlineStr">
        <is>
          <t>LUDVIKA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46656-2023</t>
        </is>
      </c>
      <c r="B366" s="1" t="n">
        <v>45198.46518518519</v>
      </c>
      <c r="C366" s="1" t="n">
        <v>46174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42996-2025</t>
        </is>
      </c>
      <c r="B367" s="1" t="n">
        <v>45909.45607638889</v>
      </c>
      <c r="C367" s="1" t="n">
        <v>46174</v>
      </c>
      <c r="D367" t="inlineStr">
        <is>
          <t>DALARNAS LÄN</t>
        </is>
      </c>
      <c r="E367" t="inlineStr">
        <is>
          <t>LUDVIKA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55281-2024</t>
        </is>
      </c>
      <c r="B368" s="1" t="n">
        <v>45621.62696759259</v>
      </c>
      <c r="C368" s="1" t="n">
        <v>46174</v>
      </c>
      <c r="D368" t="inlineStr">
        <is>
          <t>DALARNAS LÄN</t>
        </is>
      </c>
      <c r="E368" t="inlineStr">
        <is>
          <t>LUDVIKA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43253-2025</t>
        </is>
      </c>
      <c r="B369" s="1" t="n">
        <v>45910</v>
      </c>
      <c r="C369" s="1" t="n">
        <v>46174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43473-2025</t>
        </is>
      </c>
      <c r="B370" s="1" t="n">
        <v>45911.48769675926</v>
      </c>
      <c r="C370" s="1" t="n">
        <v>46174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43479-2025</t>
        </is>
      </c>
      <c r="B371" s="1" t="n">
        <v>45911.49506944444</v>
      </c>
      <c r="C371" s="1" t="n">
        <v>46174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4170-2025</t>
        </is>
      </c>
      <c r="B372" s="1" t="n">
        <v>45685.42325231482</v>
      </c>
      <c r="C372" s="1" t="n">
        <v>46174</v>
      </c>
      <c r="D372" t="inlineStr">
        <is>
          <t>DALARNAS LÄN</t>
        </is>
      </c>
      <c r="E372" t="inlineStr">
        <is>
          <t>LUDVIKA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43348-2025</t>
        </is>
      </c>
      <c r="B373" s="1" t="n">
        <v>45910.91788194444</v>
      </c>
      <c r="C373" s="1" t="n">
        <v>46174</v>
      </c>
      <c r="D373" t="inlineStr">
        <is>
          <t>DALARNAS LÄN</t>
        </is>
      </c>
      <c r="E373" t="inlineStr">
        <is>
          <t>LUDVIKA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43437-2025</t>
        </is>
      </c>
      <c r="B374" s="1" t="n">
        <v>45911.43200231482</v>
      </c>
      <c r="C374" s="1" t="n">
        <v>46174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43145-2025</t>
        </is>
      </c>
      <c r="B375" s="1" t="n">
        <v>45910.3044212963</v>
      </c>
      <c r="C375" s="1" t="n">
        <v>46174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43439-2025</t>
        </is>
      </c>
      <c r="B376" s="1" t="n">
        <v>45911.43902777778</v>
      </c>
      <c r="C376" s="1" t="n">
        <v>46174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60660-2024</t>
        </is>
      </c>
      <c r="B377" s="1" t="n">
        <v>45644.44615740741</v>
      </c>
      <c r="C377" s="1" t="n">
        <v>46174</v>
      </c>
      <c r="D377" t="inlineStr">
        <is>
          <t>DALARNAS LÄN</t>
        </is>
      </c>
      <c r="E377" t="inlineStr">
        <is>
          <t>LUDVIKA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9725-2025</t>
        </is>
      </c>
      <c r="B378" s="1" t="n">
        <v>45716.41461805555</v>
      </c>
      <c r="C378" s="1" t="n">
        <v>46174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43345-2025</t>
        </is>
      </c>
      <c r="B379" s="1" t="n">
        <v>45910.86336805556</v>
      </c>
      <c r="C379" s="1" t="n">
        <v>46174</v>
      </c>
      <c r="D379" t="inlineStr">
        <is>
          <t>DALARNAS LÄN</t>
        </is>
      </c>
      <c r="E379" t="inlineStr">
        <is>
          <t>LUDVIKA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43449-2025</t>
        </is>
      </c>
      <c r="B380" s="1" t="n">
        <v>45911</v>
      </c>
      <c r="C380" s="1" t="n">
        <v>46174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53104-2024</t>
        </is>
      </c>
      <c r="B381" s="1" t="n">
        <v>45611.551875</v>
      </c>
      <c r="C381" s="1" t="n">
        <v>46174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43925-2025</t>
        </is>
      </c>
      <c r="B382" s="1" t="n">
        <v>45915</v>
      </c>
      <c r="C382" s="1" t="n">
        <v>46174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59346-2024</t>
        </is>
      </c>
      <c r="B383" s="1" t="n">
        <v>45637.99482638889</v>
      </c>
      <c r="C383" s="1" t="n">
        <v>46174</v>
      </c>
      <c r="D383" t="inlineStr">
        <is>
          <t>DALARNAS LÄN</t>
        </is>
      </c>
      <c r="E383" t="inlineStr">
        <is>
          <t>LUDVIKA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48642-2022</t>
        </is>
      </c>
      <c r="B384" s="1" t="n">
        <v>44859.42164351852</v>
      </c>
      <c r="C384" s="1" t="n">
        <v>46174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53620-2022</t>
        </is>
      </c>
      <c r="B385" s="1" t="n">
        <v>44879.81773148148</v>
      </c>
      <c r="C385" s="1" t="n">
        <v>46174</v>
      </c>
      <c r="D385" t="inlineStr">
        <is>
          <t>DALARNAS LÄN</t>
        </is>
      </c>
      <c r="E385" t="inlineStr">
        <is>
          <t>LUDVIKA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18724-2022</t>
        </is>
      </c>
      <c r="B386" s="1" t="n">
        <v>44687.67511574074</v>
      </c>
      <c r="C386" s="1" t="n">
        <v>46174</v>
      </c>
      <c r="D386" t="inlineStr">
        <is>
          <t>DALARNAS LÄN</t>
        </is>
      </c>
      <c r="E386" t="inlineStr">
        <is>
          <t>LUDVIKA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15127-2025</t>
        </is>
      </c>
      <c r="B387" s="1" t="n">
        <v>45744.38049768518</v>
      </c>
      <c r="C387" s="1" t="n">
        <v>46174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44690-2025</t>
        </is>
      </c>
      <c r="B388" s="1" t="n">
        <v>45917.59390046296</v>
      </c>
      <c r="C388" s="1" t="n">
        <v>46174</v>
      </c>
      <c r="D388" t="inlineStr">
        <is>
          <t>DALARNAS LÄN</t>
        </is>
      </c>
      <c r="E388" t="inlineStr">
        <is>
          <t>LUDVIKA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44262-2025</t>
        </is>
      </c>
      <c r="B389" s="1" t="n">
        <v>45916.0008912037</v>
      </c>
      <c r="C389" s="1" t="n">
        <v>46174</v>
      </c>
      <c r="D389" t="inlineStr">
        <is>
          <t>DALARNAS LÄN</t>
        </is>
      </c>
      <c r="E389" t="inlineStr">
        <is>
          <t>LUDVIKA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41449-2024</t>
        </is>
      </c>
      <c r="B390" s="1" t="n">
        <v>45560.40314814815</v>
      </c>
      <c r="C390" s="1" t="n">
        <v>46174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44261-2025</t>
        </is>
      </c>
      <c r="B391" s="1" t="n">
        <v>45915.99416666666</v>
      </c>
      <c r="C391" s="1" t="n">
        <v>46174</v>
      </c>
      <c r="D391" t="inlineStr">
        <is>
          <t>DALARNAS LÄN</t>
        </is>
      </c>
      <c r="E391" t="inlineStr">
        <is>
          <t>LUDVIKA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57969-2024</t>
        </is>
      </c>
      <c r="B392" s="1" t="n">
        <v>45631.60126157408</v>
      </c>
      <c r="C392" s="1" t="n">
        <v>46174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43539-2025</t>
        </is>
      </c>
      <c r="B393" s="1" t="n">
        <v>45911</v>
      </c>
      <c r="C393" s="1" t="n">
        <v>46174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44879-2025</t>
        </is>
      </c>
      <c r="B394" s="1" t="n">
        <v>45918.47898148148</v>
      </c>
      <c r="C394" s="1" t="n">
        <v>46174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45259-2025</t>
        </is>
      </c>
      <c r="B395" s="1" t="n">
        <v>45919</v>
      </c>
      <c r="C395" s="1" t="n">
        <v>46174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39761-2022</t>
        </is>
      </c>
      <c r="B396" s="1" t="n">
        <v>44819.43425925926</v>
      </c>
      <c r="C396" s="1" t="n">
        <v>46174</v>
      </c>
      <c r="D396" t="inlineStr">
        <is>
          <t>DALARNAS LÄN</t>
        </is>
      </c>
      <c r="E396" t="inlineStr">
        <is>
          <t>LUDVIKA</t>
        </is>
      </c>
      <c r="F396" t="inlineStr">
        <is>
          <t>Naturvårdsverket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44987-2025</t>
        </is>
      </c>
      <c r="B397" s="1" t="n">
        <v>45918.65405092593</v>
      </c>
      <c r="C397" s="1" t="n">
        <v>46174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46174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33673-2022</t>
        </is>
      </c>
      <c r="B399" s="1" t="n">
        <v>44789</v>
      </c>
      <c r="C399" s="1" t="n">
        <v>46174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56680-2022</t>
        </is>
      </c>
      <c r="B400" s="1" t="n">
        <v>44893.67267361111</v>
      </c>
      <c r="C400" s="1" t="n">
        <v>46174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41737-2025</t>
        </is>
      </c>
      <c r="B401" s="1" t="n">
        <v>45902</v>
      </c>
      <c r="C401" s="1" t="n">
        <v>46174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45791-2025</t>
        </is>
      </c>
      <c r="B402" s="1" t="n">
        <v>45923</v>
      </c>
      <c r="C402" s="1" t="n">
        <v>46174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45649-2025</t>
        </is>
      </c>
      <c r="B403" s="1" t="n">
        <v>45923.32206018519</v>
      </c>
      <c r="C403" s="1" t="n">
        <v>46174</v>
      </c>
      <c r="D403" t="inlineStr">
        <is>
          <t>DALARNAS LÄN</t>
        </is>
      </c>
      <c r="E403" t="inlineStr">
        <is>
          <t>LUDVIKA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73703-2021</t>
        </is>
      </c>
      <c r="B404" s="1" t="n">
        <v>44552</v>
      </c>
      <c r="C404" s="1" t="n">
        <v>46174</v>
      </c>
      <c r="D404" t="inlineStr">
        <is>
          <t>DALARNAS LÄN</t>
        </is>
      </c>
      <c r="E404" t="inlineStr">
        <is>
          <t>LUDVIKA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45858-2025</t>
        </is>
      </c>
      <c r="B405" s="1" t="n">
        <v>45923.64064814815</v>
      </c>
      <c r="C405" s="1" t="n">
        <v>46174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27389-2024</t>
        </is>
      </c>
      <c r="B406" s="1" t="n">
        <v>45474.31796296296</v>
      </c>
      <c r="C406" s="1" t="n">
        <v>46174</v>
      </c>
      <c r="D406" t="inlineStr">
        <is>
          <t>DALARNAS LÄN</t>
        </is>
      </c>
      <c r="E406" t="inlineStr">
        <is>
          <t>LUDVIKA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44520-2023</t>
        </is>
      </c>
      <c r="B407" s="1" t="n">
        <v>45189</v>
      </c>
      <c r="C407" s="1" t="n">
        <v>46174</v>
      </c>
      <c r="D407" t="inlineStr">
        <is>
          <t>DALARNAS LÄN</t>
        </is>
      </c>
      <c r="E407" t="inlineStr">
        <is>
          <t>LUDVIKA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57217-2024</t>
        </is>
      </c>
      <c r="B408" s="1" t="n">
        <v>45629</v>
      </c>
      <c r="C408" s="1" t="n">
        <v>46174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47999-2024</t>
        </is>
      </c>
      <c r="B409" s="1" t="n">
        <v>45589.44649305556</v>
      </c>
      <c r="C409" s="1" t="n">
        <v>46174</v>
      </c>
      <c r="D409" t="inlineStr">
        <is>
          <t>DALARNAS LÄN</t>
        </is>
      </c>
      <c r="E409" t="inlineStr">
        <is>
          <t>LUDVIKA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43762-2025</t>
        </is>
      </c>
      <c r="B410" s="1" t="n">
        <v>45912</v>
      </c>
      <c r="C410" s="1" t="n">
        <v>46174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21145-2023</t>
        </is>
      </c>
      <c r="B411" s="1" t="n">
        <v>45062.37524305555</v>
      </c>
      <c r="C411" s="1" t="n">
        <v>46174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46024-2025</t>
        </is>
      </c>
      <c r="B412" s="1" t="n">
        <v>45924.43376157407</v>
      </c>
      <c r="C412" s="1" t="n">
        <v>46174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45940-2025</t>
        </is>
      </c>
      <c r="B413" s="1" t="n">
        <v>45924</v>
      </c>
      <c r="C413" s="1" t="n">
        <v>46174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15851-2024</t>
        </is>
      </c>
      <c r="B414" s="1" t="n">
        <v>45404.89207175926</v>
      </c>
      <c r="C414" s="1" t="n">
        <v>46174</v>
      </c>
      <c r="D414" t="inlineStr">
        <is>
          <t>DALARNAS LÄN</t>
        </is>
      </c>
      <c r="E414" t="inlineStr">
        <is>
          <t>LUDVIKA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46317-2025</t>
        </is>
      </c>
      <c r="B415" s="1" t="n">
        <v>45925</v>
      </c>
      <c r="C415" s="1" t="n">
        <v>46174</v>
      </c>
      <c r="D415" t="inlineStr">
        <is>
          <t>DALARNAS LÄN</t>
        </is>
      </c>
      <c r="E415" t="inlineStr">
        <is>
          <t>LUDVIKA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41400-2022</t>
        </is>
      </c>
      <c r="B416" s="1" t="n">
        <v>44826</v>
      </c>
      <c r="C416" s="1" t="n">
        <v>46174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46040-2025</t>
        </is>
      </c>
      <c r="B417" s="1" t="n">
        <v>45924.45159722222</v>
      </c>
      <c r="C417" s="1" t="n">
        <v>46174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46054-2025</t>
        </is>
      </c>
      <c r="B418" s="1" t="n">
        <v>45924.46261574074</v>
      </c>
      <c r="C418" s="1" t="n">
        <v>46174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46045-2025</t>
        </is>
      </c>
      <c r="B419" s="1" t="n">
        <v>45924.45614583333</v>
      </c>
      <c r="C419" s="1" t="n">
        <v>46174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46108-2025</t>
        </is>
      </c>
      <c r="B420" s="1" t="n">
        <v>45924.55571759259</v>
      </c>
      <c r="C420" s="1" t="n">
        <v>46174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41090-2022</t>
        </is>
      </c>
      <c r="B421" s="1" t="n">
        <v>44825.64709490741</v>
      </c>
      <c r="C421" s="1" t="n">
        <v>46174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50347-2021</t>
        </is>
      </c>
      <c r="B422" s="1" t="n">
        <v>44459</v>
      </c>
      <c r="C422" s="1" t="n">
        <v>46174</v>
      </c>
      <c r="D422" t="inlineStr">
        <is>
          <t>DALARNAS LÄN</t>
        </is>
      </c>
      <c r="E422" t="inlineStr">
        <is>
          <t>LUDVIKA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46598-2025</t>
        </is>
      </c>
      <c r="B423" s="1" t="n">
        <v>45926</v>
      </c>
      <c r="C423" s="1" t="n">
        <v>46174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46603-2025</t>
        </is>
      </c>
      <c r="B424" s="1" t="n">
        <v>45926</v>
      </c>
      <c r="C424" s="1" t="n">
        <v>46174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46517-2025</t>
        </is>
      </c>
      <c r="B425" s="1" t="n">
        <v>45926</v>
      </c>
      <c r="C425" s="1" t="n">
        <v>46174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918-2024</t>
        </is>
      </c>
      <c r="B426" s="1" t="n">
        <v>45301</v>
      </c>
      <c r="C426" s="1" t="n">
        <v>46174</v>
      </c>
      <c r="D426" t="inlineStr">
        <is>
          <t>DALARNAS LÄN</t>
        </is>
      </c>
      <c r="E426" t="inlineStr">
        <is>
          <t>LUDVIKA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923-2024</t>
        </is>
      </c>
      <c r="B427" s="1" t="n">
        <v>45301</v>
      </c>
      <c r="C427" s="1" t="n">
        <v>46174</v>
      </c>
      <c r="D427" t="inlineStr">
        <is>
          <t>DALARNAS LÄN</t>
        </is>
      </c>
      <c r="E427" t="inlineStr">
        <is>
          <t>LUDVIKA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478-2024</t>
        </is>
      </c>
      <c r="B428" s="1" t="n">
        <v>45297</v>
      </c>
      <c r="C428" s="1" t="n">
        <v>46174</v>
      </c>
      <c r="D428" t="inlineStr">
        <is>
          <t>DALARNAS LÄN</t>
        </is>
      </c>
      <c r="E428" t="inlineStr">
        <is>
          <t>LUDVIKA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48774-2024</t>
        </is>
      </c>
      <c r="B429" s="1" t="n">
        <v>45593</v>
      </c>
      <c r="C429" s="1" t="n">
        <v>46174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37392-2023</t>
        </is>
      </c>
      <c r="B430" s="1" t="n">
        <v>45156</v>
      </c>
      <c r="C430" s="1" t="n">
        <v>46174</v>
      </c>
      <c r="D430" t="inlineStr">
        <is>
          <t>DALARNAS LÄN</t>
        </is>
      </c>
      <c r="E430" t="inlineStr">
        <is>
          <t>LUDVIKA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46683-2025</t>
        </is>
      </c>
      <c r="B431" s="1" t="n">
        <v>45926</v>
      </c>
      <c r="C431" s="1" t="n">
        <v>46174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5841-2024</t>
        </is>
      </c>
      <c r="B432" s="1" t="n">
        <v>45335.60587962963</v>
      </c>
      <c r="C432" s="1" t="n">
        <v>46174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46674-2025</t>
        </is>
      </c>
      <c r="B433" s="1" t="n">
        <v>45926</v>
      </c>
      <c r="C433" s="1" t="n">
        <v>46174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36296-2023</t>
        </is>
      </c>
      <c r="B434" s="1" t="n">
        <v>45152.3591087963</v>
      </c>
      <c r="C434" s="1" t="n">
        <v>46174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57307-2024</t>
        </is>
      </c>
      <c r="B435" s="1" t="n">
        <v>45629.60449074074</v>
      </c>
      <c r="C435" s="1" t="n">
        <v>46174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48352-2023</t>
        </is>
      </c>
      <c r="B436" s="1" t="n">
        <v>45205</v>
      </c>
      <c r="C436" s="1" t="n">
        <v>46174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59667-2024</t>
        </is>
      </c>
      <c r="B437" s="1" t="n">
        <v>45639</v>
      </c>
      <c r="C437" s="1" t="n">
        <v>46174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11436-2024</t>
        </is>
      </c>
      <c r="B438" s="1" t="n">
        <v>45372.5358912037</v>
      </c>
      <c r="C438" s="1" t="n">
        <v>46174</v>
      </c>
      <c r="D438" t="inlineStr">
        <is>
          <t>DALARNAS LÄN</t>
        </is>
      </c>
      <c r="E438" t="inlineStr">
        <is>
          <t>LUDVIKA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32277-2024</t>
        </is>
      </c>
      <c r="B439" s="1" t="n">
        <v>45512.3703125</v>
      </c>
      <c r="C439" s="1" t="n">
        <v>46174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46074-2023</t>
        </is>
      </c>
      <c r="B440" s="1" t="n">
        <v>45196.46915509259</v>
      </c>
      <c r="C440" s="1" t="n">
        <v>46174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48201-2025</t>
        </is>
      </c>
      <c r="B441" s="1" t="n">
        <v>45933.48107638889</v>
      </c>
      <c r="C441" s="1" t="n">
        <v>46174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38359-2024</t>
        </is>
      </c>
      <c r="B442" s="1" t="n">
        <v>45545.79224537037</v>
      </c>
      <c r="C442" s="1" t="n">
        <v>46174</v>
      </c>
      <c r="D442" t="inlineStr">
        <is>
          <t>DALARNAS LÄN</t>
        </is>
      </c>
      <c r="E442" t="inlineStr">
        <is>
          <t>LUDVIKA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48490-2025</t>
        </is>
      </c>
      <c r="B443" s="1" t="n">
        <v>45936.36644675926</v>
      </c>
      <c r="C443" s="1" t="n">
        <v>46174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48577-2025</t>
        </is>
      </c>
      <c r="B444" s="1" t="n">
        <v>45936.45299768518</v>
      </c>
      <c r="C444" s="1" t="n">
        <v>46174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20368-2025</t>
        </is>
      </c>
      <c r="B445" s="1" t="n">
        <v>45775.41047453704</v>
      </c>
      <c r="C445" s="1" t="n">
        <v>46174</v>
      </c>
      <c r="D445" t="inlineStr">
        <is>
          <t>DALARNAS LÄN</t>
        </is>
      </c>
      <c r="E445" t="inlineStr">
        <is>
          <t>LUDVIKA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18435-2025</t>
        </is>
      </c>
      <c r="B446" s="1" t="n">
        <v>45762</v>
      </c>
      <c r="C446" s="1" t="n">
        <v>46174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48488-2025</t>
        </is>
      </c>
      <c r="B447" s="1" t="n">
        <v>45936.36597222222</v>
      </c>
      <c r="C447" s="1" t="n">
        <v>46174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48590-2025</t>
        </is>
      </c>
      <c r="B448" s="1" t="n">
        <v>45936.46136574074</v>
      </c>
      <c r="C448" s="1" t="n">
        <v>46174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40142-2022</t>
        </is>
      </c>
      <c r="B449" s="1" t="n">
        <v>44820.5415162037</v>
      </c>
      <c r="C449" s="1" t="n">
        <v>46174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40151-2022</t>
        </is>
      </c>
      <c r="B450" s="1" t="n">
        <v>44820.55396990741</v>
      </c>
      <c r="C450" s="1" t="n">
        <v>46174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21741-2022</t>
        </is>
      </c>
      <c r="B451" s="1" t="n">
        <v>44708.380625</v>
      </c>
      <c r="C451" s="1" t="n">
        <v>46174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51208-2023</t>
        </is>
      </c>
      <c r="B452" s="1" t="n">
        <v>45219.4410300926</v>
      </c>
      <c r="C452" s="1" t="n">
        <v>46174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5576-2024</t>
        </is>
      </c>
      <c r="B453" s="1" t="n">
        <v>45334</v>
      </c>
      <c r="C453" s="1" t="n">
        <v>46174</v>
      </c>
      <c r="D453" t="inlineStr">
        <is>
          <t>DALARNAS LÄN</t>
        </is>
      </c>
      <c r="E453" t="inlineStr">
        <is>
          <t>LUDVIKA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12497-2024</t>
        </is>
      </c>
      <c r="B454" s="1" t="n">
        <v>45379.57112268519</v>
      </c>
      <c r="C454" s="1" t="n">
        <v>46174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51015-2023</t>
        </is>
      </c>
      <c r="B455" s="1" t="n">
        <v>45218.58079861111</v>
      </c>
      <c r="C455" s="1" t="n">
        <v>46174</v>
      </c>
      <c r="D455" t="inlineStr">
        <is>
          <t>DALARNAS LÄN</t>
        </is>
      </c>
      <c r="E455" t="inlineStr">
        <is>
          <t>LUDVIKA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49874-2025</t>
        </is>
      </c>
      <c r="B456" s="1" t="n">
        <v>45940</v>
      </c>
      <c r="C456" s="1" t="n">
        <v>46174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49879-2025</t>
        </is>
      </c>
      <c r="B457" s="1" t="n">
        <v>45940</v>
      </c>
      <c r="C457" s="1" t="n">
        <v>46174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49893-2025</t>
        </is>
      </c>
      <c r="B458" s="1" t="n">
        <v>45940</v>
      </c>
      <c r="C458" s="1" t="n">
        <v>46174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28157-2023</t>
        </is>
      </c>
      <c r="B459" s="1" t="n">
        <v>45099.49403935186</v>
      </c>
      <c r="C459" s="1" t="n">
        <v>46174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58072-2024</t>
        </is>
      </c>
      <c r="B460" s="1" t="n">
        <v>45632.01575231482</v>
      </c>
      <c r="C460" s="1" t="n">
        <v>46174</v>
      </c>
      <c r="D460" t="inlineStr">
        <is>
          <t>DALARNAS LÄN</t>
        </is>
      </c>
      <c r="E460" t="inlineStr">
        <is>
          <t>LUDVIKA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58090-2024</t>
        </is>
      </c>
      <c r="B461" s="1" t="n">
        <v>45632.35070601852</v>
      </c>
      <c r="C461" s="1" t="n">
        <v>46174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32995-2023</t>
        </is>
      </c>
      <c r="B462" s="1" t="n">
        <v>45113</v>
      </c>
      <c r="C462" s="1" t="n">
        <v>46174</v>
      </c>
      <c r="D462" t="inlineStr">
        <is>
          <t>DALARNAS LÄN</t>
        </is>
      </c>
      <c r="E462" t="inlineStr">
        <is>
          <t>LUDVIKA</t>
        </is>
      </c>
      <c r="F462" t="inlineStr">
        <is>
          <t>Kommuner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50444-2025</t>
        </is>
      </c>
      <c r="B463" s="1" t="n">
        <v>45944.93016203704</v>
      </c>
      <c r="C463" s="1" t="n">
        <v>46174</v>
      </c>
      <c r="D463" t="inlineStr">
        <is>
          <t>DALARNAS LÄN</t>
        </is>
      </c>
      <c r="E463" t="inlineStr">
        <is>
          <t>LUDVIKA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30039-2024</t>
        </is>
      </c>
      <c r="B464" s="1" t="n">
        <v>45488</v>
      </c>
      <c r="C464" s="1" t="n">
        <v>46174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56621-2023</t>
        </is>
      </c>
      <c r="B465" s="1" t="n">
        <v>45243.68557870371</v>
      </c>
      <c r="C465" s="1" t="n">
        <v>46174</v>
      </c>
      <c r="D465" t="inlineStr">
        <is>
          <t>DALARNAS LÄN</t>
        </is>
      </c>
      <c r="E465" t="inlineStr">
        <is>
          <t>LUDVIKA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15939-2024</t>
        </is>
      </c>
      <c r="B466" s="1" t="n">
        <v>45405</v>
      </c>
      <c r="C466" s="1" t="n">
        <v>46174</v>
      </c>
      <c r="D466" t="inlineStr">
        <is>
          <t>DALARNAS LÄN</t>
        </is>
      </c>
      <c r="E466" t="inlineStr">
        <is>
          <t>LUDVIKA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HYPERLINK("https://klasma.github.io/Logging_2085/knärot/A 15939-2024 karta knärot.png", "A 15939-2024")</f>
        <v/>
      </c>
      <c r="V466">
        <f>HYPERLINK("https://klasma.github.io/Logging_2085/klagomål/A 15939-2024 FSC-klagomål.docx", "A 15939-2024")</f>
        <v/>
      </c>
      <c r="W466">
        <f>HYPERLINK("https://klasma.github.io/Logging_2085/klagomålsmail/A 15939-2024 FSC-klagomål mail.docx", "A 15939-2024")</f>
        <v/>
      </c>
      <c r="X466">
        <f>HYPERLINK("https://klasma.github.io/Logging_2085/tillsyn/A 15939-2024 tillsynsbegäran.docx", "A 15939-2024")</f>
        <v/>
      </c>
      <c r="Y466">
        <f>HYPERLINK("https://klasma.github.io/Logging_2085/tillsynsmail/A 15939-2024 tillsynsbegäran mail.docx", "A 15939-2024")</f>
        <v/>
      </c>
    </row>
    <row r="467" ht="15" customHeight="1">
      <c r="A467" t="inlineStr">
        <is>
          <t>A 7238-2023</t>
        </is>
      </c>
      <c r="B467" s="1" t="n">
        <v>44970.60710648148</v>
      </c>
      <c r="C467" s="1" t="n">
        <v>46174</v>
      </c>
      <c r="D467" t="inlineStr">
        <is>
          <t>DALARNAS LÄN</t>
        </is>
      </c>
      <c r="E467" t="inlineStr">
        <is>
          <t>LUDVIKA</t>
        </is>
      </c>
      <c r="F467" t="inlineStr">
        <is>
          <t>Övriga Aktiebolag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7243-2023</t>
        </is>
      </c>
      <c r="B468" s="1" t="n">
        <v>44970.61488425926</v>
      </c>
      <c r="C468" s="1" t="n">
        <v>46174</v>
      </c>
      <c r="D468" t="inlineStr">
        <is>
          <t>DALARNAS LÄN</t>
        </is>
      </c>
      <c r="E468" t="inlineStr">
        <is>
          <t>LUDVIKA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41616-2024</t>
        </is>
      </c>
      <c r="B469" s="1" t="n">
        <v>45560.59856481481</v>
      </c>
      <c r="C469" s="1" t="n">
        <v>46174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33345-2024</t>
        </is>
      </c>
      <c r="B470" s="1" t="n">
        <v>45519</v>
      </c>
      <c r="C470" s="1" t="n">
        <v>46174</v>
      </c>
      <c r="D470" t="inlineStr">
        <is>
          <t>DALARNAS LÄN</t>
        </is>
      </c>
      <c r="E470" t="inlineStr">
        <is>
          <t>LUDVIKA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39519-2024</t>
        </is>
      </c>
      <c r="B471" s="1" t="n">
        <v>45551.76079861111</v>
      </c>
      <c r="C471" s="1" t="n">
        <v>46174</v>
      </c>
      <c r="D471" t="inlineStr">
        <is>
          <t>DALARNAS LÄN</t>
        </is>
      </c>
      <c r="E471" t="inlineStr">
        <is>
          <t>LUDVIKA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51622-2025</t>
        </is>
      </c>
      <c r="B472" s="1" t="n">
        <v>45951.41353009259</v>
      </c>
      <c r="C472" s="1" t="n">
        <v>46174</v>
      </c>
      <c r="D472" t="inlineStr">
        <is>
          <t>DALARNAS LÄN</t>
        </is>
      </c>
      <c r="E472" t="inlineStr">
        <is>
          <t>LUDVIKA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22555-2023</t>
        </is>
      </c>
      <c r="B473" s="1" t="n">
        <v>45071.44364583334</v>
      </c>
      <c r="C473" s="1" t="n">
        <v>46174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47496-2022</t>
        </is>
      </c>
      <c r="B474" s="1" t="n">
        <v>44853</v>
      </c>
      <c r="C474" s="1" t="n">
        <v>46174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47671-2024</t>
        </is>
      </c>
      <c r="B475" s="1" t="n">
        <v>45588.39844907408</v>
      </c>
      <c r="C475" s="1" t="n">
        <v>46174</v>
      </c>
      <c r="D475" t="inlineStr">
        <is>
          <t>DALARNAS LÄN</t>
        </is>
      </c>
      <c r="E475" t="inlineStr">
        <is>
          <t>LUDVIKA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59634-2024</t>
        </is>
      </c>
      <c r="B476" s="1" t="n">
        <v>45638.99978009259</v>
      </c>
      <c r="C476" s="1" t="n">
        <v>46174</v>
      </c>
      <c r="D476" t="inlineStr">
        <is>
          <t>DALARNAS LÄN</t>
        </is>
      </c>
      <c r="E476" t="inlineStr">
        <is>
          <t>LUDVIKA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55218-2024</t>
        </is>
      </c>
      <c r="B477" s="1" t="n">
        <v>45621.57195601852</v>
      </c>
      <c r="C477" s="1" t="n">
        <v>46174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50528-2024</t>
        </is>
      </c>
      <c r="B478" s="1" t="n">
        <v>45601.56344907408</v>
      </c>
      <c r="C478" s="1" t="n">
        <v>46174</v>
      </c>
      <c r="D478" t="inlineStr">
        <is>
          <t>DALARNAS LÄN</t>
        </is>
      </c>
      <c r="E478" t="inlineStr">
        <is>
          <t>LUDVIKA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3280-2024</t>
        </is>
      </c>
      <c r="B479" s="1" t="n">
        <v>45317</v>
      </c>
      <c r="C479" s="1" t="n">
        <v>46174</v>
      </c>
      <c r="D479" t="inlineStr">
        <is>
          <t>DALARNAS LÄN</t>
        </is>
      </c>
      <c r="E479" t="inlineStr">
        <is>
          <t>LUDVIKA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3470-2025</t>
        </is>
      </c>
      <c r="B480" s="1" t="n">
        <v>45680.5206712963</v>
      </c>
      <c r="C480" s="1" t="n">
        <v>46174</v>
      </c>
      <c r="D480" t="inlineStr">
        <is>
          <t>DALARNAS LÄN</t>
        </is>
      </c>
      <c r="E480" t="inlineStr">
        <is>
          <t>LUDVIKA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48288-2023</t>
        </is>
      </c>
      <c r="B481" s="1" t="n">
        <v>45205.5616087963</v>
      </c>
      <c r="C481" s="1" t="n">
        <v>46174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64171-2023</t>
        </is>
      </c>
      <c r="B482" s="1" t="n">
        <v>45279</v>
      </c>
      <c r="C482" s="1" t="n">
        <v>46174</v>
      </c>
      <c r="D482" t="inlineStr">
        <is>
          <t>DALARNAS LÄN</t>
        </is>
      </c>
      <c r="E482" t="inlineStr">
        <is>
          <t>LUDVIKA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28134-2023</t>
        </is>
      </c>
      <c r="B483" s="1" t="n">
        <v>45099.48079861111</v>
      </c>
      <c r="C483" s="1" t="n">
        <v>46174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51865-2025</t>
        </is>
      </c>
      <c r="B484" s="1" t="n">
        <v>45952.37715277778</v>
      </c>
      <c r="C484" s="1" t="n">
        <v>46174</v>
      </c>
      <c r="D484" t="inlineStr">
        <is>
          <t>DALARNAS LÄN</t>
        </is>
      </c>
      <c r="E484" t="inlineStr">
        <is>
          <t>LUDVIKA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43240-2024</t>
        </is>
      </c>
      <c r="B485" s="1" t="n">
        <v>45568.00373842593</v>
      </c>
      <c r="C485" s="1" t="n">
        <v>46174</v>
      </c>
      <c r="D485" t="inlineStr">
        <is>
          <t>DALARNAS LÄN</t>
        </is>
      </c>
      <c r="E485" t="inlineStr">
        <is>
          <t>LUDVIKA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2838-2022</t>
        </is>
      </c>
      <c r="B486" s="1" t="n">
        <v>44581</v>
      </c>
      <c r="C486" s="1" t="n">
        <v>46174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51029-2024</t>
        </is>
      </c>
      <c r="B487" s="1" t="n">
        <v>45603.42096064815</v>
      </c>
      <c r="C487" s="1" t="n">
        <v>46174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51823-2025</t>
        </is>
      </c>
      <c r="B488" s="1" t="n">
        <v>45952.01278935185</v>
      </c>
      <c r="C488" s="1" t="n">
        <v>46174</v>
      </c>
      <c r="D488" t="inlineStr">
        <is>
          <t>DALARNAS LÄN</t>
        </is>
      </c>
      <c r="E488" t="inlineStr">
        <is>
          <t>LUDVIKA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52491-2025</t>
        </is>
      </c>
      <c r="B489" s="1" t="n">
        <v>45954</v>
      </c>
      <c r="C489" s="1" t="n">
        <v>46174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52500-2025</t>
        </is>
      </c>
      <c r="B490" s="1" t="n">
        <v>45954</v>
      </c>
      <c r="C490" s="1" t="n">
        <v>46174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52458-2025</t>
        </is>
      </c>
      <c r="B491" s="1" t="n">
        <v>45954.43010416667</v>
      </c>
      <c r="C491" s="1" t="n">
        <v>46174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52484-2025</t>
        </is>
      </c>
      <c r="B492" s="1" t="n">
        <v>45954</v>
      </c>
      <c r="C492" s="1" t="n">
        <v>46174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52724-2025</t>
        </is>
      </c>
      <c r="B493" s="1" t="n">
        <v>45957.34634259259</v>
      </c>
      <c r="C493" s="1" t="n">
        <v>46174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52552-2025</t>
        </is>
      </c>
      <c r="B494" s="1" t="n">
        <v>45954.56233796296</v>
      </c>
      <c r="C494" s="1" t="n">
        <v>46174</v>
      </c>
      <c r="D494" t="inlineStr">
        <is>
          <t>DALARNAS LÄN</t>
        </is>
      </c>
      <c r="E494" t="inlineStr">
        <is>
          <t>LUDVIKA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40125-2024</t>
        </is>
      </c>
      <c r="B495" s="1" t="n">
        <v>45554.46881944445</v>
      </c>
      <c r="C495" s="1" t="n">
        <v>46174</v>
      </c>
      <c r="D495" t="inlineStr">
        <is>
          <t>DALARNAS LÄN</t>
        </is>
      </c>
      <c r="E495" t="inlineStr">
        <is>
          <t>LUDVIKA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59206-2023</t>
        </is>
      </c>
      <c r="B496" s="1" t="n">
        <v>45253.47579861111</v>
      </c>
      <c r="C496" s="1" t="n">
        <v>46174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52530-2025</t>
        </is>
      </c>
      <c r="B497" s="1" t="n">
        <v>45954</v>
      </c>
      <c r="C497" s="1" t="n">
        <v>46174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52779-2025</t>
        </is>
      </c>
      <c r="B498" s="1" t="n">
        <v>45957</v>
      </c>
      <c r="C498" s="1" t="n">
        <v>46174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52832-2025</t>
        </is>
      </c>
      <c r="B499" s="1" t="n">
        <v>45957</v>
      </c>
      <c r="C499" s="1" t="n">
        <v>46174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52556-2025</t>
        </is>
      </c>
      <c r="B500" s="1" t="n">
        <v>45954.56762731481</v>
      </c>
      <c r="C500" s="1" t="n">
        <v>46174</v>
      </c>
      <c r="D500" t="inlineStr">
        <is>
          <t>DALARNAS LÄN</t>
        </is>
      </c>
      <c r="E500" t="inlineStr">
        <is>
          <t>LUDVIKA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52459-2025</t>
        </is>
      </c>
      <c r="B501" s="1" t="n">
        <v>45954.43126157407</v>
      </c>
      <c r="C501" s="1" t="n">
        <v>46174</v>
      </c>
      <c r="D501" t="inlineStr">
        <is>
          <t>DALARNAS LÄN</t>
        </is>
      </c>
      <c r="E501" t="inlineStr">
        <is>
          <t>LUDVIKA</t>
        </is>
      </c>
      <c r="F501" t="inlineStr">
        <is>
          <t>Övriga Aktiebolag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52504-2025</t>
        </is>
      </c>
      <c r="B502" s="1" t="n">
        <v>45954</v>
      </c>
      <c r="C502" s="1" t="n">
        <v>46174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41158-2022</t>
        </is>
      </c>
      <c r="B503" s="1" t="n">
        <v>44825.88506944444</v>
      </c>
      <c r="C503" s="1" t="n">
        <v>46174</v>
      </c>
      <c r="D503" t="inlineStr">
        <is>
          <t>DALARNAS LÄN</t>
        </is>
      </c>
      <c r="E503" t="inlineStr">
        <is>
          <t>LUDVIKA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52427-2025</t>
        </is>
      </c>
      <c r="B504" s="1" t="n">
        <v>45954.38309027778</v>
      </c>
      <c r="C504" s="1" t="n">
        <v>46174</v>
      </c>
      <c r="D504" t="inlineStr">
        <is>
          <t>DALARNAS LÄN</t>
        </is>
      </c>
      <c r="E504" t="inlineStr">
        <is>
          <t>LUDVIKA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45402-2024</t>
        </is>
      </c>
      <c r="B505" s="1" t="n">
        <v>45576</v>
      </c>
      <c r="C505" s="1" t="n">
        <v>46174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52838-2025</t>
        </is>
      </c>
      <c r="B506" s="1" t="n">
        <v>45957</v>
      </c>
      <c r="C506" s="1" t="n">
        <v>46174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57803-2023</t>
        </is>
      </c>
      <c r="B507" s="1" t="n">
        <v>45246</v>
      </c>
      <c r="C507" s="1" t="n">
        <v>46174</v>
      </c>
      <c r="D507" t="inlineStr">
        <is>
          <t>DALARNAS LÄN</t>
        </is>
      </c>
      <c r="E507" t="inlineStr">
        <is>
          <t>LUDVIKA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52900-2025</t>
        </is>
      </c>
      <c r="B508" s="1" t="n">
        <v>45954</v>
      </c>
      <c r="C508" s="1" t="n">
        <v>46174</v>
      </c>
      <c r="D508" t="inlineStr">
        <is>
          <t>DALARNAS LÄN</t>
        </is>
      </c>
      <c r="E508" t="inlineStr">
        <is>
          <t>LUDVIKA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52912-2025</t>
        </is>
      </c>
      <c r="B509" s="1" t="n">
        <v>45954</v>
      </c>
      <c r="C509" s="1" t="n">
        <v>46174</v>
      </c>
      <c r="D509" t="inlineStr">
        <is>
          <t>DALARNAS LÄN</t>
        </is>
      </c>
      <c r="E509" t="inlineStr">
        <is>
          <t>LUDVIKA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43839-2023</t>
        </is>
      </c>
      <c r="B510" s="1" t="n">
        <v>45187.58707175926</v>
      </c>
      <c r="C510" s="1" t="n">
        <v>46174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58071-2024</t>
        </is>
      </c>
      <c r="B511" s="1" t="n">
        <v>45631.99221064815</v>
      </c>
      <c r="C511" s="1" t="n">
        <v>46174</v>
      </c>
      <c r="D511" t="inlineStr">
        <is>
          <t>DALARNAS LÄN</t>
        </is>
      </c>
      <c r="E511" t="inlineStr">
        <is>
          <t>LUDVIKA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52440-2025</t>
        </is>
      </c>
      <c r="B512" s="1" t="n">
        <v>45954.41153935185</v>
      </c>
      <c r="C512" s="1" t="n">
        <v>46174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18708-2023</t>
        </is>
      </c>
      <c r="B513" s="1" t="n">
        <v>45043</v>
      </c>
      <c r="C513" s="1" t="n">
        <v>46174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30113-2023</t>
        </is>
      </c>
      <c r="B514" s="1" t="n">
        <v>45110</v>
      </c>
      <c r="C514" s="1" t="n">
        <v>46174</v>
      </c>
      <c r="D514" t="inlineStr">
        <is>
          <t>DALARNAS LÄN</t>
        </is>
      </c>
      <c r="E514" t="inlineStr">
        <is>
          <t>LUDVIKA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21893-2025</t>
        </is>
      </c>
      <c r="B515" s="1" t="n">
        <v>45784.4484837963</v>
      </c>
      <c r="C515" s="1" t="n">
        <v>46174</v>
      </c>
      <c r="D515" t="inlineStr">
        <is>
          <t>DALARNAS LÄN</t>
        </is>
      </c>
      <c r="E515" t="inlineStr">
        <is>
          <t>LUDVIKA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53548-2025</t>
        </is>
      </c>
      <c r="B516" s="1" t="n">
        <v>45960</v>
      </c>
      <c r="C516" s="1" t="n">
        <v>46174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53558-2025</t>
        </is>
      </c>
      <c r="B517" s="1" t="n">
        <v>45960</v>
      </c>
      <c r="C517" s="1" t="n">
        <v>46174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14986-2024</t>
        </is>
      </c>
      <c r="B518" s="1" t="n">
        <v>45399.34371527778</v>
      </c>
      <c r="C518" s="1" t="n">
        <v>46174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15008-2024</t>
        </is>
      </c>
      <c r="B519" s="1" t="n">
        <v>45399.42689814815</v>
      </c>
      <c r="C519" s="1" t="n">
        <v>46174</v>
      </c>
      <c r="D519" t="inlineStr">
        <is>
          <t>DALARNAS LÄN</t>
        </is>
      </c>
      <c r="E519" t="inlineStr">
        <is>
          <t>LUDVIKA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25273-2022</t>
        </is>
      </c>
      <c r="B520" s="1" t="n">
        <v>44729.99359953704</v>
      </c>
      <c r="C520" s="1" t="n">
        <v>46174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60843-2024</t>
        </is>
      </c>
      <c r="B521" s="1" t="n">
        <v>45644.65412037037</v>
      </c>
      <c r="C521" s="1" t="n">
        <v>46174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53554-2025</t>
        </is>
      </c>
      <c r="B522" s="1" t="n">
        <v>45960</v>
      </c>
      <c r="C522" s="1" t="n">
        <v>46174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36294-2023</t>
        </is>
      </c>
      <c r="B523" s="1" t="n">
        <v>45152.35784722222</v>
      </c>
      <c r="C523" s="1" t="n">
        <v>46174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42421-2024</t>
        </is>
      </c>
      <c r="B524" s="1" t="n">
        <v>45565.38796296297</v>
      </c>
      <c r="C524" s="1" t="n">
        <v>46174</v>
      </c>
      <c r="D524" t="inlineStr">
        <is>
          <t>DALARNAS LÄN</t>
        </is>
      </c>
      <c r="E524" t="inlineStr">
        <is>
          <t>LUDVIKA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5673-2023</t>
        </is>
      </c>
      <c r="B525" s="1" t="n">
        <v>44960.65702546296</v>
      </c>
      <c r="C525" s="1" t="n">
        <v>46174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65104-2023</t>
        </is>
      </c>
      <c r="B526" s="1" t="n">
        <v>45288</v>
      </c>
      <c r="C526" s="1" t="n">
        <v>46174</v>
      </c>
      <c r="D526" t="inlineStr">
        <is>
          <t>DALARNAS LÄN</t>
        </is>
      </c>
      <c r="E526" t="inlineStr">
        <is>
          <t>LUDVIKA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46029-2025</t>
        </is>
      </c>
      <c r="B527" s="1" t="n">
        <v>45924.44282407407</v>
      </c>
      <c r="C527" s="1" t="n">
        <v>46174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53602-2023</t>
        </is>
      </c>
      <c r="B528" s="1" t="n">
        <v>45230.56142361111</v>
      </c>
      <c r="C528" s="1" t="n">
        <v>46174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54341-2025</t>
        </is>
      </c>
      <c r="B529" s="1" t="n">
        <v>45965.36070601852</v>
      </c>
      <c r="C529" s="1" t="n">
        <v>46174</v>
      </c>
      <c r="D529" t="inlineStr">
        <is>
          <t>DALARNAS LÄN</t>
        </is>
      </c>
      <c r="E529" t="inlineStr">
        <is>
          <t>LUDVIKA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46185-2024</t>
        </is>
      </c>
      <c r="B530" s="1" t="n">
        <v>45581</v>
      </c>
      <c r="C530" s="1" t="n">
        <v>46174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14881-2025</t>
        </is>
      </c>
      <c r="B531" s="1" t="n">
        <v>45743.4653587963</v>
      </c>
      <c r="C531" s="1" t="n">
        <v>46174</v>
      </c>
      <c r="D531" t="inlineStr">
        <is>
          <t>DALARNAS LÄN</t>
        </is>
      </c>
      <c r="E531" t="inlineStr">
        <is>
          <t>LUDVIKA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54375-2025</t>
        </is>
      </c>
      <c r="B532" s="1" t="n">
        <v>45965.42407407407</v>
      </c>
      <c r="C532" s="1" t="n">
        <v>46174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39772-2025</t>
        </is>
      </c>
      <c r="B533" s="1" t="n">
        <v>45891.45390046296</v>
      </c>
      <c r="C533" s="1" t="n">
        <v>46174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54035-2025</t>
        </is>
      </c>
      <c r="B534" s="1" t="n">
        <v>45963.40699074074</v>
      </c>
      <c r="C534" s="1" t="n">
        <v>46174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6975-2023</t>
        </is>
      </c>
      <c r="B535" s="1" t="n">
        <v>44967.64229166666</v>
      </c>
      <c r="C535" s="1" t="n">
        <v>46174</v>
      </c>
      <c r="D535" t="inlineStr">
        <is>
          <t>DALARNAS LÄN</t>
        </is>
      </c>
      <c r="E535" t="inlineStr">
        <is>
          <t>LUDVIKA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39828-2025</t>
        </is>
      </c>
      <c r="B536" s="1" t="n">
        <v>45891.55704861111</v>
      </c>
      <c r="C536" s="1" t="n">
        <v>46174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59050-2022</t>
        </is>
      </c>
      <c r="B537" s="1" t="n">
        <v>44903</v>
      </c>
      <c r="C537" s="1" t="n">
        <v>46174</v>
      </c>
      <c r="D537" t="inlineStr">
        <is>
          <t>DALARNAS LÄN</t>
        </is>
      </c>
      <c r="E537" t="inlineStr">
        <is>
          <t>LUDVIKA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54673-2025</t>
        </is>
      </c>
      <c r="B538" s="1" t="n">
        <v>45966.41693287037</v>
      </c>
      <c r="C538" s="1" t="n">
        <v>46174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45543-2024</t>
        </is>
      </c>
      <c r="B539" s="1" t="n">
        <v>45579.33577546296</v>
      </c>
      <c r="C539" s="1" t="n">
        <v>46174</v>
      </c>
      <c r="D539" t="inlineStr">
        <is>
          <t>DALARNAS LÄN</t>
        </is>
      </c>
      <c r="E539" t="inlineStr">
        <is>
          <t>LUDVIKA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45544-2024</t>
        </is>
      </c>
      <c r="B540" s="1" t="n">
        <v>45579.33912037037</v>
      </c>
      <c r="C540" s="1" t="n">
        <v>46174</v>
      </c>
      <c r="D540" t="inlineStr">
        <is>
          <t>DALARNAS LÄN</t>
        </is>
      </c>
      <c r="E540" t="inlineStr">
        <is>
          <t>LUDVIKA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45547-2024</t>
        </is>
      </c>
      <c r="B541" s="1" t="n">
        <v>45579.34377314815</v>
      </c>
      <c r="C541" s="1" t="n">
        <v>46174</v>
      </c>
      <c r="D541" t="inlineStr">
        <is>
          <t>DALARNAS LÄN</t>
        </is>
      </c>
      <c r="E541" t="inlineStr">
        <is>
          <t>LUDVIKA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52359-2024</t>
        </is>
      </c>
      <c r="B542" s="1" t="n">
        <v>45609.37012731482</v>
      </c>
      <c r="C542" s="1" t="n">
        <v>46174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42346-2025</t>
        </is>
      </c>
      <c r="B543" s="1" t="n">
        <v>45904.75224537037</v>
      </c>
      <c r="C543" s="1" t="n">
        <v>46174</v>
      </c>
      <c r="D543" t="inlineStr">
        <is>
          <t>DALARNAS LÄN</t>
        </is>
      </c>
      <c r="E543" t="inlineStr">
        <is>
          <t>LUDVIKA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21891-2025</t>
        </is>
      </c>
      <c r="B544" s="1" t="n">
        <v>45784</v>
      </c>
      <c r="C544" s="1" t="n">
        <v>46174</v>
      </c>
      <c r="D544" t="inlineStr">
        <is>
          <t>DALARNAS LÄN</t>
        </is>
      </c>
      <c r="E544" t="inlineStr">
        <is>
          <t>LUDVIKA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54089-2024</t>
        </is>
      </c>
      <c r="B545" s="1" t="n">
        <v>45616.50763888889</v>
      </c>
      <c r="C545" s="1" t="n">
        <v>46174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55450-2025</t>
        </is>
      </c>
      <c r="B546" s="1" t="n">
        <v>45971.50697916667</v>
      </c>
      <c r="C546" s="1" t="n">
        <v>46174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55559-2025</t>
        </is>
      </c>
      <c r="B547" s="1" t="n">
        <v>45971</v>
      </c>
      <c r="C547" s="1" t="n">
        <v>46174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55372-2025</t>
        </is>
      </c>
      <c r="B548" s="1" t="n">
        <v>45971.41719907407</v>
      </c>
      <c r="C548" s="1" t="n">
        <v>46174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33914-2023</t>
        </is>
      </c>
      <c r="B549" s="1" t="n">
        <v>45134.43274305556</v>
      </c>
      <c r="C549" s="1" t="n">
        <v>46174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55200-2025</t>
        </is>
      </c>
      <c r="B550" s="1" t="n">
        <v>45968</v>
      </c>
      <c r="C550" s="1" t="n">
        <v>46174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55211-2025</t>
        </is>
      </c>
      <c r="B551" s="1" t="n">
        <v>45968</v>
      </c>
      <c r="C551" s="1" t="n">
        <v>46174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55206-2025</t>
        </is>
      </c>
      <c r="B552" s="1" t="n">
        <v>45968</v>
      </c>
      <c r="C552" s="1" t="n">
        <v>46174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55554-2025</t>
        </is>
      </c>
      <c r="B553" s="1" t="n">
        <v>45971</v>
      </c>
      <c r="C553" s="1" t="n">
        <v>46174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55323-2025</t>
        </is>
      </c>
      <c r="B554" s="1" t="n">
        <v>45971</v>
      </c>
      <c r="C554" s="1" t="n">
        <v>46174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55422-2025</t>
        </is>
      </c>
      <c r="B555" s="1" t="n">
        <v>45971.47175925926</v>
      </c>
      <c r="C555" s="1" t="n">
        <v>46174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22325-2025</t>
        </is>
      </c>
      <c r="B556" s="1" t="n">
        <v>45786</v>
      </c>
      <c r="C556" s="1" t="n">
        <v>46174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55427-2025</t>
        </is>
      </c>
      <c r="B557" s="1" t="n">
        <v>45971</v>
      </c>
      <c r="C557" s="1" t="n">
        <v>46174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55409-2025</t>
        </is>
      </c>
      <c r="B558" s="1" t="n">
        <v>45971</v>
      </c>
      <c r="C558" s="1" t="n">
        <v>46174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55426-2025</t>
        </is>
      </c>
      <c r="B559" s="1" t="n">
        <v>45971.47452546296</v>
      </c>
      <c r="C559" s="1" t="n">
        <v>46174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55499-2025</t>
        </is>
      </c>
      <c r="B560" s="1" t="n">
        <v>45971</v>
      </c>
      <c r="C560" s="1" t="n">
        <v>46174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55151-2025</t>
        </is>
      </c>
      <c r="B561" s="1" t="n">
        <v>45968</v>
      </c>
      <c r="C561" s="1" t="n">
        <v>46174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60138-2023</t>
        </is>
      </c>
      <c r="B562" s="1" t="n">
        <v>45258.49928240741</v>
      </c>
      <c r="C562" s="1" t="n">
        <v>46174</v>
      </c>
      <c r="D562" t="inlineStr">
        <is>
          <t>DALARNAS LÄN</t>
        </is>
      </c>
      <c r="E562" t="inlineStr">
        <is>
          <t>LUDVIKA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46095-2024</t>
        </is>
      </c>
      <c r="B563" s="1" t="n">
        <v>45581.36174768519</v>
      </c>
      <c r="C563" s="1" t="n">
        <v>46174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41539-2024</t>
        </is>
      </c>
      <c r="B564" s="1" t="n">
        <v>45560.50243055556</v>
      </c>
      <c r="C564" s="1" t="n">
        <v>46174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55944-2025</t>
        </is>
      </c>
      <c r="B565" s="1" t="n">
        <v>45973</v>
      </c>
      <c r="C565" s="1" t="n">
        <v>46174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22328-2025</t>
        </is>
      </c>
      <c r="B566" s="1" t="n">
        <v>45786</v>
      </c>
      <c r="C566" s="1" t="n">
        <v>46174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56002-2025</t>
        </is>
      </c>
      <c r="B567" s="1" t="n">
        <v>45973</v>
      </c>
      <c r="C567" s="1" t="n">
        <v>46174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55972-2025</t>
        </is>
      </c>
      <c r="B568" s="1" t="n">
        <v>45973.499375</v>
      </c>
      <c r="C568" s="1" t="n">
        <v>46174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55974-2025</t>
        </is>
      </c>
      <c r="B569" s="1" t="n">
        <v>45973.50497685185</v>
      </c>
      <c r="C569" s="1" t="n">
        <v>46174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22594-2025</t>
        </is>
      </c>
      <c r="B570" s="1" t="n">
        <v>45789</v>
      </c>
      <c r="C570" s="1" t="n">
        <v>46174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22606-2025</t>
        </is>
      </c>
      <c r="B571" s="1" t="n">
        <v>45789</v>
      </c>
      <c r="C571" s="1" t="n">
        <v>46174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22610-2025</t>
        </is>
      </c>
      <c r="B572" s="1" t="n">
        <v>45789</v>
      </c>
      <c r="C572" s="1" t="n">
        <v>46174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50529-2024</t>
        </is>
      </c>
      <c r="B573" s="1" t="n">
        <v>45601.56384259259</v>
      </c>
      <c r="C573" s="1" t="n">
        <v>46174</v>
      </c>
      <c r="D573" t="inlineStr">
        <is>
          <t>DALARNAS LÄN</t>
        </is>
      </c>
      <c r="E573" t="inlineStr">
        <is>
          <t>LUDVIKA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35354-2024</t>
        </is>
      </c>
      <c r="B574" s="1" t="n">
        <v>45531.30974537037</v>
      </c>
      <c r="C574" s="1" t="n">
        <v>46174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55932-2025</t>
        </is>
      </c>
      <c r="B575" s="1" t="n">
        <v>45973</v>
      </c>
      <c r="C575" s="1" t="n">
        <v>46174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56030-2025</t>
        </is>
      </c>
      <c r="B576" s="1" t="n">
        <v>45973</v>
      </c>
      <c r="C576" s="1" t="n">
        <v>46174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55646-2025</t>
        </is>
      </c>
      <c r="B577" s="1" t="n">
        <v>45972</v>
      </c>
      <c r="C577" s="1" t="n">
        <v>46174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46093-2024</t>
        </is>
      </c>
      <c r="B578" s="1" t="n">
        <v>45581.35516203703</v>
      </c>
      <c r="C578" s="1" t="n">
        <v>46174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46107-2024</t>
        </is>
      </c>
      <c r="B579" s="1" t="n">
        <v>45581.37739583333</v>
      </c>
      <c r="C579" s="1" t="n">
        <v>46174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48615-2023</t>
        </is>
      </c>
      <c r="B580" s="1" t="n">
        <v>45208</v>
      </c>
      <c r="C580" s="1" t="n">
        <v>46174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56178-2025</t>
        </is>
      </c>
      <c r="B581" s="1" t="n">
        <v>45974</v>
      </c>
      <c r="C581" s="1" t="n">
        <v>46174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18357-2026</t>
        </is>
      </c>
      <c r="B582" s="1" t="n">
        <v>46126</v>
      </c>
      <c r="C582" s="1" t="n">
        <v>46174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56650-2025</t>
        </is>
      </c>
      <c r="B583" s="1" t="n">
        <v>45975</v>
      </c>
      <c r="C583" s="1" t="n">
        <v>46174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56316-2025</t>
        </is>
      </c>
      <c r="B584" s="1" t="n">
        <v>45974</v>
      </c>
      <c r="C584" s="1" t="n">
        <v>46174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56219-2025</t>
        </is>
      </c>
      <c r="B585" s="1" t="n">
        <v>45974</v>
      </c>
      <c r="C585" s="1" t="n">
        <v>46174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23871-2026</t>
        </is>
      </c>
      <c r="B586" s="1" t="n">
        <v>46167.430625</v>
      </c>
      <c r="C586" s="1" t="n">
        <v>46174</v>
      </c>
      <c r="D586" t="inlineStr">
        <is>
          <t>DALARNAS LÄN</t>
        </is>
      </c>
      <c r="E586" t="inlineStr">
        <is>
          <t>LUDVIKA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24021-2026</t>
        </is>
      </c>
      <c r="B587" s="1" t="n">
        <v>46167.67296296296</v>
      </c>
      <c r="C587" s="1" t="n">
        <v>46174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50240-2024</t>
        </is>
      </c>
      <c r="B588" s="1" t="n">
        <v>45600.56336805555</v>
      </c>
      <c r="C588" s="1" t="n">
        <v>46174</v>
      </c>
      <c r="D588" t="inlineStr">
        <is>
          <t>DALARNAS LÄN</t>
        </is>
      </c>
      <c r="E588" t="inlineStr">
        <is>
          <t>LUDVIKA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22801-2025</t>
        </is>
      </c>
      <c r="B589" s="1" t="n">
        <v>45789.66861111111</v>
      </c>
      <c r="C589" s="1" t="n">
        <v>46174</v>
      </c>
      <c r="D589" t="inlineStr">
        <is>
          <t>DALARNAS LÄN</t>
        </is>
      </c>
      <c r="E589" t="inlineStr">
        <is>
          <t>LUDVIKA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56155-2025</t>
        </is>
      </c>
      <c r="B590" s="1" t="n">
        <v>45974</v>
      </c>
      <c r="C590" s="1" t="n">
        <v>46174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37586-2024</t>
        </is>
      </c>
      <c r="B591" s="1" t="n">
        <v>45541.46269675926</v>
      </c>
      <c r="C591" s="1" t="n">
        <v>46174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56641-2025</t>
        </is>
      </c>
      <c r="B592" s="1" t="n">
        <v>45975</v>
      </c>
      <c r="C592" s="1" t="n">
        <v>46174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55551-2024</t>
        </is>
      </c>
      <c r="B593" s="1" t="n">
        <v>45622.51221064815</v>
      </c>
      <c r="C593" s="1" t="n">
        <v>46174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56249-2025</t>
        </is>
      </c>
      <c r="B594" s="1" t="n">
        <v>45974</v>
      </c>
      <c r="C594" s="1" t="n">
        <v>46174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18355-2026</t>
        </is>
      </c>
      <c r="B595" s="1" t="n">
        <v>46126</v>
      </c>
      <c r="C595" s="1" t="n">
        <v>46174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43702-2024</t>
        </is>
      </c>
      <c r="B596" s="1" t="n">
        <v>45569.59144675926</v>
      </c>
      <c r="C596" s="1" t="n">
        <v>46174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18362-2026</t>
        </is>
      </c>
      <c r="B597" s="1" t="n">
        <v>46126</v>
      </c>
      <c r="C597" s="1" t="n">
        <v>46174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24682-2026</t>
        </is>
      </c>
      <c r="B598" s="1" t="n">
        <v>46171.46090277778</v>
      </c>
      <c r="C598" s="1" t="n">
        <v>46174</v>
      </c>
      <c r="D598" t="inlineStr">
        <is>
          <t>DALARNAS LÄN</t>
        </is>
      </c>
      <c r="E598" t="inlineStr">
        <is>
          <t>LUDVIKA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24768-2026</t>
        </is>
      </c>
      <c r="B599" s="1" t="n">
        <v>46171.63371527778</v>
      </c>
      <c r="C599" s="1" t="n">
        <v>46174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29882-2024</t>
        </is>
      </c>
      <c r="B600" s="1" t="n">
        <v>45486</v>
      </c>
      <c r="C600" s="1" t="n">
        <v>46174</v>
      </c>
      <c r="D600" t="inlineStr">
        <is>
          <t>DALARNAS LÄN</t>
        </is>
      </c>
      <c r="E600" t="inlineStr">
        <is>
          <t>LUDVIKA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30844-2024</t>
        </is>
      </c>
      <c r="B601" s="1" t="n">
        <v>45497</v>
      </c>
      <c r="C601" s="1" t="n">
        <v>46174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22330-2025</t>
        </is>
      </c>
      <c r="B602" s="1" t="n">
        <v>45786</v>
      </c>
      <c r="C602" s="1" t="n">
        <v>46174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24712-2024</t>
        </is>
      </c>
      <c r="B603" s="1" t="n">
        <v>45460.62337962963</v>
      </c>
      <c r="C603" s="1" t="n">
        <v>46174</v>
      </c>
      <c r="D603" t="inlineStr">
        <is>
          <t>DALARNAS LÄN</t>
        </is>
      </c>
      <c r="E603" t="inlineStr">
        <is>
          <t>LUDVIKA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22599-2025</t>
        </is>
      </c>
      <c r="B604" s="1" t="n">
        <v>45789</v>
      </c>
      <c r="C604" s="1" t="n">
        <v>46174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24776-2026</t>
        </is>
      </c>
      <c r="B605" s="1" t="n">
        <v>46171.64841435185</v>
      </c>
      <c r="C605" s="1" t="n">
        <v>46174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57832-2025</t>
        </is>
      </c>
      <c r="B606" s="1" t="n">
        <v>45981</v>
      </c>
      <c r="C606" s="1" t="n">
        <v>46174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23082-2025</t>
        </is>
      </c>
      <c r="B607" s="1" t="n">
        <v>45791</v>
      </c>
      <c r="C607" s="1" t="n">
        <v>46174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23088-2025</t>
        </is>
      </c>
      <c r="B608" s="1" t="n">
        <v>45791.34212962963</v>
      </c>
      <c r="C608" s="1" t="n">
        <v>46174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18668-2026</t>
        </is>
      </c>
      <c r="B609" s="1" t="n">
        <v>46128.36306712963</v>
      </c>
      <c r="C609" s="1" t="n">
        <v>46174</v>
      </c>
      <c r="D609" t="inlineStr">
        <is>
          <t>DALARNAS LÄN</t>
        </is>
      </c>
      <c r="E609" t="inlineStr">
        <is>
          <t>LUDVIKA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23103-2025</t>
        </is>
      </c>
      <c r="B610" s="1" t="n">
        <v>45791</v>
      </c>
      <c r="C610" s="1" t="n">
        <v>46174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23105-2025</t>
        </is>
      </c>
      <c r="B611" s="1" t="n">
        <v>45791</v>
      </c>
      <c r="C611" s="1" t="n">
        <v>46174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57435-2025</t>
        </is>
      </c>
      <c r="B612" s="1" t="n">
        <v>45980</v>
      </c>
      <c r="C612" s="1" t="n">
        <v>46174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57870-2025</t>
        </is>
      </c>
      <c r="B613" s="1" t="n">
        <v>45981</v>
      </c>
      <c r="C613" s="1" t="n">
        <v>46174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24693-2026</t>
        </is>
      </c>
      <c r="B614" s="1" t="n">
        <v>46171.48567129629</v>
      </c>
      <c r="C614" s="1" t="n">
        <v>46174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18829-2026</t>
        </is>
      </c>
      <c r="B615" s="1" t="n">
        <v>46128.85106481481</v>
      </c>
      <c r="C615" s="1" t="n">
        <v>46174</v>
      </c>
      <c r="D615" t="inlineStr">
        <is>
          <t>DALARNAS LÄN</t>
        </is>
      </c>
      <c r="E615" t="inlineStr">
        <is>
          <t>LUDVIKA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34280-2024</t>
        </is>
      </c>
      <c r="B616" s="1" t="n">
        <v>45524.62398148148</v>
      </c>
      <c r="C616" s="1" t="n">
        <v>46174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36066-2024</t>
        </is>
      </c>
      <c r="B617" s="1" t="n">
        <v>45533.64466435185</v>
      </c>
      <c r="C617" s="1" t="n">
        <v>46174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23086-2025</t>
        </is>
      </c>
      <c r="B618" s="1" t="n">
        <v>45791</v>
      </c>
      <c r="C618" s="1" t="n">
        <v>46174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22850-2025</t>
        </is>
      </c>
      <c r="B619" s="1" t="n">
        <v>45790.34148148148</v>
      </c>
      <c r="C619" s="1" t="n">
        <v>46174</v>
      </c>
      <c r="D619" t="inlineStr">
        <is>
          <t>DALARNAS LÄN</t>
        </is>
      </c>
      <c r="E619" t="inlineStr">
        <is>
          <t>LUDVIKA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47233-2024</t>
        </is>
      </c>
      <c r="B620" s="1" t="n">
        <v>45586.68033564815</v>
      </c>
      <c r="C620" s="1" t="n">
        <v>46174</v>
      </c>
      <c r="D620" t="inlineStr">
        <is>
          <t>DALARNAS LÄN</t>
        </is>
      </c>
      <c r="E620" t="inlineStr">
        <is>
          <t>LUDVIKA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22686-2025</t>
        </is>
      </c>
      <c r="B621" s="1" t="n">
        <v>45786</v>
      </c>
      <c r="C621" s="1" t="n">
        <v>46174</v>
      </c>
      <c r="D621" t="inlineStr">
        <is>
          <t>DALARNAS LÄN</t>
        </is>
      </c>
      <c r="E621" t="inlineStr">
        <is>
          <t>LUDVIKA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42985-2025</t>
        </is>
      </c>
      <c r="B622" s="1" t="n">
        <v>45909.44322916667</v>
      </c>
      <c r="C622" s="1" t="n">
        <v>46174</v>
      </c>
      <c r="D622" t="inlineStr">
        <is>
          <t>DALARNAS LÄN</t>
        </is>
      </c>
      <c r="E622" t="inlineStr">
        <is>
          <t>LUDVIKA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59439-2025</t>
        </is>
      </c>
      <c r="B623" s="1" t="n">
        <v>45989</v>
      </c>
      <c r="C623" s="1" t="n">
        <v>46174</v>
      </c>
      <c r="D623" t="inlineStr">
        <is>
          <t>DALARNAS LÄN</t>
        </is>
      </c>
      <c r="E623" t="inlineStr">
        <is>
          <t>LUDVIKA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59171-2025</t>
        </is>
      </c>
      <c r="B624" s="1" t="n">
        <v>45988</v>
      </c>
      <c r="C624" s="1" t="n">
        <v>46174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47086-2025</t>
        </is>
      </c>
      <c r="B625" s="1" t="n">
        <v>45929.6437962963</v>
      </c>
      <c r="C625" s="1" t="n">
        <v>46174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47032-2025</t>
        </is>
      </c>
      <c r="B626" s="1" t="n">
        <v>45929.59041666667</v>
      </c>
      <c r="C626" s="1" t="n">
        <v>46174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23521-2025</t>
        </is>
      </c>
      <c r="B627" s="1" t="n">
        <v>45792</v>
      </c>
      <c r="C627" s="1" t="n">
        <v>46174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59518-2025</t>
        </is>
      </c>
      <c r="B628" s="1" t="n">
        <v>45989</v>
      </c>
      <c r="C628" s="1" t="n">
        <v>46174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59528-2025</t>
        </is>
      </c>
      <c r="B629" s="1" t="n">
        <v>45989</v>
      </c>
      <c r="C629" s="1" t="n">
        <v>46174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20449-2025</t>
        </is>
      </c>
      <c r="B630" s="1" t="n">
        <v>45775</v>
      </c>
      <c r="C630" s="1" t="n">
        <v>46174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38921-2025</t>
        </is>
      </c>
      <c r="B631" s="1" t="n">
        <v>45887.62774305556</v>
      </c>
      <c r="C631" s="1" t="n">
        <v>46174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39833-2025</t>
        </is>
      </c>
      <c r="B632" s="1" t="n">
        <v>45891.56180555555</v>
      </c>
      <c r="C632" s="1" t="n">
        <v>46174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61278-2022</t>
        </is>
      </c>
      <c r="B633" s="1" t="n">
        <v>44915.6166087963</v>
      </c>
      <c r="C633" s="1" t="n">
        <v>46174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59176-2025</t>
        </is>
      </c>
      <c r="B634" s="1" t="n">
        <v>45988</v>
      </c>
      <c r="C634" s="1" t="n">
        <v>46174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59186-2025</t>
        </is>
      </c>
      <c r="B635" s="1" t="n">
        <v>45988</v>
      </c>
      <c r="C635" s="1" t="n">
        <v>46174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19677-2025</t>
        </is>
      </c>
      <c r="B636" s="1" t="n">
        <v>45770.75799768518</v>
      </c>
      <c r="C636" s="1" t="n">
        <v>46174</v>
      </c>
      <c r="D636" t="inlineStr">
        <is>
          <t>DALARNAS LÄN</t>
        </is>
      </c>
      <c r="E636" t="inlineStr">
        <is>
          <t>LUDVIKA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23137-2025</t>
        </is>
      </c>
      <c r="B637" s="1" t="n">
        <v>45791.39229166666</v>
      </c>
      <c r="C637" s="1" t="n">
        <v>46174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59444-2025</t>
        </is>
      </c>
      <c r="B638" s="1" t="n">
        <v>45989</v>
      </c>
      <c r="C638" s="1" t="n">
        <v>46174</v>
      </c>
      <c r="D638" t="inlineStr">
        <is>
          <t>DALARNAS LÄN</t>
        </is>
      </c>
      <c r="E638" t="inlineStr">
        <is>
          <t>LUDVIKA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24081-2025</t>
        </is>
      </c>
      <c r="B639" s="1" t="n">
        <v>45796.5571875</v>
      </c>
      <c r="C639" s="1" t="n">
        <v>46174</v>
      </c>
      <c r="D639" t="inlineStr">
        <is>
          <t>DALARNAS LÄN</t>
        </is>
      </c>
      <c r="E639" t="inlineStr">
        <is>
          <t>LUDVIKA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59435-2025</t>
        </is>
      </c>
      <c r="B640" s="1" t="n">
        <v>45989</v>
      </c>
      <c r="C640" s="1" t="n">
        <v>46174</v>
      </c>
      <c r="D640" t="inlineStr">
        <is>
          <t>DALARNAS LÄN</t>
        </is>
      </c>
      <c r="E640" t="inlineStr">
        <is>
          <t>LUDVIKA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59530-2025</t>
        </is>
      </c>
      <c r="B641" s="1" t="n">
        <v>45989</v>
      </c>
      <c r="C641" s="1" t="n">
        <v>46174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23097-2025</t>
        </is>
      </c>
      <c r="B642" s="1" t="n">
        <v>45791.3471875</v>
      </c>
      <c r="C642" s="1" t="n">
        <v>46174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59089-2025</t>
        </is>
      </c>
      <c r="B643" s="1" t="n">
        <v>45988.44615740741</v>
      </c>
      <c r="C643" s="1" t="n">
        <v>46174</v>
      </c>
      <c r="D643" t="inlineStr">
        <is>
          <t>DALARNAS LÄN</t>
        </is>
      </c>
      <c r="E643" t="inlineStr">
        <is>
          <t>LUDVIKA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HYPERLINK("https://klasma.github.io/Logging_2085/knärot/A 59089-2025 karta knärot.png", "A 59089-2025")</f>
        <v/>
      </c>
      <c r="V643">
        <f>HYPERLINK("https://klasma.github.io/Logging_2085/klagomål/A 59089-2025 FSC-klagomål.docx", "A 59089-2025")</f>
        <v/>
      </c>
      <c r="W643">
        <f>HYPERLINK("https://klasma.github.io/Logging_2085/klagomålsmail/A 59089-2025 FSC-klagomål mail.docx", "A 59089-2025")</f>
        <v/>
      </c>
      <c r="X643">
        <f>HYPERLINK("https://klasma.github.io/Logging_2085/tillsyn/A 59089-2025 tillsynsbegäran.docx", "A 59089-2025")</f>
        <v/>
      </c>
      <c r="Y643">
        <f>HYPERLINK("https://klasma.github.io/Logging_2085/tillsynsmail/A 59089-2025 tillsynsbegäran mail.docx", "A 59089-2025")</f>
        <v/>
      </c>
    </row>
    <row r="644" ht="15" customHeight="1">
      <c r="A644" t="inlineStr">
        <is>
          <t>A 60002-2025</t>
        </is>
      </c>
      <c r="B644" s="1" t="n">
        <v>45993</v>
      </c>
      <c r="C644" s="1" t="n">
        <v>46174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23443-2024</t>
        </is>
      </c>
      <c r="B645" s="1" t="n">
        <v>45453</v>
      </c>
      <c r="C645" s="1" t="n">
        <v>46174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37549-2024</t>
        </is>
      </c>
      <c r="B646" s="1" t="n">
        <v>45541.43202546296</v>
      </c>
      <c r="C646" s="1" t="n">
        <v>46174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20642-2025</t>
        </is>
      </c>
      <c r="B647" s="1" t="n">
        <v>45776.37806712963</v>
      </c>
      <c r="C647" s="1" t="n">
        <v>46174</v>
      </c>
      <c r="D647" t="inlineStr">
        <is>
          <t>DALARNAS LÄN</t>
        </is>
      </c>
      <c r="E647" t="inlineStr">
        <is>
          <t>LUDVIKA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23111-2025</t>
        </is>
      </c>
      <c r="B648" s="1" t="n">
        <v>45791.36640046296</v>
      </c>
      <c r="C648" s="1" t="n">
        <v>46174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24027-2025</t>
        </is>
      </c>
      <c r="B649" s="1" t="n">
        <v>45796</v>
      </c>
      <c r="C649" s="1" t="n">
        <v>46174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60005-2025</t>
        </is>
      </c>
      <c r="B650" s="1" t="n">
        <v>45993</v>
      </c>
      <c r="C650" s="1" t="n">
        <v>46174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24783-2025</t>
        </is>
      </c>
      <c r="B651" s="1" t="n">
        <v>45799</v>
      </c>
      <c r="C651" s="1" t="n">
        <v>46174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24789-2025</t>
        </is>
      </c>
      <c r="B652" s="1" t="n">
        <v>45799</v>
      </c>
      <c r="C652" s="1" t="n">
        <v>46174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23117-2025</t>
        </is>
      </c>
      <c r="B653" s="1" t="n">
        <v>45791.37006944444</v>
      </c>
      <c r="C653" s="1" t="n">
        <v>46174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23139-2025</t>
        </is>
      </c>
      <c r="B654" s="1" t="n">
        <v>45791.3942824074</v>
      </c>
      <c r="C654" s="1" t="n">
        <v>46174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24628-2025</t>
        </is>
      </c>
      <c r="B655" s="1" t="n">
        <v>45798.59552083333</v>
      </c>
      <c r="C655" s="1" t="n">
        <v>46174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60454-2025</t>
        </is>
      </c>
      <c r="B656" s="1" t="n">
        <v>45995.51628472222</v>
      </c>
      <c r="C656" s="1" t="n">
        <v>46174</v>
      </c>
      <c r="D656" t="inlineStr">
        <is>
          <t>DALARNAS LÄN</t>
        </is>
      </c>
      <c r="E656" t="inlineStr">
        <is>
          <t>LUDVIKA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60455-2025</t>
        </is>
      </c>
      <c r="B657" s="1" t="n">
        <v>45995.51954861111</v>
      </c>
      <c r="C657" s="1" t="n">
        <v>46174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60452-2025</t>
        </is>
      </c>
      <c r="B658" s="1" t="n">
        <v>45995.50630787037</v>
      </c>
      <c r="C658" s="1" t="n">
        <v>46174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24848-2025</t>
        </is>
      </c>
      <c r="B659" s="1" t="n">
        <v>45799</v>
      </c>
      <c r="C659" s="1" t="n">
        <v>46174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24939-2025</t>
        </is>
      </c>
      <c r="B660" s="1" t="n">
        <v>45799</v>
      </c>
      <c r="C660" s="1" t="n">
        <v>46174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30977-2024</t>
        </is>
      </c>
      <c r="B661" s="1" t="n">
        <v>45499</v>
      </c>
      <c r="C661" s="1" t="n">
        <v>46174</v>
      </c>
      <c r="D661" t="inlineStr">
        <is>
          <t>DALARNAS LÄN</t>
        </is>
      </c>
      <c r="E661" t="inlineStr">
        <is>
          <t>LUDVIKA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25004-2025</t>
        </is>
      </c>
      <c r="B662" s="1" t="n">
        <v>45799</v>
      </c>
      <c r="C662" s="1" t="n">
        <v>46174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24697-2025</t>
        </is>
      </c>
      <c r="B663" s="1" t="n">
        <v>45798</v>
      </c>
      <c r="C663" s="1" t="n">
        <v>46174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61502-2025</t>
        </is>
      </c>
      <c r="B664" s="1" t="n">
        <v>46001.66116898148</v>
      </c>
      <c r="C664" s="1" t="n">
        <v>46174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24696-2025</t>
        </is>
      </c>
      <c r="B665" s="1" t="n">
        <v>45798</v>
      </c>
      <c r="C665" s="1" t="n">
        <v>46174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25619-2025</t>
        </is>
      </c>
      <c r="B666" s="1" t="n">
        <v>45803</v>
      </c>
      <c r="C666" s="1" t="n">
        <v>46174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25644-2025</t>
        </is>
      </c>
      <c r="B667" s="1" t="n">
        <v>45803</v>
      </c>
      <c r="C667" s="1" t="n">
        <v>46174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25627-2025</t>
        </is>
      </c>
      <c r="B668" s="1" t="n">
        <v>45803</v>
      </c>
      <c r="C668" s="1" t="n">
        <v>46174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25140-2025</t>
        </is>
      </c>
      <c r="B669" s="1" t="n">
        <v>45800</v>
      </c>
      <c r="C669" s="1" t="n">
        <v>46174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61505-2025</t>
        </is>
      </c>
      <c r="B670" s="1" t="n">
        <v>46001.66863425926</v>
      </c>
      <c r="C670" s="1" t="n">
        <v>46174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61473-2025</t>
        </is>
      </c>
      <c r="B671" s="1" t="n">
        <v>46001.61622685185</v>
      </c>
      <c r="C671" s="1" t="n">
        <v>46174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25133-2025</t>
        </is>
      </c>
      <c r="B672" s="1" t="n">
        <v>45800</v>
      </c>
      <c r="C672" s="1" t="n">
        <v>46174</v>
      </c>
      <c r="D672" t="inlineStr">
        <is>
          <t>DALARNAS LÄN</t>
        </is>
      </c>
      <c r="E672" t="inlineStr">
        <is>
          <t>LUDVIKA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25277-2025</t>
        </is>
      </c>
      <c r="B673" s="1" t="n">
        <v>45800</v>
      </c>
      <c r="C673" s="1" t="n">
        <v>46174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25113-2025</t>
        </is>
      </c>
      <c r="B674" s="1" t="n">
        <v>45800</v>
      </c>
      <c r="C674" s="1" t="n">
        <v>46174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25235-2025</t>
        </is>
      </c>
      <c r="B675" s="1" t="n">
        <v>45800</v>
      </c>
      <c r="C675" s="1" t="n">
        <v>46174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25150-2025</t>
        </is>
      </c>
      <c r="B676" s="1" t="n">
        <v>45800</v>
      </c>
      <c r="C676" s="1" t="n">
        <v>46174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25157-2025</t>
        </is>
      </c>
      <c r="B677" s="1" t="n">
        <v>45800</v>
      </c>
      <c r="C677" s="1" t="n">
        <v>46174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62367-2025</t>
        </is>
      </c>
      <c r="B678" s="1" t="n">
        <v>46007</v>
      </c>
      <c r="C678" s="1" t="n">
        <v>46174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49166-2025</t>
        </is>
      </c>
      <c r="B679" s="1" t="n">
        <v>45938.36746527778</v>
      </c>
      <c r="C679" s="1" t="n">
        <v>46174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62561-2025</t>
        </is>
      </c>
      <c r="B680" s="1" t="n">
        <v>46007.69107638889</v>
      </c>
      <c r="C680" s="1" t="n">
        <v>46174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62695-2025</t>
        </is>
      </c>
      <c r="B681" s="1" t="n">
        <v>46008</v>
      </c>
      <c r="C681" s="1" t="n">
        <v>46174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62706-2025</t>
        </is>
      </c>
      <c r="B682" s="1" t="n">
        <v>46008</v>
      </c>
      <c r="C682" s="1" t="n">
        <v>46174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26150-2025</t>
        </is>
      </c>
      <c r="B683" s="1" t="n">
        <v>45805</v>
      </c>
      <c r="C683" s="1" t="n">
        <v>46174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62930-2025</t>
        </is>
      </c>
      <c r="B684" s="1" t="n">
        <v>46009</v>
      </c>
      <c r="C684" s="1" t="n">
        <v>46174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62945-2025</t>
        </is>
      </c>
      <c r="B685" s="1" t="n">
        <v>46009.44271990741</v>
      </c>
      <c r="C685" s="1" t="n">
        <v>46174</v>
      </c>
      <c r="D685" t="inlineStr">
        <is>
          <t>DALARNAS LÄN</t>
        </is>
      </c>
      <c r="E685" t="inlineStr">
        <is>
          <t>LUDVIKA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62845-2025</t>
        </is>
      </c>
      <c r="B686" s="1" t="n">
        <v>46008.69476851852</v>
      </c>
      <c r="C686" s="1" t="n">
        <v>46174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62688-2025</t>
        </is>
      </c>
      <c r="B687" s="1" t="n">
        <v>46008</v>
      </c>
      <c r="C687" s="1" t="n">
        <v>46174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26320-2025</t>
        </is>
      </c>
      <c r="B688" s="1" t="n">
        <v>45805.65954861111</v>
      </c>
      <c r="C688" s="1" t="n">
        <v>46174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62838-2025</t>
        </is>
      </c>
      <c r="B689" s="1" t="n">
        <v>46008</v>
      </c>
      <c r="C689" s="1" t="n">
        <v>46174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26433-2025</t>
        </is>
      </c>
      <c r="B690" s="1" t="n">
        <v>45807.39702546296</v>
      </c>
      <c r="C690" s="1" t="n">
        <v>46174</v>
      </c>
      <c r="D690" t="inlineStr">
        <is>
          <t>DALARNAS LÄN</t>
        </is>
      </c>
      <c r="E690" t="inlineStr">
        <is>
          <t>LUDVIKA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62824-2025</t>
        </is>
      </c>
      <c r="B691" s="1" t="n">
        <v>46008</v>
      </c>
      <c r="C691" s="1" t="n">
        <v>46174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62842-2025</t>
        </is>
      </c>
      <c r="B692" s="1" t="n">
        <v>46008.69097222222</v>
      </c>
      <c r="C692" s="1" t="n">
        <v>46174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62704-2025</t>
        </is>
      </c>
      <c r="B693" s="1" t="n">
        <v>46008</v>
      </c>
      <c r="C693" s="1" t="n">
        <v>46174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26942-2025</t>
        </is>
      </c>
      <c r="B694" s="1" t="n">
        <v>45811.42434027778</v>
      </c>
      <c r="C694" s="1" t="n">
        <v>46174</v>
      </c>
      <c r="D694" t="inlineStr">
        <is>
          <t>DALARNAS LÄN</t>
        </is>
      </c>
      <c r="E694" t="inlineStr">
        <is>
          <t>LUDVIKA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26698-2025</t>
        </is>
      </c>
      <c r="B695" s="1" t="n">
        <v>45810.44368055555</v>
      </c>
      <c r="C695" s="1" t="n">
        <v>46174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63299-2025</t>
        </is>
      </c>
      <c r="B696" s="1" t="n">
        <v>46010.60270833333</v>
      </c>
      <c r="C696" s="1" t="n">
        <v>46174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63215-2025</t>
        </is>
      </c>
      <c r="B697" s="1" t="n">
        <v>46010</v>
      </c>
      <c r="C697" s="1" t="n">
        <v>46174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26719-2025</t>
        </is>
      </c>
      <c r="B698" s="1" t="n">
        <v>45810</v>
      </c>
      <c r="C698" s="1" t="n">
        <v>46174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63117-2025</t>
        </is>
      </c>
      <c r="B699" s="1" t="n">
        <v>46009.77938657408</v>
      </c>
      <c r="C699" s="1" t="n">
        <v>46174</v>
      </c>
      <c r="D699" t="inlineStr">
        <is>
          <t>DALARNAS LÄN</t>
        </is>
      </c>
      <c r="E699" t="inlineStr">
        <is>
          <t>LUDVIKA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63222-2025</t>
        </is>
      </c>
      <c r="B700" s="1" t="n">
        <v>46010</v>
      </c>
      <c r="C700" s="1" t="n">
        <v>46174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26794-2025</t>
        </is>
      </c>
      <c r="B701" s="1" t="n">
        <v>45810.59527777778</v>
      </c>
      <c r="C701" s="1" t="n">
        <v>46174</v>
      </c>
      <c r="D701" t="inlineStr">
        <is>
          <t>DALARNAS LÄN</t>
        </is>
      </c>
      <c r="E701" t="inlineStr">
        <is>
          <t>LUDVIKA</t>
        </is>
      </c>
      <c r="F701" t="inlineStr">
        <is>
          <t>Kommuner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26628-2025</t>
        </is>
      </c>
      <c r="B702" s="1" t="n">
        <v>45810.34362268518</v>
      </c>
      <c r="C702" s="1" t="n">
        <v>46174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43700-2024</t>
        </is>
      </c>
      <c r="B703" s="1" t="n">
        <v>45569.59005787037</v>
      </c>
      <c r="C703" s="1" t="n">
        <v>46174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27021-2025</t>
        </is>
      </c>
      <c r="B704" s="1" t="n">
        <v>45811.57329861111</v>
      </c>
      <c r="C704" s="1" t="n">
        <v>46174</v>
      </c>
      <c r="D704" t="inlineStr">
        <is>
          <t>DALARNAS LÄN</t>
        </is>
      </c>
      <c r="E704" t="inlineStr">
        <is>
          <t>LUDVIKA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64100-2025</t>
        </is>
      </c>
      <c r="B705" s="1" t="n">
        <v>46021</v>
      </c>
      <c r="C705" s="1" t="n">
        <v>46174</v>
      </c>
      <c r="D705" t="inlineStr">
        <is>
          <t>DALARNAS LÄN</t>
        </is>
      </c>
      <c r="E705" t="inlineStr">
        <is>
          <t>LUDVIKA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27506-2025</t>
        </is>
      </c>
      <c r="B706" s="1" t="n">
        <v>45813</v>
      </c>
      <c r="C706" s="1" t="n">
        <v>46174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27616-2025</t>
        </is>
      </c>
      <c r="B707" s="1" t="n">
        <v>45813</v>
      </c>
      <c r="C707" s="1" t="n">
        <v>46174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27448-2025</t>
        </is>
      </c>
      <c r="B708" s="1" t="n">
        <v>45813</v>
      </c>
      <c r="C708" s="1" t="n">
        <v>46174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27525-2025</t>
        </is>
      </c>
      <c r="B709" s="1" t="n">
        <v>45813</v>
      </c>
      <c r="C709" s="1" t="n">
        <v>46174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27435-2025</t>
        </is>
      </c>
      <c r="B710" s="1" t="n">
        <v>45813</v>
      </c>
      <c r="C710" s="1" t="n">
        <v>46174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27532-2025</t>
        </is>
      </c>
      <c r="B711" s="1" t="n">
        <v>45813</v>
      </c>
      <c r="C711" s="1" t="n">
        <v>46174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661-2026</t>
        </is>
      </c>
      <c r="B712" s="1" t="n">
        <v>46029.58525462963</v>
      </c>
      <c r="C712" s="1" t="n">
        <v>46174</v>
      </c>
      <c r="D712" t="inlineStr">
        <is>
          <t>DALARNAS LÄN</t>
        </is>
      </c>
      <c r="E712" t="inlineStr">
        <is>
          <t>LUDVIKA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990-2026</t>
        </is>
      </c>
      <c r="B713" s="1" t="n">
        <v>46030</v>
      </c>
      <c r="C713" s="1" t="n">
        <v>46174</v>
      </c>
      <c r="D713" t="inlineStr">
        <is>
          <t>DALARNAS LÄN</t>
        </is>
      </c>
      <c r="E713" t="inlineStr">
        <is>
          <t>LUDVIKA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28435-2025</t>
        </is>
      </c>
      <c r="B714" s="1" t="n">
        <v>45819</v>
      </c>
      <c r="C714" s="1" t="n">
        <v>46174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28737-2025</t>
        </is>
      </c>
      <c r="B715" s="1" t="n">
        <v>45820.38174768518</v>
      </c>
      <c r="C715" s="1" t="n">
        <v>46174</v>
      </c>
      <c r="D715" t="inlineStr">
        <is>
          <t>DALARNAS LÄN</t>
        </is>
      </c>
      <c r="E715" t="inlineStr">
        <is>
          <t>LUDVIKA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29578-2025</t>
        </is>
      </c>
      <c r="B716" s="1" t="n">
        <v>45825.37844907407</v>
      </c>
      <c r="C716" s="1" t="n">
        <v>46174</v>
      </c>
      <c r="D716" t="inlineStr">
        <is>
          <t>DALARNAS LÄN</t>
        </is>
      </c>
      <c r="E716" t="inlineStr">
        <is>
          <t>LUDVIKA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29443-2025</t>
        </is>
      </c>
      <c r="B717" s="1" t="n">
        <v>45824.66146990741</v>
      </c>
      <c r="C717" s="1" t="n">
        <v>46174</v>
      </c>
      <c r="D717" t="inlineStr">
        <is>
          <t>DALARNAS LÄN</t>
        </is>
      </c>
      <c r="E717" t="inlineStr">
        <is>
          <t>LUDVIKA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2890-2026</t>
        </is>
      </c>
      <c r="B718" s="1" t="n">
        <v>46037</v>
      </c>
      <c r="C718" s="1" t="n">
        <v>46174</v>
      </c>
      <c r="D718" t="inlineStr">
        <is>
          <t>DALARNAS LÄN</t>
        </is>
      </c>
      <c r="E718" t="inlineStr">
        <is>
          <t>LUDVIKA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30288-2025</t>
        </is>
      </c>
      <c r="B719" s="1" t="n">
        <v>45827</v>
      </c>
      <c r="C719" s="1" t="n">
        <v>46174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30324-2025</t>
        </is>
      </c>
      <c r="B720" s="1" t="n">
        <v>45827</v>
      </c>
      <c r="C720" s="1" t="n">
        <v>46174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61799-2025</t>
        </is>
      </c>
      <c r="B721" s="1" t="n">
        <v>46002</v>
      </c>
      <c r="C721" s="1" t="n">
        <v>46174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2979-2026</t>
        </is>
      </c>
      <c r="B722" s="1" t="n">
        <v>46038.62740740741</v>
      </c>
      <c r="C722" s="1" t="n">
        <v>46174</v>
      </c>
      <c r="D722" t="inlineStr">
        <is>
          <t>DALARNAS LÄN</t>
        </is>
      </c>
      <c r="E722" t="inlineStr">
        <is>
          <t>LUDVIKA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29966-2025</t>
        </is>
      </c>
      <c r="B723" s="1" t="n">
        <v>45826</v>
      </c>
      <c r="C723" s="1" t="n">
        <v>46174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29918-2025</t>
        </is>
      </c>
      <c r="B724" s="1" t="n">
        <v>45826</v>
      </c>
      <c r="C724" s="1" t="n">
        <v>46174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3602-2026</t>
        </is>
      </c>
      <c r="B725" s="1" t="n">
        <v>46042</v>
      </c>
      <c r="C725" s="1" t="n">
        <v>46174</v>
      </c>
      <c r="D725" t="inlineStr">
        <is>
          <t>DALARNAS LÄN</t>
        </is>
      </c>
      <c r="E725" t="inlineStr">
        <is>
          <t>LUDVIKA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30417-2025</t>
        </is>
      </c>
      <c r="B726" s="1" t="n">
        <v>45827</v>
      </c>
      <c r="C726" s="1" t="n">
        <v>46174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30399-2025</t>
        </is>
      </c>
      <c r="B727" s="1" t="n">
        <v>45827</v>
      </c>
      <c r="C727" s="1" t="n">
        <v>46174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30760-2025</t>
        </is>
      </c>
      <c r="B728" s="1" t="n">
        <v>45831.59947916667</v>
      </c>
      <c r="C728" s="1" t="n">
        <v>46174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30748-2025</t>
        </is>
      </c>
      <c r="B729" s="1" t="n">
        <v>45831.58627314815</v>
      </c>
      <c r="C729" s="1" t="n">
        <v>46174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3275-2026</t>
        </is>
      </c>
      <c r="B730" s="1" t="n">
        <v>46041</v>
      </c>
      <c r="C730" s="1" t="n">
        <v>46174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30562-2025</t>
        </is>
      </c>
      <c r="B731" s="1" t="n">
        <v>45831</v>
      </c>
      <c r="C731" s="1" t="n">
        <v>46174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31001-2025</t>
        </is>
      </c>
      <c r="B732" s="1" t="n">
        <v>45832</v>
      </c>
      <c r="C732" s="1" t="n">
        <v>46174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31039-2025</t>
        </is>
      </c>
      <c r="B733" s="1" t="n">
        <v>45832</v>
      </c>
      <c r="C733" s="1" t="n">
        <v>46174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56790-2025</t>
        </is>
      </c>
      <c r="B734" s="1" t="n">
        <v>45978</v>
      </c>
      <c r="C734" s="1" t="n">
        <v>46174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31380-2025</t>
        </is>
      </c>
      <c r="B735" s="1" t="n">
        <v>45833</v>
      </c>
      <c r="C735" s="1" t="n">
        <v>46174</v>
      </c>
      <c r="D735" t="inlineStr">
        <is>
          <t>DALARNAS LÄN</t>
        </is>
      </c>
      <c r="E735" t="inlineStr">
        <is>
          <t>LUDVIKA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53981-2025</t>
        </is>
      </c>
      <c r="B736" s="1" t="n">
        <v>45961</v>
      </c>
      <c r="C736" s="1" t="n">
        <v>46174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31144-2025</t>
        </is>
      </c>
      <c r="B737" s="1" t="n">
        <v>45832</v>
      </c>
      <c r="C737" s="1" t="n">
        <v>46174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31818-2025</t>
        </is>
      </c>
      <c r="B738" s="1" t="n">
        <v>45834.57716435185</v>
      </c>
      <c r="C738" s="1" t="n">
        <v>46174</v>
      </c>
      <c r="D738" t="inlineStr">
        <is>
          <t>DALARNAS LÄN</t>
        </is>
      </c>
      <c r="E738" t="inlineStr">
        <is>
          <t>LUDVIKA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4975-2026</t>
        </is>
      </c>
      <c r="B739" s="1" t="n">
        <v>46049</v>
      </c>
      <c r="C739" s="1" t="n">
        <v>46174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53979-2025</t>
        </is>
      </c>
      <c r="B740" s="1" t="n">
        <v>45961</v>
      </c>
      <c r="C740" s="1" t="n">
        <v>46174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32224-2025</t>
        </is>
      </c>
      <c r="B741" s="1" t="n">
        <v>45835</v>
      </c>
      <c r="C741" s="1" t="n">
        <v>46174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32019-2025</t>
        </is>
      </c>
      <c r="B742" s="1" t="n">
        <v>45835</v>
      </c>
      <c r="C742" s="1" t="n">
        <v>46174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32424-2025</t>
        </is>
      </c>
      <c r="B743" s="1" t="n">
        <v>45838</v>
      </c>
      <c r="C743" s="1" t="n">
        <v>46174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33249-2025</t>
        </is>
      </c>
      <c r="B744" s="1" t="n">
        <v>45840</v>
      </c>
      <c r="C744" s="1" t="n">
        <v>46174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33063-2025</t>
        </is>
      </c>
      <c r="B745" s="1" t="n">
        <v>45840</v>
      </c>
      <c r="C745" s="1" t="n">
        <v>46174</v>
      </c>
      <c r="D745" t="inlineStr">
        <is>
          <t>DALARNAS LÄN</t>
        </is>
      </c>
      <c r="E745" t="inlineStr">
        <is>
          <t>LUDVIKA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33244-2025</t>
        </is>
      </c>
      <c r="B746" s="1" t="n">
        <v>45840</v>
      </c>
      <c r="C746" s="1" t="n">
        <v>46174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34067-2025</t>
        </is>
      </c>
      <c r="B747" s="1" t="n">
        <v>45845</v>
      </c>
      <c r="C747" s="1" t="n">
        <v>46174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7683-2026</t>
        </is>
      </c>
      <c r="B748" s="1" t="n">
        <v>46062</v>
      </c>
      <c r="C748" s="1" t="n">
        <v>46174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31043-2024</t>
        </is>
      </c>
      <c r="B749" s="1" t="n">
        <v>45502.30283564814</v>
      </c>
      <c r="C749" s="1" t="n">
        <v>46174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7941-2026</t>
        </is>
      </c>
      <c r="B750" s="1" t="n">
        <v>46063</v>
      </c>
      <c r="C750" s="1" t="n">
        <v>46174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7714-2026</t>
        </is>
      </c>
      <c r="B751" s="1" t="n">
        <v>46062</v>
      </c>
      <c r="C751" s="1" t="n">
        <v>46174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56615-2025</t>
        </is>
      </c>
      <c r="B752" s="1" t="n">
        <v>45975.59326388889</v>
      </c>
      <c r="C752" s="1" t="n">
        <v>46174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34070-2025</t>
        </is>
      </c>
      <c r="B753" s="1" t="n">
        <v>45845</v>
      </c>
      <c r="C753" s="1" t="n">
        <v>46174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34403-2025</t>
        </is>
      </c>
      <c r="B754" s="1" t="n">
        <v>45846</v>
      </c>
      <c r="C754" s="1" t="n">
        <v>46174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34522-2025</t>
        </is>
      </c>
      <c r="B755" s="1" t="n">
        <v>45847</v>
      </c>
      <c r="C755" s="1" t="n">
        <v>46174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34492-2025</t>
        </is>
      </c>
      <c r="B756" s="1" t="n">
        <v>45847</v>
      </c>
      <c r="C756" s="1" t="n">
        <v>46174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8728-2026</t>
        </is>
      </c>
      <c r="B757" s="1" t="n">
        <v>46066</v>
      </c>
      <c r="C757" s="1" t="n">
        <v>46174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34862-2025</t>
        </is>
      </c>
      <c r="B758" s="1" t="n">
        <v>45849</v>
      </c>
      <c r="C758" s="1" t="n">
        <v>46174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52230-2023</t>
        </is>
      </c>
      <c r="B759" s="1" t="n">
        <v>45224</v>
      </c>
      <c r="C759" s="1" t="n">
        <v>46174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30813-2025</t>
        </is>
      </c>
      <c r="B760" s="1" t="n">
        <v>45831.6599537037</v>
      </c>
      <c r="C760" s="1" t="n">
        <v>46174</v>
      </c>
      <c r="D760" t="inlineStr">
        <is>
          <t>DALARNAS LÄN</t>
        </is>
      </c>
      <c r="E760" t="inlineStr">
        <is>
          <t>LUDVIKA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49669-2024</t>
        </is>
      </c>
      <c r="B761" s="1" t="n">
        <v>45596.65178240741</v>
      </c>
      <c r="C761" s="1" t="n">
        <v>46174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8731-2026</t>
        </is>
      </c>
      <c r="B762" s="1" t="n">
        <v>46066</v>
      </c>
      <c r="C762" s="1" t="n">
        <v>46174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62368-2025</t>
        </is>
      </c>
      <c r="B763" s="1" t="n">
        <v>46007</v>
      </c>
      <c r="C763" s="1" t="n">
        <v>46174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34860-2025</t>
        </is>
      </c>
      <c r="B764" s="1" t="n">
        <v>45849</v>
      </c>
      <c r="C764" s="1" t="n">
        <v>46174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34861-2025</t>
        </is>
      </c>
      <c r="B765" s="1" t="n">
        <v>45849</v>
      </c>
      <c r="C765" s="1" t="n">
        <v>46174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34455-2024</t>
        </is>
      </c>
      <c r="B766" s="1" t="n">
        <v>45525.56513888889</v>
      </c>
      <c r="C766" s="1" t="n">
        <v>46174</v>
      </c>
      <c r="D766" t="inlineStr">
        <is>
          <t>DALARNAS LÄN</t>
        </is>
      </c>
      <c r="E766" t="inlineStr">
        <is>
          <t>LUDVIKA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45443-2024</t>
        </is>
      </c>
      <c r="B767" s="1" t="n">
        <v>45576</v>
      </c>
      <c r="C767" s="1" t="n">
        <v>46174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26823-2025</t>
        </is>
      </c>
      <c r="B768" s="1" t="n">
        <v>45810</v>
      </c>
      <c r="C768" s="1" t="n">
        <v>46174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29654-2025</t>
        </is>
      </c>
      <c r="B769" s="1" t="n">
        <v>45825</v>
      </c>
      <c r="C769" s="1" t="n">
        <v>46174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35544-2025</t>
        </is>
      </c>
      <c r="B770" s="1" t="n">
        <v>45856</v>
      </c>
      <c r="C770" s="1" t="n">
        <v>46174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10381-2026</t>
        </is>
      </c>
      <c r="B771" s="1" t="n">
        <v>46076.86967592593</v>
      </c>
      <c r="C771" s="1" t="n">
        <v>46174</v>
      </c>
      <c r="D771" t="inlineStr">
        <is>
          <t>DALARNAS LÄN</t>
        </is>
      </c>
      <c r="E771" t="inlineStr">
        <is>
          <t>LUDVIKA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32329-2024</t>
        </is>
      </c>
      <c r="B772" s="1" t="n">
        <v>45512</v>
      </c>
      <c r="C772" s="1" t="n">
        <v>46174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10383-2026</t>
        </is>
      </c>
      <c r="B773" s="1" t="n">
        <v>46076.88342592592</v>
      </c>
      <c r="C773" s="1" t="n">
        <v>46174</v>
      </c>
      <c r="D773" t="inlineStr">
        <is>
          <t>DALARNAS LÄN</t>
        </is>
      </c>
      <c r="E773" t="inlineStr">
        <is>
          <t>LUDVIKA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35958-2025</t>
        </is>
      </c>
      <c r="B774" s="1" t="n">
        <v>45863</v>
      </c>
      <c r="C774" s="1" t="n">
        <v>46174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35962-2025</t>
        </is>
      </c>
      <c r="B775" s="1" t="n">
        <v>45863</v>
      </c>
      <c r="C775" s="1" t="n">
        <v>46174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35876-2025</t>
        </is>
      </c>
      <c r="B776" s="1" t="n">
        <v>45862</v>
      </c>
      <c r="C776" s="1" t="n">
        <v>46174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35957-2025</t>
        </is>
      </c>
      <c r="B777" s="1" t="n">
        <v>45863</v>
      </c>
      <c r="C777" s="1" t="n">
        <v>46174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31010-2025</t>
        </is>
      </c>
      <c r="B778" s="1" t="n">
        <v>45832</v>
      </c>
      <c r="C778" s="1" t="n">
        <v>46174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31057-2025</t>
        </is>
      </c>
      <c r="B779" s="1" t="n">
        <v>45832</v>
      </c>
      <c r="C779" s="1" t="n">
        <v>46174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31050-2025</t>
        </is>
      </c>
      <c r="B780" s="1" t="n">
        <v>45832</v>
      </c>
      <c r="C780" s="1" t="n">
        <v>46174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33001-2025</t>
        </is>
      </c>
      <c r="B781" s="1" t="n">
        <v>45840</v>
      </c>
      <c r="C781" s="1" t="n">
        <v>46174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33122-2025</t>
        </is>
      </c>
      <c r="B782" s="1" t="n">
        <v>45840</v>
      </c>
      <c r="C782" s="1" t="n">
        <v>46174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34823-2025</t>
        </is>
      </c>
      <c r="B783" s="1" t="n">
        <v>45849</v>
      </c>
      <c r="C783" s="1" t="n">
        <v>46174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33127-2025</t>
        </is>
      </c>
      <c r="B784" s="1" t="n">
        <v>45840</v>
      </c>
      <c r="C784" s="1" t="n">
        <v>46174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17677-2022</t>
        </is>
      </c>
      <c r="B785" s="1" t="n">
        <v>44680</v>
      </c>
      <c r="C785" s="1" t="n">
        <v>46174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36523-2025</t>
        </is>
      </c>
      <c r="B786" s="1" t="n">
        <v>45869</v>
      </c>
      <c r="C786" s="1" t="n">
        <v>46174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36435-2025</t>
        </is>
      </c>
      <c r="B787" s="1" t="n">
        <v>45869</v>
      </c>
      <c r="C787" s="1" t="n">
        <v>46174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36437-2025</t>
        </is>
      </c>
      <c r="B788" s="1" t="n">
        <v>45869</v>
      </c>
      <c r="C788" s="1" t="n">
        <v>46174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11672-2026</t>
        </is>
      </c>
      <c r="B789" s="1" t="n">
        <v>46084.55969907407</v>
      </c>
      <c r="C789" s="1" t="n">
        <v>46174</v>
      </c>
      <c r="D789" t="inlineStr">
        <is>
          <t>DALARNAS LÄN</t>
        </is>
      </c>
      <c r="E789" t="inlineStr">
        <is>
          <t>LUDVIKA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35708-2025</t>
        </is>
      </c>
      <c r="B790" s="1" t="n">
        <v>45860</v>
      </c>
      <c r="C790" s="1" t="n">
        <v>46174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43055-2024</t>
        </is>
      </c>
      <c r="B791" s="1" t="n">
        <v>45567.45354166667</v>
      </c>
      <c r="C791" s="1" t="n">
        <v>46174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36436-2025</t>
        </is>
      </c>
      <c r="B792" s="1" t="n">
        <v>45869</v>
      </c>
      <c r="C792" s="1" t="n">
        <v>46174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11821-2026</t>
        </is>
      </c>
      <c r="B793" s="1" t="n">
        <v>46085</v>
      </c>
      <c r="C793" s="1" t="n">
        <v>46174</v>
      </c>
      <c r="D793" t="inlineStr">
        <is>
          <t>DALARNAS LÄN</t>
        </is>
      </c>
      <c r="E793" t="inlineStr">
        <is>
          <t>LUDVIKA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6151-2024</t>
        </is>
      </c>
      <c r="B794" s="1" t="n">
        <v>45337</v>
      </c>
      <c r="C794" s="1" t="n">
        <v>46174</v>
      </c>
      <c r="D794" t="inlineStr">
        <is>
          <t>DALARNAS LÄN</t>
        </is>
      </c>
      <c r="E794" t="inlineStr">
        <is>
          <t>LUDVIKA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18187-2025</t>
        </is>
      </c>
      <c r="B795" s="1" t="n">
        <v>45761.66826388889</v>
      </c>
      <c r="C795" s="1" t="n">
        <v>46174</v>
      </c>
      <c r="D795" t="inlineStr">
        <is>
          <t>DALARNAS LÄN</t>
        </is>
      </c>
      <c r="E795" t="inlineStr">
        <is>
          <t>LUDVIKA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37121-2025</t>
        </is>
      </c>
      <c r="B796" s="1" t="n">
        <v>45875.51950231481</v>
      </c>
      <c r="C796" s="1" t="n">
        <v>46174</v>
      </c>
      <c r="D796" t="inlineStr">
        <is>
          <t>DALARNAS LÄN</t>
        </is>
      </c>
      <c r="E796" t="inlineStr">
        <is>
          <t>LUDVIKA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37129-2025</t>
        </is>
      </c>
      <c r="B797" s="1" t="n">
        <v>45875.54314814815</v>
      </c>
      <c r="C797" s="1" t="n">
        <v>46174</v>
      </c>
      <c r="D797" t="inlineStr">
        <is>
          <t>DALARNAS LÄN</t>
        </is>
      </c>
      <c r="E797" t="inlineStr">
        <is>
          <t>LUDVIKA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12213-2026</t>
        </is>
      </c>
      <c r="B798" s="1" t="n">
        <v>46087</v>
      </c>
      <c r="C798" s="1" t="n">
        <v>46174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27528-2025</t>
        </is>
      </c>
      <c r="B799" s="1" t="n">
        <v>45813</v>
      </c>
      <c r="C799" s="1" t="n">
        <v>46174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34868-2025</t>
        </is>
      </c>
      <c r="B800" s="1" t="n">
        <v>45849</v>
      </c>
      <c r="C800" s="1" t="n">
        <v>46174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19834-2026</t>
        </is>
      </c>
      <c r="B801" s="1" t="n">
        <v>46135</v>
      </c>
      <c r="C801" s="1" t="n">
        <v>46174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38446-2025</t>
        </is>
      </c>
      <c r="B802" s="1" t="n">
        <v>45883.65762731482</v>
      </c>
      <c r="C802" s="1" t="n">
        <v>46174</v>
      </c>
      <c r="D802" t="inlineStr">
        <is>
          <t>DALARNAS LÄN</t>
        </is>
      </c>
      <c r="E802" t="inlineStr">
        <is>
          <t>LUDVIKA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34875-2025</t>
        </is>
      </c>
      <c r="B803" s="1" t="n">
        <v>45849</v>
      </c>
      <c r="C803" s="1" t="n">
        <v>46174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20421-2026</t>
        </is>
      </c>
      <c r="B804" s="1" t="n">
        <v>46140.35574074074</v>
      </c>
      <c r="C804" s="1" t="n">
        <v>46174</v>
      </c>
      <c r="D804" t="inlineStr">
        <is>
          <t>DALARNAS LÄN</t>
        </is>
      </c>
      <c r="E804" t="inlineStr">
        <is>
          <t>LUDVIKA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19610-2026</t>
        </is>
      </c>
      <c r="B805" s="1" t="n">
        <v>46134</v>
      </c>
      <c r="C805" s="1" t="n">
        <v>46174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9709-2026</t>
        </is>
      </c>
      <c r="B806" s="1" t="n">
        <v>46072</v>
      </c>
      <c r="C806" s="1" t="n">
        <v>46174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20106-2026</t>
        </is>
      </c>
      <c r="B807" s="1" t="n">
        <v>46136</v>
      </c>
      <c r="C807" s="1" t="n">
        <v>46174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20789-2026</t>
        </is>
      </c>
      <c r="B808" s="1" t="n">
        <v>46141</v>
      </c>
      <c r="C808" s="1" t="n">
        <v>46174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20666-2026</t>
        </is>
      </c>
      <c r="B809" s="1" t="n">
        <v>46141</v>
      </c>
      <c r="C809" s="1" t="n">
        <v>46174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20778-2026</t>
        </is>
      </c>
      <c r="B810" s="1" t="n">
        <v>46141</v>
      </c>
      <c r="C810" s="1" t="n">
        <v>46174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20096-2026</t>
        </is>
      </c>
      <c r="B811" s="1" t="n">
        <v>46136</v>
      </c>
      <c r="C811" s="1" t="n">
        <v>46174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20882-2026</t>
        </is>
      </c>
      <c r="B812" s="1" t="n">
        <v>46142</v>
      </c>
      <c r="C812" s="1" t="n">
        <v>46174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20104-2026</t>
        </is>
      </c>
      <c r="B813" s="1" t="n">
        <v>46136</v>
      </c>
      <c r="C813" s="1" t="n">
        <v>46174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21345-2026</t>
        </is>
      </c>
      <c r="B814" s="1" t="n">
        <v>46147</v>
      </c>
      <c r="C814" s="1" t="n">
        <v>46174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21034-2026</t>
        </is>
      </c>
      <c r="B815" s="1" t="n">
        <v>46146</v>
      </c>
      <c r="C815" s="1" t="n">
        <v>46174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20888-2026</t>
        </is>
      </c>
      <c r="B816" s="1" t="n">
        <v>46142</v>
      </c>
      <c r="C816" s="1" t="n">
        <v>46174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20969-2026</t>
        </is>
      </c>
      <c r="B817" s="1" t="n">
        <v>46142</v>
      </c>
      <c r="C817" s="1" t="n">
        <v>46174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20973-2026</t>
        </is>
      </c>
      <c r="B818" s="1" t="n">
        <v>46142</v>
      </c>
      <c r="C818" s="1" t="n">
        <v>46174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21032-2026</t>
        </is>
      </c>
      <c r="B819" s="1" t="n">
        <v>46146</v>
      </c>
      <c r="C819" s="1" t="n">
        <v>46174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20974-2026</t>
        </is>
      </c>
      <c r="B820" s="1" t="n">
        <v>46142</v>
      </c>
      <c r="C820" s="1" t="n">
        <v>46174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21002-2026</t>
        </is>
      </c>
      <c r="B821" s="1" t="n">
        <v>46142</v>
      </c>
      <c r="C821" s="1" t="n">
        <v>46174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10973-2026</t>
        </is>
      </c>
      <c r="B822" s="1" t="n">
        <v>46079</v>
      </c>
      <c r="C822" s="1" t="n">
        <v>46174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21462-2026</t>
        </is>
      </c>
      <c r="B823" s="1" t="n">
        <v>46148</v>
      </c>
      <c r="C823" s="1" t="n">
        <v>46174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21472-2026</t>
        </is>
      </c>
      <c r="B824" s="1" t="n">
        <v>46148</v>
      </c>
      <c r="C824" s="1" t="n">
        <v>46174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21798-2026</t>
        </is>
      </c>
      <c r="B825" s="1" t="n">
        <v>46150</v>
      </c>
      <c r="C825" s="1" t="n">
        <v>46174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20341-2026</t>
        </is>
      </c>
      <c r="B826" s="1" t="n">
        <v>46139</v>
      </c>
      <c r="C826" s="1" t="n">
        <v>46174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21872-2026</t>
        </is>
      </c>
      <c r="B827" s="1" t="n">
        <v>46150</v>
      </c>
      <c r="C827" s="1" t="n">
        <v>46174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16843-2026</t>
        </is>
      </c>
      <c r="B828" s="1" t="n">
        <v>46113</v>
      </c>
      <c r="C828" s="1" t="n">
        <v>46174</v>
      </c>
      <c r="D828" t="inlineStr">
        <is>
          <t>DALARNAS LÄN</t>
        </is>
      </c>
      <c r="E828" t="inlineStr">
        <is>
          <t>LUDVIKA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17054-2026</t>
        </is>
      </c>
      <c r="B829" s="1" t="n">
        <v>46114</v>
      </c>
      <c r="C829" s="1" t="n">
        <v>46174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22464-2026</t>
        </is>
      </c>
      <c r="B830" s="1" t="n">
        <v>46155</v>
      </c>
      <c r="C830" s="1" t="n">
        <v>46174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16748-2026</t>
        </is>
      </c>
      <c r="B831" s="1" t="n">
        <v>46113.38866898148</v>
      </c>
      <c r="C831" s="1" t="n">
        <v>46174</v>
      </c>
      <c r="D831" t="inlineStr">
        <is>
          <t>DALARNAS LÄN</t>
        </is>
      </c>
      <c r="E831" t="inlineStr">
        <is>
          <t>LUDVIKA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22813-2026</t>
        </is>
      </c>
      <c r="B832" s="1" t="n">
        <v>46160.34425925926</v>
      </c>
      <c r="C832" s="1" t="n">
        <v>46174</v>
      </c>
      <c r="D832" t="inlineStr">
        <is>
          <t>DALARNAS LÄN</t>
        </is>
      </c>
      <c r="E832" t="inlineStr">
        <is>
          <t>LUDVIKA</t>
        </is>
      </c>
      <c r="F832" t="inlineStr">
        <is>
          <t>Naturvårdsverket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22824-2026</t>
        </is>
      </c>
      <c r="B833" s="1" t="n">
        <v>46160.35893518518</v>
      </c>
      <c r="C833" s="1" t="n">
        <v>46174</v>
      </c>
      <c r="D833" t="inlineStr">
        <is>
          <t>DALARNAS LÄN</t>
        </is>
      </c>
      <c r="E833" t="inlineStr">
        <is>
          <t>LUDVIKA</t>
        </is>
      </c>
      <c r="F833" t="inlineStr">
        <is>
          <t>Naturvårdsverket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22806-2026</t>
        </is>
      </c>
      <c r="B834" s="1" t="n">
        <v>46160.29883101852</v>
      </c>
      <c r="C834" s="1" t="n">
        <v>46174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22821-2026</t>
        </is>
      </c>
      <c r="B835" s="1" t="n">
        <v>46160.35334490741</v>
      </c>
      <c r="C835" s="1" t="n">
        <v>46174</v>
      </c>
      <c r="D835" t="inlineStr">
        <is>
          <t>DALARNAS LÄN</t>
        </is>
      </c>
      <c r="E835" t="inlineStr">
        <is>
          <t>LUDVIKA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22817-2026</t>
        </is>
      </c>
      <c r="B836" s="1" t="n">
        <v>46160.3468287037</v>
      </c>
      <c r="C836" s="1" t="n">
        <v>46174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22830-2026</t>
        </is>
      </c>
      <c r="B837" s="1" t="n">
        <v>46160</v>
      </c>
      <c r="C837" s="1" t="n">
        <v>46174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22558-2026</t>
        </is>
      </c>
      <c r="B838" s="1" t="n">
        <v>46155</v>
      </c>
      <c r="C838" s="1" t="n">
        <v>46174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22278-2026</t>
        </is>
      </c>
      <c r="B839" s="1" t="n">
        <v>46154</v>
      </c>
      <c r="C839" s="1" t="n">
        <v>46174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23082-2026</t>
        </is>
      </c>
      <c r="B840" s="1" t="n">
        <v>46161</v>
      </c>
      <c r="C840" s="1" t="n">
        <v>46174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22585-2026</t>
        </is>
      </c>
      <c r="B841" s="1" t="n">
        <v>46155</v>
      </c>
      <c r="C841" s="1" t="n">
        <v>46174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22538-2026</t>
        </is>
      </c>
      <c r="B842" s="1" t="n">
        <v>46155</v>
      </c>
      <c r="C842" s="1" t="n">
        <v>46174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22589-2026</t>
        </is>
      </c>
      <c r="B843" s="1" t="n">
        <v>46155</v>
      </c>
      <c r="C843" s="1" t="n">
        <v>46174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32015-2021</t>
        </is>
      </c>
      <c r="B844" s="1" t="n">
        <v>44370</v>
      </c>
      <c r="C844" s="1" t="n">
        <v>46174</v>
      </c>
      <c r="D844" t="inlineStr">
        <is>
          <t>DALARNAS LÄN</t>
        </is>
      </c>
      <c r="E844" t="inlineStr">
        <is>
          <t>LUDVIKA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22611-2026</t>
        </is>
      </c>
      <c r="B845" s="1" t="n">
        <v>46155</v>
      </c>
      <c r="C845" s="1" t="n">
        <v>46174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17245-2026</t>
        </is>
      </c>
      <c r="B846" s="1" t="n">
        <v>46119.43320601852</v>
      </c>
      <c r="C846" s="1" t="n">
        <v>46174</v>
      </c>
      <c r="D846" t="inlineStr">
        <is>
          <t>DALARNAS LÄN</t>
        </is>
      </c>
      <c r="E846" t="inlineStr">
        <is>
          <t>LUDVIKA</t>
        </is>
      </c>
      <c r="F846" t="inlineStr">
        <is>
          <t>Naturvårdsverket</t>
        </is>
      </c>
      <c r="G846" t="n">
        <v>19.8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22276-2026</t>
        </is>
      </c>
      <c r="B847" s="1" t="n">
        <v>46154</v>
      </c>
      <c r="C847" s="1" t="n">
        <v>46174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22580-2026</t>
        </is>
      </c>
      <c r="B848" s="1" t="n">
        <v>46155</v>
      </c>
      <c r="C848" s="1" t="n">
        <v>46174</v>
      </c>
      <c r="D848" t="inlineStr">
        <is>
          <t>DALARNAS LÄN</t>
        </is>
      </c>
      <c r="E848" t="inlineStr">
        <is>
          <t>LUDVIKA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17787-2026</t>
        </is>
      </c>
      <c r="B849" s="1" t="n">
        <v>46122</v>
      </c>
      <c r="C849" s="1" t="n">
        <v>46174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17879-2026</t>
        </is>
      </c>
      <c r="B850" s="1" t="n">
        <v>46122</v>
      </c>
      <c r="C850" s="1" t="n">
        <v>46174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17913-2026</t>
        </is>
      </c>
      <c r="B851" s="1" t="n">
        <v>46122</v>
      </c>
      <c r="C851" s="1" t="n">
        <v>46174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17882-2026</t>
        </is>
      </c>
      <c r="B852" s="1" t="n">
        <v>46122</v>
      </c>
      <c r="C852" s="1" t="n">
        <v>46174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17915-2026</t>
        </is>
      </c>
      <c r="B853" s="1" t="n">
        <v>46122</v>
      </c>
      <c r="C853" s="1" t="n">
        <v>46174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23720-2026</t>
        </is>
      </c>
      <c r="B854" s="1" t="n">
        <v>46163</v>
      </c>
      <c r="C854" s="1" t="n">
        <v>46174</v>
      </c>
      <c r="D854" t="inlineStr">
        <is>
          <t>DALARNAS LÄN</t>
        </is>
      </c>
      <c r="E854" t="inlineStr">
        <is>
          <t>LUDVIKA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23778-2026</t>
        </is>
      </c>
      <c r="B855" s="1" t="n">
        <v>46164.59180555555</v>
      </c>
      <c r="C855" s="1" t="n">
        <v>46174</v>
      </c>
      <c r="D855" t="inlineStr">
        <is>
          <t>DALARNAS LÄN</t>
        </is>
      </c>
      <c r="E855" t="inlineStr">
        <is>
          <t>LUDVIKA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23714-2026</t>
        </is>
      </c>
      <c r="B856" s="1" t="n">
        <v>46163</v>
      </c>
      <c r="C856" s="1" t="n">
        <v>46174</v>
      </c>
      <c r="D856" t="inlineStr">
        <is>
          <t>DALARNAS LÄN</t>
        </is>
      </c>
      <c r="E856" t="inlineStr">
        <is>
          <t>LUDVIKA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23491-2026</t>
        </is>
      </c>
      <c r="B857" s="1" t="n">
        <v>46163.4359837963</v>
      </c>
      <c r="C857" s="1" t="n">
        <v>46174</v>
      </c>
      <c r="D857" t="inlineStr">
        <is>
          <t>DALARNAS LÄN</t>
        </is>
      </c>
      <c r="E857" t="inlineStr">
        <is>
          <t>LUDVIKA</t>
        </is>
      </c>
      <c r="F857" t="inlineStr">
        <is>
          <t>Bergvik skog väst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23617-2026</t>
        </is>
      </c>
      <c r="B858" s="1" t="n">
        <v>46163.67600694444</v>
      </c>
      <c r="C858" s="1" t="n">
        <v>46174</v>
      </c>
      <c r="D858" t="inlineStr">
        <is>
          <t>DALARNAS LÄN</t>
        </is>
      </c>
      <c r="E858" t="inlineStr">
        <is>
          <t>LUDVIKA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2026-06-01T10:54:05Z</dcterms:created>
  <dcterms:modified xmlns:dcterms="http://purl.org/dc/terms/" xmlns:xsi="http://www.w3.org/2001/XMLSchema-instance" xsi:type="dcterms:W3CDTF">2026-06-01T10:54:05Z</dcterms:modified>
</cp:coreProperties>
</file>
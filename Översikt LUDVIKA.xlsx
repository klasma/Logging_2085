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45826</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45826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45826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45826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45826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45826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45826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45826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23658-2025</t>
        </is>
      </c>
      <c r="B12" s="1" t="n">
        <v>45786</v>
      </c>
      <c r="C12" s="1" t="n">
        <v>45826</v>
      </c>
      <c r="D12" t="inlineStr">
        <is>
          <t>DALARNAS LÄN</t>
        </is>
      </c>
      <c r="E12" t="inlineStr">
        <is>
          <t>LUDVIKA</t>
        </is>
      </c>
      <c r="G12" t="n">
        <v>7.1</v>
      </c>
      <c r="H12" t="n">
        <v>7</v>
      </c>
      <c r="I12" t="n">
        <v>1</v>
      </c>
      <c r="J12" t="n">
        <v>5</v>
      </c>
      <c r="K12" t="n">
        <v>0</v>
      </c>
      <c r="L12" t="n">
        <v>1</v>
      </c>
      <c r="M12" t="n">
        <v>0</v>
      </c>
      <c r="N12" t="n">
        <v>0</v>
      </c>
      <c r="O12" t="n">
        <v>6</v>
      </c>
      <c r="P12" t="n">
        <v>1</v>
      </c>
      <c r="Q12" t="n">
        <v>8</v>
      </c>
      <c r="R12" s="2" t="inlineStr">
        <is>
          <t>Tornseglare
Entita
Grönsångare
Järpe
Mindre hackspett
Talltita
Fjällig taggsvamp s.str.
Tjäder</t>
        </is>
      </c>
      <c r="S12">
        <f>HYPERLINK("https://klasma.github.io/Logging_202085/artfynd/A 23658-2025 artfynd.xlsx", "A 23658-2025")</f>
        <v/>
      </c>
      <c r="T12">
        <f>HYPERLINK("https://klasma.github.io/Logging_202085/kartor/A 23658-2025 karta.png", "A 23658-2025")</f>
        <v/>
      </c>
      <c r="V12">
        <f>HYPERLINK("https://klasma.github.io/Logging_202085/klagomål/A 23658-2025 FSC-klagomål.docx", "A 23658-2025")</f>
        <v/>
      </c>
      <c r="W12">
        <f>HYPERLINK("https://klasma.github.io/Logging_202085/klagomålsmail/A 23658-2025 FSC-klagomål mail.docx", "A 23658-2025")</f>
        <v/>
      </c>
      <c r="X12">
        <f>HYPERLINK("https://klasma.github.io/Logging_202085/tillsyn/A 23658-2025 tillsynsbegäran.docx", "A 23658-2025")</f>
        <v/>
      </c>
      <c r="Y12">
        <f>HYPERLINK("https://klasma.github.io/Logging_202085/tillsynsmail/A 23658-2025 tillsynsbegäran mail.docx", "A 23658-2025")</f>
        <v/>
      </c>
      <c r="Z12">
        <f>HYPERLINK("https://klasma.github.io/Logging_202085/fåglar/A 23658-2025 prioriterade fågelarter.docx", "A 23658-2025")</f>
        <v/>
      </c>
    </row>
    <row r="13" ht="15" customHeight="1">
      <c r="A13" t="inlineStr">
        <is>
          <t>A 54639-2020</t>
        </is>
      </c>
      <c r="B13" s="1" t="n">
        <v>44127</v>
      </c>
      <c r="C13" s="1" t="n">
        <v>45826</v>
      </c>
      <c r="D13" t="inlineStr">
        <is>
          <t>DALARNAS LÄN</t>
        </is>
      </c>
      <c r="E13" t="inlineStr">
        <is>
          <t>LUDVIKA</t>
        </is>
      </c>
      <c r="F13" t="inlineStr">
        <is>
          <t>Övriga Aktiebolag</t>
        </is>
      </c>
      <c r="G13" t="n">
        <v>25.9</v>
      </c>
      <c r="H13" t="n">
        <v>3</v>
      </c>
      <c r="I13" t="n">
        <v>2</v>
      </c>
      <c r="J13" t="n">
        <v>2</v>
      </c>
      <c r="K13" t="n">
        <v>1</v>
      </c>
      <c r="L13" t="n">
        <v>0</v>
      </c>
      <c r="M13" t="n">
        <v>0</v>
      </c>
      <c r="N13" t="n">
        <v>0</v>
      </c>
      <c r="O13" t="n">
        <v>3</v>
      </c>
      <c r="P13" t="n">
        <v>1</v>
      </c>
      <c r="Q13" t="n">
        <v>5</v>
      </c>
      <c r="R13" s="2" t="inlineStr">
        <is>
          <t>Knärot
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24739-2023</t>
        </is>
      </c>
      <c r="B14" s="1" t="n">
        <v>45084</v>
      </c>
      <c r="C14" s="1" t="n">
        <v>45826</v>
      </c>
      <c r="D14" t="inlineStr">
        <is>
          <t>DALARNAS LÄN</t>
        </is>
      </c>
      <c r="E14" t="inlineStr">
        <is>
          <t>LUDVIKA</t>
        </is>
      </c>
      <c r="F14" t="inlineStr">
        <is>
          <t>Bergvik skog väst AB</t>
        </is>
      </c>
      <c r="G14" t="n">
        <v>17.8</v>
      </c>
      <c r="H14" t="n">
        <v>0</v>
      </c>
      <c r="I14" t="n">
        <v>2</v>
      </c>
      <c r="J14" t="n">
        <v>3</v>
      </c>
      <c r="K14" t="n">
        <v>0</v>
      </c>
      <c r="L14" t="n">
        <v>0</v>
      </c>
      <c r="M14" t="n">
        <v>0</v>
      </c>
      <c r="N14" t="n">
        <v>0</v>
      </c>
      <c r="O14" t="n">
        <v>3</v>
      </c>
      <c r="P14" t="n">
        <v>0</v>
      </c>
      <c r="Q14" t="n">
        <v>5</v>
      </c>
      <c r="R14" s="2" t="inlineStr">
        <is>
          <t>Aspskinn
Barrviolspindling
Veckticka
Dvärgtufs
Luddlav</t>
        </is>
      </c>
      <c r="S14">
        <f>HYPERLINK("https://klasma.github.io/Logging_2085/artfynd/A 24739-2023 artfynd.xlsx", "A 24739-2023")</f>
        <v/>
      </c>
      <c r="T14">
        <f>HYPERLINK("https://klasma.github.io/Logging_2085/kartor/A 24739-2023 karta.png", "A 24739-2023")</f>
        <v/>
      </c>
      <c r="V14">
        <f>HYPERLINK("https://klasma.github.io/Logging_2085/klagomål/A 24739-2023 FSC-klagomål.docx", "A 24739-2023")</f>
        <v/>
      </c>
      <c r="W14">
        <f>HYPERLINK("https://klasma.github.io/Logging_2085/klagomålsmail/A 24739-2023 FSC-klagomål mail.docx", "A 24739-2023")</f>
        <v/>
      </c>
      <c r="X14">
        <f>HYPERLINK("https://klasma.github.io/Logging_2085/tillsyn/A 24739-2023 tillsynsbegäran.docx", "A 24739-2023")</f>
        <v/>
      </c>
      <c r="Y14">
        <f>HYPERLINK("https://klasma.github.io/Logging_2085/tillsynsmail/A 24739-2023 tillsynsbegäran mail.docx", "A 24739-2023")</f>
        <v/>
      </c>
    </row>
    <row r="15" ht="15" customHeight="1">
      <c r="A15" t="inlineStr">
        <is>
          <t>A 38618-2023</t>
        </is>
      </c>
      <c r="B15" s="1" t="n">
        <v>45162</v>
      </c>
      <c r="C15" s="1" t="n">
        <v>45826</v>
      </c>
      <c r="D15" t="inlineStr">
        <is>
          <t>DALARNAS LÄN</t>
        </is>
      </c>
      <c r="E15" t="inlineStr">
        <is>
          <t>LUDVIKA</t>
        </is>
      </c>
      <c r="F15" t="inlineStr">
        <is>
          <t>Bergvik skog väst AB</t>
        </is>
      </c>
      <c r="G15" t="n">
        <v>5.9</v>
      </c>
      <c r="H15" t="n">
        <v>0</v>
      </c>
      <c r="I15" t="n">
        <v>4</v>
      </c>
      <c r="J15" t="n">
        <v>1</v>
      </c>
      <c r="K15" t="n">
        <v>0</v>
      </c>
      <c r="L15" t="n">
        <v>0</v>
      </c>
      <c r="M15" t="n">
        <v>0</v>
      </c>
      <c r="N15" t="n">
        <v>0</v>
      </c>
      <c r="O15" t="n">
        <v>1</v>
      </c>
      <c r="P15" t="n">
        <v>0</v>
      </c>
      <c r="Q15" t="n">
        <v>5</v>
      </c>
      <c r="R15" s="2" t="inlineStr">
        <is>
          <t>Garnlav
Bårdlav
Korallblylav
Stuplav
Vedticka</t>
        </is>
      </c>
      <c r="S15">
        <f>HYPERLINK("https://klasma.github.io/Logging_2085/artfynd/A 38618-2023 artfynd.xlsx", "A 38618-2023")</f>
        <v/>
      </c>
      <c r="T15">
        <f>HYPERLINK("https://klasma.github.io/Logging_2085/kartor/A 38618-2023 karta.png", "A 38618-2023")</f>
        <v/>
      </c>
      <c r="V15">
        <f>HYPERLINK("https://klasma.github.io/Logging_2085/klagomål/A 38618-2023 FSC-klagomål.docx", "A 38618-2023")</f>
        <v/>
      </c>
      <c r="W15">
        <f>HYPERLINK("https://klasma.github.io/Logging_2085/klagomålsmail/A 38618-2023 FSC-klagomål mail.docx", "A 38618-2023")</f>
        <v/>
      </c>
      <c r="X15">
        <f>HYPERLINK("https://klasma.github.io/Logging_2085/tillsyn/A 38618-2023 tillsynsbegäran.docx", "A 38618-2023")</f>
        <v/>
      </c>
      <c r="Y15">
        <f>HYPERLINK("https://klasma.github.io/Logging_2085/tillsynsmail/A 38618-2023 tillsynsbegäran mail.docx", "A 38618-2023")</f>
        <v/>
      </c>
    </row>
    <row r="16" ht="15" customHeight="1">
      <c r="A16" t="inlineStr">
        <is>
          <t>A 55855-2023</t>
        </is>
      </c>
      <c r="B16" s="1" t="n">
        <v>45239</v>
      </c>
      <c r="C16" s="1" t="n">
        <v>45826</v>
      </c>
      <c r="D16" t="inlineStr">
        <is>
          <t>DALARNAS LÄN</t>
        </is>
      </c>
      <c r="E16" t="inlineStr">
        <is>
          <t>LUDVIKA</t>
        </is>
      </c>
      <c r="F16" t="inlineStr">
        <is>
          <t>Bergvik skog väst AB</t>
        </is>
      </c>
      <c r="G16" t="n">
        <v>11.8</v>
      </c>
      <c r="H16" t="n">
        <v>4</v>
      </c>
      <c r="I16" t="n">
        <v>0</v>
      </c>
      <c r="J16" t="n">
        <v>4</v>
      </c>
      <c r="K16" t="n">
        <v>0</v>
      </c>
      <c r="L16" t="n">
        <v>0</v>
      </c>
      <c r="M16" t="n">
        <v>0</v>
      </c>
      <c r="N16" t="n">
        <v>0</v>
      </c>
      <c r="O16" t="n">
        <v>4</v>
      </c>
      <c r="P16" t="n">
        <v>0</v>
      </c>
      <c r="Q16" t="n">
        <v>5</v>
      </c>
      <c r="R16" s="2" t="inlineStr">
        <is>
          <t>Brunklöver
Duvhök
Kungsörn
Talltita
Fläcknycklar</t>
        </is>
      </c>
      <c r="S16">
        <f>HYPERLINK("https://klasma.github.io/Logging_2085/artfynd/A 55855-2023 artfynd.xlsx", "A 55855-2023")</f>
        <v/>
      </c>
      <c r="T16">
        <f>HYPERLINK("https://klasma.github.io/Logging_2085/kartor/A 55855-2023 karta.png", "A 55855-2023")</f>
        <v/>
      </c>
      <c r="V16">
        <f>HYPERLINK("https://klasma.github.io/Logging_2085/klagomål/A 55855-2023 FSC-klagomål.docx", "A 55855-2023")</f>
        <v/>
      </c>
      <c r="W16">
        <f>HYPERLINK("https://klasma.github.io/Logging_2085/klagomålsmail/A 55855-2023 FSC-klagomål mail.docx", "A 55855-2023")</f>
        <v/>
      </c>
      <c r="X16">
        <f>HYPERLINK("https://klasma.github.io/Logging_2085/tillsyn/A 55855-2023 tillsynsbegäran.docx", "A 55855-2023")</f>
        <v/>
      </c>
      <c r="Y16">
        <f>HYPERLINK("https://klasma.github.io/Logging_2085/tillsynsmail/A 55855-2023 tillsynsbegäran mail.docx", "A 55855-2023")</f>
        <v/>
      </c>
      <c r="Z16">
        <f>HYPERLINK("https://klasma.github.io/Logging_2085/fåglar/A 55855-2023 prioriterade fågelarter.docx", "A 55855-2023")</f>
        <v/>
      </c>
    </row>
    <row r="17" ht="15" customHeight="1">
      <c r="A17" t="inlineStr">
        <is>
          <t>A 53053-2024</t>
        </is>
      </c>
      <c r="B17" s="1" t="n">
        <v>45611</v>
      </c>
      <c r="C17" s="1" t="n">
        <v>45826</v>
      </c>
      <c r="D17" t="inlineStr">
        <is>
          <t>DALARNAS LÄN</t>
        </is>
      </c>
      <c r="E17" t="inlineStr">
        <is>
          <t>LUDVIKA</t>
        </is>
      </c>
      <c r="F17" t="inlineStr">
        <is>
          <t>Bergvik skog väst AB</t>
        </is>
      </c>
      <c r="G17" t="n">
        <v>17.3</v>
      </c>
      <c r="H17" t="n">
        <v>1</v>
      </c>
      <c r="I17" t="n">
        <v>1</v>
      </c>
      <c r="J17" t="n">
        <v>3</v>
      </c>
      <c r="K17" t="n">
        <v>1</v>
      </c>
      <c r="L17" t="n">
        <v>0</v>
      </c>
      <c r="M17" t="n">
        <v>0</v>
      </c>
      <c r="N17" t="n">
        <v>0</v>
      </c>
      <c r="O17" t="n">
        <v>4</v>
      </c>
      <c r="P17" t="n">
        <v>1</v>
      </c>
      <c r="Q17" t="n">
        <v>5</v>
      </c>
      <c r="R17" s="2" t="inlineStr">
        <is>
          <t>Knärot
Garnlav
Ullticka
Vedtrappmossa
Dropptaggsvamp</t>
        </is>
      </c>
      <c r="S17">
        <f>HYPERLINK("https://klasma.github.io/Logging_2085/artfynd/A 53053-2024 artfynd.xlsx", "A 53053-2024")</f>
        <v/>
      </c>
      <c r="T17">
        <f>HYPERLINK("https://klasma.github.io/Logging_2085/kartor/A 53053-2024 karta.png", "A 53053-2024")</f>
        <v/>
      </c>
      <c r="U17">
        <f>HYPERLINK("https://klasma.github.io/Logging_2085/knärot/A 53053-2024 karta knärot.png", "A 53053-2024")</f>
        <v/>
      </c>
      <c r="V17">
        <f>HYPERLINK("https://klasma.github.io/Logging_2085/klagomål/A 53053-2024 FSC-klagomål.docx", "A 53053-2024")</f>
        <v/>
      </c>
      <c r="W17">
        <f>HYPERLINK("https://klasma.github.io/Logging_2085/klagomålsmail/A 53053-2024 FSC-klagomål mail.docx", "A 53053-2024")</f>
        <v/>
      </c>
      <c r="X17">
        <f>HYPERLINK("https://klasma.github.io/Logging_2085/tillsyn/A 53053-2024 tillsynsbegäran.docx", "A 53053-2024")</f>
        <v/>
      </c>
      <c r="Y17">
        <f>HYPERLINK("https://klasma.github.io/Logging_2085/tillsynsmail/A 53053-2024 tillsynsbegäran mail.docx", "A 53053-2024")</f>
        <v/>
      </c>
    </row>
    <row r="18" ht="15" customHeight="1">
      <c r="A18" t="inlineStr">
        <is>
          <t>A 29285-2020</t>
        </is>
      </c>
      <c r="B18" s="1" t="n">
        <v>44000</v>
      </c>
      <c r="C18" s="1" t="n">
        <v>45826</v>
      </c>
      <c r="D18" t="inlineStr">
        <is>
          <t>DALARNAS LÄN</t>
        </is>
      </c>
      <c r="E18" t="inlineStr">
        <is>
          <t>LUDVIKA</t>
        </is>
      </c>
      <c r="G18" t="n">
        <v>2.5</v>
      </c>
      <c r="H18" t="n">
        <v>1</v>
      </c>
      <c r="I18" t="n">
        <v>1</v>
      </c>
      <c r="J18" t="n">
        <v>2</v>
      </c>
      <c r="K18" t="n">
        <v>0</v>
      </c>
      <c r="L18" t="n">
        <v>0</v>
      </c>
      <c r="M18" t="n">
        <v>0</v>
      </c>
      <c r="N18" t="n">
        <v>0</v>
      </c>
      <c r="O18" t="n">
        <v>2</v>
      </c>
      <c r="P18" t="n">
        <v>0</v>
      </c>
      <c r="Q18" t="n">
        <v>4</v>
      </c>
      <c r="R18" s="2" t="inlineStr">
        <is>
          <t>Violettgrå tagellav
Vitgrynig nållav
Nästlav
Fläcknycklar</t>
        </is>
      </c>
      <c r="S18">
        <f>HYPERLINK("https://klasma.github.io/Logging_2085/artfynd/A 29285-2020 artfynd.xlsx", "A 29285-2020")</f>
        <v/>
      </c>
      <c r="T18">
        <f>HYPERLINK("https://klasma.github.io/Logging_2085/kartor/A 29285-2020 karta.png", "A 29285-2020")</f>
        <v/>
      </c>
      <c r="V18">
        <f>HYPERLINK("https://klasma.github.io/Logging_2085/klagomål/A 29285-2020 FSC-klagomål.docx", "A 29285-2020")</f>
        <v/>
      </c>
      <c r="W18">
        <f>HYPERLINK("https://klasma.github.io/Logging_2085/klagomålsmail/A 29285-2020 FSC-klagomål mail.docx", "A 29285-2020")</f>
        <v/>
      </c>
      <c r="X18">
        <f>HYPERLINK("https://klasma.github.io/Logging_2085/tillsyn/A 29285-2020 tillsynsbegäran.docx", "A 29285-2020")</f>
        <v/>
      </c>
      <c r="Y18">
        <f>HYPERLINK("https://klasma.github.io/Logging_2085/tillsynsmail/A 29285-2020 tillsynsbegäran mail.docx", "A 29285-2020")</f>
        <v/>
      </c>
    </row>
    <row r="19" ht="15" customHeight="1">
      <c r="A19" t="inlineStr">
        <is>
          <t>A 44535-2021</t>
        </is>
      </c>
      <c r="B19" s="1" t="n">
        <v>44435</v>
      </c>
      <c r="C19" s="1" t="n">
        <v>45826</v>
      </c>
      <c r="D19" t="inlineStr">
        <is>
          <t>DALARNAS LÄN</t>
        </is>
      </c>
      <c r="E19" t="inlineStr">
        <is>
          <t>LUDVIKA</t>
        </is>
      </c>
      <c r="G19" t="n">
        <v>3.6</v>
      </c>
      <c r="H19" t="n">
        <v>0</v>
      </c>
      <c r="I19" t="n">
        <v>2</v>
      </c>
      <c r="J19" t="n">
        <v>2</v>
      </c>
      <c r="K19" t="n">
        <v>0</v>
      </c>
      <c r="L19" t="n">
        <v>0</v>
      </c>
      <c r="M19" t="n">
        <v>0</v>
      </c>
      <c r="N19" t="n">
        <v>0</v>
      </c>
      <c r="O19" t="n">
        <v>2</v>
      </c>
      <c r="P19" t="n">
        <v>0</v>
      </c>
      <c r="Q19" t="n">
        <v>4</v>
      </c>
      <c r="R19" s="2" t="inlineStr">
        <is>
          <t>Svart taggsvamp
Vedskivlav
Dropptaggsvamp
Rävticka</t>
        </is>
      </c>
      <c r="S19">
        <f>HYPERLINK("https://klasma.github.io/Logging_2085/artfynd/A 44535-2021 artfynd.xlsx", "A 44535-2021")</f>
        <v/>
      </c>
      <c r="T19">
        <f>HYPERLINK("https://klasma.github.io/Logging_2085/kartor/A 44535-2021 karta.png", "A 44535-2021")</f>
        <v/>
      </c>
      <c r="V19">
        <f>HYPERLINK("https://klasma.github.io/Logging_2085/klagomål/A 44535-2021 FSC-klagomål.docx", "A 44535-2021")</f>
        <v/>
      </c>
      <c r="W19">
        <f>HYPERLINK("https://klasma.github.io/Logging_2085/klagomålsmail/A 44535-2021 FSC-klagomål mail.docx", "A 44535-2021")</f>
        <v/>
      </c>
      <c r="X19">
        <f>HYPERLINK("https://klasma.github.io/Logging_2085/tillsyn/A 44535-2021 tillsynsbegäran.docx", "A 44535-2021")</f>
        <v/>
      </c>
      <c r="Y19">
        <f>HYPERLINK("https://klasma.github.io/Logging_2085/tillsynsmail/A 44535-2021 tillsynsbegäran mail.docx", "A 44535-2021")</f>
        <v/>
      </c>
    </row>
    <row r="20" ht="15" customHeight="1">
      <c r="A20" t="inlineStr">
        <is>
          <t>A 14637-2023</t>
        </is>
      </c>
      <c r="B20" s="1" t="n">
        <v>45013</v>
      </c>
      <c r="C20" s="1" t="n">
        <v>45826</v>
      </c>
      <c r="D20" t="inlineStr">
        <is>
          <t>DALARNAS LÄN</t>
        </is>
      </c>
      <c r="E20" t="inlineStr">
        <is>
          <t>LUDVIKA</t>
        </is>
      </c>
      <c r="F20" t="inlineStr">
        <is>
          <t>Övriga Aktiebolag</t>
        </is>
      </c>
      <c r="G20" t="n">
        <v>6.1</v>
      </c>
      <c r="H20" t="n">
        <v>1</v>
      </c>
      <c r="I20" t="n">
        <v>3</v>
      </c>
      <c r="J20" t="n">
        <v>0</v>
      </c>
      <c r="K20" t="n">
        <v>0</v>
      </c>
      <c r="L20" t="n">
        <v>0</v>
      </c>
      <c r="M20" t="n">
        <v>0</v>
      </c>
      <c r="N20" t="n">
        <v>0</v>
      </c>
      <c r="O20" t="n">
        <v>0</v>
      </c>
      <c r="P20" t="n">
        <v>0</v>
      </c>
      <c r="Q20" t="n">
        <v>4</v>
      </c>
      <c r="R20" s="2" t="inlineStr">
        <is>
          <t>Korallblylav
Skinnlav
Vårärt
Blåsippa</t>
        </is>
      </c>
      <c r="S20">
        <f>HYPERLINK("https://klasma.github.io/Logging_2085/artfynd/A 14637-2023 artfynd.xlsx", "A 14637-2023")</f>
        <v/>
      </c>
      <c r="T20">
        <f>HYPERLINK("https://klasma.github.io/Logging_2085/kartor/A 14637-2023 karta.png", "A 14637-2023")</f>
        <v/>
      </c>
      <c r="V20">
        <f>HYPERLINK("https://klasma.github.io/Logging_2085/klagomål/A 14637-2023 FSC-klagomål.docx", "A 14637-2023")</f>
        <v/>
      </c>
      <c r="W20">
        <f>HYPERLINK("https://klasma.github.io/Logging_2085/klagomålsmail/A 14637-2023 FSC-klagomål mail.docx", "A 14637-2023")</f>
        <v/>
      </c>
      <c r="X20">
        <f>HYPERLINK("https://klasma.github.io/Logging_2085/tillsyn/A 14637-2023 tillsynsbegäran.docx", "A 14637-2023")</f>
        <v/>
      </c>
      <c r="Y20">
        <f>HYPERLINK("https://klasma.github.io/Logging_2085/tillsynsmail/A 14637-2023 tillsynsbegäran mail.docx", "A 14637-2023")</f>
        <v/>
      </c>
    </row>
    <row r="21" ht="15" customHeight="1">
      <c r="A21" t="inlineStr">
        <is>
          <t>A 46101-2023</t>
        </is>
      </c>
      <c r="B21" s="1" t="n">
        <v>45196</v>
      </c>
      <c r="C21" s="1" t="n">
        <v>45826</v>
      </c>
      <c r="D21" t="inlineStr">
        <is>
          <t>DALARNAS LÄN</t>
        </is>
      </c>
      <c r="E21" t="inlineStr">
        <is>
          <t>LUDVIKA</t>
        </is>
      </c>
      <c r="F21" t="inlineStr">
        <is>
          <t>Övriga Aktiebolag</t>
        </is>
      </c>
      <c r="G21" t="n">
        <v>21.1</v>
      </c>
      <c r="H21" t="n">
        <v>1</v>
      </c>
      <c r="I21" t="n">
        <v>2</v>
      </c>
      <c r="J21" t="n">
        <v>2</v>
      </c>
      <c r="K21" t="n">
        <v>0</v>
      </c>
      <c r="L21" t="n">
        <v>0</v>
      </c>
      <c r="M21" t="n">
        <v>0</v>
      </c>
      <c r="N21" t="n">
        <v>0</v>
      </c>
      <c r="O21" t="n">
        <v>2</v>
      </c>
      <c r="P21" t="n">
        <v>0</v>
      </c>
      <c r="Q21" t="n">
        <v>4</v>
      </c>
      <c r="R21" s="2" t="inlineStr">
        <is>
          <t>Garnlav
Spillkråka
Skinnlav
Strimspindling</t>
        </is>
      </c>
      <c r="S21">
        <f>HYPERLINK("https://klasma.github.io/Logging_2085/artfynd/A 46101-2023 artfynd.xlsx", "A 46101-2023")</f>
        <v/>
      </c>
      <c r="T21">
        <f>HYPERLINK("https://klasma.github.io/Logging_2085/kartor/A 46101-2023 karta.png", "A 46101-2023")</f>
        <v/>
      </c>
      <c r="V21">
        <f>HYPERLINK("https://klasma.github.io/Logging_2085/klagomål/A 46101-2023 FSC-klagomål.docx", "A 46101-2023")</f>
        <v/>
      </c>
      <c r="W21">
        <f>HYPERLINK("https://klasma.github.io/Logging_2085/klagomålsmail/A 46101-2023 FSC-klagomål mail.docx", "A 46101-2023")</f>
        <v/>
      </c>
      <c r="X21">
        <f>HYPERLINK("https://klasma.github.io/Logging_2085/tillsyn/A 46101-2023 tillsynsbegäran.docx", "A 46101-2023")</f>
        <v/>
      </c>
      <c r="Y21">
        <f>HYPERLINK("https://klasma.github.io/Logging_2085/tillsynsmail/A 46101-2023 tillsynsbegäran mail.docx", "A 46101-2023")</f>
        <v/>
      </c>
      <c r="Z21">
        <f>HYPERLINK("https://klasma.github.io/Logging_2085/fåglar/A 46101-2023 prioriterade fågelarter.docx", "A 46101-2023")</f>
        <v/>
      </c>
    </row>
    <row r="22" ht="15" customHeight="1">
      <c r="A22" t="inlineStr">
        <is>
          <t>A 49783-2024</t>
        </is>
      </c>
      <c r="B22" s="1" t="n">
        <v>45597</v>
      </c>
      <c r="C22" s="1" t="n">
        <v>45826</v>
      </c>
      <c r="D22" t="inlineStr">
        <is>
          <t>DALARNAS LÄN</t>
        </is>
      </c>
      <c r="E22" t="inlineStr">
        <is>
          <t>LUDVIKA</t>
        </is>
      </c>
      <c r="F22" t="inlineStr">
        <is>
          <t>Bergvik skog väst AB</t>
        </is>
      </c>
      <c r="G22" t="n">
        <v>20.9</v>
      </c>
      <c r="H22" t="n">
        <v>0</v>
      </c>
      <c r="I22" t="n">
        <v>0</v>
      </c>
      <c r="J22" t="n">
        <v>3</v>
      </c>
      <c r="K22" t="n">
        <v>0</v>
      </c>
      <c r="L22" t="n">
        <v>0</v>
      </c>
      <c r="M22" t="n">
        <v>0</v>
      </c>
      <c r="N22" t="n">
        <v>0</v>
      </c>
      <c r="O22" t="n">
        <v>4</v>
      </c>
      <c r="P22" t="n">
        <v>0</v>
      </c>
      <c r="Q22" t="n">
        <v>4</v>
      </c>
      <c r="R22" s="2" t="inlineStr">
        <is>
          <t>Gammelgransskål
Garnlav
Stjärntagging
Mörk kådsvartspik</t>
        </is>
      </c>
      <c r="S22">
        <f>HYPERLINK("https://klasma.github.io/Logging_2085/artfynd/A 49783-2024 artfynd.xlsx", "A 49783-2024")</f>
        <v/>
      </c>
      <c r="T22">
        <f>HYPERLINK("https://klasma.github.io/Logging_2085/kartor/A 49783-2024 karta.png", "A 49783-2024")</f>
        <v/>
      </c>
      <c r="V22">
        <f>HYPERLINK("https://klasma.github.io/Logging_2085/klagomål/A 49783-2024 FSC-klagomål.docx", "A 49783-2024")</f>
        <v/>
      </c>
      <c r="W22">
        <f>HYPERLINK("https://klasma.github.io/Logging_2085/klagomålsmail/A 49783-2024 FSC-klagomål mail.docx", "A 49783-2024")</f>
        <v/>
      </c>
      <c r="X22">
        <f>HYPERLINK("https://klasma.github.io/Logging_2085/tillsyn/A 49783-2024 tillsynsbegäran.docx", "A 49783-2024")</f>
        <v/>
      </c>
      <c r="Y22">
        <f>HYPERLINK("https://klasma.github.io/Logging_2085/tillsynsmail/A 49783-2024 tillsynsbegäran mail.docx", "A 49783-2024")</f>
        <v/>
      </c>
    </row>
    <row r="23" ht="15" customHeight="1">
      <c r="A23" t="inlineStr">
        <is>
          <t>A 51045-2024</t>
        </is>
      </c>
      <c r="B23" s="1" t="n">
        <v>45603</v>
      </c>
      <c r="C23" s="1" t="n">
        <v>45826</v>
      </c>
      <c r="D23" t="inlineStr">
        <is>
          <t>DALARNAS LÄN</t>
        </is>
      </c>
      <c r="E23" t="inlineStr">
        <is>
          <t>LUDVIKA</t>
        </is>
      </c>
      <c r="F23" t="inlineStr">
        <is>
          <t>Bergvik skog väst AB</t>
        </is>
      </c>
      <c r="G23" t="n">
        <v>2.4</v>
      </c>
      <c r="H23" t="n">
        <v>0</v>
      </c>
      <c r="I23" t="n">
        <v>3</v>
      </c>
      <c r="J23" t="n">
        <v>1</v>
      </c>
      <c r="K23" t="n">
        <v>0</v>
      </c>
      <c r="L23" t="n">
        <v>0</v>
      </c>
      <c r="M23" t="n">
        <v>0</v>
      </c>
      <c r="N23" t="n">
        <v>0</v>
      </c>
      <c r="O23" t="n">
        <v>1</v>
      </c>
      <c r="P23" t="n">
        <v>0</v>
      </c>
      <c r="Q23" t="n">
        <v>4</v>
      </c>
      <c r="R23" s="2" t="inlineStr">
        <is>
          <t>Garnlav
Björksplintborre
Bronshjon
Dropptaggsvamp</t>
        </is>
      </c>
      <c r="S23">
        <f>HYPERLINK("https://klasma.github.io/Logging_2085/artfynd/A 51045-2024 artfynd.xlsx", "A 51045-2024")</f>
        <v/>
      </c>
      <c r="T23">
        <f>HYPERLINK("https://klasma.github.io/Logging_2085/kartor/A 51045-2024 karta.png", "A 51045-2024")</f>
        <v/>
      </c>
      <c r="V23">
        <f>HYPERLINK("https://klasma.github.io/Logging_2085/klagomål/A 51045-2024 FSC-klagomål.docx", "A 51045-2024")</f>
        <v/>
      </c>
      <c r="W23">
        <f>HYPERLINK("https://klasma.github.io/Logging_2085/klagomålsmail/A 51045-2024 FSC-klagomål mail.docx", "A 51045-2024")</f>
        <v/>
      </c>
      <c r="X23">
        <f>HYPERLINK("https://klasma.github.io/Logging_2085/tillsyn/A 51045-2024 tillsynsbegäran.docx", "A 51045-2024")</f>
        <v/>
      </c>
      <c r="Y23">
        <f>HYPERLINK("https://klasma.github.io/Logging_2085/tillsynsmail/A 51045-2024 tillsynsbegäran mail.docx", "A 51045-2024")</f>
        <v/>
      </c>
    </row>
    <row r="24" ht="15" customHeight="1">
      <c r="A24" t="inlineStr">
        <is>
          <t>A 51928-2024</t>
        </is>
      </c>
      <c r="B24" s="1" t="n">
        <v>45607</v>
      </c>
      <c r="C24" s="1" t="n">
        <v>45826</v>
      </c>
      <c r="D24" t="inlineStr">
        <is>
          <t>DALARNAS LÄN</t>
        </is>
      </c>
      <c r="E24" t="inlineStr">
        <is>
          <t>LUDVIKA</t>
        </is>
      </c>
      <c r="F24" t="inlineStr">
        <is>
          <t>Bergvik skog väst AB</t>
        </is>
      </c>
      <c r="G24" t="n">
        <v>27.9</v>
      </c>
      <c r="H24" t="n">
        <v>0</v>
      </c>
      <c r="I24" t="n">
        <v>3</v>
      </c>
      <c r="J24" t="n">
        <v>1</v>
      </c>
      <c r="K24" t="n">
        <v>0</v>
      </c>
      <c r="L24" t="n">
        <v>0</v>
      </c>
      <c r="M24" t="n">
        <v>0</v>
      </c>
      <c r="N24" t="n">
        <v>0</v>
      </c>
      <c r="O24" t="n">
        <v>1</v>
      </c>
      <c r="P24" t="n">
        <v>0</v>
      </c>
      <c r="Q24" t="n">
        <v>4</v>
      </c>
      <c r="R24" s="2" t="inlineStr">
        <is>
          <t>Brunpudrad nållav
Gulnål
Kornig nållav
Vedticka</t>
        </is>
      </c>
      <c r="S24">
        <f>HYPERLINK("https://klasma.github.io/Logging_2085/artfynd/A 51928-2024 artfynd.xlsx", "A 51928-2024")</f>
        <v/>
      </c>
      <c r="T24">
        <f>HYPERLINK("https://klasma.github.io/Logging_2085/kartor/A 51928-2024 karta.png", "A 51928-2024")</f>
        <v/>
      </c>
      <c r="V24">
        <f>HYPERLINK("https://klasma.github.io/Logging_2085/klagomål/A 51928-2024 FSC-klagomål.docx", "A 51928-2024")</f>
        <v/>
      </c>
      <c r="W24">
        <f>HYPERLINK("https://klasma.github.io/Logging_2085/klagomålsmail/A 51928-2024 FSC-klagomål mail.docx", "A 51928-2024")</f>
        <v/>
      </c>
      <c r="X24">
        <f>HYPERLINK("https://klasma.github.io/Logging_2085/tillsyn/A 51928-2024 tillsynsbegäran.docx", "A 51928-2024")</f>
        <v/>
      </c>
      <c r="Y24">
        <f>HYPERLINK("https://klasma.github.io/Logging_2085/tillsynsmail/A 51928-2024 tillsynsbegäran mail.docx", "A 51928-2024")</f>
        <v/>
      </c>
    </row>
    <row r="25" ht="15" customHeight="1">
      <c r="A25" t="inlineStr">
        <is>
          <t>A 23099-2025</t>
        </is>
      </c>
      <c r="B25" s="1" t="n">
        <v>45791</v>
      </c>
      <c r="C25" s="1" t="n">
        <v>45826</v>
      </c>
      <c r="D25" t="inlineStr">
        <is>
          <t>DALARNAS LÄN</t>
        </is>
      </c>
      <c r="E25" t="inlineStr">
        <is>
          <t>LUDVIKA</t>
        </is>
      </c>
      <c r="F25" t="inlineStr">
        <is>
          <t>Bergvik skog väst AB</t>
        </is>
      </c>
      <c r="G25" t="n">
        <v>1.5</v>
      </c>
      <c r="H25" t="n">
        <v>0</v>
      </c>
      <c r="I25" t="n">
        <v>3</v>
      </c>
      <c r="J25" t="n">
        <v>1</v>
      </c>
      <c r="K25" t="n">
        <v>0</v>
      </c>
      <c r="L25" t="n">
        <v>0</v>
      </c>
      <c r="M25" t="n">
        <v>0</v>
      </c>
      <c r="N25" t="n">
        <v>0</v>
      </c>
      <c r="O25" t="n">
        <v>1</v>
      </c>
      <c r="P25" t="n">
        <v>0</v>
      </c>
      <c r="Q25" t="n">
        <v>4</v>
      </c>
      <c r="R25" s="2" t="inlineStr">
        <is>
          <t>Vedtrappmossa
Blek stjärnmossa
Guldlockmossa
Platt fjädermossa</t>
        </is>
      </c>
      <c r="S25">
        <f>HYPERLINK("https://klasma.github.io/Logging_202085/artfynd/A 23099-2025 artfynd.xlsx", "A 23099-2025")</f>
        <v/>
      </c>
      <c r="T25">
        <f>HYPERLINK("https://klasma.github.io/Logging_202085/kartor/A 23099-2025 karta.png", "A 23099-2025")</f>
        <v/>
      </c>
      <c r="V25">
        <f>HYPERLINK("https://klasma.github.io/Logging_202085/klagomål/A 23099-2025 FSC-klagomål.docx", "A 23099-2025")</f>
        <v/>
      </c>
      <c r="W25">
        <f>HYPERLINK("https://klasma.github.io/Logging_202085/klagomålsmail/A 23099-2025 FSC-klagomål mail.docx", "A 23099-2025")</f>
        <v/>
      </c>
      <c r="X25">
        <f>HYPERLINK("https://klasma.github.io/Logging_202085/tillsyn/A 23099-2025 tillsynsbegäran.docx", "A 23099-2025")</f>
        <v/>
      </c>
      <c r="Y25">
        <f>HYPERLINK("https://klasma.github.io/Logging_202085/tillsynsmail/A 23099-2025 tillsynsbegäran mail.docx", "A 23099-2025")</f>
        <v/>
      </c>
    </row>
    <row r="26" ht="15" customHeight="1">
      <c r="A26" t="inlineStr">
        <is>
          <t>A 25287-2025</t>
        </is>
      </c>
      <c r="B26" s="1" t="n">
        <v>45800</v>
      </c>
      <c r="C26" s="1" t="n">
        <v>45826</v>
      </c>
      <c r="D26" t="inlineStr">
        <is>
          <t>DALARNAS LÄN</t>
        </is>
      </c>
      <c r="E26" t="inlineStr">
        <is>
          <t>LUDVIKA</t>
        </is>
      </c>
      <c r="F26" t="inlineStr">
        <is>
          <t>Bergvik skog väst AB</t>
        </is>
      </c>
      <c r="G26" t="n">
        <v>8.6</v>
      </c>
      <c r="H26" t="n">
        <v>0</v>
      </c>
      <c r="I26" t="n">
        <v>1</v>
      </c>
      <c r="J26" t="n">
        <v>3</v>
      </c>
      <c r="K26" t="n">
        <v>0</v>
      </c>
      <c r="L26" t="n">
        <v>0</v>
      </c>
      <c r="M26" t="n">
        <v>0</v>
      </c>
      <c r="N26" t="n">
        <v>0</v>
      </c>
      <c r="O26" t="n">
        <v>3</v>
      </c>
      <c r="P26" t="n">
        <v>0</v>
      </c>
      <c r="Q26" t="n">
        <v>4</v>
      </c>
      <c r="R26" s="2" t="inlineStr">
        <is>
          <t>Garnlav
Kolflarnlav
Vedskivlav
Nästlav</t>
        </is>
      </c>
      <c r="S26">
        <f>HYPERLINK("https://klasma.github.io/Logging_202085/artfynd/A 25287-2025 artfynd.xlsx", "A 25287-2025")</f>
        <v/>
      </c>
      <c r="T26">
        <f>HYPERLINK("https://klasma.github.io/Logging_202085/kartor/A 25287-2025 karta.png", "A 25287-2025")</f>
        <v/>
      </c>
      <c r="V26">
        <f>HYPERLINK("https://klasma.github.io/Logging_202085/klagomål/A 25287-2025 FSC-klagomål.docx", "A 25287-2025")</f>
        <v/>
      </c>
      <c r="W26">
        <f>HYPERLINK("https://klasma.github.io/Logging_202085/klagomålsmail/A 25287-2025 FSC-klagomål mail.docx", "A 25287-2025")</f>
        <v/>
      </c>
      <c r="X26">
        <f>HYPERLINK("https://klasma.github.io/Logging_202085/tillsyn/A 25287-2025 tillsynsbegäran.docx", "A 25287-2025")</f>
        <v/>
      </c>
      <c r="Y26">
        <f>HYPERLINK("https://klasma.github.io/Logging_202085/tillsynsmail/A 25287-2025 tillsynsbegäran mail.docx", "A 25287-2025")</f>
        <v/>
      </c>
    </row>
    <row r="27" ht="15" customHeight="1">
      <c r="A27" t="inlineStr">
        <is>
          <t>A 69138-2020</t>
        </is>
      </c>
      <c r="B27" s="1" t="n">
        <v>44188</v>
      </c>
      <c r="C27" s="1" t="n">
        <v>45826</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56632-2021</t>
        </is>
      </c>
      <c r="B28" s="1" t="n">
        <v>44480</v>
      </c>
      <c r="C28" s="1" t="n">
        <v>45826</v>
      </c>
      <c r="D28" t="inlineStr">
        <is>
          <t>DALARNAS LÄN</t>
        </is>
      </c>
      <c r="E28" t="inlineStr">
        <is>
          <t>LUDVIKA</t>
        </is>
      </c>
      <c r="G28" t="n">
        <v>17.1</v>
      </c>
      <c r="H28" t="n">
        <v>1</v>
      </c>
      <c r="I28" t="n">
        <v>2</v>
      </c>
      <c r="J28" t="n">
        <v>1</v>
      </c>
      <c r="K28" t="n">
        <v>0</v>
      </c>
      <c r="L28" t="n">
        <v>0</v>
      </c>
      <c r="M28" t="n">
        <v>0</v>
      </c>
      <c r="N28" t="n">
        <v>0</v>
      </c>
      <c r="O28" t="n">
        <v>1</v>
      </c>
      <c r="P28" t="n">
        <v>0</v>
      </c>
      <c r="Q28" t="n">
        <v>3</v>
      </c>
      <c r="R28" s="2" t="inlineStr">
        <is>
          <t>Nordfladdermus
Gräsull
Skinnlav</t>
        </is>
      </c>
      <c r="S28">
        <f>HYPERLINK("https://klasma.github.io/Logging_2085/artfynd/A 56632-2021 artfynd.xlsx", "A 56632-2021")</f>
        <v/>
      </c>
      <c r="T28">
        <f>HYPERLINK("https://klasma.github.io/Logging_2085/kartor/A 56632-2021 karta.png", "A 56632-2021")</f>
        <v/>
      </c>
      <c r="V28">
        <f>HYPERLINK("https://klasma.github.io/Logging_2085/klagomål/A 56632-2021 FSC-klagomål.docx", "A 56632-2021")</f>
        <v/>
      </c>
      <c r="W28">
        <f>HYPERLINK("https://klasma.github.io/Logging_2085/klagomålsmail/A 56632-2021 FSC-klagomål mail.docx", "A 56632-2021")</f>
        <v/>
      </c>
      <c r="X28">
        <f>HYPERLINK("https://klasma.github.io/Logging_2085/tillsyn/A 56632-2021 tillsynsbegäran.docx", "A 56632-2021")</f>
        <v/>
      </c>
      <c r="Y28">
        <f>HYPERLINK("https://klasma.github.io/Logging_2085/tillsynsmail/A 56632-2021 tillsynsbegäran mail.docx", "A 56632-2021")</f>
        <v/>
      </c>
    </row>
    <row r="29" ht="15" customHeight="1">
      <c r="A29" t="inlineStr">
        <is>
          <t>A 45268-2022</t>
        </is>
      </c>
      <c r="B29" s="1" t="n">
        <v>44844</v>
      </c>
      <c r="C29" s="1" t="n">
        <v>45826</v>
      </c>
      <c r="D29" t="inlineStr">
        <is>
          <t>DALARNAS LÄN</t>
        </is>
      </c>
      <c r="E29" t="inlineStr">
        <is>
          <t>LUDVIKA</t>
        </is>
      </c>
      <c r="F29" t="inlineStr">
        <is>
          <t>Naturvårdsverket</t>
        </is>
      </c>
      <c r="G29" t="n">
        <v>2.3</v>
      </c>
      <c r="H29" t="n">
        <v>0</v>
      </c>
      <c r="I29" t="n">
        <v>1</v>
      </c>
      <c r="J29" t="n">
        <v>2</v>
      </c>
      <c r="K29" t="n">
        <v>0</v>
      </c>
      <c r="L29" t="n">
        <v>0</v>
      </c>
      <c r="M29" t="n">
        <v>0</v>
      </c>
      <c r="N29" t="n">
        <v>0</v>
      </c>
      <c r="O29" t="n">
        <v>2</v>
      </c>
      <c r="P29" t="n">
        <v>0</v>
      </c>
      <c r="Q29" t="n">
        <v>3</v>
      </c>
      <c r="R29" s="2" t="inlineStr">
        <is>
          <t>Orange taggsvamp
Vedtrappmossa
Vedticka</t>
        </is>
      </c>
      <c r="S29">
        <f>HYPERLINK("https://klasma.github.io/Logging_2085/artfynd/A 45268-2022 artfynd.xlsx", "A 45268-2022")</f>
        <v/>
      </c>
      <c r="T29">
        <f>HYPERLINK("https://klasma.github.io/Logging_2085/kartor/A 45268-2022 karta.png", "A 45268-2022")</f>
        <v/>
      </c>
      <c r="U29">
        <f>HYPERLINK("https://klasma.github.io/Logging_2085/knärot/A 45268-2022 karta knärot.png", "A 45268-2022")</f>
        <v/>
      </c>
      <c r="V29">
        <f>HYPERLINK("https://klasma.github.io/Logging_2085/klagomål/A 45268-2022 FSC-klagomål.docx", "A 45268-2022")</f>
        <v/>
      </c>
      <c r="W29">
        <f>HYPERLINK("https://klasma.github.io/Logging_2085/klagomålsmail/A 45268-2022 FSC-klagomål mail.docx", "A 45268-2022")</f>
        <v/>
      </c>
      <c r="X29">
        <f>HYPERLINK("https://klasma.github.io/Logging_2085/tillsyn/A 45268-2022 tillsynsbegäran.docx", "A 45268-2022")</f>
        <v/>
      </c>
      <c r="Y29">
        <f>HYPERLINK("https://klasma.github.io/Logging_2085/tillsynsmail/A 45268-2022 tillsynsbegäran mail.docx", "A 45268-2022")</f>
        <v/>
      </c>
    </row>
    <row r="30" ht="15" customHeight="1">
      <c r="A30" t="inlineStr">
        <is>
          <t>A 28119-2023</t>
        </is>
      </c>
      <c r="B30" s="1" t="n">
        <v>45099</v>
      </c>
      <c r="C30" s="1" t="n">
        <v>45826</v>
      </c>
      <c r="D30" t="inlineStr">
        <is>
          <t>DALARNAS LÄN</t>
        </is>
      </c>
      <c r="E30" t="inlineStr">
        <is>
          <t>LUDVIKA</t>
        </is>
      </c>
      <c r="F30" t="inlineStr">
        <is>
          <t>Bergvik skog väst AB</t>
        </is>
      </c>
      <c r="G30" t="n">
        <v>7.8</v>
      </c>
      <c r="H30" t="n">
        <v>1</v>
      </c>
      <c r="I30" t="n">
        <v>1</v>
      </c>
      <c r="J30" t="n">
        <v>1</v>
      </c>
      <c r="K30" t="n">
        <v>0</v>
      </c>
      <c r="L30" t="n">
        <v>0</v>
      </c>
      <c r="M30" t="n">
        <v>0</v>
      </c>
      <c r="N30" t="n">
        <v>0</v>
      </c>
      <c r="O30" t="n">
        <v>1</v>
      </c>
      <c r="P30" t="n">
        <v>0</v>
      </c>
      <c r="Q30" t="n">
        <v>3</v>
      </c>
      <c r="R30" s="2" t="inlineStr">
        <is>
          <t>Skorpgelélav
Bårdlav
Nattviol</t>
        </is>
      </c>
      <c r="S30">
        <f>HYPERLINK("https://klasma.github.io/Logging_2085/artfynd/A 28119-2023 artfynd.xlsx", "A 28119-2023")</f>
        <v/>
      </c>
      <c r="T30">
        <f>HYPERLINK("https://klasma.github.io/Logging_2085/kartor/A 28119-2023 karta.png", "A 28119-2023")</f>
        <v/>
      </c>
      <c r="V30">
        <f>HYPERLINK("https://klasma.github.io/Logging_2085/klagomål/A 28119-2023 FSC-klagomål.docx", "A 28119-2023")</f>
        <v/>
      </c>
      <c r="W30">
        <f>HYPERLINK("https://klasma.github.io/Logging_2085/klagomålsmail/A 28119-2023 FSC-klagomål mail.docx", "A 28119-2023")</f>
        <v/>
      </c>
      <c r="X30">
        <f>HYPERLINK("https://klasma.github.io/Logging_2085/tillsyn/A 28119-2023 tillsynsbegäran.docx", "A 28119-2023")</f>
        <v/>
      </c>
      <c r="Y30">
        <f>HYPERLINK("https://klasma.github.io/Logging_2085/tillsynsmail/A 28119-2023 tillsynsbegäran mail.docx", "A 28119-2023")</f>
        <v/>
      </c>
    </row>
    <row r="31" ht="15" customHeight="1">
      <c r="A31" t="inlineStr">
        <is>
          <t>A 32643-2023</t>
        </is>
      </c>
      <c r="B31" s="1" t="n">
        <v>45121</v>
      </c>
      <c r="C31" s="1" t="n">
        <v>45826</v>
      </c>
      <c r="D31" t="inlineStr">
        <is>
          <t>DALARNAS LÄN</t>
        </is>
      </c>
      <c r="E31" t="inlineStr">
        <is>
          <t>LUDVIKA</t>
        </is>
      </c>
      <c r="F31" t="inlineStr">
        <is>
          <t>Bergvik skog väst AB</t>
        </is>
      </c>
      <c r="G31" t="n">
        <v>12.2</v>
      </c>
      <c r="H31" t="n">
        <v>1</v>
      </c>
      <c r="I31" t="n">
        <v>2</v>
      </c>
      <c r="J31" t="n">
        <v>1</v>
      </c>
      <c r="K31" t="n">
        <v>0</v>
      </c>
      <c r="L31" t="n">
        <v>0</v>
      </c>
      <c r="M31" t="n">
        <v>0</v>
      </c>
      <c r="N31" t="n">
        <v>0</v>
      </c>
      <c r="O31" t="n">
        <v>1</v>
      </c>
      <c r="P31" t="n">
        <v>0</v>
      </c>
      <c r="Q31" t="n">
        <v>3</v>
      </c>
      <c r="R31" s="2" t="inlineStr">
        <is>
          <t>Spillkråka
Aprikosfingersvamp
Honungsvaxing</t>
        </is>
      </c>
      <c r="S31">
        <f>HYPERLINK("https://klasma.github.io/Logging_2085/artfynd/A 32643-2023 artfynd.xlsx", "A 32643-2023")</f>
        <v/>
      </c>
      <c r="T31">
        <f>HYPERLINK("https://klasma.github.io/Logging_2085/kartor/A 32643-2023 karta.png", "A 32643-2023")</f>
        <v/>
      </c>
      <c r="V31">
        <f>HYPERLINK("https://klasma.github.io/Logging_2085/klagomål/A 32643-2023 FSC-klagomål.docx", "A 32643-2023")</f>
        <v/>
      </c>
      <c r="W31">
        <f>HYPERLINK("https://klasma.github.io/Logging_2085/klagomålsmail/A 32643-2023 FSC-klagomål mail.docx", "A 32643-2023")</f>
        <v/>
      </c>
      <c r="X31">
        <f>HYPERLINK("https://klasma.github.io/Logging_2085/tillsyn/A 32643-2023 tillsynsbegäran.docx", "A 32643-2023")</f>
        <v/>
      </c>
      <c r="Y31">
        <f>HYPERLINK("https://klasma.github.io/Logging_2085/tillsynsmail/A 32643-2023 tillsynsbegäran mail.docx", "A 32643-2023")</f>
        <v/>
      </c>
      <c r="Z31">
        <f>HYPERLINK("https://klasma.github.io/Logging_2085/fåglar/A 32643-2023 prioriterade fågelarter.docx", "A 32643-2023")</f>
        <v/>
      </c>
    </row>
    <row r="32" ht="15" customHeight="1">
      <c r="A32" t="inlineStr">
        <is>
          <t>A 47706-2024</t>
        </is>
      </c>
      <c r="B32" s="1" t="n">
        <v>45588</v>
      </c>
      <c r="C32" s="1" t="n">
        <v>45826</v>
      </c>
      <c r="D32" t="inlineStr">
        <is>
          <t>DALARNAS LÄN</t>
        </is>
      </c>
      <c r="E32" t="inlineStr">
        <is>
          <t>LUDVIKA</t>
        </is>
      </c>
      <c r="F32" t="inlineStr">
        <is>
          <t>Bergvik skog väst AB</t>
        </is>
      </c>
      <c r="G32" t="n">
        <v>2.6</v>
      </c>
      <c r="H32" t="n">
        <v>1</v>
      </c>
      <c r="I32" t="n">
        <v>2</v>
      </c>
      <c r="J32" t="n">
        <v>0</v>
      </c>
      <c r="K32" t="n">
        <v>0</v>
      </c>
      <c r="L32" t="n">
        <v>0</v>
      </c>
      <c r="M32" t="n">
        <v>0</v>
      </c>
      <c r="N32" t="n">
        <v>0</v>
      </c>
      <c r="O32" t="n">
        <v>0</v>
      </c>
      <c r="P32" t="n">
        <v>0</v>
      </c>
      <c r="Q32" t="n">
        <v>3</v>
      </c>
      <c r="R32" s="2" t="inlineStr">
        <is>
          <t>Bårdlav
Korallblylav
Blåsippa</t>
        </is>
      </c>
      <c r="S32">
        <f>HYPERLINK("https://klasma.github.io/Logging_2085/artfynd/A 47706-2024 artfynd.xlsx", "A 47706-2024")</f>
        <v/>
      </c>
      <c r="T32">
        <f>HYPERLINK("https://klasma.github.io/Logging_2085/kartor/A 47706-2024 karta.png", "A 47706-2024")</f>
        <v/>
      </c>
      <c r="V32">
        <f>HYPERLINK("https://klasma.github.io/Logging_2085/klagomål/A 47706-2024 FSC-klagomål.docx", "A 47706-2024")</f>
        <v/>
      </c>
      <c r="W32">
        <f>HYPERLINK("https://klasma.github.io/Logging_2085/klagomålsmail/A 47706-2024 FSC-klagomål mail.docx", "A 47706-2024")</f>
        <v/>
      </c>
      <c r="X32">
        <f>HYPERLINK("https://klasma.github.io/Logging_2085/tillsyn/A 47706-2024 tillsynsbegäran.docx", "A 47706-2024")</f>
        <v/>
      </c>
      <c r="Y32">
        <f>HYPERLINK("https://klasma.github.io/Logging_2085/tillsynsmail/A 47706-2024 tillsynsbegäran mail.docx", "A 47706-2024")</f>
        <v/>
      </c>
    </row>
    <row r="33" ht="15" customHeight="1">
      <c r="A33" t="inlineStr">
        <is>
          <t>A 23094-2025</t>
        </is>
      </c>
      <c r="B33" s="1" t="n">
        <v>45791</v>
      </c>
      <c r="C33" s="1" t="n">
        <v>45826</v>
      </c>
      <c r="D33" t="inlineStr">
        <is>
          <t>DALARNAS LÄN</t>
        </is>
      </c>
      <c r="E33" t="inlineStr">
        <is>
          <t>LUDVIKA</t>
        </is>
      </c>
      <c r="F33" t="inlineStr">
        <is>
          <t>Bergvik skog väst AB</t>
        </is>
      </c>
      <c r="G33" t="n">
        <v>2.9</v>
      </c>
      <c r="H33" t="n">
        <v>2</v>
      </c>
      <c r="I33" t="n">
        <v>1</v>
      </c>
      <c r="J33" t="n">
        <v>0</v>
      </c>
      <c r="K33" t="n">
        <v>0</v>
      </c>
      <c r="L33" t="n">
        <v>0</v>
      </c>
      <c r="M33" t="n">
        <v>0</v>
      </c>
      <c r="N33" t="n">
        <v>0</v>
      </c>
      <c r="O33" t="n">
        <v>0</v>
      </c>
      <c r="P33" t="n">
        <v>0</v>
      </c>
      <c r="Q33" t="n">
        <v>3</v>
      </c>
      <c r="R33" s="2" t="inlineStr">
        <is>
          <t>Trädporella
Vanlig padda
Blåsippa</t>
        </is>
      </c>
      <c r="S33">
        <f>HYPERLINK("https://klasma.github.io/Logging_202085/artfynd/A 23094-2025 artfynd.xlsx", "A 23094-2025")</f>
        <v/>
      </c>
      <c r="T33">
        <f>HYPERLINK("https://klasma.github.io/Logging_202085/kartor/A 23094-2025 karta.png", "A 23094-2025")</f>
        <v/>
      </c>
      <c r="V33">
        <f>HYPERLINK("https://klasma.github.io/Logging_202085/klagomål/A 23094-2025 FSC-klagomål.docx", "A 23094-2025")</f>
        <v/>
      </c>
      <c r="W33">
        <f>HYPERLINK("https://klasma.github.io/Logging_202085/klagomålsmail/A 23094-2025 FSC-klagomål mail.docx", "A 23094-2025")</f>
        <v/>
      </c>
      <c r="X33">
        <f>HYPERLINK("https://klasma.github.io/Logging_202085/tillsyn/A 23094-2025 tillsynsbegäran.docx", "A 23094-2025")</f>
        <v/>
      </c>
      <c r="Y33">
        <f>HYPERLINK("https://klasma.github.io/Logging_202085/tillsynsmail/A 23094-2025 tillsynsbegäran mail.docx", "A 23094-2025")</f>
        <v/>
      </c>
    </row>
    <row r="34" ht="15" customHeight="1">
      <c r="A34" t="inlineStr">
        <is>
          <t>A 7704-2020</t>
        </is>
      </c>
      <c r="B34" s="1" t="n">
        <v>43872</v>
      </c>
      <c r="C34" s="1" t="n">
        <v>45826</v>
      </c>
      <c r="D34" t="inlineStr">
        <is>
          <t>DALARNAS LÄN</t>
        </is>
      </c>
      <c r="E34" t="inlineStr">
        <is>
          <t>LUDVIKA</t>
        </is>
      </c>
      <c r="G34" t="n">
        <v>3.4</v>
      </c>
      <c r="H34" t="n">
        <v>1</v>
      </c>
      <c r="I34" t="n">
        <v>1</v>
      </c>
      <c r="J34" t="n">
        <v>0</v>
      </c>
      <c r="K34" t="n">
        <v>0</v>
      </c>
      <c r="L34" t="n">
        <v>0</v>
      </c>
      <c r="M34" t="n">
        <v>0</v>
      </c>
      <c r="N34" t="n">
        <v>0</v>
      </c>
      <c r="O34" t="n">
        <v>0</v>
      </c>
      <c r="P34" t="n">
        <v>0</v>
      </c>
      <c r="Q34" t="n">
        <v>2</v>
      </c>
      <c r="R34" s="2" t="inlineStr">
        <is>
          <t>Svavelriska
Blåsippa</t>
        </is>
      </c>
      <c r="S34">
        <f>HYPERLINK("https://klasma.github.io/Logging_2085/artfynd/A 7704-2020 artfynd.xlsx", "A 7704-2020")</f>
        <v/>
      </c>
      <c r="T34">
        <f>HYPERLINK("https://klasma.github.io/Logging_2085/kartor/A 7704-2020 karta.png", "A 7704-2020")</f>
        <v/>
      </c>
      <c r="V34">
        <f>HYPERLINK("https://klasma.github.io/Logging_2085/klagomål/A 7704-2020 FSC-klagomål.docx", "A 7704-2020")</f>
        <v/>
      </c>
      <c r="W34">
        <f>HYPERLINK("https://klasma.github.io/Logging_2085/klagomålsmail/A 7704-2020 FSC-klagomål mail.docx", "A 7704-2020")</f>
        <v/>
      </c>
      <c r="X34">
        <f>HYPERLINK("https://klasma.github.io/Logging_2085/tillsyn/A 7704-2020 tillsynsbegäran.docx", "A 7704-2020")</f>
        <v/>
      </c>
      <c r="Y34">
        <f>HYPERLINK("https://klasma.github.io/Logging_2085/tillsynsmail/A 7704-2020 tillsynsbegäran mail.docx", "A 7704-2020")</f>
        <v/>
      </c>
    </row>
    <row r="35" ht="15" customHeight="1">
      <c r="A35" t="inlineStr">
        <is>
          <t>A 7849-2020</t>
        </is>
      </c>
      <c r="B35" s="1" t="n">
        <v>43873</v>
      </c>
      <c r="C35" s="1" t="n">
        <v>45826</v>
      </c>
      <c r="D35" t="inlineStr">
        <is>
          <t>DALARNAS LÄN</t>
        </is>
      </c>
      <c r="E35" t="inlineStr">
        <is>
          <t>LUDVIKA</t>
        </is>
      </c>
      <c r="F35" t="inlineStr">
        <is>
          <t>Naturvårdsverket</t>
        </is>
      </c>
      <c r="G35" t="n">
        <v>1.3</v>
      </c>
      <c r="H35" t="n">
        <v>1</v>
      </c>
      <c r="I35" t="n">
        <v>1</v>
      </c>
      <c r="J35" t="n">
        <v>0</v>
      </c>
      <c r="K35" t="n">
        <v>1</v>
      </c>
      <c r="L35" t="n">
        <v>0</v>
      </c>
      <c r="M35" t="n">
        <v>0</v>
      </c>
      <c r="N35" t="n">
        <v>0</v>
      </c>
      <c r="O35" t="n">
        <v>1</v>
      </c>
      <c r="P35" t="n">
        <v>1</v>
      </c>
      <c r="Q35" t="n">
        <v>2</v>
      </c>
      <c r="R35" s="2" t="inlineStr">
        <is>
          <t>Knärot
Myskbock</t>
        </is>
      </c>
      <c r="S35">
        <f>HYPERLINK("https://klasma.github.io/Logging_2085/artfynd/A 7849-2020 artfynd.xlsx", "A 7849-2020")</f>
        <v/>
      </c>
      <c r="T35">
        <f>HYPERLINK("https://klasma.github.io/Logging_2085/kartor/A 7849-2020 karta.png", "A 7849-2020")</f>
        <v/>
      </c>
      <c r="U35">
        <f>HYPERLINK("https://klasma.github.io/Logging_2085/knärot/A 7849-2020 karta knärot.png", "A 7849-2020")</f>
        <v/>
      </c>
      <c r="V35">
        <f>HYPERLINK("https://klasma.github.io/Logging_2085/klagomål/A 7849-2020 FSC-klagomål.docx", "A 7849-2020")</f>
        <v/>
      </c>
      <c r="W35">
        <f>HYPERLINK("https://klasma.github.io/Logging_2085/klagomålsmail/A 7849-2020 FSC-klagomål mail.docx", "A 7849-2020")</f>
        <v/>
      </c>
      <c r="X35">
        <f>HYPERLINK("https://klasma.github.io/Logging_2085/tillsyn/A 7849-2020 tillsynsbegäran.docx", "A 7849-2020")</f>
        <v/>
      </c>
      <c r="Y35">
        <f>HYPERLINK("https://klasma.github.io/Logging_2085/tillsynsmail/A 7849-2020 tillsynsbegäran mail.docx", "A 7849-2020")</f>
        <v/>
      </c>
    </row>
    <row r="36" ht="15" customHeight="1">
      <c r="A36" t="inlineStr">
        <is>
          <t>A 21885-2021</t>
        </is>
      </c>
      <c r="B36" s="1" t="n">
        <v>44322</v>
      </c>
      <c r="C36" s="1" t="n">
        <v>45826</v>
      </c>
      <c r="D36" t="inlineStr">
        <is>
          <t>DALARNAS LÄN</t>
        </is>
      </c>
      <c r="E36" t="inlineStr">
        <is>
          <t>LUDVIKA</t>
        </is>
      </c>
      <c r="F36" t="inlineStr">
        <is>
          <t>Bergvik skog väst AB</t>
        </is>
      </c>
      <c r="G36" t="n">
        <v>4.8</v>
      </c>
      <c r="H36" t="n">
        <v>0</v>
      </c>
      <c r="I36" t="n">
        <v>0</v>
      </c>
      <c r="J36" t="n">
        <v>1</v>
      </c>
      <c r="K36" t="n">
        <v>1</v>
      </c>
      <c r="L36" t="n">
        <v>0</v>
      </c>
      <c r="M36" t="n">
        <v>0</v>
      </c>
      <c r="N36" t="n">
        <v>0</v>
      </c>
      <c r="O36" t="n">
        <v>2</v>
      </c>
      <c r="P36" t="n">
        <v>1</v>
      </c>
      <c r="Q36" t="n">
        <v>2</v>
      </c>
      <c r="R36" s="2" t="inlineStr">
        <is>
          <t>Allékantlav
Veckticka</t>
        </is>
      </c>
      <c r="S36">
        <f>HYPERLINK("https://klasma.github.io/Logging_2085/artfynd/A 21885-2021 artfynd.xlsx", "A 21885-2021")</f>
        <v/>
      </c>
      <c r="T36">
        <f>HYPERLINK("https://klasma.github.io/Logging_2085/kartor/A 21885-2021 karta.png", "A 21885-2021")</f>
        <v/>
      </c>
      <c r="V36">
        <f>HYPERLINK("https://klasma.github.io/Logging_2085/klagomål/A 21885-2021 FSC-klagomål.docx", "A 21885-2021")</f>
        <v/>
      </c>
      <c r="W36">
        <f>HYPERLINK("https://klasma.github.io/Logging_2085/klagomålsmail/A 21885-2021 FSC-klagomål mail.docx", "A 21885-2021")</f>
        <v/>
      </c>
      <c r="X36">
        <f>HYPERLINK("https://klasma.github.io/Logging_2085/tillsyn/A 21885-2021 tillsynsbegäran.docx", "A 21885-2021")</f>
        <v/>
      </c>
      <c r="Y36">
        <f>HYPERLINK("https://klasma.github.io/Logging_2085/tillsynsmail/A 21885-2021 tillsynsbegäran mail.docx", "A 21885-2021")</f>
        <v/>
      </c>
    </row>
    <row r="37" ht="15" customHeight="1">
      <c r="A37" t="inlineStr">
        <is>
          <t>A 12093-2023</t>
        </is>
      </c>
      <c r="B37" s="1" t="n">
        <v>44998</v>
      </c>
      <c r="C37" s="1" t="n">
        <v>45826</v>
      </c>
      <c r="D37" t="inlineStr">
        <is>
          <t>DALARNAS LÄN</t>
        </is>
      </c>
      <c r="E37" t="inlineStr">
        <is>
          <t>LUDVIKA</t>
        </is>
      </c>
      <c r="G37" t="n">
        <v>3.2</v>
      </c>
      <c r="H37" t="n">
        <v>0</v>
      </c>
      <c r="I37" t="n">
        <v>0</v>
      </c>
      <c r="J37" t="n">
        <v>1</v>
      </c>
      <c r="K37" t="n">
        <v>1</v>
      </c>
      <c r="L37" t="n">
        <v>0</v>
      </c>
      <c r="M37" t="n">
        <v>0</v>
      </c>
      <c r="N37" t="n">
        <v>0</v>
      </c>
      <c r="O37" t="n">
        <v>2</v>
      </c>
      <c r="P37" t="n">
        <v>1</v>
      </c>
      <c r="Q37" t="n">
        <v>2</v>
      </c>
      <c r="R37" s="2" t="inlineStr">
        <is>
          <t>Bitter taggsvamp
Solfjäderlav</t>
        </is>
      </c>
      <c r="S37">
        <f>HYPERLINK("https://klasma.github.io/Logging_2085/artfynd/A 12093-2023 artfynd.xlsx", "A 12093-2023")</f>
        <v/>
      </c>
      <c r="T37">
        <f>HYPERLINK("https://klasma.github.io/Logging_2085/kartor/A 12093-2023 karta.png", "A 12093-2023")</f>
        <v/>
      </c>
      <c r="V37">
        <f>HYPERLINK("https://klasma.github.io/Logging_2085/klagomål/A 12093-2023 FSC-klagomål.docx", "A 12093-2023")</f>
        <v/>
      </c>
      <c r="W37">
        <f>HYPERLINK("https://klasma.github.io/Logging_2085/klagomålsmail/A 12093-2023 FSC-klagomål mail.docx", "A 12093-2023")</f>
        <v/>
      </c>
      <c r="X37">
        <f>HYPERLINK("https://klasma.github.io/Logging_2085/tillsyn/A 12093-2023 tillsynsbegäran.docx", "A 12093-2023")</f>
        <v/>
      </c>
      <c r="Y37">
        <f>HYPERLINK("https://klasma.github.io/Logging_2085/tillsynsmail/A 12093-2023 tillsynsbegäran mail.docx", "A 12093-2023")</f>
        <v/>
      </c>
    </row>
    <row r="38" ht="15" customHeight="1">
      <c r="A38" t="inlineStr">
        <is>
          <t>A 19338-2023</t>
        </is>
      </c>
      <c r="B38" s="1" t="n">
        <v>45049</v>
      </c>
      <c r="C38" s="1" t="n">
        <v>45826</v>
      </c>
      <c r="D38" t="inlineStr">
        <is>
          <t>DALARNAS LÄN</t>
        </is>
      </c>
      <c r="E38" t="inlineStr">
        <is>
          <t>LUDVIKA</t>
        </is>
      </c>
      <c r="G38" t="n">
        <v>13.7</v>
      </c>
      <c r="H38" t="n">
        <v>0</v>
      </c>
      <c r="I38" t="n">
        <v>1</v>
      </c>
      <c r="J38" t="n">
        <v>1</v>
      </c>
      <c r="K38" t="n">
        <v>0</v>
      </c>
      <c r="L38" t="n">
        <v>0</v>
      </c>
      <c r="M38" t="n">
        <v>0</v>
      </c>
      <c r="N38" t="n">
        <v>0</v>
      </c>
      <c r="O38" t="n">
        <v>1</v>
      </c>
      <c r="P38" t="n">
        <v>0</v>
      </c>
      <c r="Q38" t="n">
        <v>2</v>
      </c>
      <c r="R38" s="2" t="inlineStr">
        <is>
          <t>Motaggsvamp
Dropptaggsvamp</t>
        </is>
      </c>
      <c r="S38">
        <f>HYPERLINK("https://klasma.github.io/Logging_2085/artfynd/A 19338-2023 artfynd.xlsx", "A 19338-2023")</f>
        <v/>
      </c>
      <c r="T38">
        <f>HYPERLINK("https://klasma.github.io/Logging_2085/kartor/A 19338-2023 karta.png", "A 19338-2023")</f>
        <v/>
      </c>
      <c r="V38">
        <f>HYPERLINK("https://klasma.github.io/Logging_2085/klagomål/A 19338-2023 FSC-klagomål.docx", "A 19338-2023")</f>
        <v/>
      </c>
      <c r="W38">
        <f>HYPERLINK("https://klasma.github.io/Logging_2085/klagomålsmail/A 19338-2023 FSC-klagomål mail.docx", "A 19338-2023")</f>
        <v/>
      </c>
      <c r="X38">
        <f>HYPERLINK("https://klasma.github.io/Logging_2085/tillsyn/A 19338-2023 tillsynsbegäran.docx", "A 19338-2023")</f>
        <v/>
      </c>
      <c r="Y38">
        <f>HYPERLINK("https://klasma.github.io/Logging_2085/tillsynsmail/A 19338-2023 tillsynsbegäran mail.docx", "A 19338-2023")</f>
        <v/>
      </c>
    </row>
    <row r="39" ht="15" customHeight="1">
      <c r="A39" t="inlineStr">
        <is>
          <t>A 21074-2023</t>
        </is>
      </c>
      <c r="B39" s="1" t="n">
        <v>45061</v>
      </c>
      <c r="C39" s="1" t="n">
        <v>45826</v>
      </c>
      <c r="D39" t="inlineStr">
        <is>
          <t>DALARNAS LÄN</t>
        </is>
      </c>
      <c r="E39" t="inlineStr">
        <is>
          <t>LUDVIKA</t>
        </is>
      </c>
      <c r="F39" t="inlineStr">
        <is>
          <t>Bergvik skog väst AB</t>
        </is>
      </c>
      <c r="G39" t="n">
        <v>12</v>
      </c>
      <c r="H39" t="n">
        <v>0</v>
      </c>
      <c r="I39" t="n">
        <v>2</v>
      </c>
      <c r="J39" t="n">
        <v>0</v>
      </c>
      <c r="K39" t="n">
        <v>0</v>
      </c>
      <c r="L39" t="n">
        <v>0</v>
      </c>
      <c r="M39" t="n">
        <v>0</v>
      </c>
      <c r="N39" t="n">
        <v>0</v>
      </c>
      <c r="O39" t="n">
        <v>0</v>
      </c>
      <c r="P39" t="n">
        <v>0</v>
      </c>
      <c r="Q39" t="n">
        <v>2</v>
      </c>
      <c r="R39" s="2" t="inlineStr">
        <is>
          <t>Bårdlav
Korallblylav</t>
        </is>
      </c>
      <c r="S39">
        <f>HYPERLINK("https://klasma.github.io/Logging_2085/artfynd/A 21074-2023 artfynd.xlsx", "A 21074-2023")</f>
        <v/>
      </c>
      <c r="T39">
        <f>HYPERLINK("https://klasma.github.io/Logging_2085/kartor/A 21074-2023 karta.png", "A 21074-2023")</f>
        <v/>
      </c>
      <c r="V39">
        <f>HYPERLINK("https://klasma.github.io/Logging_2085/klagomål/A 21074-2023 FSC-klagomål.docx", "A 21074-2023")</f>
        <v/>
      </c>
      <c r="W39">
        <f>HYPERLINK("https://klasma.github.io/Logging_2085/klagomålsmail/A 21074-2023 FSC-klagomål mail.docx", "A 21074-2023")</f>
        <v/>
      </c>
      <c r="X39">
        <f>HYPERLINK("https://klasma.github.io/Logging_2085/tillsyn/A 21074-2023 tillsynsbegäran.docx", "A 21074-2023")</f>
        <v/>
      </c>
      <c r="Y39">
        <f>HYPERLINK("https://klasma.github.io/Logging_2085/tillsynsmail/A 21074-2023 tillsynsbegäran mail.docx", "A 21074-2023")</f>
        <v/>
      </c>
    </row>
    <row r="40" ht="15" customHeight="1">
      <c r="A40" t="inlineStr">
        <is>
          <t>A 49390-2023</t>
        </is>
      </c>
      <c r="B40" s="1" t="n">
        <v>45211</v>
      </c>
      <c r="C40" s="1" t="n">
        <v>45826</v>
      </c>
      <c r="D40" t="inlineStr">
        <is>
          <t>DALARNAS LÄN</t>
        </is>
      </c>
      <c r="E40" t="inlineStr">
        <is>
          <t>LUDVIKA</t>
        </is>
      </c>
      <c r="F40" t="inlineStr">
        <is>
          <t>Bergvik skog väst AB</t>
        </is>
      </c>
      <c r="G40" t="n">
        <v>12.7</v>
      </c>
      <c r="H40" t="n">
        <v>0</v>
      </c>
      <c r="I40" t="n">
        <v>2</v>
      </c>
      <c r="J40" t="n">
        <v>0</v>
      </c>
      <c r="K40" t="n">
        <v>0</v>
      </c>
      <c r="L40" t="n">
        <v>0</v>
      </c>
      <c r="M40" t="n">
        <v>0</v>
      </c>
      <c r="N40" t="n">
        <v>0</v>
      </c>
      <c r="O40" t="n">
        <v>0</v>
      </c>
      <c r="P40" t="n">
        <v>0</v>
      </c>
      <c r="Q40" t="n">
        <v>2</v>
      </c>
      <c r="R40" s="2" t="inlineStr">
        <is>
          <t>Sotriska
Svart trolldruva</t>
        </is>
      </c>
      <c r="S40">
        <f>HYPERLINK("https://klasma.github.io/Logging_2085/artfynd/A 49390-2023 artfynd.xlsx", "A 49390-2023")</f>
        <v/>
      </c>
      <c r="T40">
        <f>HYPERLINK("https://klasma.github.io/Logging_2085/kartor/A 49390-2023 karta.png", "A 49390-2023")</f>
        <v/>
      </c>
      <c r="V40">
        <f>HYPERLINK("https://klasma.github.io/Logging_2085/klagomål/A 49390-2023 FSC-klagomål.docx", "A 49390-2023")</f>
        <v/>
      </c>
      <c r="W40">
        <f>HYPERLINK("https://klasma.github.io/Logging_2085/klagomålsmail/A 49390-2023 FSC-klagomål mail.docx", "A 49390-2023")</f>
        <v/>
      </c>
      <c r="X40">
        <f>HYPERLINK("https://klasma.github.io/Logging_2085/tillsyn/A 49390-2023 tillsynsbegäran.docx", "A 49390-2023")</f>
        <v/>
      </c>
      <c r="Y40">
        <f>HYPERLINK("https://klasma.github.io/Logging_2085/tillsynsmail/A 49390-2023 tillsynsbegäran mail.docx", "A 49390-2023")</f>
        <v/>
      </c>
    </row>
    <row r="41" ht="15" customHeight="1">
      <c r="A41" t="inlineStr">
        <is>
          <t>A 25448-2024</t>
        </is>
      </c>
      <c r="B41" s="1" t="n">
        <v>45463</v>
      </c>
      <c r="C41" s="1" t="n">
        <v>45826</v>
      </c>
      <c r="D41" t="inlineStr">
        <is>
          <t>DALARNAS LÄN</t>
        </is>
      </c>
      <c r="E41" t="inlineStr">
        <is>
          <t>LUDVIKA</t>
        </is>
      </c>
      <c r="F41" t="inlineStr">
        <is>
          <t>Bergvik skog väst AB</t>
        </is>
      </c>
      <c r="G41" t="n">
        <v>24.7</v>
      </c>
      <c r="H41" t="n">
        <v>2</v>
      </c>
      <c r="I41" t="n">
        <v>0</v>
      </c>
      <c r="J41" t="n">
        <v>1</v>
      </c>
      <c r="K41" t="n">
        <v>0</v>
      </c>
      <c r="L41" t="n">
        <v>0</v>
      </c>
      <c r="M41" t="n">
        <v>0</v>
      </c>
      <c r="N41" t="n">
        <v>0</v>
      </c>
      <c r="O41" t="n">
        <v>1</v>
      </c>
      <c r="P41" t="n">
        <v>0</v>
      </c>
      <c r="Q41" t="n">
        <v>2</v>
      </c>
      <c r="R41" s="2" t="inlineStr">
        <is>
          <t>Spillkråka
Blåsippa</t>
        </is>
      </c>
      <c r="S41">
        <f>HYPERLINK("https://klasma.github.io/Logging_2085/artfynd/A 25448-2024 artfynd.xlsx", "A 25448-2024")</f>
        <v/>
      </c>
      <c r="T41">
        <f>HYPERLINK("https://klasma.github.io/Logging_2085/kartor/A 25448-2024 karta.png", "A 25448-2024")</f>
        <v/>
      </c>
      <c r="V41">
        <f>HYPERLINK("https://klasma.github.io/Logging_2085/klagomål/A 25448-2024 FSC-klagomål.docx", "A 25448-2024")</f>
        <v/>
      </c>
      <c r="W41">
        <f>HYPERLINK("https://klasma.github.io/Logging_2085/klagomålsmail/A 25448-2024 FSC-klagomål mail.docx", "A 25448-2024")</f>
        <v/>
      </c>
      <c r="X41">
        <f>HYPERLINK("https://klasma.github.io/Logging_2085/tillsyn/A 25448-2024 tillsynsbegäran.docx", "A 25448-2024")</f>
        <v/>
      </c>
      <c r="Y41">
        <f>HYPERLINK("https://klasma.github.io/Logging_2085/tillsynsmail/A 25448-2024 tillsynsbegäran mail.docx", "A 25448-2024")</f>
        <v/>
      </c>
      <c r="Z41">
        <f>HYPERLINK("https://klasma.github.io/Logging_2085/fåglar/A 25448-2024 prioriterade fågelarter.docx", "A 25448-2024")</f>
        <v/>
      </c>
    </row>
    <row r="42" ht="15" customHeight="1">
      <c r="A42" t="inlineStr">
        <is>
          <t>A 29758-2024</t>
        </is>
      </c>
      <c r="B42" s="1" t="n">
        <v>45485</v>
      </c>
      <c r="C42" s="1" t="n">
        <v>45826</v>
      </c>
      <c r="D42" t="inlineStr">
        <is>
          <t>DALARNAS LÄN</t>
        </is>
      </c>
      <c r="E42" t="inlineStr">
        <is>
          <t>LUDVIKA</t>
        </is>
      </c>
      <c r="F42" t="inlineStr">
        <is>
          <t>Övriga Aktiebolag</t>
        </is>
      </c>
      <c r="G42" t="n">
        <v>8.699999999999999</v>
      </c>
      <c r="H42" t="n">
        <v>1</v>
      </c>
      <c r="I42" t="n">
        <v>1</v>
      </c>
      <c r="J42" t="n">
        <v>0</v>
      </c>
      <c r="K42" t="n">
        <v>1</v>
      </c>
      <c r="L42" t="n">
        <v>0</v>
      </c>
      <c r="M42" t="n">
        <v>0</v>
      </c>
      <c r="N42" t="n">
        <v>0</v>
      </c>
      <c r="O42" t="n">
        <v>1</v>
      </c>
      <c r="P42" t="n">
        <v>1</v>
      </c>
      <c r="Q42" t="n">
        <v>2</v>
      </c>
      <c r="R42" s="2" t="inlineStr">
        <is>
          <t>Knärot
Dropptaggsvamp</t>
        </is>
      </c>
      <c r="S42">
        <f>HYPERLINK("https://klasma.github.io/Logging_2085/artfynd/A 29758-2024 artfynd.xlsx", "A 29758-2024")</f>
        <v/>
      </c>
      <c r="T42">
        <f>HYPERLINK("https://klasma.github.io/Logging_2085/kartor/A 29758-2024 karta.png", "A 29758-2024")</f>
        <v/>
      </c>
      <c r="U42">
        <f>HYPERLINK("https://klasma.github.io/Logging_2085/knärot/A 29758-2024 karta knärot.png", "A 29758-2024")</f>
        <v/>
      </c>
      <c r="V42">
        <f>HYPERLINK("https://klasma.github.io/Logging_2085/klagomål/A 29758-2024 FSC-klagomål.docx", "A 29758-2024")</f>
        <v/>
      </c>
      <c r="W42">
        <f>HYPERLINK("https://klasma.github.io/Logging_2085/klagomålsmail/A 29758-2024 FSC-klagomål mail.docx", "A 29758-2024")</f>
        <v/>
      </c>
      <c r="X42">
        <f>HYPERLINK("https://klasma.github.io/Logging_2085/tillsyn/A 29758-2024 tillsynsbegäran.docx", "A 29758-2024")</f>
        <v/>
      </c>
      <c r="Y42">
        <f>HYPERLINK("https://klasma.github.io/Logging_2085/tillsynsmail/A 29758-2024 tillsynsbegäran mail.docx", "A 29758-2024")</f>
        <v/>
      </c>
    </row>
    <row r="43" ht="15" customHeight="1">
      <c r="A43" t="inlineStr">
        <is>
          <t>A 19542-2025</t>
        </is>
      </c>
      <c r="B43" s="1" t="n">
        <v>45770</v>
      </c>
      <c r="C43" s="1" t="n">
        <v>45826</v>
      </c>
      <c r="D43" t="inlineStr">
        <is>
          <t>DALARNAS LÄN</t>
        </is>
      </c>
      <c r="E43" t="inlineStr">
        <is>
          <t>LUDVIKA</t>
        </is>
      </c>
      <c r="F43" t="inlineStr">
        <is>
          <t>Bergvik skog väst AB</t>
        </is>
      </c>
      <c r="G43" t="n">
        <v>2</v>
      </c>
      <c r="H43" t="n">
        <v>0</v>
      </c>
      <c r="I43" t="n">
        <v>2</v>
      </c>
      <c r="J43" t="n">
        <v>0</v>
      </c>
      <c r="K43" t="n">
        <v>0</v>
      </c>
      <c r="L43" t="n">
        <v>0</v>
      </c>
      <c r="M43" t="n">
        <v>0</v>
      </c>
      <c r="N43" t="n">
        <v>0</v>
      </c>
      <c r="O43" t="n">
        <v>0</v>
      </c>
      <c r="P43" t="n">
        <v>0</v>
      </c>
      <c r="Q43" t="n">
        <v>2</v>
      </c>
      <c r="R43" s="2" t="inlineStr">
        <is>
          <t>Gulnål
Skinnlav</t>
        </is>
      </c>
      <c r="S43">
        <f>HYPERLINK("https://klasma.github.io/Logging_202085/artfynd/A 19542-2025 artfynd.xlsx", "A 19542-2025")</f>
        <v/>
      </c>
      <c r="T43">
        <f>HYPERLINK("https://klasma.github.io/Logging_202085/kartor/A 19542-2025 karta.png", "A 19542-2025")</f>
        <v/>
      </c>
      <c r="V43">
        <f>HYPERLINK("https://klasma.github.io/Logging_202085/klagomål/A 19542-2025 FSC-klagomål.docx", "A 19542-2025")</f>
        <v/>
      </c>
      <c r="W43">
        <f>HYPERLINK("https://klasma.github.io/Logging_202085/klagomålsmail/A 19542-2025 FSC-klagomål mail.docx", "A 19542-2025")</f>
        <v/>
      </c>
      <c r="X43">
        <f>HYPERLINK("https://klasma.github.io/Logging_202085/tillsyn/A 19542-2025 tillsynsbegäran.docx", "A 19542-2025")</f>
        <v/>
      </c>
      <c r="Y43">
        <f>HYPERLINK("https://klasma.github.io/Logging_202085/tillsynsmail/A 19542-2025 tillsynsbegäran mail.docx", "A 19542-2025")</f>
        <v/>
      </c>
    </row>
    <row r="44" ht="15" customHeight="1">
      <c r="A44" t="inlineStr">
        <is>
          <t>A 22685-2025</t>
        </is>
      </c>
      <c r="B44" s="1" t="n">
        <v>45786</v>
      </c>
      <c r="C44" s="1" t="n">
        <v>45826</v>
      </c>
      <c r="D44" t="inlineStr">
        <is>
          <t>DALARNAS LÄN</t>
        </is>
      </c>
      <c r="E44" t="inlineStr">
        <is>
          <t>LUDVIKA</t>
        </is>
      </c>
      <c r="G44" t="n">
        <v>2.9</v>
      </c>
      <c r="H44" t="n">
        <v>2</v>
      </c>
      <c r="I44" t="n">
        <v>0</v>
      </c>
      <c r="J44" t="n">
        <v>2</v>
      </c>
      <c r="K44" t="n">
        <v>0</v>
      </c>
      <c r="L44" t="n">
        <v>0</v>
      </c>
      <c r="M44" t="n">
        <v>0</v>
      </c>
      <c r="N44" t="n">
        <v>0</v>
      </c>
      <c r="O44" t="n">
        <v>2</v>
      </c>
      <c r="P44" t="n">
        <v>0</v>
      </c>
      <c r="Q44" t="n">
        <v>2</v>
      </c>
      <c r="R44" s="2" t="inlineStr">
        <is>
          <t>Brunlångöra
Spillkråka</t>
        </is>
      </c>
      <c r="S44">
        <f>HYPERLINK("https://klasma.github.io/Logging_202085/artfynd/A 22685-2025 artfynd.xlsx", "A 22685-2025")</f>
        <v/>
      </c>
      <c r="T44">
        <f>HYPERLINK("https://klasma.github.io/Logging_202085/kartor/A 22685-2025 karta.png", "A 22685-2025")</f>
        <v/>
      </c>
      <c r="V44">
        <f>HYPERLINK("https://klasma.github.io/Logging_202085/klagomål/A 22685-2025 FSC-klagomål.docx", "A 22685-2025")</f>
        <v/>
      </c>
      <c r="W44">
        <f>HYPERLINK("https://klasma.github.io/Logging_202085/klagomålsmail/A 22685-2025 FSC-klagomål mail.docx", "A 22685-2025")</f>
        <v/>
      </c>
      <c r="X44">
        <f>HYPERLINK("https://klasma.github.io/Logging_202085/tillsyn/A 22685-2025 tillsynsbegäran.docx", "A 22685-2025")</f>
        <v/>
      </c>
      <c r="Y44">
        <f>HYPERLINK("https://klasma.github.io/Logging_202085/tillsynsmail/A 22685-2025 tillsynsbegäran mail.docx", "A 22685-2025")</f>
        <v/>
      </c>
      <c r="Z44">
        <f>HYPERLINK("https://klasma.github.io/Logging_202085/fåglar/A 22685-2025 prioriterade fågelarter.docx", "A 22685-2025")</f>
        <v/>
      </c>
    </row>
    <row r="45" ht="15" customHeight="1">
      <c r="A45" t="inlineStr">
        <is>
          <t>A 25293-2025</t>
        </is>
      </c>
      <c r="B45" s="1" t="n">
        <v>45800</v>
      </c>
      <c r="C45" s="1" t="n">
        <v>45826</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45826</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45826</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45826</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45826</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45826</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45826</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45826</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45826</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45826</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45826</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45826</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45826</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45826</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45826</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45826</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45826</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45826</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45826</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45826</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45826</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45826</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45826</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45826</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45826</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45826</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45826</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45826</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45826</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45826</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45826</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45826</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45826</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45826</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45826</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45826</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45826</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45826</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45826</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45826</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45826</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45826</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45826</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45826</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45826</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45826</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45826</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45826</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45826</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45826</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45826</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45826</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45826</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45826</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45826</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45826</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45826</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45826</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45826</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45826</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45826</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45826</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45826</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45826</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45826</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45826</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45826</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45826</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45826</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45826</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45826</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45826</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45826</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45826</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45826</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45826</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45826</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45826</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45826</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45826</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45826</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45826</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45826</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45826</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45826</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45826</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45826</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45826</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45826</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45826</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45826</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45826</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45826</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45826</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45826</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45826</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45826</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45826</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45826</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45826</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45826</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45826</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45826</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45826</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45826</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45826</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45826</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45826</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45826</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45826</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45826</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45826</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45826</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45826</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45826</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45826</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45826</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45826</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45826</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45826</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45826</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45826</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45826</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45826</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45826</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45826</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45826</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45826</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45826</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45826</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45826</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45826</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45826</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45826</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45826</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45826</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45826</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45826</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45826</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45826</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45826</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45826</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45826</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45826</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45826</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45826</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45826</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45826</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45826</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45826</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45826</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45826</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45826</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45826</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45826</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45826</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45826</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45826</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45826</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45826</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45826</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45826</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45826</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45826</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45826</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45826</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45826</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45826</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45826</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45826</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45826</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45826</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45826</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45826</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45826</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45826</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45826</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45826</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45826</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45826</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45826</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45826</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45826</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45826</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45826</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45826</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45826</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45826</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45826</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45826</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45826</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45826</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45826</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45826</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45826</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45826</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45826</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45826</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45826</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45826</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45826</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45826</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45826</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45826</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45826</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45826</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45826</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45826</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45826</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45826</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45826</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45826</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45826</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45826</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45826</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45826</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45826</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45826</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45826</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45826</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45826</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45826</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45826</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45826</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45826</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45826</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45826</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45826</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45826</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45826</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45826</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45826</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45826</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45826</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45826</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45826</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45826</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45826</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45826</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45826</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45826</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45826</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45826</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45826</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45826</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45826</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45826</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45826</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45826</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45826</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45826</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45826</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45826</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45826</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45826</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45826</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45826</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45826</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45826</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45826</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45826</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45826</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45826</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45826</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45826</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45826</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45826</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45826</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45826</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45826</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45826</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45826</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45826</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45826</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45826</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45826</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45826</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45826</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45826</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45826</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45826</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45826</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45826</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45826</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45826</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45826</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45826</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45826</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45826</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45826</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45826</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45826</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45826</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45826</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45826</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45826</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45826</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45826</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45826</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45826</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45826</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45826</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45826</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45826</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45826</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45826</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45826</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45826</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45826</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45826</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45826</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45826</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45826</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45826</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45826</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45826</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45826</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45826</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45826</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45826</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45826</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45826</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45826</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45826</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45826</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45826</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45826</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45826</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45826</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45826</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45826</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45826</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45826</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45826</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45826</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45826</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45826</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45826</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45826</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45826</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45826</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45826</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45826</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45826</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45826</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45826</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45826</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45826</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45826</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45826</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45826</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45826</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45826</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45826</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45826</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45826</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45826</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45826</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45826</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45826</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45826</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45826</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45826</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45826</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45826</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45826</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45826</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45826</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45826</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45826</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45826</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45826</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45826</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45826</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45826</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45826</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45826</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45826</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45826</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45826</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45826</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45826</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45826</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45826</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45826</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45826</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45826</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45826</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45826</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45826</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45826</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45826</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45826</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45826</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45826</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45826</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45826</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45826</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45826</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45826</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45826</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45826</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45826</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45826</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45826</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45826</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45826</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45826</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45826</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45826</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45826</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45826</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45826</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45826</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45826</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45826</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45826</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45826</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45826</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45826</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45826</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45826</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45826</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45826</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45826</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45826</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45826</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45826</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45826</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45826</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45826</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45826</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45826</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45826</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45826</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45826</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45826</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45826</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45826</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45826</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45826</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45826</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45826</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45826</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45826</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45826</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45826</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45826</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45826</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45826</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45826</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45826</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45826</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45826</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45826</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45826</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45826</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45826</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45826</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45826</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45826</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45826</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45826</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45826</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45826</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45826</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45826</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45826</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45826</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45826</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45826</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45826</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45826</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45826</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45826</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45826</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45826</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45826</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45826</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45826</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45826</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45826</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45826</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45826</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45826</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45826</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45826</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45826</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45826</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45826</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45826</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45826</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45826</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45826</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45826</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45826</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45826</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45826</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45826</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45826</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45826</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45826</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45826</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45826</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45826</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45826</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45826</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45826</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45826</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45826</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45826</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45826</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45826</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45826</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45826</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45826</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45826</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45826</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45826</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45826</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45826</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45826</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45826</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45826</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45826</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45826</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45826</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45826</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45826</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45826</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45826</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45826</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45826</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45826</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45826</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45826</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45826</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45826</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45826</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45826</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45826</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45826</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45826</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45826</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45826</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45826</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45826</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45826</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45826</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45826</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45826</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45826</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45826</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45826</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45826</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45826</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45826</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45826</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45826</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45826</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45826</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45826</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45826</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45826</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45826</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45826</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45826</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45826</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45826</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45826</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45826</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45826</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45826</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45826</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45826</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45826</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45826</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45826</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45826</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45826</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45826</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45826</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45826</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45826</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45826</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45826</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45826</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45826</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45826</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45826</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45826</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45826</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45826</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45826</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45826</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45826</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45826</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45826</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45826</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45826</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45826</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45826</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45826</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45826</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45826</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45826</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45826</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45826</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45826</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45826</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45826</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45826</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45826</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45826</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45826</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45826</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45826</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45826</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45826</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45826</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45826</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45826</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45826</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45826</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45826</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45826</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45826</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45826</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45826</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45826</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45826</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45826</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45826</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45826</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45826</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45826</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45826</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45826</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45826</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45826</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45826</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45826</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45826</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45826</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45826</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45826</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45826</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45826</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45826</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45826</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45826</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45826</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45826</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45826</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45826</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45826</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45826</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45826</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45826</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45826</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45826</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45826</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45826</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45826</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45826</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45826</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45826</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45826</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45826</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45826</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45826</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45826</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45826</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45826</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45826</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45826</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45826</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45826</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45826</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45826</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45826</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45826</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45826</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45826</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45826</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45826</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45826</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45826</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45826</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45826</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45826</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45826</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45826</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45826</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45826</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45826</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45826</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45826</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45826</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45826</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45826</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45826</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45826</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45826</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45826</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45826</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45826</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45826</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45826</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45826</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45826</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45826</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45826</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45826</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45826</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45826</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45826</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45826</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45826</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45826</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45826</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45826</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45826</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45826</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45826</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45826</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45826</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45826</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45826</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45826</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45826</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45826</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45826</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45826</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45826</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45826</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45826</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45826</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45826</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45826</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45826</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45826</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45826</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45826</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45826</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45826</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45826</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45826</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45826</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45826</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45826</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45826</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45826</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45826</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45826</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45826</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45826</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45826</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45826</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45826</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45826</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45826</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45826</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45826</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45826</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45826</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45826</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45826</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45826</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45826</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45826</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45826</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45826</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45826</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45826</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45826</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45826</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45826</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45826</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45826</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45826</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45826</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45826</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45826</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45826</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45826</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45826</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45826</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45826</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45826</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45826</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45826</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45826</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45826</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45826</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45826</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45826</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45826</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45826</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45826</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45826</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45826</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45826</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45826</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45826</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45826</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45826</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45826</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45826</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45826</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45826</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45826</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45826</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45826</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45826</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45826</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45826</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45826</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45826</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45826</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45826</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45826</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45826</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45826</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45826</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45826</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45826</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45826</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45826</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45826</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45826</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45826</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45826</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45826</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45826</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45826</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45826</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45826</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45826</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45826</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45826</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45826</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45826</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45826</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45826</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45826</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45826</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45826</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45826</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45826</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45826</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45826</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45826</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45826</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45826</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45826</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45826</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45826</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45826</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45826</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45826</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45826</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45826</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45826</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45826</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45826</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45826</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45826</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45826</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45826</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45826</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45826</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45826</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45826</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45826</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45826</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45826</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45826</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45826</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45826</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45826</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45826</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45826</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45826</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45826</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45826</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45826</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45826</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45826</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45826</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45826</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45826</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45826</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45826</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45826</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45826</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45826</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45826</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45826</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45826</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45826</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45826</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45826</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45826</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45826</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45826</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45826</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45826</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45826</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45826</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45826</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45826</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45826</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45826</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45826</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45826</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45826</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45826</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45826</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45826</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45826</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45826</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45826</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45826</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45826</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45826</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45826</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45826</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45826</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45826</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45826</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45826</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45826</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45826</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45826</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45826</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45826</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45826</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45826</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45826</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45826</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45826</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45826</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45826</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45826</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45826</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45826</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45826</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45826</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45826</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45826</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45826</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45826</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45826</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45826</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45826</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45826</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45826</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45826</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45826</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45826</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45826</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45826</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45826</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45826</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45826</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45826</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45826</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45826</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45826</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45826</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45826</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45826</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45826</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45826</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45826</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45826</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45826</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45826</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45826</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45826</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45826</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45826</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45826</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45826</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45826</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45826</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45826</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45826</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45826</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45826</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45826</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45826</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45826</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45826</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45826</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45826</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45826</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45826</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45826</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45826</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45826</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45826</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45826</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45826</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45826</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45826</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45826</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45826</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45826</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45826</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45826</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45826</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45826</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45826</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45826</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45826</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45826</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45826</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45826</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45826</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45826</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45826</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45826</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45826</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45826</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45826</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45826</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45826</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45826</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45826</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45826</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45826</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45826</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45826</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45826</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45826</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45826</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45826</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45826</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45826</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45826</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45826</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45826</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45826</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45826</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45826</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45826</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45826</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45826</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45826</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45826</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45826</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45826</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45826</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45826</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45826</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45826</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45826</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45826</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45826</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45826</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45826</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45826</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45826</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45826</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45826</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45826</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45826</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45826</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45826</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45826</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45826</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45826</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45826</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45826</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45826</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45826</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45826</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45826</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45826</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45826</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45826</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45826</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45826</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45826</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45826</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45826</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45826</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45826</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45826</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45826</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45826</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45826</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45826</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45826</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45826</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45826</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45826</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45826</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45826</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45826</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45826</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45826</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45826</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45826</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45826</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45826</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45826</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45826</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45826</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45826</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45826</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45826</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45826</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45826</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45826</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45826</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45826</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45826</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45826</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45826</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45826</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45826</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45826</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45826</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45826</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45826</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45826</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45826</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45826</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45826</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45826</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45826</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45826</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45826</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45826</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45826</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45826</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45826</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45826</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45826</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45826</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45826</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45826</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45826</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45826</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45826</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45826</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45826</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45826</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45826</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45826</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45826</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45826</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45826</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45826</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45826</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45826</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45826</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45826</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45826</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45826</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45826</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45826</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45826</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45826</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45826</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45826</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45826</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45826</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45826</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45826</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45826</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45826</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45826</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45826</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45826</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45826</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45826</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45826</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45826</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45826</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45826</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45826</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45826</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45826</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45826</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45826</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45826</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45826</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24081-2025</t>
        </is>
      </c>
      <c r="B1237" s="1" t="n">
        <v>45796</v>
      </c>
      <c r="C1237" s="1" t="n">
        <v>45826</v>
      </c>
      <c r="D1237" t="inlineStr">
        <is>
          <t>DALARNAS LÄN</t>
        </is>
      </c>
      <c r="E1237" t="inlineStr">
        <is>
          <t>LUDVIKA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24027-2025</t>
        </is>
      </c>
      <c r="B1238" s="1" t="n">
        <v>45796</v>
      </c>
      <c r="C1238" s="1" t="n">
        <v>45826</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45826</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24697-2025</t>
        </is>
      </c>
      <c r="B1240" s="1" t="n">
        <v>45798</v>
      </c>
      <c r="C1240" s="1" t="n">
        <v>45826</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24696-2025</t>
        </is>
      </c>
      <c r="B1241" s="1" t="n">
        <v>45798</v>
      </c>
      <c r="C1241" s="1" t="n">
        <v>45826</v>
      </c>
      <c r="D1241" t="inlineStr">
        <is>
          <t>DALARNAS LÄN</t>
        </is>
      </c>
      <c r="E1241" t="inlineStr">
        <is>
          <t>LUDVIKA</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24848-2025</t>
        </is>
      </c>
      <c r="B1242" s="1" t="n">
        <v>45799</v>
      </c>
      <c r="C1242" s="1" t="n">
        <v>45826</v>
      </c>
      <c r="D1242" t="inlineStr">
        <is>
          <t>DALARNAS LÄN</t>
        </is>
      </c>
      <c r="E1242" t="inlineStr">
        <is>
          <t>LUDVIKA</t>
        </is>
      </c>
      <c r="F1242" t="inlineStr">
        <is>
          <t>Bergvik skog väst AB</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24783-2025</t>
        </is>
      </c>
      <c r="B1243" s="1" t="n">
        <v>45799</v>
      </c>
      <c r="C1243" s="1" t="n">
        <v>45826</v>
      </c>
      <c r="D1243" t="inlineStr">
        <is>
          <t>DALARNAS LÄN</t>
        </is>
      </c>
      <c r="E1243" t="inlineStr">
        <is>
          <t>LUDVIKA</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24939-2025</t>
        </is>
      </c>
      <c r="B1244" s="1" t="n">
        <v>45799</v>
      </c>
      <c r="C1244" s="1" t="n">
        <v>45826</v>
      </c>
      <c r="D1244" t="inlineStr">
        <is>
          <t>DALARNAS LÄN</t>
        </is>
      </c>
      <c r="E1244" t="inlineStr">
        <is>
          <t>LUDVIKA</t>
        </is>
      </c>
      <c r="F1244" t="inlineStr">
        <is>
          <t>Bergvik skog väst AB</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24974-2025</t>
        </is>
      </c>
      <c r="B1245" s="1" t="n">
        <v>45799</v>
      </c>
      <c r="C1245" s="1" t="n">
        <v>45826</v>
      </c>
      <c r="D1245" t="inlineStr">
        <is>
          <t>DALARNAS LÄN</t>
        </is>
      </c>
      <c r="E1245" t="inlineStr">
        <is>
          <t>LUDVIKA</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45826</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24875-2025</t>
        </is>
      </c>
      <c r="B1247" s="1" t="n">
        <v>45799</v>
      </c>
      <c r="C1247" s="1" t="n">
        <v>45826</v>
      </c>
      <c r="D1247" t="inlineStr">
        <is>
          <t>DALARNAS LÄN</t>
        </is>
      </c>
      <c r="E1247" t="inlineStr">
        <is>
          <t>LUDVIKA</t>
        </is>
      </c>
      <c r="F1247" t="inlineStr">
        <is>
          <t>Bergvik skog väst AB</t>
        </is>
      </c>
      <c r="G1247" t="n">
        <v>10.8</v>
      </c>
      <c r="H1247" t="n">
        <v>0</v>
      </c>
      <c r="I1247" t="n">
        <v>0</v>
      </c>
      <c r="J1247" t="n">
        <v>0</v>
      </c>
      <c r="K1247" t="n">
        <v>0</v>
      </c>
      <c r="L1247" t="n">
        <v>0</v>
      </c>
      <c r="M1247" t="n">
        <v>0</v>
      </c>
      <c r="N1247" t="n">
        <v>0</v>
      </c>
      <c r="O1247" t="n">
        <v>0</v>
      </c>
      <c r="P1247" t="n">
        <v>0</v>
      </c>
      <c r="Q1247" t="n">
        <v>0</v>
      </c>
      <c r="R1247" s="2" t="inlineStr"/>
    </row>
    <row r="1248" ht="15" customHeight="1">
      <c r="A1248" t="inlineStr">
        <is>
          <t>A 25006-2025</t>
        </is>
      </c>
      <c r="B1248" s="1" t="n">
        <v>45799</v>
      </c>
      <c r="C1248" s="1" t="n">
        <v>45826</v>
      </c>
      <c r="D1248" t="inlineStr">
        <is>
          <t>DALARNAS LÄN</t>
        </is>
      </c>
      <c r="E1248" t="inlineStr">
        <is>
          <t>LUDVIKA</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45826</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45826</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25004-2025</t>
        </is>
      </c>
      <c r="B1251" s="1" t="n">
        <v>45799</v>
      </c>
      <c r="C1251" s="1" t="n">
        <v>45826</v>
      </c>
      <c r="D1251" t="inlineStr">
        <is>
          <t>DALARNAS LÄN</t>
        </is>
      </c>
      <c r="E1251" t="inlineStr">
        <is>
          <t>LUDVIKA</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24928-2025</t>
        </is>
      </c>
      <c r="B1252" s="1" t="n">
        <v>45799</v>
      </c>
      <c r="C1252" s="1" t="n">
        <v>45826</v>
      </c>
      <c r="D1252" t="inlineStr">
        <is>
          <t>DALARNAS LÄN</t>
        </is>
      </c>
      <c r="E1252" t="inlineStr">
        <is>
          <t>LUDVIKA</t>
        </is>
      </c>
      <c r="F1252" t="inlineStr">
        <is>
          <t>Bergvik skog väst AB</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25157-2025</t>
        </is>
      </c>
      <c r="B1253" s="1" t="n">
        <v>45800</v>
      </c>
      <c r="C1253" s="1" t="n">
        <v>45826</v>
      </c>
      <c r="D1253" t="inlineStr">
        <is>
          <t>DALARNAS LÄN</t>
        </is>
      </c>
      <c r="E1253" t="inlineStr">
        <is>
          <t>LUDVIKA</t>
        </is>
      </c>
      <c r="F1253" t="inlineStr">
        <is>
          <t>Bergvik skog väst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25133-2025</t>
        </is>
      </c>
      <c r="B1254" s="1" t="n">
        <v>45800</v>
      </c>
      <c r="C1254" s="1" t="n">
        <v>45826</v>
      </c>
      <c r="D1254" t="inlineStr">
        <is>
          <t>DALARNAS LÄN</t>
        </is>
      </c>
      <c r="E1254" t="inlineStr">
        <is>
          <t>LUDVIKA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25113-2025</t>
        </is>
      </c>
      <c r="B1255" s="1" t="n">
        <v>45800</v>
      </c>
      <c r="C1255" s="1" t="n">
        <v>45826</v>
      </c>
      <c r="D1255" t="inlineStr">
        <is>
          <t>DALARNAS LÄN</t>
        </is>
      </c>
      <c r="E1255" t="inlineStr">
        <is>
          <t>LUDVIKA</t>
        </is>
      </c>
      <c r="F1255" t="inlineStr">
        <is>
          <t>Bergvik skog väst AB</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25150-2025</t>
        </is>
      </c>
      <c r="B1256" s="1" t="n">
        <v>45800</v>
      </c>
      <c r="C1256" s="1" t="n">
        <v>45826</v>
      </c>
      <c r="D1256" t="inlineStr">
        <is>
          <t>DALARNAS LÄN</t>
        </is>
      </c>
      <c r="E1256" t="inlineStr">
        <is>
          <t>LUDVIKA</t>
        </is>
      </c>
      <c r="F1256" t="inlineStr">
        <is>
          <t>Bergvik skog väst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25140-2025</t>
        </is>
      </c>
      <c r="B1257" s="1" t="n">
        <v>45800</v>
      </c>
      <c r="C1257" s="1" t="n">
        <v>45826</v>
      </c>
      <c r="D1257" t="inlineStr">
        <is>
          <t>DALARNAS LÄN</t>
        </is>
      </c>
      <c r="E1257" t="inlineStr">
        <is>
          <t>LUDVIKA</t>
        </is>
      </c>
      <c r="F1257" t="inlineStr">
        <is>
          <t>Bergvik skog väst AB</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45826</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45826</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45826</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45826</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45826</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25920-2025</t>
        </is>
      </c>
      <c r="B1263" s="1" t="n">
        <v>45804</v>
      </c>
      <c r="C1263" s="1" t="n">
        <v>45826</v>
      </c>
      <c r="D1263" t="inlineStr">
        <is>
          <t>DALARNAS LÄN</t>
        </is>
      </c>
      <c r="E1263" t="inlineStr">
        <is>
          <t>LUDVIKA</t>
        </is>
      </c>
      <c r="F1263" t="inlineStr">
        <is>
          <t>Bergvik skog väst AB</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26320-2025</t>
        </is>
      </c>
      <c r="B1264" s="1" t="n">
        <v>45805</v>
      </c>
      <c r="C1264" s="1" t="n">
        <v>45826</v>
      </c>
      <c r="D1264" t="inlineStr">
        <is>
          <t>DALARNAS LÄN</t>
        </is>
      </c>
      <c r="E1264" t="inlineStr">
        <is>
          <t>LUDVIKA</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26150-2025</t>
        </is>
      </c>
      <c r="B1265" s="1" t="n">
        <v>45805</v>
      </c>
      <c r="C1265" s="1" t="n">
        <v>45826</v>
      </c>
      <c r="D1265" t="inlineStr">
        <is>
          <t>DALARNAS LÄN</t>
        </is>
      </c>
      <c r="E1265" t="inlineStr">
        <is>
          <t>LUDVIKA</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26433-2025</t>
        </is>
      </c>
      <c r="B1266" s="1" t="n">
        <v>45807</v>
      </c>
      <c r="C1266" s="1" t="n">
        <v>45826</v>
      </c>
      <c r="D1266" t="inlineStr">
        <is>
          <t>DALARNAS LÄN</t>
        </is>
      </c>
      <c r="E1266" t="inlineStr">
        <is>
          <t>LUDVIKA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26779-2025</t>
        </is>
      </c>
      <c r="B1267" s="1" t="n">
        <v>45810</v>
      </c>
      <c r="C1267" s="1" t="n">
        <v>45826</v>
      </c>
      <c r="D1267" t="inlineStr">
        <is>
          <t>DALARNAS LÄN</t>
        </is>
      </c>
      <c r="E1267" t="inlineStr">
        <is>
          <t>LUDVIKA</t>
        </is>
      </c>
      <c r="F1267" t="inlineStr">
        <is>
          <t>Bergvik skog väst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26698-2025</t>
        </is>
      </c>
      <c r="B1268" s="1" t="n">
        <v>45810</v>
      </c>
      <c r="C1268" s="1" t="n">
        <v>45826</v>
      </c>
      <c r="D1268" t="inlineStr">
        <is>
          <t>DALARNAS LÄN</t>
        </is>
      </c>
      <c r="E1268" t="inlineStr">
        <is>
          <t>LUDVIKA</t>
        </is>
      </c>
      <c r="F1268" t="inlineStr">
        <is>
          <t>Bergvik skog väst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26719-2025</t>
        </is>
      </c>
      <c r="B1269" s="1" t="n">
        <v>45810</v>
      </c>
      <c r="C1269" s="1" t="n">
        <v>45826</v>
      </c>
      <c r="D1269" t="inlineStr">
        <is>
          <t>DALARNAS LÄN</t>
        </is>
      </c>
      <c r="E1269" t="inlineStr">
        <is>
          <t>LUDVIKA</t>
        </is>
      </c>
      <c r="F1269" t="inlineStr">
        <is>
          <t>Bergvik skog väst AB</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26628-2025</t>
        </is>
      </c>
      <c r="B1270" s="1" t="n">
        <v>45810</v>
      </c>
      <c r="C1270" s="1" t="n">
        <v>45826</v>
      </c>
      <c r="D1270" t="inlineStr">
        <is>
          <t>DALARNAS LÄN</t>
        </is>
      </c>
      <c r="E1270" t="inlineStr">
        <is>
          <t>LUDVIKA</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26823-2025</t>
        </is>
      </c>
      <c r="B1271" s="1" t="n">
        <v>45810</v>
      </c>
      <c r="C1271" s="1" t="n">
        <v>45826</v>
      </c>
      <c r="D1271" t="inlineStr">
        <is>
          <t>DALARNAS LÄN</t>
        </is>
      </c>
      <c r="E1271" t="inlineStr">
        <is>
          <t>LUDVIKA</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26826-2025</t>
        </is>
      </c>
      <c r="B1272" s="1" t="n">
        <v>45810</v>
      </c>
      <c r="C1272" s="1" t="n">
        <v>45826</v>
      </c>
      <c r="D1272" t="inlineStr">
        <is>
          <t>DALARNAS LÄN</t>
        </is>
      </c>
      <c r="E1272" t="inlineStr">
        <is>
          <t>LUDVIKA</t>
        </is>
      </c>
      <c r="F1272" t="inlineStr">
        <is>
          <t>Bergvik skog väst AB</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26794-2025</t>
        </is>
      </c>
      <c r="B1273" s="1" t="n">
        <v>45810</v>
      </c>
      <c r="C1273" s="1" t="n">
        <v>45826</v>
      </c>
      <c r="D1273" t="inlineStr">
        <is>
          <t>DALARNAS LÄN</t>
        </is>
      </c>
      <c r="E1273" t="inlineStr">
        <is>
          <t>LUDVIKA</t>
        </is>
      </c>
      <c r="F1273" t="inlineStr">
        <is>
          <t>Kommuner</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27021-2025</t>
        </is>
      </c>
      <c r="B1274" s="1" t="n">
        <v>45811</v>
      </c>
      <c r="C1274" s="1" t="n">
        <v>45826</v>
      </c>
      <c r="D1274" t="inlineStr">
        <is>
          <t>DALARNAS LÄN</t>
        </is>
      </c>
      <c r="E1274" t="inlineStr">
        <is>
          <t>LUDVIKA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45826</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27616-2025</t>
        </is>
      </c>
      <c r="B1276" s="1" t="n">
        <v>45813</v>
      </c>
      <c r="C1276" s="1" t="n">
        <v>45826</v>
      </c>
      <c r="D1276" t="inlineStr">
        <is>
          <t>DALARNAS LÄN</t>
        </is>
      </c>
      <c r="E1276" t="inlineStr">
        <is>
          <t>LUDVIKA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27528-2025</t>
        </is>
      </c>
      <c r="B1277" s="1" t="n">
        <v>45813</v>
      </c>
      <c r="C1277" s="1" t="n">
        <v>45826</v>
      </c>
      <c r="D1277" t="inlineStr">
        <is>
          <t>DALARNAS LÄN</t>
        </is>
      </c>
      <c r="E1277" t="inlineStr">
        <is>
          <t>LUDVIKA</t>
        </is>
      </c>
      <c r="F1277" t="inlineStr">
        <is>
          <t>Bergvik skog väst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27448-2025</t>
        </is>
      </c>
      <c r="B1278" s="1" t="n">
        <v>45813</v>
      </c>
      <c r="C1278" s="1" t="n">
        <v>45826</v>
      </c>
      <c r="D1278" t="inlineStr">
        <is>
          <t>DALARNAS LÄN</t>
        </is>
      </c>
      <c r="E1278" t="inlineStr">
        <is>
          <t>LUDVIKA</t>
        </is>
      </c>
      <c r="F1278" t="inlineStr">
        <is>
          <t>Bergvik skog väst AB</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27525-2025</t>
        </is>
      </c>
      <c r="B1279" s="1" t="n">
        <v>45813</v>
      </c>
      <c r="C1279" s="1" t="n">
        <v>45826</v>
      </c>
      <c r="D1279" t="inlineStr">
        <is>
          <t>DALARNAS LÄN</t>
        </is>
      </c>
      <c r="E1279" t="inlineStr">
        <is>
          <t>LUDVIKA</t>
        </is>
      </c>
      <c r="F1279" t="inlineStr">
        <is>
          <t>Bergvik skog väst AB</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27435-2025</t>
        </is>
      </c>
      <c r="B1280" s="1" t="n">
        <v>45813</v>
      </c>
      <c r="C1280" s="1" t="n">
        <v>45826</v>
      </c>
      <c r="D1280" t="inlineStr">
        <is>
          <t>DALARNAS LÄN</t>
        </is>
      </c>
      <c r="E1280" t="inlineStr">
        <is>
          <t>LUDVIKA</t>
        </is>
      </c>
      <c r="F1280" t="inlineStr">
        <is>
          <t>Bergvik skog väst AB</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27532-2025</t>
        </is>
      </c>
      <c r="B1281" s="1" t="n">
        <v>45813</v>
      </c>
      <c r="C1281" s="1" t="n">
        <v>45826</v>
      </c>
      <c r="D1281" t="inlineStr">
        <is>
          <t>DALARNAS LÄN</t>
        </is>
      </c>
      <c r="E1281" t="inlineStr">
        <is>
          <t>LUDVIKA</t>
        </is>
      </c>
      <c r="F1281" t="inlineStr">
        <is>
          <t>Bergvik skog väst AB</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27644-2025</t>
        </is>
      </c>
      <c r="B1282" s="1" t="n">
        <v>45813</v>
      </c>
      <c r="C1282" s="1" t="n">
        <v>45826</v>
      </c>
      <c r="D1282" t="inlineStr">
        <is>
          <t>DALARNAS LÄN</t>
        </is>
      </c>
      <c r="E1282" t="inlineStr">
        <is>
          <t>LUDVIKA</t>
        </is>
      </c>
      <c r="F1282" t="inlineStr">
        <is>
          <t>Bergvik skog väst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45826</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28435-2025</t>
        </is>
      </c>
      <c r="B1284" s="1" t="n">
        <v>45819</v>
      </c>
      <c r="C1284" s="1" t="n">
        <v>45826</v>
      </c>
      <c r="D1284" t="inlineStr">
        <is>
          <t>DALARNAS LÄN</t>
        </is>
      </c>
      <c r="E1284" t="inlineStr">
        <is>
          <t>LUDVIKA</t>
        </is>
      </c>
      <c r="F1284" t="inlineStr">
        <is>
          <t>Bergvik skog väst AB</t>
        </is>
      </c>
      <c r="G1284" t="n">
        <v>8.300000000000001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28737-2025</t>
        </is>
      </c>
      <c r="B1285" s="1" t="n">
        <v>45820</v>
      </c>
      <c r="C1285" s="1" t="n">
        <v>45826</v>
      </c>
      <c r="D1285" t="inlineStr">
        <is>
          <t>DALARNAS LÄN</t>
        </is>
      </c>
      <c r="E1285" t="inlineStr">
        <is>
          <t>LUDVIKA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29443-2025</t>
        </is>
      </c>
      <c r="B1286" s="1" t="n">
        <v>45824</v>
      </c>
      <c r="C1286" s="1" t="n">
        <v>45826</v>
      </c>
      <c r="D1286" t="inlineStr">
        <is>
          <t>DALARNAS LÄN</t>
        </is>
      </c>
      <c r="E1286" t="inlineStr">
        <is>
          <t>LUDVIKA</t>
        </is>
      </c>
      <c r="G1286" t="n">
        <v>1.3</v>
      </c>
      <c r="H1286" t="n">
        <v>0</v>
      </c>
      <c r="I1286" t="n">
        <v>0</v>
      </c>
      <c r="J1286" t="n">
        <v>0</v>
      </c>
      <c r="K1286" t="n">
        <v>0</v>
      </c>
      <c r="L1286" t="n">
        <v>0</v>
      </c>
      <c r="M1286" t="n">
        <v>0</v>
      </c>
      <c r="N1286" t="n">
        <v>0</v>
      </c>
      <c r="O1286" t="n">
        <v>0</v>
      </c>
      <c r="P1286" t="n">
        <v>0</v>
      </c>
      <c r="Q1286" t="n">
        <v>0</v>
      </c>
      <c r="R1286" s="2" t="inlineStr"/>
    </row>
    <row r="1287">
      <c r="A1287" t="inlineStr">
        <is>
          <t>A 29578-2025</t>
        </is>
      </c>
      <c r="B1287" s="1" t="n">
        <v>45825</v>
      </c>
      <c r="C1287" s="1" t="n">
        <v>45826</v>
      </c>
      <c r="D1287" t="inlineStr">
        <is>
          <t>DALARNAS LÄN</t>
        </is>
      </c>
      <c r="E1287" t="inlineStr">
        <is>
          <t>LUDVIKA</t>
        </is>
      </c>
      <c r="G1287" t="n">
        <v>3.8</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2025-06-18T18:51:52Z</dcterms:created>
  <dcterms:modified xmlns:dcterms="http://purl.org/dc/terms/" xmlns:xsi="http://www.w3.org/2001/XMLSchema-instance" xsi:type="dcterms:W3CDTF">2025-06-18T18:51:53Z</dcterms:modified>
</cp:coreProperties>
</file>
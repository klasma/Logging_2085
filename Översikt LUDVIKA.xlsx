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45505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45505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45505</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45505</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45505</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45505</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45505</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45505</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45505</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45505</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45505</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45505</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45505</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45505</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45505</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45505</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45505</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45505</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45505</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45505</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45505</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45505</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45505</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45505</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45505</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45505</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45505</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45505</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45505</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45505</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45505</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45505</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45505</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45505</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45505</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45505</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45505</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45505</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45505</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45505</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45505</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45505</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45505</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45505</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45505</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45505</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45505</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45505</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45505</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45505</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45505</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45505</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45505</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45505</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45505</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45505</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45505</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45505</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45505</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45505</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45505</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45505</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17947-2019</t>
        </is>
      </c>
      <c r="B64" s="1" t="n">
        <v>43557</v>
      </c>
      <c r="C64" s="1" t="n">
        <v>45505</v>
      </c>
      <c r="D64" t="inlineStr">
        <is>
          <t>DALARNAS LÄN</t>
        </is>
      </c>
      <c r="E64" t="inlineStr">
        <is>
          <t>LUDVIKA</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19571-2019</t>
        </is>
      </c>
      <c r="B65" s="1" t="n">
        <v>43566</v>
      </c>
      <c r="C65" s="1" t="n">
        <v>45505</v>
      </c>
      <c r="D65" t="inlineStr">
        <is>
          <t>DALARNAS LÄN</t>
        </is>
      </c>
      <c r="E65" t="inlineStr">
        <is>
          <t>LUDVIKA</t>
        </is>
      </c>
      <c r="G65" t="n">
        <v>3.7</v>
      </c>
      <c r="H65" t="n">
        <v>0</v>
      </c>
      <c r="I65" t="n">
        <v>0</v>
      </c>
      <c r="J65" t="n">
        <v>0</v>
      </c>
      <c r="K65" t="n">
        <v>0</v>
      </c>
      <c r="L65" t="n">
        <v>0</v>
      </c>
      <c r="M65" t="n">
        <v>0</v>
      </c>
      <c r="N65" t="n">
        <v>0</v>
      </c>
      <c r="O65" t="n">
        <v>0</v>
      </c>
      <c r="P65" t="n">
        <v>0</v>
      </c>
      <c r="Q65" t="n">
        <v>0</v>
      </c>
      <c r="R65" s="2" t="inlineStr"/>
    </row>
    <row r="66" ht="15" customHeight="1">
      <c r="A66" t="inlineStr">
        <is>
          <t>A 23351-2019</t>
        </is>
      </c>
      <c r="B66" s="1" t="n">
        <v>43593</v>
      </c>
      <c r="C66" s="1" t="n">
        <v>45505</v>
      </c>
      <c r="D66" t="inlineStr">
        <is>
          <t>DALARNAS LÄN</t>
        </is>
      </c>
      <c r="E66" t="inlineStr">
        <is>
          <t>LUDVIKA</t>
        </is>
      </c>
      <c r="G66" t="n">
        <v>3.3</v>
      </c>
      <c r="H66" t="n">
        <v>0</v>
      </c>
      <c r="I66" t="n">
        <v>0</v>
      </c>
      <c r="J66" t="n">
        <v>0</v>
      </c>
      <c r="K66" t="n">
        <v>0</v>
      </c>
      <c r="L66" t="n">
        <v>0</v>
      </c>
      <c r="M66" t="n">
        <v>0</v>
      </c>
      <c r="N66" t="n">
        <v>0</v>
      </c>
      <c r="O66" t="n">
        <v>0</v>
      </c>
      <c r="P66" t="n">
        <v>0</v>
      </c>
      <c r="Q66" t="n">
        <v>0</v>
      </c>
      <c r="R66" s="2" t="inlineStr"/>
    </row>
    <row r="67" ht="15" customHeight="1">
      <c r="A67" t="inlineStr">
        <is>
          <t>A 23487-2019</t>
        </is>
      </c>
      <c r="B67" s="1" t="n">
        <v>43594</v>
      </c>
      <c r="C67" s="1" t="n">
        <v>45505</v>
      </c>
      <c r="D67" t="inlineStr">
        <is>
          <t>DALARNAS LÄN</t>
        </is>
      </c>
      <c r="E67" t="inlineStr">
        <is>
          <t>LUDVIKA</t>
        </is>
      </c>
      <c r="G67" t="n">
        <v>2.5</v>
      </c>
      <c r="H67" t="n">
        <v>0</v>
      </c>
      <c r="I67" t="n">
        <v>0</v>
      </c>
      <c r="J67" t="n">
        <v>0</v>
      </c>
      <c r="K67" t="n">
        <v>0</v>
      </c>
      <c r="L67" t="n">
        <v>0</v>
      </c>
      <c r="M67" t="n">
        <v>0</v>
      </c>
      <c r="N67" t="n">
        <v>0</v>
      </c>
      <c r="O67" t="n">
        <v>0</v>
      </c>
      <c r="P67" t="n">
        <v>0</v>
      </c>
      <c r="Q67" t="n">
        <v>0</v>
      </c>
      <c r="R67" s="2" t="inlineStr"/>
    </row>
    <row r="68" ht="15" customHeight="1">
      <c r="A68" t="inlineStr">
        <is>
          <t>A 24629-2019</t>
        </is>
      </c>
      <c r="B68" s="1" t="n">
        <v>43601</v>
      </c>
      <c r="C68" s="1" t="n">
        <v>45505</v>
      </c>
      <c r="D68" t="inlineStr">
        <is>
          <t>DALARNAS LÄN</t>
        </is>
      </c>
      <c r="E68" t="inlineStr">
        <is>
          <t>LUDVIKA</t>
        </is>
      </c>
      <c r="G68" t="n">
        <v>3</v>
      </c>
      <c r="H68" t="n">
        <v>0</v>
      </c>
      <c r="I68" t="n">
        <v>0</v>
      </c>
      <c r="J68" t="n">
        <v>0</v>
      </c>
      <c r="K68" t="n">
        <v>0</v>
      </c>
      <c r="L68" t="n">
        <v>0</v>
      </c>
      <c r="M68" t="n">
        <v>0</v>
      </c>
      <c r="N68" t="n">
        <v>0</v>
      </c>
      <c r="O68" t="n">
        <v>0</v>
      </c>
      <c r="P68" t="n">
        <v>0</v>
      </c>
      <c r="Q68" t="n">
        <v>0</v>
      </c>
      <c r="R68" s="2" t="inlineStr"/>
    </row>
    <row r="69" ht="15" customHeight="1">
      <c r="A69" t="inlineStr">
        <is>
          <t>A 25116-2019</t>
        </is>
      </c>
      <c r="B69" s="1" t="n">
        <v>43605</v>
      </c>
      <c r="C69" s="1" t="n">
        <v>45505</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27005-2019</t>
        </is>
      </c>
      <c r="B70" s="1" t="n">
        <v>43614</v>
      </c>
      <c r="C70" s="1" t="n">
        <v>45505</v>
      </c>
      <c r="D70" t="inlineStr">
        <is>
          <t>DALARNAS LÄN</t>
        </is>
      </c>
      <c r="E70" t="inlineStr">
        <is>
          <t>LUDVIKA</t>
        </is>
      </c>
      <c r="F70" t="inlineStr">
        <is>
          <t>Bergvik skog väst AB</t>
        </is>
      </c>
      <c r="G70" t="n">
        <v>22.4</v>
      </c>
      <c r="H70" t="n">
        <v>0</v>
      </c>
      <c r="I70" t="n">
        <v>0</v>
      </c>
      <c r="J70" t="n">
        <v>0</v>
      </c>
      <c r="K70" t="n">
        <v>0</v>
      </c>
      <c r="L70" t="n">
        <v>0</v>
      </c>
      <c r="M70" t="n">
        <v>0</v>
      </c>
      <c r="N70" t="n">
        <v>0</v>
      </c>
      <c r="O70" t="n">
        <v>0</v>
      </c>
      <c r="P70" t="n">
        <v>0</v>
      </c>
      <c r="Q70" t="n">
        <v>0</v>
      </c>
      <c r="R70" s="2" t="inlineStr"/>
    </row>
    <row r="71" ht="15" customHeight="1">
      <c r="A71" t="inlineStr">
        <is>
          <t>A 29027-2019</t>
        </is>
      </c>
      <c r="B71" s="1" t="n">
        <v>43628</v>
      </c>
      <c r="C71" s="1" t="n">
        <v>45505</v>
      </c>
      <c r="D71" t="inlineStr">
        <is>
          <t>DALARNAS LÄN</t>
        </is>
      </c>
      <c r="E71" t="inlineStr">
        <is>
          <t>LUDVIKA</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30233-2019</t>
        </is>
      </c>
      <c r="B72" s="1" t="n">
        <v>43630</v>
      </c>
      <c r="C72" s="1" t="n">
        <v>45505</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30102-2019</t>
        </is>
      </c>
      <c r="B73" s="1" t="n">
        <v>43630</v>
      </c>
      <c r="C73" s="1" t="n">
        <v>45505</v>
      </c>
      <c r="D73" t="inlineStr">
        <is>
          <t>DALARNAS LÄN</t>
        </is>
      </c>
      <c r="E73" t="inlineStr">
        <is>
          <t>LUDVIKA</t>
        </is>
      </c>
      <c r="G73" t="n">
        <v>2.3</v>
      </c>
      <c r="H73" t="n">
        <v>0</v>
      </c>
      <c r="I73" t="n">
        <v>0</v>
      </c>
      <c r="J73" t="n">
        <v>0</v>
      </c>
      <c r="K73" t="n">
        <v>0</v>
      </c>
      <c r="L73" t="n">
        <v>0</v>
      </c>
      <c r="M73" t="n">
        <v>0</v>
      </c>
      <c r="N73" t="n">
        <v>0</v>
      </c>
      <c r="O73" t="n">
        <v>0</v>
      </c>
      <c r="P73" t="n">
        <v>0</v>
      </c>
      <c r="Q73" t="n">
        <v>0</v>
      </c>
      <c r="R73" s="2" t="inlineStr"/>
    </row>
    <row r="74" ht="15" customHeight="1">
      <c r="A74" t="inlineStr">
        <is>
          <t>A 30121-2019</t>
        </is>
      </c>
      <c r="B74" s="1" t="n">
        <v>43630</v>
      </c>
      <c r="C74" s="1" t="n">
        <v>45505</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30040-2019</t>
        </is>
      </c>
      <c r="B75" s="1" t="n">
        <v>43633</v>
      </c>
      <c r="C75" s="1" t="n">
        <v>45505</v>
      </c>
      <c r="D75" t="inlineStr">
        <is>
          <t>DALARNAS LÄN</t>
        </is>
      </c>
      <c r="E75" t="inlineStr">
        <is>
          <t>LUDVIKA</t>
        </is>
      </c>
      <c r="G75" t="n">
        <v>8.800000000000001</v>
      </c>
      <c r="H75" t="n">
        <v>0</v>
      </c>
      <c r="I75" t="n">
        <v>0</v>
      </c>
      <c r="J75" t="n">
        <v>0</v>
      </c>
      <c r="K75" t="n">
        <v>0</v>
      </c>
      <c r="L75" t="n">
        <v>0</v>
      </c>
      <c r="M75" t="n">
        <v>0</v>
      </c>
      <c r="N75" t="n">
        <v>0</v>
      </c>
      <c r="O75" t="n">
        <v>0</v>
      </c>
      <c r="P75" t="n">
        <v>0</v>
      </c>
      <c r="Q75" t="n">
        <v>0</v>
      </c>
      <c r="R75" s="2" t="inlineStr"/>
    </row>
    <row r="76" ht="15" customHeight="1">
      <c r="A76" t="inlineStr">
        <is>
          <t>A 30887-2019</t>
        </is>
      </c>
      <c r="B76" s="1" t="n">
        <v>43636</v>
      </c>
      <c r="C76" s="1" t="n">
        <v>45505</v>
      </c>
      <c r="D76" t="inlineStr">
        <is>
          <t>DALARNAS LÄN</t>
        </is>
      </c>
      <c r="E76" t="inlineStr">
        <is>
          <t>LUDVIKA</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33194-2019</t>
        </is>
      </c>
      <c r="B77" s="1" t="n">
        <v>43649</v>
      </c>
      <c r="C77" s="1" t="n">
        <v>45505</v>
      </c>
      <c r="D77" t="inlineStr">
        <is>
          <t>DALARNAS LÄN</t>
        </is>
      </c>
      <c r="E77" t="inlineStr">
        <is>
          <t>LUDVIKA</t>
        </is>
      </c>
      <c r="G77" t="n">
        <v>0.4</v>
      </c>
      <c r="H77" t="n">
        <v>0</v>
      </c>
      <c r="I77" t="n">
        <v>0</v>
      </c>
      <c r="J77" t="n">
        <v>0</v>
      </c>
      <c r="K77" t="n">
        <v>0</v>
      </c>
      <c r="L77" t="n">
        <v>0</v>
      </c>
      <c r="M77" t="n">
        <v>0</v>
      </c>
      <c r="N77" t="n">
        <v>0</v>
      </c>
      <c r="O77" t="n">
        <v>0</v>
      </c>
      <c r="P77" t="n">
        <v>0</v>
      </c>
      <c r="Q77" t="n">
        <v>0</v>
      </c>
      <c r="R77" s="2" t="inlineStr"/>
    </row>
    <row r="78" ht="15" customHeight="1">
      <c r="A78" t="inlineStr">
        <is>
          <t>A 34472-2019</t>
        </is>
      </c>
      <c r="B78" s="1" t="n">
        <v>43656</v>
      </c>
      <c r="C78" s="1" t="n">
        <v>45505</v>
      </c>
      <c r="D78" t="inlineStr">
        <is>
          <t>DALARNAS LÄN</t>
        </is>
      </c>
      <c r="E78" t="inlineStr">
        <is>
          <t>LUDVIKA</t>
        </is>
      </c>
      <c r="G78" t="n">
        <v>1.2</v>
      </c>
      <c r="H78" t="n">
        <v>0</v>
      </c>
      <c r="I78" t="n">
        <v>0</v>
      </c>
      <c r="J78" t="n">
        <v>0</v>
      </c>
      <c r="K78" t="n">
        <v>0</v>
      </c>
      <c r="L78" t="n">
        <v>0</v>
      </c>
      <c r="M78" t="n">
        <v>0</v>
      </c>
      <c r="N78" t="n">
        <v>0</v>
      </c>
      <c r="O78" t="n">
        <v>0</v>
      </c>
      <c r="P78" t="n">
        <v>0</v>
      </c>
      <c r="Q78" t="n">
        <v>0</v>
      </c>
      <c r="R78" s="2" t="inlineStr"/>
    </row>
    <row r="79" ht="15" customHeight="1">
      <c r="A79" t="inlineStr">
        <is>
          <t>A 35230-2019</t>
        </is>
      </c>
      <c r="B79" s="1" t="n">
        <v>43662</v>
      </c>
      <c r="C79" s="1" t="n">
        <v>45505</v>
      </c>
      <c r="D79" t="inlineStr">
        <is>
          <t>DALARNAS LÄN</t>
        </is>
      </c>
      <c r="E79" t="inlineStr">
        <is>
          <t>LUDVIKA</t>
        </is>
      </c>
      <c r="G79" t="n">
        <v>0.4</v>
      </c>
      <c r="H79" t="n">
        <v>0</v>
      </c>
      <c r="I79" t="n">
        <v>0</v>
      </c>
      <c r="J79" t="n">
        <v>0</v>
      </c>
      <c r="K79" t="n">
        <v>0</v>
      </c>
      <c r="L79" t="n">
        <v>0</v>
      </c>
      <c r="M79" t="n">
        <v>0</v>
      </c>
      <c r="N79" t="n">
        <v>0</v>
      </c>
      <c r="O79" t="n">
        <v>0</v>
      </c>
      <c r="P79" t="n">
        <v>0</v>
      </c>
      <c r="Q79" t="n">
        <v>0</v>
      </c>
      <c r="R79" s="2" t="inlineStr"/>
    </row>
    <row r="80" ht="15" customHeight="1">
      <c r="A80" t="inlineStr">
        <is>
          <t>A 35634-2019</t>
        </is>
      </c>
      <c r="B80" s="1" t="n">
        <v>43664</v>
      </c>
      <c r="C80" s="1" t="n">
        <v>45505</v>
      </c>
      <c r="D80" t="inlineStr">
        <is>
          <t>DALARNAS LÄN</t>
        </is>
      </c>
      <c r="E80" t="inlineStr">
        <is>
          <t>LUDVIKA</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37612-2019</t>
        </is>
      </c>
      <c r="B81" s="1" t="n">
        <v>43681</v>
      </c>
      <c r="C81" s="1" t="n">
        <v>45505</v>
      </c>
      <c r="D81" t="inlineStr">
        <is>
          <t>DALARNAS LÄN</t>
        </is>
      </c>
      <c r="E81" t="inlineStr">
        <is>
          <t>LUDVIKA</t>
        </is>
      </c>
      <c r="G81" t="n">
        <v>2.7</v>
      </c>
      <c r="H81" t="n">
        <v>0</v>
      </c>
      <c r="I81" t="n">
        <v>0</v>
      </c>
      <c r="J81" t="n">
        <v>0</v>
      </c>
      <c r="K81" t="n">
        <v>0</v>
      </c>
      <c r="L81" t="n">
        <v>0</v>
      </c>
      <c r="M81" t="n">
        <v>0</v>
      </c>
      <c r="N81" t="n">
        <v>0</v>
      </c>
      <c r="O81" t="n">
        <v>0</v>
      </c>
      <c r="P81" t="n">
        <v>0</v>
      </c>
      <c r="Q81" t="n">
        <v>0</v>
      </c>
      <c r="R81" s="2" t="inlineStr"/>
    </row>
    <row r="82" ht="15" customHeight="1">
      <c r="A82" t="inlineStr">
        <is>
          <t>A 40358-2019</t>
        </is>
      </c>
      <c r="B82" s="1" t="n">
        <v>43696</v>
      </c>
      <c r="C82" s="1" t="n">
        <v>45505</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41395-2019</t>
        </is>
      </c>
      <c r="B83" s="1" t="n">
        <v>43698</v>
      </c>
      <c r="C83" s="1" t="n">
        <v>45505</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42849-2019</t>
        </is>
      </c>
      <c r="B84" s="1" t="n">
        <v>43700</v>
      </c>
      <c r="C84" s="1" t="n">
        <v>45505</v>
      </c>
      <c r="D84" t="inlineStr">
        <is>
          <t>DALARNAS LÄN</t>
        </is>
      </c>
      <c r="E84" t="inlineStr">
        <is>
          <t>LUDVIKA</t>
        </is>
      </c>
      <c r="G84" t="n">
        <v>1.4</v>
      </c>
      <c r="H84" t="n">
        <v>0</v>
      </c>
      <c r="I84" t="n">
        <v>0</v>
      </c>
      <c r="J84" t="n">
        <v>0</v>
      </c>
      <c r="K84" t="n">
        <v>0</v>
      </c>
      <c r="L84" t="n">
        <v>0</v>
      </c>
      <c r="M84" t="n">
        <v>0</v>
      </c>
      <c r="N84" t="n">
        <v>0</v>
      </c>
      <c r="O84" t="n">
        <v>0</v>
      </c>
      <c r="P84" t="n">
        <v>0</v>
      </c>
      <c r="Q84" t="n">
        <v>0</v>
      </c>
      <c r="R84" s="2" t="inlineStr"/>
    </row>
    <row r="85" ht="15" customHeight="1">
      <c r="A85" t="inlineStr">
        <is>
          <t>A 43074-2019</t>
        </is>
      </c>
      <c r="B85" s="1" t="n">
        <v>43705</v>
      </c>
      <c r="C85" s="1" t="n">
        <v>45505</v>
      </c>
      <c r="D85" t="inlineStr">
        <is>
          <t>DALARNAS LÄN</t>
        </is>
      </c>
      <c r="E85" t="inlineStr">
        <is>
          <t>LUDVIKA</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45480-2019</t>
        </is>
      </c>
      <c r="B86" s="1" t="n">
        <v>43714</v>
      </c>
      <c r="C86" s="1" t="n">
        <v>45505</v>
      </c>
      <c r="D86" t="inlineStr">
        <is>
          <t>DALARNAS LÄN</t>
        </is>
      </c>
      <c r="E86" t="inlineStr">
        <is>
          <t>LUDVIKA</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47012-2019</t>
        </is>
      </c>
      <c r="B87" s="1" t="n">
        <v>43720</v>
      </c>
      <c r="C87" s="1" t="n">
        <v>45505</v>
      </c>
      <c r="D87" t="inlineStr">
        <is>
          <t>DALARNAS LÄN</t>
        </is>
      </c>
      <c r="E87" t="inlineStr">
        <is>
          <t>LUDVIKA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49329-2019</t>
        </is>
      </c>
      <c r="B88" s="1" t="n">
        <v>43731</v>
      </c>
      <c r="C88" s="1" t="n">
        <v>45505</v>
      </c>
      <c r="D88" t="inlineStr">
        <is>
          <t>DALARNAS LÄN</t>
        </is>
      </c>
      <c r="E88" t="inlineStr">
        <is>
          <t>LUDVIKA</t>
        </is>
      </c>
      <c r="G88" t="n">
        <v>1.2</v>
      </c>
      <c r="H88" t="n">
        <v>0</v>
      </c>
      <c r="I88" t="n">
        <v>0</v>
      </c>
      <c r="J88" t="n">
        <v>0</v>
      </c>
      <c r="K88" t="n">
        <v>0</v>
      </c>
      <c r="L88" t="n">
        <v>0</v>
      </c>
      <c r="M88" t="n">
        <v>0</v>
      </c>
      <c r="N88" t="n">
        <v>0</v>
      </c>
      <c r="O88" t="n">
        <v>0</v>
      </c>
      <c r="P88" t="n">
        <v>0</v>
      </c>
      <c r="Q88" t="n">
        <v>0</v>
      </c>
      <c r="R88" s="2" t="inlineStr"/>
    </row>
    <row r="89" ht="15" customHeight="1">
      <c r="A89" t="inlineStr">
        <is>
          <t>A 49699-2019</t>
        </is>
      </c>
      <c r="B89" s="1" t="n">
        <v>43733</v>
      </c>
      <c r="C89" s="1" t="n">
        <v>45505</v>
      </c>
      <c r="D89" t="inlineStr">
        <is>
          <t>DALARNAS LÄN</t>
        </is>
      </c>
      <c r="E89" t="inlineStr">
        <is>
          <t>LUDVIKA</t>
        </is>
      </c>
      <c r="G89" t="n">
        <v>2.1</v>
      </c>
      <c r="H89" t="n">
        <v>0</v>
      </c>
      <c r="I89" t="n">
        <v>0</v>
      </c>
      <c r="J89" t="n">
        <v>0</v>
      </c>
      <c r="K89" t="n">
        <v>0</v>
      </c>
      <c r="L89" t="n">
        <v>0</v>
      </c>
      <c r="M89" t="n">
        <v>0</v>
      </c>
      <c r="N89" t="n">
        <v>0</v>
      </c>
      <c r="O89" t="n">
        <v>0</v>
      </c>
      <c r="P89" t="n">
        <v>0</v>
      </c>
      <c r="Q89" t="n">
        <v>0</v>
      </c>
      <c r="R89" s="2" t="inlineStr"/>
    </row>
    <row r="90" ht="15" customHeight="1">
      <c r="A90" t="inlineStr">
        <is>
          <t>A 50024-2019</t>
        </is>
      </c>
      <c r="B90" s="1" t="n">
        <v>43734</v>
      </c>
      <c r="C90" s="1" t="n">
        <v>45505</v>
      </c>
      <c r="D90" t="inlineStr">
        <is>
          <t>DALARNAS LÄN</t>
        </is>
      </c>
      <c r="E90" t="inlineStr">
        <is>
          <t>LUDVIKA</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53038-2019</t>
        </is>
      </c>
      <c r="B91" s="1" t="n">
        <v>43747</v>
      </c>
      <c r="C91" s="1" t="n">
        <v>45505</v>
      </c>
      <c r="D91" t="inlineStr">
        <is>
          <t>DALARNAS LÄN</t>
        </is>
      </c>
      <c r="E91" t="inlineStr">
        <is>
          <t>LUDVIKA</t>
        </is>
      </c>
      <c r="G91" t="n">
        <v>10.6</v>
      </c>
      <c r="H91" t="n">
        <v>0</v>
      </c>
      <c r="I91" t="n">
        <v>0</v>
      </c>
      <c r="J91" t="n">
        <v>0</v>
      </c>
      <c r="K91" t="n">
        <v>0</v>
      </c>
      <c r="L91" t="n">
        <v>0</v>
      </c>
      <c r="M91" t="n">
        <v>0</v>
      </c>
      <c r="N91" t="n">
        <v>0</v>
      </c>
      <c r="O91" t="n">
        <v>0</v>
      </c>
      <c r="P91" t="n">
        <v>0</v>
      </c>
      <c r="Q91" t="n">
        <v>0</v>
      </c>
      <c r="R91" s="2" t="inlineStr"/>
    </row>
    <row r="92" ht="15" customHeight="1">
      <c r="A92" t="inlineStr">
        <is>
          <t>A 59304-2019</t>
        </is>
      </c>
      <c r="B92" s="1" t="n">
        <v>43770</v>
      </c>
      <c r="C92" s="1" t="n">
        <v>45505</v>
      </c>
      <c r="D92" t="inlineStr">
        <is>
          <t>DALARNAS LÄN</t>
        </is>
      </c>
      <c r="E92" t="inlineStr">
        <is>
          <t>LUDVIKA</t>
        </is>
      </c>
      <c r="G92" t="n">
        <v>3.2</v>
      </c>
      <c r="H92" t="n">
        <v>0</v>
      </c>
      <c r="I92" t="n">
        <v>0</v>
      </c>
      <c r="J92" t="n">
        <v>0</v>
      </c>
      <c r="K92" t="n">
        <v>0</v>
      </c>
      <c r="L92" t="n">
        <v>0</v>
      </c>
      <c r="M92" t="n">
        <v>0</v>
      </c>
      <c r="N92" t="n">
        <v>0</v>
      </c>
      <c r="O92" t="n">
        <v>0</v>
      </c>
      <c r="P92" t="n">
        <v>0</v>
      </c>
      <c r="Q92" t="n">
        <v>0</v>
      </c>
      <c r="R92" s="2" t="inlineStr"/>
    </row>
    <row r="93" ht="15" customHeight="1">
      <c r="A93" t="inlineStr">
        <is>
          <t>A 60221-2019</t>
        </is>
      </c>
      <c r="B93" s="1" t="n">
        <v>43780</v>
      </c>
      <c r="C93" s="1" t="n">
        <v>45505</v>
      </c>
      <c r="D93" t="inlineStr">
        <is>
          <t>DALARNAS LÄN</t>
        </is>
      </c>
      <c r="E93" t="inlineStr">
        <is>
          <t>LUDVIKA</t>
        </is>
      </c>
      <c r="G93" t="n">
        <v>3.4</v>
      </c>
      <c r="H93" t="n">
        <v>0</v>
      </c>
      <c r="I93" t="n">
        <v>0</v>
      </c>
      <c r="J93" t="n">
        <v>0</v>
      </c>
      <c r="K93" t="n">
        <v>0</v>
      </c>
      <c r="L93" t="n">
        <v>0</v>
      </c>
      <c r="M93" t="n">
        <v>0</v>
      </c>
      <c r="N93" t="n">
        <v>0</v>
      </c>
      <c r="O93" t="n">
        <v>0</v>
      </c>
      <c r="P93" t="n">
        <v>0</v>
      </c>
      <c r="Q93" t="n">
        <v>0</v>
      </c>
      <c r="R93" s="2" t="inlineStr"/>
    </row>
    <row r="94" ht="15" customHeight="1">
      <c r="A94" t="inlineStr">
        <is>
          <t>A 61027-2019</t>
        </is>
      </c>
      <c r="B94" s="1" t="n">
        <v>43782</v>
      </c>
      <c r="C94" s="1" t="n">
        <v>45505</v>
      </c>
      <c r="D94" t="inlineStr">
        <is>
          <t>DALARNAS LÄN</t>
        </is>
      </c>
      <c r="E94" t="inlineStr">
        <is>
          <t>LUDVIKA</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62356-2019</t>
        </is>
      </c>
      <c r="B95" s="1" t="n">
        <v>43788</v>
      </c>
      <c r="C95" s="1" t="n">
        <v>45505</v>
      </c>
      <c r="D95" t="inlineStr">
        <is>
          <t>DALARNAS LÄN</t>
        </is>
      </c>
      <c r="E95" t="inlineStr">
        <is>
          <t>LUDVIKA</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63149-2019</t>
        </is>
      </c>
      <c r="B96" s="1" t="n">
        <v>43791</v>
      </c>
      <c r="C96" s="1" t="n">
        <v>45505</v>
      </c>
      <c r="D96" t="inlineStr">
        <is>
          <t>DALARNAS LÄN</t>
        </is>
      </c>
      <c r="E96" t="inlineStr">
        <is>
          <t>LUDVIKA</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64300-2019</t>
        </is>
      </c>
      <c r="B97" s="1" t="n">
        <v>43797</v>
      </c>
      <c r="C97" s="1" t="n">
        <v>45505</v>
      </c>
      <c r="D97" t="inlineStr">
        <is>
          <t>DALARNAS LÄN</t>
        </is>
      </c>
      <c r="E97" t="inlineStr">
        <is>
          <t>LUDVIKA</t>
        </is>
      </c>
      <c r="G97" t="n">
        <v>7.2</v>
      </c>
      <c r="H97" t="n">
        <v>0</v>
      </c>
      <c r="I97" t="n">
        <v>0</v>
      </c>
      <c r="J97" t="n">
        <v>0</v>
      </c>
      <c r="K97" t="n">
        <v>0</v>
      </c>
      <c r="L97" t="n">
        <v>0</v>
      </c>
      <c r="M97" t="n">
        <v>0</v>
      </c>
      <c r="N97" t="n">
        <v>0</v>
      </c>
      <c r="O97" t="n">
        <v>0</v>
      </c>
      <c r="P97" t="n">
        <v>0</v>
      </c>
      <c r="Q97" t="n">
        <v>0</v>
      </c>
      <c r="R97" s="2" t="inlineStr"/>
    </row>
    <row r="98" ht="15" customHeight="1">
      <c r="A98" t="inlineStr">
        <is>
          <t>A 64583-2019</t>
        </is>
      </c>
      <c r="B98" s="1" t="n">
        <v>43798</v>
      </c>
      <c r="C98" s="1" t="n">
        <v>45505</v>
      </c>
      <c r="D98" t="inlineStr">
        <is>
          <t>DALARNAS LÄN</t>
        </is>
      </c>
      <c r="E98" t="inlineStr">
        <is>
          <t>LUDVIKA</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64684-2019</t>
        </is>
      </c>
      <c r="B99" s="1" t="n">
        <v>43798</v>
      </c>
      <c r="C99" s="1" t="n">
        <v>45505</v>
      </c>
      <c r="D99" t="inlineStr">
        <is>
          <t>DALARNAS LÄN</t>
        </is>
      </c>
      <c r="E99" t="inlineStr">
        <is>
          <t>LUDVIKA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64693-2019</t>
        </is>
      </c>
      <c r="B100" s="1" t="n">
        <v>43798</v>
      </c>
      <c r="C100" s="1" t="n">
        <v>45505</v>
      </c>
      <c r="D100" t="inlineStr">
        <is>
          <t>DALARNAS LÄN</t>
        </is>
      </c>
      <c r="E100" t="inlineStr">
        <is>
          <t>LUDVIKA</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64628-2019</t>
        </is>
      </c>
      <c r="B101" s="1" t="n">
        <v>43798</v>
      </c>
      <c r="C101" s="1" t="n">
        <v>45505</v>
      </c>
      <c r="D101" t="inlineStr">
        <is>
          <t>DALARNAS LÄN</t>
        </is>
      </c>
      <c r="E101" t="inlineStr">
        <is>
          <t>LUDVIKA</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64961-2019</t>
        </is>
      </c>
      <c r="B102" s="1" t="n">
        <v>43801</v>
      </c>
      <c r="C102" s="1" t="n">
        <v>45505</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68226-2019</t>
        </is>
      </c>
      <c r="B103" s="1" t="n">
        <v>43817</v>
      </c>
      <c r="C103" s="1" t="n">
        <v>45505</v>
      </c>
      <c r="D103" t="inlineStr">
        <is>
          <t>DALARNAS LÄN</t>
        </is>
      </c>
      <c r="E103" t="inlineStr">
        <is>
          <t>LUDVIKA</t>
        </is>
      </c>
      <c r="G103" t="n">
        <v>4.4</v>
      </c>
      <c r="H103" t="n">
        <v>0</v>
      </c>
      <c r="I103" t="n">
        <v>0</v>
      </c>
      <c r="J103" t="n">
        <v>0</v>
      </c>
      <c r="K103" t="n">
        <v>0</v>
      </c>
      <c r="L103" t="n">
        <v>0</v>
      </c>
      <c r="M103" t="n">
        <v>0</v>
      </c>
      <c r="N103" t="n">
        <v>0</v>
      </c>
      <c r="O103" t="n">
        <v>0</v>
      </c>
      <c r="P103" t="n">
        <v>0</v>
      </c>
      <c r="Q103" t="n">
        <v>0</v>
      </c>
      <c r="R103" s="2" t="inlineStr"/>
    </row>
    <row r="104" ht="15" customHeight="1">
      <c r="A104" t="inlineStr">
        <is>
          <t>A 68721-2019</t>
        </is>
      </c>
      <c r="B104" s="1" t="n">
        <v>43819</v>
      </c>
      <c r="C104" s="1" t="n">
        <v>45505</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2572-2020</t>
        </is>
      </c>
      <c r="B105" s="1" t="n">
        <v>43847</v>
      </c>
      <c r="C105" s="1" t="n">
        <v>45505</v>
      </c>
      <c r="D105" t="inlineStr">
        <is>
          <t>DALARNAS LÄN</t>
        </is>
      </c>
      <c r="E105" t="inlineStr">
        <is>
          <t>LUDVIKA</t>
        </is>
      </c>
      <c r="G105" t="n">
        <v>5.4</v>
      </c>
      <c r="H105" t="n">
        <v>0</v>
      </c>
      <c r="I105" t="n">
        <v>0</v>
      </c>
      <c r="J105" t="n">
        <v>0</v>
      </c>
      <c r="K105" t="n">
        <v>0</v>
      </c>
      <c r="L105" t="n">
        <v>0</v>
      </c>
      <c r="M105" t="n">
        <v>0</v>
      </c>
      <c r="N105" t="n">
        <v>0</v>
      </c>
      <c r="O105" t="n">
        <v>0</v>
      </c>
      <c r="P105" t="n">
        <v>0</v>
      </c>
      <c r="Q105" t="n">
        <v>0</v>
      </c>
      <c r="R105" s="2" t="inlineStr"/>
    </row>
    <row r="106" ht="15" customHeight="1">
      <c r="A106" t="inlineStr">
        <is>
          <t>A 4071-2020</t>
        </is>
      </c>
      <c r="B106" s="1" t="n">
        <v>43847</v>
      </c>
      <c r="C106" s="1" t="n">
        <v>45505</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4611-2020</t>
        </is>
      </c>
      <c r="B107" s="1" t="n">
        <v>43858</v>
      </c>
      <c r="C107" s="1" t="n">
        <v>45505</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5243-2020</t>
        </is>
      </c>
      <c r="B108" s="1" t="n">
        <v>43860</v>
      </c>
      <c r="C108" s="1" t="n">
        <v>45505</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5481-2020</t>
        </is>
      </c>
      <c r="B109" s="1" t="n">
        <v>43861</v>
      </c>
      <c r="C109" s="1" t="n">
        <v>45505</v>
      </c>
      <c r="D109" t="inlineStr">
        <is>
          <t>DALARNAS LÄN</t>
        </is>
      </c>
      <c r="E109" t="inlineStr">
        <is>
          <t>LUDVIKA</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5829-2020</t>
        </is>
      </c>
      <c r="B110" s="1" t="n">
        <v>43861</v>
      </c>
      <c r="C110" s="1" t="n">
        <v>45505</v>
      </c>
      <c r="D110" t="inlineStr">
        <is>
          <t>DALARNAS LÄN</t>
        </is>
      </c>
      <c r="E110" t="inlineStr">
        <is>
          <t>LUDVIKA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6948-2020</t>
        </is>
      </c>
      <c r="B111" s="1" t="n">
        <v>43868</v>
      </c>
      <c r="C111" s="1" t="n">
        <v>45505</v>
      </c>
      <c r="D111" t="inlineStr">
        <is>
          <t>DALARNAS LÄN</t>
        </is>
      </c>
      <c r="E111" t="inlineStr">
        <is>
          <t>LUDVIKA</t>
        </is>
      </c>
      <c r="G111" t="n">
        <v>2.4</v>
      </c>
      <c r="H111" t="n">
        <v>0</v>
      </c>
      <c r="I111" t="n">
        <v>0</v>
      </c>
      <c r="J111" t="n">
        <v>0</v>
      </c>
      <c r="K111" t="n">
        <v>0</v>
      </c>
      <c r="L111" t="n">
        <v>0</v>
      </c>
      <c r="M111" t="n">
        <v>0</v>
      </c>
      <c r="N111" t="n">
        <v>0</v>
      </c>
      <c r="O111" t="n">
        <v>0</v>
      </c>
      <c r="P111" t="n">
        <v>0</v>
      </c>
      <c r="Q111" t="n">
        <v>0</v>
      </c>
      <c r="R111" s="2" t="inlineStr"/>
    </row>
    <row r="112" ht="15" customHeight="1">
      <c r="A112" t="inlineStr">
        <is>
          <t>A 7010-2020</t>
        </is>
      </c>
      <c r="B112" s="1" t="n">
        <v>43868</v>
      </c>
      <c r="C112" s="1" t="n">
        <v>45505</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7709-2020</t>
        </is>
      </c>
      <c r="B113" s="1" t="n">
        <v>43872</v>
      </c>
      <c r="C113" s="1" t="n">
        <v>45505</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7851-2020</t>
        </is>
      </c>
      <c r="B114" s="1" t="n">
        <v>43873</v>
      </c>
      <c r="C114" s="1" t="n">
        <v>45505</v>
      </c>
      <c r="D114" t="inlineStr">
        <is>
          <t>DALARNAS LÄN</t>
        </is>
      </c>
      <c r="E114" t="inlineStr">
        <is>
          <t>LUDVIKA</t>
        </is>
      </c>
      <c r="F114" t="inlineStr">
        <is>
          <t>Naturvårdsverket</t>
        </is>
      </c>
      <c r="G114" t="n">
        <v>1.9</v>
      </c>
      <c r="H114" t="n">
        <v>0</v>
      </c>
      <c r="I114" t="n">
        <v>0</v>
      </c>
      <c r="J114" t="n">
        <v>0</v>
      </c>
      <c r="K114" t="n">
        <v>0</v>
      </c>
      <c r="L114" t="n">
        <v>0</v>
      </c>
      <c r="M114" t="n">
        <v>0</v>
      </c>
      <c r="N114" t="n">
        <v>0</v>
      </c>
      <c r="O114" t="n">
        <v>0</v>
      </c>
      <c r="P114" t="n">
        <v>0</v>
      </c>
      <c r="Q114" t="n">
        <v>0</v>
      </c>
      <c r="R114" s="2" t="inlineStr"/>
    </row>
    <row r="115" ht="15" customHeight="1">
      <c r="A115" t="inlineStr">
        <is>
          <t>A 9552-2020</t>
        </is>
      </c>
      <c r="B115" s="1" t="n">
        <v>43881</v>
      </c>
      <c r="C115" s="1" t="n">
        <v>45505</v>
      </c>
      <c r="D115" t="inlineStr">
        <is>
          <t>DALARNAS LÄN</t>
        </is>
      </c>
      <c r="E115" t="inlineStr">
        <is>
          <t>LUDVIKA</t>
        </is>
      </c>
      <c r="F115" t="inlineStr">
        <is>
          <t>Övriga Aktiebolag</t>
        </is>
      </c>
      <c r="G115" t="n">
        <v>1.3</v>
      </c>
      <c r="H115" t="n">
        <v>0</v>
      </c>
      <c r="I115" t="n">
        <v>0</v>
      </c>
      <c r="J115" t="n">
        <v>0</v>
      </c>
      <c r="K115" t="n">
        <v>0</v>
      </c>
      <c r="L115" t="n">
        <v>0</v>
      </c>
      <c r="M115" t="n">
        <v>0</v>
      </c>
      <c r="N115" t="n">
        <v>0</v>
      </c>
      <c r="O115" t="n">
        <v>0</v>
      </c>
      <c r="P115" t="n">
        <v>0</v>
      </c>
      <c r="Q115" t="n">
        <v>0</v>
      </c>
      <c r="R115" s="2" t="inlineStr"/>
    </row>
    <row r="116" ht="15" customHeight="1">
      <c r="A116" t="inlineStr">
        <is>
          <t>A 9805-2020</t>
        </is>
      </c>
      <c r="B116" s="1" t="n">
        <v>43881</v>
      </c>
      <c r="C116" s="1" t="n">
        <v>45505</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9932-2020</t>
        </is>
      </c>
      <c r="B117" s="1" t="n">
        <v>43882</v>
      </c>
      <c r="C117" s="1" t="n">
        <v>45505</v>
      </c>
      <c r="D117" t="inlineStr">
        <is>
          <t>DALARNAS LÄN</t>
        </is>
      </c>
      <c r="E117" t="inlineStr">
        <is>
          <t>LUDVIKA</t>
        </is>
      </c>
      <c r="G117" t="n">
        <v>0.6</v>
      </c>
      <c r="H117" t="n">
        <v>0</v>
      </c>
      <c r="I117" t="n">
        <v>0</v>
      </c>
      <c r="J117" t="n">
        <v>0</v>
      </c>
      <c r="K117" t="n">
        <v>0</v>
      </c>
      <c r="L117" t="n">
        <v>0</v>
      </c>
      <c r="M117" t="n">
        <v>0</v>
      </c>
      <c r="N117" t="n">
        <v>0</v>
      </c>
      <c r="O117" t="n">
        <v>0</v>
      </c>
      <c r="P117" t="n">
        <v>0</v>
      </c>
      <c r="Q117" t="n">
        <v>0</v>
      </c>
      <c r="R117" s="2" t="inlineStr"/>
    </row>
    <row r="118" ht="15" customHeight="1">
      <c r="A118" t="inlineStr">
        <is>
          <t>A 10578-2020</t>
        </is>
      </c>
      <c r="B118" s="1" t="n">
        <v>43887</v>
      </c>
      <c r="C118" s="1" t="n">
        <v>45505</v>
      </c>
      <c r="D118" t="inlineStr">
        <is>
          <t>DALARNAS LÄN</t>
        </is>
      </c>
      <c r="E118" t="inlineStr">
        <is>
          <t>LUDVIKA</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10600-2020</t>
        </is>
      </c>
      <c r="B119" s="1" t="n">
        <v>43887</v>
      </c>
      <c r="C119" s="1" t="n">
        <v>45505</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12439-2020</t>
        </is>
      </c>
      <c r="B120" s="1" t="n">
        <v>43892</v>
      </c>
      <c r="C120" s="1" t="n">
        <v>45505</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11207-2020</t>
        </is>
      </c>
      <c r="B121" s="1" t="n">
        <v>43892</v>
      </c>
      <c r="C121" s="1" t="n">
        <v>45505</v>
      </c>
      <c r="D121" t="inlineStr">
        <is>
          <t>DALARNAS LÄN</t>
        </is>
      </c>
      <c r="E121" t="inlineStr">
        <is>
          <t>LUDVIKA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11559-2020</t>
        </is>
      </c>
      <c r="B122" s="1" t="n">
        <v>43893</v>
      </c>
      <c r="C122" s="1" t="n">
        <v>45505</v>
      </c>
      <c r="D122" t="inlineStr">
        <is>
          <t>DALARNAS LÄN</t>
        </is>
      </c>
      <c r="E122" t="inlineStr">
        <is>
          <t>LUDVIKA</t>
        </is>
      </c>
      <c r="G122" t="n">
        <v>32.7</v>
      </c>
      <c r="H122" t="n">
        <v>0</v>
      </c>
      <c r="I122" t="n">
        <v>0</v>
      </c>
      <c r="J122" t="n">
        <v>0</v>
      </c>
      <c r="K122" t="n">
        <v>0</v>
      </c>
      <c r="L122" t="n">
        <v>0</v>
      </c>
      <c r="M122" t="n">
        <v>0</v>
      </c>
      <c r="N122" t="n">
        <v>0</v>
      </c>
      <c r="O122" t="n">
        <v>0</v>
      </c>
      <c r="P122" t="n">
        <v>0</v>
      </c>
      <c r="Q122" t="n">
        <v>0</v>
      </c>
      <c r="R122" s="2" t="inlineStr"/>
    </row>
    <row r="123" ht="15" customHeight="1">
      <c r="A123" t="inlineStr">
        <is>
          <t>A 11626-2020</t>
        </is>
      </c>
      <c r="B123" s="1" t="n">
        <v>43893</v>
      </c>
      <c r="C123" s="1" t="n">
        <v>45505</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13483-2020</t>
        </is>
      </c>
      <c r="B124" s="1" t="n">
        <v>43894</v>
      </c>
      <c r="C124" s="1" t="n">
        <v>45505</v>
      </c>
      <c r="D124" t="inlineStr">
        <is>
          <t>DALARNAS LÄN</t>
        </is>
      </c>
      <c r="E124" t="inlineStr">
        <is>
          <t>LUDVIKA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12049-2020</t>
        </is>
      </c>
      <c r="B125" s="1" t="n">
        <v>43894</v>
      </c>
      <c r="C125" s="1" t="n">
        <v>45505</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12223-2020</t>
        </is>
      </c>
      <c r="B126" s="1" t="n">
        <v>43895</v>
      </c>
      <c r="C126" s="1" t="n">
        <v>45505</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12560-2020</t>
        </is>
      </c>
      <c r="B127" s="1" t="n">
        <v>43898</v>
      </c>
      <c r="C127" s="1" t="n">
        <v>45505</v>
      </c>
      <c r="D127" t="inlineStr">
        <is>
          <t>DALARNAS LÄN</t>
        </is>
      </c>
      <c r="E127" t="inlineStr">
        <is>
          <t>LUDVIKA</t>
        </is>
      </c>
      <c r="G127" t="n">
        <v>2.7</v>
      </c>
      <c r="H127" t="n">
        <v>0</v>
      </c>
      <c r="I127" t="n">
        <v>0</v>
      </c>
      <c r="J127" t="n">
        <v>0</v>
      </c>
      <c r="K127" t="n">
        <v>0</v>
      </c>
      <c r="L127" t="n">
        <v>0</v>
      </c>
      <c r="M127" t="n">
        <v>0</v>
      </c>
      <c r="N127" t="n">
        <v>0</v>
      </c>
      <c r="O127" t="n">
        <v>0</v>
      </c>
      <c r="P127" t="n">
        <v>0</v>
      </c>
      <c r="Q127" t="n">
        <v>0</v>
      </c>
      <c r="R127" s="2" t="inlineStr"/>
    </row>
    <row r="128" ht="15" customHeight="1">
      <c r="A128" t="inlineStr">
        <is>
          <t>A 12935-2020</t>
        </is>
      </c>
      <c r="B128" s="1" t="n">
        <v>43900</v>
      </c>
      <c r="C128" s="1" t="n">
        <v>45505</v>
      </c>
      <c r="D128" t="inlineStr">
        <is>
          <t>DALARNAS LÄN</t>
        </is>
      </c>
      <c r="E128" t="inlineStr">
        <is>
          <t>LUDVIKA</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13757-2020</t>
        </is>
      </c>
      <c r="B129" s="1" t="n">
        <v>43903</v>
      </c>
      <c r="C129" s="1" t="n">
        <v>45505</v>
      </c>
      <c r="D129" t="inlineStr">
        <is>
          <t>DALARNAS LÄN</t>
        </is>
      </c>
      <c r="E129" t="inlineStr">
        <is>
          <t>LUDVIKA</t>
        </is>
      </c>
      <c r="F129" t="inlineStr">
        <is>
          <t>Bergvik skog väst AB</t>
        </is>
      </c>
      <c r="G129" t="n">
        <v>3.1</v>
      </c>
      <c r="H129" t="n">
        <v>0</v>
      </c>
      <c r="I129" t="n">
        <v>0</v>
      </c>
      <c r="J129" t="n">
        <v>0</v>
      </c>
      <c r="K129" t="n">
        <v>0</v>
      </c>
      <c r="L129" t="n">
        <v>0</v>
      </c>
      <c r="M129" t="n">
        <v>0</v>
      </c>
      <c r="N129" t="n">
        <v>0</v>
      </c>
      <c r="O129" t="n">
        <v>0</v>
      </c>
      <c r="P129" t="n">
        <v>0</v>
      </c>
      <c r="Q129" t="n">
        <v>0</v>
      </c>
      <c r="R129" s="2" t="inlineStr"/>
    </row>
    <row r="130" ht="15" customHeight="1">
      <c r="A130" t="inlineStr">
        <is>
          <t>A 13767-2020</t>
        </is>
      </c>
      <c r="B130" s="1" t="n">
        <v>43903</v>
      </c>
      <c r="C130" s="1" t="n">
        <v>45505</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14373-2020</t>
        </is>
      </c>
      <c r="B131" s="1" t="n">
        <v>43908</v>
      </c>
      <c r="C131" s="1" t="n">
        <v>45505</v>
      </c>
      <c r="D131" t="inlineStr">
        <is>
          <t>DALARNAS LÄN</t>
        </is>
      </c>
      <c r="E131" t="inlineStr">
        <is>
          <t>LUDVIKA</t>
        </is>
      </c>
      <c r="F131" t="inlineStr">
        <is>
          <t>Bergvik skog väst AB</t>
        </is>
      </c>
      <c r="G131" t="n">
        <v>5.5</v>
      </c>
      <c r="H131" t="n">
        <v>0</v>
      </c>
      <c r="I131" t="n">
        <v>0</v>
      </c>
      <c r="J131" t="n">
        <v>0</v>
      </c>
      <c r="K131" t="n">
        <v>0</v>
      </c>
      <c r="L131" t="n">
        <v>0</v>
      </c>
      <c r="M131" t="n">
        <v>0</v>
      </c>
      <c r="N131" t="n">
        <v>0</v>
      </c>
      <c r="O131" t="n">
        <v>0</v>
      </c>
      <c r="P131" t="n">
        <v>0</v>
      </c>
      <c r="Q131" t="n">
        <v>0</v>
      </c>
      <c r="R131" s="2" t="inlineStr"/>
    </row>
    <row r="132" ht="15" customHeight="1">
      <c r="A132" t="inlineStr">
        <is>
          <t>A 15053-2020</t>
        </is>
      </c>
      <c r="B132" s="1" t="n">
        <v>43910</v>
      </c>
      <c r="C132" s="1" t="n">
        <v>45505</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15861-2020</t>
        </is>
      </c>
      <c r="B133" s="1" t="n">
        <v>43915</v>
      </c>
      <c r="C133" s="1" t="n">
        <v>45505</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16407-2020</t>
        </is>
      </c>
      <c r="B134" s="1" t="n">
        <v>43918</v>
      </c>
      <c r="C134" s="1" t="n">
        <v>45505</v>
      </c>
      <c r="D134" t="inlineStr">
        <is>
          <t>DALARNAS LÄN</t>
        </is>
      </c>
      <c r="E134" t="inlineStr">
        <is>
          <t>LUDVIKA</t>
        </is>
      </c>
      <c r="F134" t="inlineStr">
        <is>
          <t>Bergvik skog väst AB</t>
        </is>
      </c>
      <c r="G134" t="n">
        <v>32.8</v>
      </c>
      <c r="H134" t="n">
        <v>0</v>
      </c>
      <c r="I134" t="n">
        <v>0</v>
      </c>
      <c r="J134" t="n">
        <v>0</v>
      </c>
      <c r="K134" t="n">
        <v>0</v>
      </c>
      <c r="L134" t="n">
        <v>0</v>
      </c>
      <c r="M134" t="n">
        <v>0</v>
      </c>
      <c r="N134" t="n">
        <v>0</v>
      </c>
      <c r="O134" t="n">
        <v>0</v>
      </c>
      <c r="P134" t="n">
        <v>0</v>
      </c>
      <c r="Q134" t="n">
        <v>0</v>
      </c>
      <c r="R134" s="2" t="inlineStr"/>
    </row>
    <row r="135" ht="15" customHeight="1">
      <c r="A135" t="inlineStr">
        <is>
          <t>A 16782-2020</t>
        </is>
      </c>
      <c r="B135" s="1" t="n">
        <v>43921</v>
      </c>
      <c r="C135" s="1" t="n">
        <v>45505</v>
      </c>
      <c r="D135" t="inlineStr">
        <is>
          <t>DALARNAS LÄN</t>
        </is>
      </c>
      <c r="E135" t="inlineStr">
        <is>
          <t>LUDVIKA</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16781-2020</t>
        </is>
      </c>
      <c r="B136" s="1" t="n">
        <v>43921</v>
      </c>
      <c r="C136" s="1" t="n">
        <v>45505</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17166-2020</t>
        </is>
      </c>
      <c r="B137" s="1" t="n">
        <v>43922</v>
      </c>
      <c r="C137" s="1" t="n">
        <v>45505</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17597-2020</t>
        </is>
      </c>
      <c r="B138" s="1" t="n">
        <v>43923</v>
      </c>
      <c r="C138" s="1" t="n">
        <v>45505</v>
      </c>
      <c r="D138" t="inlineStr">
        <is>
          <t>DALARNAS LÄN</t>
        </is>
      </c>
      <c r="E138" t="inlineStr">
        <is>
          <t>LUDVIKA</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17605-2020</t>
        </is>
      </c>
      <c r="B139" s="1" t="n">
        <v>43923</v>
      </c>
      <c r="C139" s="1" t="n">
        <v>45505</v>
      </c>
      <c r="D139" t="inlineStr">
        <is>
          <t>DALARNAS LÄN</t>
        </is>
      </c>
      <c r="E139" t="inlineStr">
        <is>
          <t>LUDVIKA</t>
        </is>
      </c>
      <c r="F139" t="inlineStr">
        <is>
          <t>Bergvik skog väst AB</t>
        </is>
      </c>
      <c r="G139" t="n">
        <v>4.2</v>
      </c>
      <c r="H139" t="n">
        <v>0</v>
      </c>
      <c r="I139" t="n">
        <v>0</v>
      </c>
      <c r="J139" t="n">
        <v>0</v>
      </c>
      <c r="K139" t="n">
        <v>0</v>
      </c>
      <c r="L139" t="n">
        <v>0</v>
      </c>
      <c r="M139" t="n">
        <v>0</v>
      </c>
      <c r="N139" t="n">
        <v>0</v>
      </c>
      <c r="O139" t="n">
        <v>0</v>
      </c>
      <c r="P139" t="n">
        <v>0</v>
      </c>
      <c r="Q139" t="n">
        <v>0</v>
      </c>
      <c r="R139" s="2" t="inlineStr"/>
    </row>
    <row r="140" ht="15" customHeight="1">
      <c r="A140" t="inlineStr">
        <is>
          <t>A 17602-2020</t>
        </is>
      </c>
      <c r="B140" s="1" t="n">
        <v>43923</v>
      </c>
      <c r="C140" s="1" t="n">
        <v>45505</v>
      </c>
      <c r="D140" t="inlineStr">
        <is>
          <t>DALARNAS LÄN</t>
        </is>
      </c>
      <c r="E140" t="inlineStr">
        <is>
          <t>LUDVIKA</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17603-2020</t>
        </is>
      </c>
      <c r="B141" s="1" t="n">
        <v>43923</v>
      </c>
      <c r="C141" s="1" t="n">
        <v>45505</v>
      </c>
      <c r="D141" t="inlineStr">
        <is>
          <t>DALARNAS LÄN</t>
        </is>
      </c>
      <c r="E141" t="inlineStr">
        <is>
          <t>LUDVIKA</t>
        </is>
      </c>
      <c r="F141" t="inlineStr">
        <is>
          <t>Bergvik skog väst AB</t>
        </is>
      </c>
      <c r="G141" t="n">
        <v>19.9</v>
      </c>
      <c r="H141" t="n">
        <v>0</v>
      </c>
      <c r="I141" t="n">
        <v>0</v>
      </c>
      <c r="J141" t="n">
        <v>0</v>
      </c>
      <c r="K141" t="n">
        <v>0</v>
      </c>
      <c r="L141" t="n">
        <v>0</v>
      </c>
      <c r="M141" t="n">
        <v>0</v>
      </c>
      <c r="N141" t="n">
        <v>0</v>
      </c>
      <c r="O141" t="n">
        <v>0</v>
      </c>
      <c r="P141" t="n">
        <v>0</v>
      </c>
      <c r="Q141" t="n">
        <v>0</v>
      </c>
      <c r="R141" s="2" t="inlineStr"/>
    </row>
    <row r="142" ht="15" customHeight="1">
      <c r="A142" t="inlineStr">
        <is>
          <t>A 17598-2020</t>
        </is>
      </c>
      <c r="B142" s="1" t="n">
        <v>43923</v>
      </c>
      <c r="C142" s="1" t="n">
        <v>45505</v>
      </c>
      <c r="D142" t="inlineStr">
        <is>
          <t>DALARNAS LÄN</t>
        </is>
      </c>
      <c r="E142" t="inlineStr">
        <is>
          <t>LUDVIKA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17344-2020</t>
        </is>
      </c>
      <c r="B143" s="1" t="n">
        <v>43923</v>
      </c>
      <c r="C143" s="1" t="n">
        <v>45505</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17809-2020</t>
        </is>
      </c>
      <c r="B144" s="1" t="n">
        <v>43924</v>
      </c>
      <c r="C144" s="1" t="n">
        <v>45505</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20725-2020</t>
        </is>
      </c>
      <c r="B145" s="1" t="n">
        <v>43949</v>
      </c>
      <c r="C145" s="1" t="n">
        <v>45505</v>
      </c>
      <c r="D145" t="inlineStr">
        <is>
          <t>DALARNAS LÄN</t>
        </is>
      </c>
      <c r="E145" t="inlineStr">
        <is>
          <t>LUDVIKA</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23086-2020</t>
        </is>
      </c>
      <c r="B146" s="1" t="n">
        <v>43965</v>
      </c>
      <c r="C146" s="1" t="n">
        <v>45505</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23079-2020</t>
        </is>
      </c>
      <c r="B147" s="1" t="n">
        <v>43965</v>
      </c>
      <c r="C147" s="1" t="n">
        <v>45505</v>
      </c>
      <c r="D147" t="inlineStr">
        <is>
          <t>DALARNAS LÄN</t>
        </is>
      </c>
      <c r="E147" t="inlineStr">
        <is>
          <t>LUDVIKA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23452-2020</t>
        </is>
      </c>
      <c r="B148" s="1" t="n">
        <v>43969</v>
      </c>
      <c r="C148" s="1" t="n">
        <v>45505</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24742-2020</t>
        </is>
      </c>
      <c r="B149" s="1" t="n">
        <v>43978</v>
      </c>
      <c r="C149" s="1" t="n">
        <v>45505</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25450-2020</t>
        </is>
      </c>
      <c r="B150" s="1" t="n">
        <v>43983</v>
      </c>
      <c r="C150" s="1" t="n">
        <v>45505</v>
      </c>
      <c r="D150" t="inlineStr">
        <is>
          <t>DALARNAS LÄN</t>
        </is>
      </c>
      <c r="E150" t="inlineStr">
        <is>
          <t>LUDVIKA</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25441-2020</t>
        </is>
      </c>
      <c r="B151" s="1" t="n">
        <v>43983</v>
      </c>
      <c r="C151" s="1" t="n">
        <v>45505</v>
      </c>
      <c r="D151" t="inlineStr">
        <is>
          <t>DALARNAS LÄN</t>
        </is>
      </c>
      <c r="E151" t="inlineStr">
        <is>
          <t>LUDVIKA</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25471-2020</t>
        </is>
      </c>
      <c r="B152" s="1" t="n">
        <v>43983</v>
      </c>
      <c r="C152" s="1" t="n">
        <v>45505</v>
      </c>
      <c r="D152" t="inlineStr">
        <is>
          <t>DALARNAS LÄN</t>
        </is>
      </c>
      <c r="E152" t="inlineStr">
        <is>
          <t>LUDVIKA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25554-2020</t>
        </is>
      </c>
      <c r="B153" s="1" t="n">
        <v>43983</v>
      </c>
      <c r="C153" s="1" t="n">
        <v>45505</v>
      </c>
      <c r="D153" t="inlineStr">
        <is>
          <t>DALARNAS LÄN</t>
        </is>
      </c>
      <c r="E153" t="inlineStr">
        <is>
          <t>LUDVIKA</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25581-2020</t>
        </is>
      </c>
      <c r="B154" s="1" t="n">
        <v>43983</v>
      </c>
      <c r="C154" s="1" t="n">
        <v>45505</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25458-2020</t>
        </is>
      </c>
      <c r="B155" s="1" t="n">
        <v>43983</v>
      </c>
      <c r="C155" s="1" t="n">
        <v>45505</v>
      </c>
      <c r="D155" t="inlineStr">
        <is>
          <t>DALARNAS LÄN</t>
        </is>
      </c>
      <c r="E155" t="inlineStr">
        <is>
          <t>LUDVIKA</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28524-2020</t>
        </is>
      </c>
      <c r="B156" s="1" t="n">
        <v>43999</v>
      </c>
      <c r="C156" s="1" t="n">
        <v>45505</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28802-2020</t>
        </is>
      </c>
      <c r="B157" s="1" t="n">
        <v>44000</v>
      </c>
      <c r="C157" s="1" t="n">
        <v>45505</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28798-2020</t>
        </is>
      </c>
      <c r="B158" s="1" t="n">
        <v>44000</v>
      </c>
      <c r="C158" s="1" t="n">
        <v>45505</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29869-2020</t>
        </is>
      </c>
      <c r="B159" s="1" t="n">
        <v>44006</v>
      </c>
      <c r="C159" s="1" t="n">
        <v>45505</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31257-2020</t>
        </is>
      </c>
      <c r="B160" s="1" t="n">
        <v>44012</v>
      </c>
      <c r="C160" s="1" t="n">
        <v>45505</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32994-2020</t>
        </is>
      </c>
      <c r="B161" s="1" t="n">
        <v>44020</v>
      </c>
      <c r="C161" s="1" t="n">
        <v>45505</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33357-2020</t>
        </is>
      </c>
      <c r="B162" s="1" t="n">
        <v>44022</v>
      </c>
      <c r="C162" s="1" t="n">
        <v>45505</v>
      </c>
      <c r="D162" t="inlineStr">
        <is>
          <t>DALARNAS LÄN</t>
        </is>
      </c>
      <c r="E162" t="inlineStr">
        <is>
          <t>LUDVIKA</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34915-2020</t>
        </is>
      </c>
      <c r="B163" s="1" t="n">
        <v>44036</v>
      </c>
      <c r="C163" s="1" t="n">
        <v>45505</v>
      </c>
      <c r="D163" t="inlineStr">
        <is>
          <t>DALARNAS LÄN</t>
        </is>
      </c>
      <c r="E163" t="inlineStr">
        <is>
          <t>LUDVIKA</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39915-2020</t>
        </is>
      </c>
      <c r="B164" s="1" t="n">
        <v>44067</v>
      </c>
      <c r="C164" s="1" t="n">
        <v>45505</v>
      </c>
      <c r="D164" t="inlineStr">
        <is>
          <t>DALARNAS LÄN</t>
        </is>
      </c>
      <c r="E164" t="inlineStr">
        <is>
          <t>LUDVIKA</t>
        </is>
      </c>
      <c r="F164" t="inlineStr">
        <is>
          <t>Naturvårdsverket</t>
        </is>
      </c>
      <c r="G164" t="n">
        <v>17.7</v>
      </c>
      <c r="H164" t="n">
        <v>0</v>
      </c>
      <c r="I164" t="n">
        <v>0</v>
      </c>
      <c r="J164" t="n">
        <v>0</v>
      </c>
      <c r="K164" t="n">
        <v>0</v>
      </c>
      <c r="L164" t="n">
        <v>0</v>
      </c>
      <c r="M164" t="n">
        <v>0</v>
      </c>
      <c r="N164" t="n">
        <v>0</v>
      </c>
      <c r="O164" t="n">
        <v>0</v>
      </c>
      <c r="P164" t="n">
        <v>0</v>
      </c>
      <c r="Q164" t="n">
        <v>0</v>
      </c>
      <c r="R164" s="2" t="inlineStr"/>
    </row>
    <row r="165" ht="15" customHeight="1">
      <c r="A165" t="inlineStr">
        <is>
          <t>A 40472-2020</t>
        </is>
      </c>
      <c r="B165" s="1" t="n">
        <v>44069</v>
      </c>
      <c r="C165" s="1" t="n">
        <v>45505</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40504-2020</t>
        </is>
      </c>
      <c r="B166" s="1" t="n">
        <v>44069</v>
      </c>
      <c r="C166" s="1" t="n">
        <v>45505</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40978-2020</t>
        </is>
      </c>
      <c r="B167" s="1" t="n">
        <v>44070</v>
      </c>
      <c r="C167" s="1" t="n">
        <v>45505</v>
      </c>
      <c r="D167" t="inlineStr">
        <is>
          <t>DALARNAS LÄN</t>
        </is>
      </c>
      <c r="E167" t="inlineStr">
        <is>
          <t>LUDVIKA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43162-2020</t>
        </is>
      </c>
      <c r="B168" s="1" t="n">
        <v>44081</v>
      </c>
      <c r="C168" s="1" t="n">
        <v>45505</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44747-2020</t>
        </is>
      </c>
      <c r="B169" s="1" t="n">
        <v>44085</v>
      </c>
      <c r="C169" s="1" t="n">
        <v>45505</v>
      </c>
      <c r="D169" t="inlineStr">
        <is>
          <t>DALARNAS LÄN</t>
        </is>
      </c>
      <c r="E169" t="inlineStr">
        <is>
          <t>LUDVIKA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44746-2020</t>
        </is>
      </c>
      <c r="B170" s="1" t="n">
        <v>44085</v>
      </c>
      <c r="C170" s="1" t="n">
        <v>45505</v>
      </c>
      <c r="D170" t="inlineStr">
        <is>
          <t>DALARNAS LÄN</t>
        </is>
      </c>
      <c r="E170" t="inlineStr">
        <is>
          <t>LUDVIKA</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45390-2020</t>
        </is>
      </c>
      <c r="B171" s="1" t="n">
        <v>44085</v>
      </c>
      <c r="C171" s="1" t="n">
        <v>45505</v>
      </c>
      <c r="D171" t="inlineStr">
        <is>
          <t>DALARNAS LÄN</t>
        </is>
      </c>
      <c r="E171" t="inlineStr">
        <is>
          <t>LUDVIKA</t>
        </is>
      </c>
      <c r="G171" t="n">
        <v>4.4</v>
      </c>
      <c r="H171" t="n">
        <v>0</v>
      </c>
      <c r="I171" t="n">
        <v>0</v>
      </c>
      <c r="J171" t="n">
        <v>0</v>
      </c>
      <c r="K171" t="n">
        <v>0</v>
      </c>
      <c r="L171" t="n">
        <v>0</v>
      </c>
      <c r="M171" t="n">
        <v>0</v>
      </c>
      <c r="N171" t="n">
        <v>0</v>
      </c>
      <c r="O171" t="n">
        <v>0</v>
      </c>
      <c r="P171" t="n">
        <v>0</v>
      </c>
      <c r="Q171" t="n">
        <v>0</v>
      </c>
      <c r="R171" s="2" t="inlineStr"/>
    </row>
    <row r="172" ht="15" customHeight="1">
      <c r="A172" t="inlineStr">
        <is>
          <t>A 44745-2020</t>
        </is>
      </c>
      <c r="B172" s="1" t="n">
        <v>44085</v>
      </c>
      <c r="C172" s="1" t="n">
        <v>45505</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45309-2020</t>
        </is>
      </c>
      <c r="B173" s="1" t="n">
        <v>44089</v>
      </c>
      <c r="C173" s="1" t="n">
        <v>45505</v>
      </c>
      <c r="D173" t="inlineStr">
        <is>
          <t>DALARNAS LÄN</t>
        </is>
      </c>
      <c r="E173" t="inlineStr">
        <is>
          <t>LUDVIKA</t>
        </is>
      </c>
      <c r="G173" t="n">
        <v>0.6</v>
      </c>
      <c r="H173" t="n">
        <v>0</v>
      </c>
      <c r="I173" t="n">
        <v>0</v>
      </c>
      <c r="J173" t="n">
        <v>0</v>
      </c>
      <c r="K173" t="n">
        <v>0</v>
      </c>
      <c r="L173" t="n">
        <v>0</v>
      </c>
      <c r="M173" t="n">
        <v>0</v>
      </c>
      <c r="N173" t="n">
        <v>0</v>
      </c>
      <c r="O173" t="n">
        <v>0</v>
      </c>
      <c r="P173" t="n">
        <v>0</v>
      </c>
      <c r="Q173" t="n">
        <v>0</v>
      </c>
      <c r="R173" s="2" t="inlineStr"/>
    </row>
    <row r="174" ht="15" customHeight="1">
      <c r="A174" t="inlineStr">
        <is>
          <t>A 45613-2020</t>
        </is>
      </c>
      <c r="B174" s="1" t="n">
        <v>44090</v>
      </c>
      <c r="C174" s="1" t="n">
        <v>45505</v>
      </c>
      <c r="D174" t="inlineStr">
        <is>
          <t>DALARNAS LÄN</t>
        </is>
      </c>
      <c r="E174" t="inlineStr">
        <is>
          <t>LUDVIKA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46252-2020</t>
        </is>
      </c>
      <c r="B175" s="1" t="n">
        <v>44092</v>
      </c>
      <c r="C175" s="1" t="n">
        <v>45505</v>
      </c>
      <c r="D175" t="inlineStr">
        <is>
          <t>DALARNAS LÄN</t>
        </is>
      </c>
      <c r="E175" t="inlineStr">
        <is>
          <t>LUDVIKA</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46268-2020</t>
        </is>
      </c>
      <c r="B176" s="1" t="n">
        <v>44092</v>
      </c>
      <c r="C176" s="1" t="n">
        <v>45505</v>
      </c>
      <c r="D176" t="inlineStr">
        <is>
          <t>DALARNAS LÄN</t>
        </is>
      </c>
      <c r="E176" t="inlineStr">
        <is>
          <t>LUDVIKA</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46329-2020</t>
        </is>
      </c>
      <c r="B177" s="1" t="n">
        <v>44092</v>
      </c>
      <c r="C177" s="1" t="n">
        <v>45505</v>
      </c>
      <c r="D177" t="inlineStr">
        <is>
          <t>DALARNAS LÄN</t>
        </is>
      </c>
      <c r="E177" t="inlineStr">
        <is>
          <t>LUDVIKA</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46147-2020</t>
        </is>
      </c>
      <c r="B178" s="1" t="n">
        <v>44092</v>
      </c>
      <c r="C178" s="1" t="n">
        <v>45505</v>
      </c>
      <c r="D178" t="inlineStr">
        <is>
          <t>DALARNAS LÄN</t>
        </is>
      </c>
      <c r="E178" t="inlineStr">
        <is>
          <t>LUDVIKA</t>
        </is>
      </c>
      <c r="G178" t="n">
        <v>0.5</v>
      </c>
      <c r="H178" t="n">
        <v>0</v>
      </c>
      <c r="I178" t="n">
        <v>0</v>
      </c>
      <c r="J178" t="n">
        <v>0</v>
      </c>
      <c r="K178" t="n">
        <v>0</v>
      </c>
      <c r="L178" t="n">
        <v>0</v>
      </c>
      <c r="M178" t="n">
        <v>0</v>
      </c>
      <c r="N178" t="n">
        <v>0</v>
      </c>
      <c r="O178" t="n">
        <v>0</v>
      </c>
      <c r="P178" t="n">
        <v>0</v>
      </c>
      <c r="Q178" t="n">
        <v>0</v>
      </c>
      <c r="R178" s="2" t="inlineStr"/>
    </row>
    <row r="179" ht="15" customHeight="1">
      <c r="A179" t="inlineStr">
        <is>
          <t>A 46146-2020</t>
        </is>
      </c>
      <c r="B179" s="1" t="n">
        <v>44092</v>
      </c>
      <c r="C179" s="1" t="n">
        <v>45505</v>
      </c>
      <c r="D179" t="inlineStr">
        <is>
          <t>DALARNAS LÄN</t>
        </is>
      </c>
      <c r="E179" t="inlineStr">
        <is>
          <t>LUDVIKA</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46275-2020</t>
        </is>
      </c>
      <c r="B180" s="1" t="n">
        <v>44092</v>
      </c>
      <c r="C180" s="1" t="n">
        <v>45505</v>
      </c>
      <c r="D180" t="inlineStr">
        <is>
          <t>DALARNAS LÄN</t>
        </is>
      </c>
      <c r="E180" t="inlineStr">
        <is>
          <t>LUDVIKA</t>
        </is>
      </c>
      <c r="F180" t="inlineStr">
        <is>
          <t>Sveaskog</t>
        </is>
      </c>
      <c r="G180" t="n">
        <v>6.1</v>
      </c>
      <c r="H180" t="n">
        <v>0</v>
      </c>
      <c r="I180" t="n">
        <v>0</v>
      </c>
      <c r="J180" t="n">
        <v>0</v>
      </c>
      <c r="K180" t="n">
        <v>0</v>
      </c>
      <c r="L180" t="n">
        <v>0</v>
      </c>
      <c r="M180" t="n">
        <v>0</v>
      </c>
      <c r="N180" t="n">
        <v>0</v>
      </c>
      <c r="O180" t="n">
        <v>0</v>
      </c>
      <c r="P180" t="n">
        <v>0</v>
      </c>
      <c r="Q180" t="n">
        <v>0</v>
      </c>
      <c r="R180" s="2" t="inlineStr"/>
    </row>
    <row r="181" ht="15" customHeight="1">
      <c r="A181" t="inlineStr">
        <is>
          <t>A 46284-2020</t>
        </is>
      </c>
      <c r="B181" s="1" t="n">
        <v>44092</v>
      </c>
      <c r="C181" s="1" t="n">
        <v>45505</v>
      </c>
      <c r="D181" t="inlineStr">
        <is>
          <t>DALARNAS LÄN</t>
        </is>
      </c>
      <c r="E181" t="inlineStr">
        <is>
          <t>LUDVIKA</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46369-2020</t>
        </is>
      </c>
      <c r="B182" s="1" t="n">
        <v>44093</v>
      </c>
      <c r="C182" s="1" t="n">
        <v>45505</v>
      </c>
      <c r="D182" t="inlineStr">
        <is>
          <t>DALARNAS LÄN</t>
        </is>
      </c>
      <c r="E182" t="inlineStr">
        <is>
          <t>LUDVIKA</t>
        </is>
      </c>
      <c r="G182" t="n">
        <v>3.8</v>
      </c>
      <c r="H182" t="n">
        <v>0</v>
      </c>
      <c r="I182" t="n">
        <v>0</v>
      </c>
      <c r="J182" t="n">
        <v>0</v>
      </c>
      <c r="K182" t="n">
        <v>0</v>
      </c>
      <c r="L182" t="n">
        <v>0</v>
      </c>
      <c r="M182" t="n">
        <v>0</v>
      </c>
      <c r="N182" t="n">
        <v>0</v>
      </c>
      <c r="O182" t="n">
        <v>0</v>
      </c>
      <c r="P182" t="n">
        <v>0</v>
      </c>
      <c r="Q182" t="n">
        <v>0</v>
      </c>
      <c r="R182" s="2" t="inlineStr"/>
    </row>
    <row r="183" ht="15" customHeight="1">
      <c r="A183" t="inlineStr">
        <is>
          <t>A 47194-2020</t>
        </is>
      </c>
      <c r="B183" s="1" t="n">
        <v>44097</v>
      </c>
      <c r="C183" s="1" t="n">
        <v>45505</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47471-2020</t>
        </is>
      </c>
      <c r="B184" s="1" t="n">
        <v>44097</v>
      </c>
      <c r="C184" s="1" t="n">
        <v>45505</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48557-2020</t>
        </is>
      </c>
      <c r="B185" s="1" t="n">
        <v>44103</v>
      </c>
      <c r="C185" s="1" t="n">
        <v>45505</v>
      </c>
      <c r="D185" t="inlineStr">
        <is>
          <t>DALARNAS LÄN</t>
        </is>
      </c>
      <c r="E185" t="inlineStr">
        <is>
          <t>LUDVIKA</t>
        </is>
      </c>
      <c r="G185" t="n">
        <v>1</v>
      </c>
      <c r="H185" t="n">
        <v>0</v>
      </c>
      <c r="I185" t="n">
        <v>0</v>
      </c>
      <c r="J185" t="n">
        <v>0</v>
      </c>
      <c r="K185" t="n">
        <v>0</v>
      </c>
      <c r="L185" t="n">
        <v>0</v>
      </c>
      <c r="M185" t="n">
        <v>0</v>
      </c>
      <c r="N185" t="n">
        <v>0</v>
      </c>
      <c r="O185" t="n">
        <v>0</v>
      </c>
      <c r="P185" t="n">
        <v>0</v>
      </c>
      <c r="Q185" t="n">
        <v>0</v>
      </c>
      <c r="R185" s="2" t="inlineStr"/>
    </row>
    <row r="186" ht="15" customHeight="1">
      <c r="A186" t="inlineStr">
        <is>
          <t>A 48482-2020</t>
        </is>
      </c>
      <c r="B186" s="1" t="n">
        <v>44103</v>
      </c>
      <c r="C186" s="1" t="n">
        <v>45505</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50146-2020</t>
        </is>
      </c>
      <c r="B187" s="1" t="n">
        <v>44104</v>
      </c>
      <c r="C187" s="1" t="n">
        <v>45505</v>
      </c>
      <c r="D187" t="inlineStr">
        <is>
          <t>DALARNAS LÄN</t>
        </is>
      </c>
      <c r="E187" t="inlineStr">
        <is>
          <t>LUDVIKA</t>
        </is>
      </c>
      <c r="G187" t="n">
        <v>4.7</v>
      </c>
      <c r="H187" t="n">
        <v>0</v>
      </c>
      <c r="I187" t="n">
        <v>0</v>
      </c>
      <c r="J187" t="n">
        <v>0</v>
      </c>
      <c r="K187" t="n">
        <v>0</v>
      </c>
      <c r="L187" t="n">
        <v>0</v>
      </c>
      <c r="M187" t="n">
        <v>0</v>
      </c>
      <c r="N187" t="n">
        <v>0</v>
      </c>
      <c r="O187" t="n">
        <v>0</v>
      </c>
      <c r="P187" t="n">
        <v>0</v>
      </c>
      <c r="Q187" t="n">
        <v>0</v>
      </c>
      <c r="R187" s="2" t="inlineStr"/>
    </row>
    <row r="188" ht="15" customHeight="1">
      <c r="A188" t="inlineStr">
        <is>
          <t>A 51439-2020</t>
        </is>
      </c>
      <c r="B188" s="1" t="n">
        <v>44113</v>
      </c>
      <c r="C188" s="1" t="n">
        <v>45505</v>
      </c>
      <c r="D188" t="inlineStr">
        <is>
          <t>DALARNAS LÄN</t>
        </is>
      </c>
      <c r="E188" t="inlineStr">
        <is>
          <t>LUDVIKA</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51777-2020</t>
        </is>
      </c>
      <c r="B189" s="1" t="n">
        <v>44116</v>
      </c>
      <c r="C189" s="1" t="n">
        <v>45505</v>
      </c>
      <c r="D189" t="inlineStr">
        <is>
          <t>DALARNAS LÄN</t>
        </is>
      </c>
      <c r="E189" t="inlineStr">
        <is>
          <t>LUDVIKA</t>
        </is>
      </c>
      <c r="G189" t="n">
        <v>11.2</v>
      </c>
      <c r="H189" t="n">
        <v>0</v>
      </c>
      <c r="I189" t="n">
        <v>0</v>
      </c>
      <c r="J189" t="n">
        <v>0</v>
      </c>
      <c r="K189" t="n">
        <v>0</v>
      </c>
      <c r="L189" t="n">
        <v>0</v>
      </c>
      <c r="M189" t="n">
        <v>0</v>
      </c>
      <c r="N189" t="n">
        <v>0</v>
      </c>
      <c r="O189" t="n">
        <v>0</v>
      </c>
      <c r="P189" t="n">
        <v>0</v>
      </c>
      <c r="Q189" t="n">
        <v>0</v>
      </c>
      <c r="R189" s="2" t="inlineStr"/>
    </row>
    <row r="190" ht="15" customHeight="1">
      <c r="A190" t="inlineStr">
        <is>
          <t>A 51895-2020</t>
        </is>
      </c>
      <c r="B190" s="1" t="n">
        <v>44116</v>
      </c>
      <c r="C190" s="1" t="n">
        <v>45505</v>
      </c>
      <c r="D190" t="inlineStr">
        <is>
          <t>DALARNAS LÄN</t>
        </is>
      </c>
      <c r="E190" t="inlineStr">
        <is>
          <t>LUDVIKA</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52425-2020</t>
        </is>
      </c>
      <c r="B191" s="1" t="n">
        <v>44118</v>
      </c>
      <c r="C191" s="1" t="n">
        <v>45505</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52748-2020</t>
        </is>
      </c>
      <c r="B192" s="1" t="n">
        <v>44119</v>
      </c>
      <c r="C192" s="1" t="n">
        <v>45505</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52853-2020</t>
        </is>
      </c>
      <c r="B193" s="1" t="n">
        <v>44119</v>
      </c>
      <c r="C193" s="1" t="n">
        <v>45505</v>
      </c>
      <c r="D193" t="inlineStr">
        <is>
          <t>DALARNAS LÄN</t>
        </is>
      </c>
      <c r="E193" t="inlineStr">
        <is>
          <t>LUDVIKA</t>
        </is>
      </c>
      <c r="G193" t="n">
        <v>28</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45505</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53960-2020</t>
        </is>
      </c>
      <c r="B195" s="1" t="n">
        <v>44123</v>
      </c>
      <c r="C195" s="1" t="n">
        <v>45505</v>
      </c>
      <c r="D195" t="inlineStr">
        <is>
          <t>DALARNAS LÄN</t>
        </is>
      </c>
      <c r="E195" t="inlineStr">
        <is>
          <t>LUDVIKA</t>
        </is>
      </c>
      <c r="G195" t="n">
        <v>3.5</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45505</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55646-2020</t>
        </is>
      </c>
      <c r="B197" s="1" t="n">
        <v>44131</v>
      </c>
      <c r="C197" s="1" t="n">
        <v>45505</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61004-2020</t>
        </is>
      </c>
      <c r="B198" s="1" t="n">
        <v>44154</v>
      </c>
      <c r="C198" s="1" t="n">
        <v>45505</v>
      </c>
      <c r="D198" t="inlineStr">
        <is>
          <t>DALARNAS LÄN</t>
        </is>
      </c>
      <c r="E198" t="inlineStr">
        <is>
          <t>LUDVIKA</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60913-2020</t>
        </is>
      </c>
      <c r="B199" s="1" t="n">
        <v>44154</v>
      </c>
      <c r="C199" s="1" t="n">
        <v>45505</v>
      </c>
      <c r="D199" t="inlineStr">
        <is>
          <t>DALARNAS LÄN</t>
        </is>
      </c>
      <c r="E199" t="inlineStr">
        <is>
          <t>LUDVIKA</t>
        </is>
      </c>
      <c r="G199" t="n">
        <v>2.2</v>
      </c>
      <c r="H199" t="n">
        <v>0</v>
      </c>
      <c r="I199" t="n">
        <v>0</v>
      </c>
      <c r="J199" t="n">
        <v>0</v>
      </c>
      <c r="K199" t="n">
        <v>0</v>
      </c>
      <c r="L199" t="n">
        <v>0</v>
      </c>
      <c r="M199" t="n">
        <v>0</v>
      </c>
      <c r="N199" t="n">
        <v>0</v>
      </c>
      <c r="O199" t="n">
        <v>0</v>
      </c>
      <c r="P199" t="n">
        <v>0</v>
      </c>
      <c r="Q199" t="n">
        <v>0</v>
      </c>
      <c r="R199" s="2" t="inlineStr"/>
    </row>
    <row r="200" ht="15" customHeight="1">
      <c r="A200" t="inlineStr">
        <is>
          <t>A 60822-2020</t>
        </is>
      </c>
      <c r="B200" s="1" t="n">
        <v>44154</v>
      </c>
      <c r="C200" s="1" t="n">
        <v>45505</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61491-2020</t>
        </is>
      </c>
      <c r="B201" s="1" t="n">
        <v>44154</v>
      </c>
      <c r="C201" s="1" t="n">
        <v>45505</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61501-2020</t>
        </is>
      </c>
      <c r="B202" s="1" t="n">
        <v>44154</v>
      </c>
      <c r="C202" s="1" t="n">
        <v>45505</v>
      </c>
      <c r="D202" t="inlineStr">
        <is>
          <t>DALARNAS LÄN</t>
        </is>
      </c>
      <c r="E202" t="inlineStr">
        <is>
          <t>LUDVIKA</t>
        </is>
      </c>
      <c r="G202" t="n">
        <v>10</v>
      </c>
      <c r="H202" t="n">
        <v>0</v>
      </c>
      <c r="I202" t="n">
        <v>0</v>
      </c>
      <c r="J202" t="n">
        <v>0</v>
      </c>
      <c r="K202" t="n">
        <v>0</v>
      </c>
      <c r="L202" t="n">
        <v>0</v>
      </c>
      <c r="M202" t="n">
        <v>0</v>
      </c>
      <c r="N202" t="n">
        <v>0</v>
      </c>
      <c r="O202" t="n">
        <v>0</v>
      </c>
      <c r="P202" t="n">
        <v>0</v>
      </c>
      <c r="Q202" t="n">
        <v>0</v>
      </c>
      <c r="R202" s="2" t="inlineStr"/>
    </row>
    <row r="203" ht="15" customHeight="1">
      <c r="A203" t="inlineStr">
        <is>
          <t>A 61838-2020</t>
        </is>
      </c>
      <c r="B203" s="1" t="n">
        <v>44159</v>
      </c>
      <c r="C203" s="1" t="n">
        <v>45505</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63799-2020</t>
        </is>
      </c>
      <c r="B204" s="1" t="n">
        <v>44165</v>
      </c>
      <c r="C204" s="1" t="n">
        <v>45505</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63767-2020</t>
        </is>
      </c>
      <c r="B205" s="1" t="n">
        <v>44166</v>
      </c>
      <c r="C205" s="1" t="n">
        <v>45505</v>
      </c>
      <c r="D205" t="inlineStr">
        <is>
          <t>DALARNAS LÄN</t>
        </is>
      </c>
      <c r="E205" t="inlineStr">
        <is>
          <t>LUDVIKA</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65150-2020</t>
        </is>
      </c>
      <c r="B206" s="1" t="n">
        <v>44168</v>
      </c>
      <c r="C206" s="1" t="n">
        <v>45505</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66188-2020</t>
        </is>
      </c>
      <c r="B207" s="1" t="n">
        <v>44174</v>
      </c>
      <c r="C207" s="1" t="n">
        <v>45505</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69094-2020</t>
        </is>
      </c>
      <c r="B208" s="1" t="n">
        <v>44188</v>
      </c>
      <c r="C208" s="1" t="n">
        <v>45505</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69157-2020</t>
        </is>
      </c>
      <c r="B209" s="1" t="n">
        <v>44188</v>
      </c>
      <c r="C209" s="1" t="n">
        <v>45505</v>
      </c>
      <c r="D209" t="inlineStr">
        <is>
          <t>DALARNAS LÄN</t>
        </is>
      </c>
      <c r="E209" t="inlineStr">
        <is>
          <t>LUDVIKA</t>
        </is>
      </c>
      <c r="F209" t="inlineStr">
        <is>
          <t>Kommuner</t>
        </is>
      </c>
      <c r="G209" t="n">
        <v>5.2</v>
      </c>
      <c r="H209" t="n">
        <v>0</v>
      </c>
      <c r="I209" t="n">
        <v>0</v>
      </c>
      <c r="J209" t="n">
        <v>0</v>
      </c>
      <c r="K209" t="n">
        <v>0</v>
      </c>
      <c r="L209" t="n">
        <v>0</v>
      </c>
      <c r="M209" t="n">
        <v>0</v>
      </c>
      <c r="N209" t="n">
        <v>0</v>
      </c>
      <c r="O209" t="n">
        <v>0</v>
      </c>
      <c r="P209" t="n">
        <v>0</v>
      </c>
      <c r="Q209" t="n">
        <v>0</v>
      </c>
      <c r="R209" s="2" t="inlineStr"/>
    </row>
    <row r="210" ht="15" customHeight="1">
      <c r="A210" t="inlineStr">
        <is>
          <t>A 69154-2020</t>
        </is>
      </c>
      <c r="B210" s="1" t="n">
        <v>44188</v>
      </c>
      <c r="C210" s="1" t="n">
        <v>45505</v>
      </c>
      <c r="D210" t="inlineStr">
        <is>
          <t>DALARNAS LÄN</t>
        </is>
      </c>
      <c r="E210" t="inlineStr">
        <is>
          <t>LUDVIKA</t>
        </is>
      </c>
      <c r="F210" t="inlineStr">
        <is>
          <t>Kommuner</t>
        </is>
      </c>
      <c r="G210" t="n">
        <v>13.3</v>
      </c>
      <c r="H210" t="n">
        <v>0</v>
      </c>
      <c r="I210" t="n">
        <v>0</v>
      </c>
      <c r="J210" t="n">
        <v>0</v>
      </c>
      <c r="K210" t="n">
        <v>0</v>
      </c>
      <c r="L210" t="n">
        <v>0</v>
      </c>
      <c r="M210" t="n">
        <v>0</v>
      </c>
      <c r="N210" t="n">
        <v>0</v>
      </c>
      <c r="O210" t="n">
        <v>0</v>
      </c>
      <c r="P210" t="n">
        <v>0</v>
      </c>
      <c r="Q210" t="n">
        <v>0</v>
      </c>
      <c r="R210" s="2" t="inlineStr"/>
    </row>
    <row r="211" ht="15" customHeight="1">
      <c r="A211" t="inlineStr">
        <is>
          <t>A 69090-2020</t>
        </is>
      </c>
      <c r="B211" s="1" t="n">
        <v>44188</v>
      </c>
      <c r="C211" s="1" t="n">
        <v>45505</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69165-2020</t>
        </is>
      </c>
      <c r="B212" s="1" t="n">
        <v>44188</v>
      </c>
      <c r="C212" s="1" t="n">
        <v>45505</v>
      </c>
      <c r="D212" t="inlineStr">
        <is>
          <t>DALARNAS LÄN</t>
        </is>
      </c>
      <c r="E212" t="inlineStr">
        <is>
          <t>LUDVIKA</t>
        </is>
      </c>
      <c r="F212" t="inlineStr">
        <is>
          <t>Kommuner</t>
        </is>
      </c>
      <c r="G212" t="n">
        <v>1.4</v>
      </c>
      <c r="H212" t="n">
        <v>0</v>
      </c>
      <c r="I212" t="n">
        <v>0</v>
      </c>
      <c r="J212" t="n">
        <v>0</v>
      </c>
      <c r="K212" t="n">
        <v>0</v>
      </c>
      <c r="L212" t="n">
        <v>0</v>
      </c>
      <c r="M212" t="n">
        <v>0</v>
      </c>
      <c r="N212" t="n">
        <v>0</v>
      </c>
      <c r="O212" t="n">
        <v>0</v>
      </c>
      <c r="P212" t="n">
        <v>0</v>
      </c>
      <c r="Q212" t="n">
        <v>0</v>
      </c>
      <c r="R212" s="2" t="inlineStr"/>
    </row>
    <row r="213" ht="15" customHeight="1">
      <c r="A213" t="inlineStr">
        <is>
          <t>A 1633-2021</t>
        </is>
      </c>
      <c r="B213" s="1" t="n">
        <v>44209</v>
      </c>
      <c r="C213" s="1" t="n">
        <v>45505</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3104-2021</t>
        </is>
      </c>
      <c r="B214" s="1" t="n">
        <v>44217</v>
      </c>
      <c r="C214" s="1" t="n">
        <v>45505</v>
      </c>
      <c r="D214" t="inlineStr">
        <is>
          <t>DALARNAS LÄN</t>
        </is>
      </c>
      <c r="E214" t="inlineStr">
        <is>
          <t>LUDVIKA</t>
        </is>
      </c>
      <c r="G214" t="n">
        <v>2.1</v>
      </c>
      <c r="H214" t="n">
        <v>0</v>
      </c>
      <c r="I214" t="n">
        <v>0</v>
      </c>
      <c r="J214" t="n">
        <v>0</v>
      </c>
      <c r="K214" t="n">
        <v>0</v>
      </c>
      <c r="L214" t="n">
        <v>0</v>
      </c>
      <c r="M214" t="n">
        <v>0</v>
      </c>
      <c r="N214" t="n">
        <v>0</v>
      </c>
      <c r="O214" t="n">
        <v>0</v>
      </c>
      <c r="P214" t="n">
        <v>0</v>
      </c>
      <c r="Q214" t="n">
        <v>0</v>
      </c>
      <c r="R214" s="2" t="inlineStr"/>
    </row>
    <row r="215" ht="15" customHeight="1">
      <c r="A215" t="inlineStr">
        <is>
          <t>A 3403-2021</t>
        </is>
      </c>
      <c r="B215" s="1" t="n">
        <v>44218</v>
      </c>
      <c r="C215" s="1" t="n">
        <v>45505</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4569-2021</t>
        </is>
      </c>
      <c r="B216" s="1" t="n">
        <v>44224</v>
      </c>
      <c r="C216" s="1" t="n">
        <v>45505</v>
      </c>
      <c r="D216" t="inlineStr">
        <is>
          <t>DALARNAS LÄN</t>
        </is>
      </c>
      <c r="E216" t="inlineStr">
        <is>
          <t>LUDVIKA</t>
        </is>
      </c>
      <c r="F216" t="inlineStr">
        <is>
          <t>Kommuner</t>
        </is>
      </c>
      <c r="G216" t="n">
        <v>2.7</v>
      </c>
      <c r="H216" t="n">
        <v>0</v>
      </c>
      <c r="I216" t="n">
        <v>0</v>
      </c>
      <c r="J216" t="n">
        <v>0</v>
      </c>
      <c r="K216" t="n">
        <v>0</v>
      </c>
      <c r="L216" t="n">
        <v>0</v>
      </c>
      <c r="M216" t="n">
        <v>0</v>
      </c>
      <c r="N216" t="n">
        <v>0</v>
      </c>
      <c r="O216" t="n">
        <v>0</v>
      </c>
      <c r="P216" t="n">
        <v>0</v>
      </c>
      <c r="Q216" t="n">
        <v>0</v>
      </c>
      <c r="R216" s="2" t="inlineStr"/>
    </row>
    <row r="217" ht="15" customHeight="1">
      <c r="A217" t="inlineStr">
        <is>
          <t>A 7073-2021</t>
        </is>
      </c>
      <c r="B217" s="1" t="n">
        <v>44237</v>
      </c>
      <c r="C217" s="1" t="n">
        <v>45505</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8321-2021</t>
        </is>
      </c>
      <c r="B218" s="1" t="n">
        <v>44244</v>
      </c>
      <c r="C218" s="1" t="n">
        <v>45505</v>
      </c>
      <c r="D218" t="inlineStr">
        <is>
          <t>DALARNAS LÄN</t>
        </is>
      </c>
      <c r="E218" t="inlineStr">
        <is>
          <t>LUDVIKA</t>
        </is>
      </c>
      <c r="G218" t="n">
        <v>1.9</v>
      </c>
      <c r="H218" t="n">
        <v>0</v>
      </c>
      <c r="I218" t="n">
        <v>0</v>
      </c>
      <c r="J218" t="n">
        <v>0</v>
      </c>
      <c r="K218" t="n">
        <v>0</v>
      </c>
      <c r="L218" t="n">
        <v>0</v>
      </c>
      <c r="M218" t="n">
        <v>0</v>
      </c>
      <c r="N218" t="n">
        <v>0</v>
      </c>
      <c r="O218" t="n">
        <v>0</v>
      </c>
      <c r="P218" t="n">
        <v>0</v>
      </c>
      <c r="Q218" t="n">
        <v>0</v>
      </c>
      <c r="R218" s="2" t="inlineStr"/>
    </row>
    <row r="219" ht="15" customHeight="1">
      <c r="A219" t="inlineStr">
        <is>
          <t>A 8319-2021</t>
        </is>
      </c>
      <c r="B219" s="1" t="n">
        <v>44244</v>
      </c>
      <c r="C219" s="1" t="n">
        <v>45505</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9292-2021</t>
        </is>
      </c>
      <c r="B220" s="1" t="n">
        <v>44249</v>
      </c>
      <c r="C220" s="1" t="n">
        <v>45505</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11611-2021</t>
        </is>
      </c>
      <c r="B221" s="1" t="n">
        <v>44264</v>
      </c>
      <c r="C221" s="1" t="n">
        <v>45505</v>
      </c>
      <c r="D221" t="inlineStr">
        <is>
          <t>DALARNAS LÄN</t>
        </is>
      </c>
      <c r="E221" t="inlineStr">
        <is>
          <t>LUDVIKA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13778-2021</t>
        </is>
      </c>
      <c r="B222" s="1" t="n">
        <v>44274</v>
      </c>
      <c r="C222" s="1" t="n">
        <v>45505</v>
      </c>
      <c r="D222" t="inlineStr">
        <is>
          <t>DALARNAS LÄN</t>
        </is>
      </c>
      <c r="E222" t="inlineStr">
        <is>
          <t>LUDVIKA</t>
        </is>
      </c>
      <c r="G222" t="n">
        <v>5.8</v>
      </c>
      <c r="H222" t="n">
        <v>0</v>
      </c>
      <c r="I222" t="n">
        <v>0</v>
      </c>
      <c r="J222" t="n">
        <v>0</v>
      </c>
      <c r="K222" t="n">
        <v>0</v>
      </c>
      <c r="L222" t="n">
        <v>0</v>
      </c>
      <c r="M222" t="n">
        <v>0</v>
      </c>
      <c r="N222" t="n">
        <v>0</v>
      </c>
      <c r="O222" t="n">
        <v>0</v>
      </c>
      <c r="P222" t="n">
        <v>0</v>
      </c>
      <c r="Q222" t="n">
        <v>0</v>
      </c>
      <c r="R222" s="2" t="inlineStr"/>
    </row>
    <row r="223" ht="15" customHeight="1">
      <c r="A223" t="inlineStr">
        <is>
          <t>A 15020-2021</t>
        </is>
      </c>
      <c r="B223" s="1" t="n">
        <v>44281</v>
      </c>
      <c r="C223" s="1" t="n">
        <v>45505</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15700-2021</t>
        </is>
      </c>
      <c r="B224" s="1" t="n">
        <v>44286</v>
      </c>
      <c r="C224" s="1" t="n">
        <v>45505</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16108-2021</t>
        </is>
      </c>
      <c r="B225" s="1" t="n">
        <v>44291</v>
      </c>
      <c r="C225" s="1" t="n">
        <v>45505</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16187-2021</t>
        </is>
      </c>
      <c r="B226" s="1" t="n">
        <v>44292</v>
      </c>
      <c r="C226" s="1" t="n">
        <v>45505</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16203-2021</t>
        </is>
      </c>
      <c r="B227" s="1" t="n">
        <v>44292</v>
      </c>
      <c r="C227" s="1" t="n">
        <v>45505</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17420-2021</t>
        </is>
      </c>
      <c r="B228" s="1" t="n">
        <v>44299</v>
      </c>
      <c r="C228" s="1" t="n">
        <v>45505</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18025-2021</t>
        </is>
      </c>
      <c r="B229" s="1" t="n">
        <v>44302</v>
      </c>
      <c r="C229" s="1" t="n">
        <v>45505</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20598-2021</t>
        </is>
      </c>
      <c r="B230" s="1" t="n">
        <v>44316</v>
      </c>
      <c r="C230" s="1" t="n">
        <v>45505</v>
      </c>
      <c r="D230" t="inlineStr">
        <is>
          <t>DALARNAS LÄN</t>
        </is>
      </c>
      <c r="E230" t="inlineStr">
        <is>
          <t>LUDVIKA</t>
        </is>
      </c>
      <c r="F230" t="inlineStr">
        <is>
          <t>Naturvårdsverket</t>
        </is>
      </c>
      <c r="G230" t="n">
        <v>2.4</v>
      </c>
      <c r="H230" t="n">
        <v>0</v>
      </c>
      <c r="I230" t="n">
        <v>0</v>
      </c>
      <c r="J230" t="n">
        <v>0</v>
      </c>
      <c r="K230" t="n">
        <v>0</v>
      </c>
      <c r="L230" t="n">
        <v>0</v>
      </c>
      <c r="M230" t="n">
        <v>0</v>
      </c>
      <c r="N230" t="n">
        <v>0</v>
      </c>
      <c r="O230" t="n">
        <v>0</v>
      </c>
      <c r="P230" t="n">
        <v>0</v>
      </c>
      <c r="Q230" t="n">
        <v>0</v>
      </c>
      <c r="R230" s="2" t="inlineStr"/>
    </row>
    <row r="231" ht="15" customHeight="1">
      <c r="A231" t="inlineStr">
        <is>
          <t>A 20599-2021</t>
        </is>
      </c>
      <c r="B231" s="1" t="n">
        <v>44316</v>
      </c>
      <c r="C231" s="1" t="n">
        <v>45505</v>
      </c>
      <c r="D231" t="inlineStr">
        <is>
          <t>DALARNAS LÄN</t>
        </is>
      </c>
      <c r="E231" t="inlineStr">
        <is>
          <t>LUDVIKA</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20690-2021</t>
        </is>
      </c>
      <c r="B232" s="1" t="n">
        <v>44316</v>
      </c>
      <c r="C232" s="1" t="n">
        <v>45505</v>
      </c>
      <c r="D232" t="inlineStr">
        <is>
          <t>DALARNAS LÄN</t>
        </is>
      </c>
      <c r="E232" t="inlineStr">
        <is>
          <t>LUDVIKA</t>
        </is>
      </c>
      <c r="F232" t="inlineStr">
        <is>
          <t>Naturvårdsverket</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20700-2021</t>
        </is>
      </c>
      <c r="B233" s="1" t="n">
        <v>44316</v>
      </c>
      <c r="C233" s="1" t="n">
        <v>45505</v>
      </c>
      <c r="D233" t="inlineStr">
        <is>
          <t>DALARNAS LÄN</t>
        </is>
      </c>
      <c r="E233" t="inlineStr">
        <is>
          <t>LUDVIKA</t>
        </is>
      </c>
      <c r="F233" t="inlineStr">
        <is>
          <t>Naturvårdsverket</t>
        </is>
      </c>
      <c r="G233" t="n">
        <v>2.5</v>
      </c>
      <c r="H233" t="n">
        <v>0</v>
      </c>
      <c r="I233" t="n">
        <v>0</v>
      </c>
      <c r="J233" t="n">
        <v>0</v>
      </c>
      <c r="K233" t="n">
        <v>0</v>
      </c>
      <c r="L233" t="n">
        <v>0</v>
      </c>
      <c r="M233" t="n">
        <v>0</v>
      </c>
      <c r="N233" t="n">
        <v>0</v>
      </c>
      <c r="O233" t="n">
        <v>0</v>
      </c>
      <c r="P233" t="n">
        <v>0</v>
      </c>
      <c r="Q233" t="n">
        <v>0</v>
      </c>
      <c r="R233" s="2" t="inlineStr"/>
    </row>
    <row r="234" ht="15" customHeight="1">
      <c r="A234" t="inlineStr">
        <is>
          <t>A 20596-2021</t>
        </is>
      </c>
      <c r="B234" s="1" t="n">
        <v>44316</v>
      </c>
      <c r="C234" s="1" t="n">
        <v>45505</v>
      </c>
      <c r="D234" t="inlineStr">
        <is>
          <t>DALARNAS LÄN</t>
        </is>
      </c>
      <c r="E234" t="inlineStr">
        <is>
          <t>LUDVIKA</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21712-2021</t>
        </is>
      </c>
      <c r="B235" s="1" t="n">
        <v>44322</v>
      </c>
      <c r="C235" s="1" t="n">
        <v>45505</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21716-2021</t>
        </is>
      </c>
      <c r="B236" s="1" t="n">
        <v>44322</v>
      </c>
      <c r="C236" s="1" t="n">
        <v>45505</v>
      </c>
      <c r="D236" t="inlineStr">
        <is>
          <t>DALARNAS LÄN</t>
        </is>
      </c>
      <c r="E236" t="inlineStr">
        <is>
          <t>LUDVIKA</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21887-2021</t>
        </is>
      </c>
      <c r="B237" s="1" t="n">
        <v>44322</v>
      </c>
      <c r="C237" s="1" t="n">
        <v>45505</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23101-2021</t>
        </is>
      </c>
      <c r="B238" s="1" t="n">
        <v>44330</v>
      </c>
      <c r="C238" s="1" t="n">
        <v>45505</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23245-2021</t>
        </is>
      </c>
      <c r="B239" s="1" t="n">
        <v>44333</v>
      </c>
      <c r="C239" s="1" t="n">
        <v>45505</v>
      </c>
      <c r="D239" t="inlineStr">
        <is>
          <t>DALARNAS LÄN</t>
        </is>
      </c>
      <c r="E239" t="inlineStr">
        <is>
          <t>LUDVIKA</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23271-2021</t>
        </is>
      </c>
      <c r="B240" s="1" t="n">
        <v>44333</v>
      </c>
      <c r="C240" s="1" t="n">
        <v>45505</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24033-2021</t>
        </is>
      </c>
      <c r="B241" s="1" t="n">
        <v>44336</v>
      </c>
      <c r="C241" s="1" t="n">
        <v>45505</v>
      </c>
      <c r="D241" t="inlineStr">
        <is>
          <t>DALARNAS LÄN</t>
        </is>
      </c>
      <c r="E241" t="inlineStr">
        <is>
          <t>LUDVIKA</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24080-2021</t>
        </is>
      </c>
      <c r="B242" s="1" t="n">
        <v>44336</v>
      </c>
      <c r="C242" s="1" t="n">
        <v>45505</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24469-2021</t>
        </is>
      </c>
      <c r="B243" s="1" t="n">
        <v>44337</v>
      </c>
      <c r="C243" s="1" t="n">
        <v>45505</v>
      </c>
      <c r="D243" t="inlineStr">
        <is>
          <t>DALARNAS LÄN</t>
        </is>
      </c>
      <c r="E243" t="inlineStr">
        <is>
          <t>LUDVIKA</t>
        </is>
      </c>
      <c r="F243" t="inlineStr">
        <is>
          <t>Bergvik skog väst AB</t>
        </is>
      </c>
      <c r="G243" t="n">
        <v>6.9</v>
      </c>
      <c r="H243" t="n">
        <v>0</v>
      </c>
      <c r="I243" t="n">
        <v>0</v>
      </c>
      <c r="J243" t="n">
        <v>0</v>
      </c>
      <c r="K243" t="n">
        <v>0</v>
      </c>
      <c r="L243" t="n">
        <v>0</v>
      </c>
      <c r="M243" t="n">
        <v>0</v>
      </c>
      <c r="N243" t="n">
        <v>0</v>
      </c>
      <c r="O243" t="n">
        <v>0</v>
      </c>
      <c r="P243" t="n">
        <v>0</v>
      </c>
      <c r="Q243" t="n">
        <v>0</v>
      </c>
      <c r="R243" s="2" t="inlineStr"/>
    </row>
    <row r="244" ht="15" customHeight="1">
      <c r="A244" t="inlineStr">
        <is>
          <t>A 24906-2021</t>
        </is>
      </c>
      <c r="B244" s="1" t="n">
        <v>44341</v>
      </c>
      <c r="C244" s="1" t="n">
        <v>45505</v>
      </c>
      <c r="D244" t="inlineStr">
        <is>
          <t>DALARNAS LÄN</t>
        </is>
      </c>
      <c r="E244" t="inlineStr">
        <is>
          <t>LUDVIKA</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26066-2021</t>
        </is>
      </c>
      <c r="B245" s="1" t="n">
        <v>44344</v>
      </c>
      <c r="C245" s="1" t="n">
        <v>45505</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26054-2021</t>
        </is>
      </c>
      <c r="B246" s="1" t="n">
        <v>44344</v>
      </c>
      <c r="C246" s="1" t="n">
        <v>45505</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29000-2021</t>
        </is>
      </c>
      <c r="B247" s="1" t="n">
        <v>44358</v>
      </c>
      <c r="C247" s="1" t="n">
        <v>45505</v>
      </c>
      <c r="D247" t="inlineStr">
        <is>
          <t>DALARNAS LÄN</t>
        </is>
      </c>
      <c r="E247" t="inlineStr">
        <is>
          <t>LUDVIKA</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29789-2021</t>
        </is>
      </c>
      <c r="B248" s="1" t="n">
        <v>44362</v>
      </c>
      <c r="C248" s="1" t="n">
        <v>45505</v>
      </c>
      <c r="D248" t="inlineStr">
        <is>
          <t>DALARNAS LÄN</t>
        </is>
      </c>
      <c r="E248" t="inlineStr">
        <is>
          <t>LUDVIKA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30502-2021</t>
        </is>
      </c>
      <c r="B249" s="1" t="n">
        <v>44364</v>
      </c>
      <c r="C249" s="1" t="n">
        <v>45505</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31086-2021</t>
        </is>
      </c>
      <c r="B250" s="1" t="n">
        <v>44368</v>
      </c>
      <c r="C250" s="1" t="n">
        <v>45505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31465-2021</t>
        </is>
      </c>
      <c r="B251" s="1" t="n">
        <v>44369</v>
      </c>
      <c r="C251" s="1" t="n">
        <v>45505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45505</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31921-2021</t>
        </is>
      </c>
      <c r="B253" s="1" t="n">
        <v>44370</v>
      </c>
      <c r="C253" s="1" t="n">
        <v>45505</v>
      </c>
      <c r="D253" t="inlineStr">
        <is>
          <t>DALARNAS LÄN</t>
        </is>
      </c>
      <c r="E253" t="inlineStr">
        <is>
          <t>LUDVIKA</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31925-2021</t>
        </is>
      </c>
      <c r="B254" s="1" t="n">
        <v>44370</v>
      </c>
      <c r="C254" s="1" t="n">
        <v>45505</v>
      </c>
      <c r="D254" t="inlineStr">
        <is>
          <t>DALARNAS LÄN</t>
        </is>
      </c>
      <c r="E254" t="inlineStr">
        <is>
          <t>LUDVIKA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32015-2021</t>
        </is>
      </c>
      <c r="B255" s="1" t="n">
        <v>44370</v>
      </c>
      <c r="C255" s="1" t="n">
        <v>45505</v>
      </c>
      <c r="D255" t="inlineStr">
        <is>
          <t>DALARNAS LÄN</t>
        </is>
      </c>
      <c r="E255" t="inlineStr">
        <is>
          <t>LUDVIKA</t>
        </is>
      </c>
      <c r="G255" t="n">
        <v>1.6</v>
      </c>
      <c r="H255" t="n">
        <v>0</v>
      </c>
      <c r="I255" t="n">
        <v>0</v>
      </c>
      <c r="J255" t="n">
        <v>0</v>
      </c>
      <c r="K255" t="n">
        <v>0</v>
      </c>
      <c r="L255" t="n">
        <v>0</v>
      </c>
      <c r="M255" t="n">
        <v>0</v>
      </c>
      <c r="N255" t="n">
        <v>0</v>
      </c>
      <c r="O255" t="n">
        <v>0</v>
      </c>
      <c r="P255" t="n">
        <v>0</v>
      </c>
      <c r="Q255" t="n">
        <v>0</v>
      </c>
      <c r="R255" s="2" t="inlineStr"/>
    </row>
    <row r="256" ht="15" customHeight="1">
      <c r="A256" t="inlineStr">
        <is>
          <t>A 32054-2021</t>
        </is>
      </c>
      <c r="B256" s="1" t="n">
        <v>44370</v>
      </c>
      <c r="C256" s="1" t="n">
        <v>45505</v>
      </c>
      <c r="D256" t="inlineStr">
        <is>
          <t>DALARNAS LÄN</t>
        </is>
      </c>
      <c r="E256" t="inlineStr">
        <is>
          <t>LUDVIKA</t>
        </is>
      </c>
      <c r="G256" t="n">
        <v>28.7</v>
      </c>
      <c r="H256" t="n">
        <v>0</v>
      </c>
      <c r="I256" t="n">
        <v>0</v>
      </c>
      <c r="J256" t="n">
        <v>0</v>
      </c>
      <c r="K256" t="n">
        <v>0</v>
      </c>
      <c r="L256" t="n">
        <v>0</v>
      </c>
      <c r="M256" t="n">
        <v>0</v>
      </c>
      <c r="N256" t="n">
        <v>0</v>
      </c>
      <c r="O256" t="n">
        <v>0</v>
      </c>
      <c r="P256" t="n">
        <v>0</v>
      </c>
      <c r="Q256" t="n">
        <v>0</v>
      </c>
      <c r="R256" s="2" t="inlineStr"/>
    </row>
    <row r="257" ht="15" customHeight="1">
      <c r="A257" t="inlineStr">
        <is>
          <t>A 33032-2021</t>
        </is>
      </c>
      <c r="B257" s="1" t="n">
        <v>44376</v>
      </c>
      <c r="C257" s="1" t="n">
        <v>45505</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33416-2021</t>
        </is>
      </c>
      <c r="B258" s="1" t="n">
        <v>44377</v>
      </c>
      <c r="C258" s="1" t="n">
        <v>45505</v>
      </c>
      <c r="D258" t="inlineStr">
        <is>
          <t>DALARNAS LÄN</t>
        </is>
      </c>
      <c r="E258" t="inlineStr">
        <is>
          <t>LUDVIKA</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33505-2021</t>
        </is>
      </c>
      <c r="B259" s="1" t="n">
        <v>44377</v>
      </c>
      <c r="C259" s="1" t="n">
        <v>45505</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35731-2021</t>
        </is>
      </c>
      <c r="B260" s="1" t="n">
        <v>44386</v>
      </c>
      <c r="C260" s="1" t="n">
        <v>45505</v>
      </c>
      <c r="D260" t="inlineStr">
        <is>
          <t>DALARNAS LÄN</t>
        </is>
      </c>
      <c r="E260" t="inlineStr">
        <is>
          <t>LUDVIKA</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35720-2021</t>
        </is>
      </c>
      <c r="B261" s="1" t="n">
        <v>44386</v>
      </c>
      <c r="C261" s="1" t="n">
        <v>45505</v>
      </c>
      <c r="D261" t="inlineStr">
        <is>
          <t>DALARNAS LÄN</t>
        </is>
      </c>
      <c r="E261" t="inlineStr">
        <is>
          <t>LUDVIKA</t>
        </is>
      </c>
      <c r="F261" t="inlineStr">
        <is>
          <t>Kyrkan</t>
        </is>
      </c>
      <c r="G261" t="n">
        <v>1.9</v>
      </c>
      <c r="H261" t="n">
        <v>0</v>
      </c>
      <c r="I261" t="n">
        <v>0</v>
      </c>
      <c r="J261" t="n">
        <v>0</v>
      </c>
      <c r="K261" t="n">
        <v>0</v>
      </c>
      <c r="L261" t="n">
        <v>0</v>
      </c>
      <c r="M261" t="n">
        <v>0</v>
      </c>
      <c r="N261" t="n">
        <v>0</v>
      </c>
      <c r="O261" t="n">
        <v>0</v>
      </c>
      <c r="P261" t="n">
        <v>0</v>
      </c>
      <c r="Q261" t="n">
        <v>0</v>
      </c>
      <c r="R261" s="2" t="inlineStr"/>
    </row>
    <row r="262" ht="15" customHeight="1">
      <c r="A262" t="inlineStr">
        <is>
          <t>A 35892-2021</t>
        </is>
      </c>
      <c r="B262" s="1" t="n">
        <v>44387</v>
      </c>
      <c r="C262" s="1" t="n">
        <v>45505</v>
      </c>
      <c r="D262" t="inlineStr">
        <is>
          <t>DALARNAS LÄN</t>
        </is>
      </c>
      <c r="E262" t="inlineStr">
        <is>
          <t>LUDVIKA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36862-2021</t>
        </is>
      </c>
      <c r="B263" s="1" t="n">
        <v>44393</v>
      </c>
      <c r="C263" s="1" t="n">
        <v>45505</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37384-2021</t>
        </is>
      </c>
      <c r="B264" s="1" t="n">
        <v>44397</v>
      </c>
      <c r="C264" s="1" t="n">
        <v>45505</v>
      </c>
      <c r="D264" t="inlineStr">
        <is>
          <t>DALARNAS LÄN</t>
        </is>
      </c>
      <c r="E264" t="inlineStr">
        <is>
          <t>LUDVIKA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38084-2021</t>
        </is>
      </c>
      <c r="B265" s="1" t="n">
        <v>44404</v>
      </c>
      <c r="C265" s="1" t="n">
        <v>45505</v>
      </c>
      <c r="D265" t="inlineStr">
        <is>
          <t>DALARNAS LÄN</t>
        </is>
      </c>
      <c r="E265" t="inlineStr">
        <is>
          <t>LUDVIKA</t>
        </is>
      </c>
      <c r="G265" t="n">
        <v>0.3</v>
      </c>
      <c r="H265" t="n">
        <v>0</v>
      </c>
      <c r="I265" t="n">
        <v>0</v>
      </c>
      <c r="J265" t="n">
        <v>0</v>
      </c>
      <c r="K265" t="n">
        <v>0</v>
      </c>
      <c r="L265" t="n">
        <v>0</v>
      </c>
      <c r="M265" t="n">
        <v>0</v>
      </c>
      <c r="N265" t="n">
        <v>0</v>
      </c>
      <c r="O265" t="n">
        <v>0</v>
      </c>
      <c r="P265" t="n">
        <v>0</v>
      </c>
      <c r="Q265" t="n">
        <v>0</v>
      </c>
      <c r="R265" s="2" t="inlineStr"/>
    </row>
    <row r="266" ht="15" customHeight="1">
      <c r="A266" t="inlineStr">
        <is>
          <t>A 38223-2021</t>
        </is>
      </c>
      <c r="B266" s="1" t="n">
        <v>44405</v>
      </c>
      <c r="C266" s="1" t="n">
        <v>45505</v>
      </c>
      <c r="D266" t="inlineStr">
        <is>
          <t>DALARNAS LÄN</t>
        </is>
      </c>
      <c r="E266" t="inlineStr">
        <is>
          <t>LUDVIKA</t>
        </is>
      </c>
      <c r="G266" t="n">
        <v>2.3</v>
      </c>
      <c r="H266" t="n">
        <v>0</v>
      </c>
      <c r="I266" t="n">
        <v>0</v>
      </c>
      <c r="J266" t="n">
        <v>0</v>
      </c>
      <c r="K266" t="n">
        <v>0</v>
      </c>
      <c r="L266" t="n">
        <v>0</v>
      </c>
      <c r="M266" t="n">
        <v>0</v>
      </c>
      <c r="N266" t="n">
        <v>0</v>
      </c>
      <c r="O266" t="n">
        <v>0</v>
      </c>
      <c r="P266" t="n">
        <v>0</v>
      </c>
      <c r="Q266" t="n">
        <v>0</v>
      </c>
      <c r="R266" s="2" t="inlineStr"/>
    </row>
    <row r="267" ht="15" customHeight="1">
      <c r="A267" t="inlineStr">
        <is>
          <t>A 38371-2021</t>
        </is>
      </c>
      <c r="B267" s="1" t="n">
        <v>44406</v>
      </c>
      <c r="C267" s="1" t="n">
        <v>45505</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39247-2021</t>
        </is>
      </c>
      <c r="B268" s="1" t="n">
        <v>44413</v>
      </c>
      <c r="C268" s="1" t="n">
        <v>45505</v>
      </c>
      <c r="D268" t="inlineStr">
        <is>
          <t>DALARNAS LÄN</t>
        </is>
      </c>
      <c r="E268" t="inlineStr">
        <is>
          <t>LUDVIKA</t>
        </is>
      </c>
      <c r="G268" t="n">
        <v>6</v>
      </c>
      <c r="H268" t="n">
        <v>0</v>
      </c>
      <c r="I268" t="n">
        <v>0</v>
      </c>
      <c r="J268" t="n">
        <v>0</v>
      </c>
      <c r="K268" t="n">
        <v>0</v>
      </c>
      <c r="L268" t="n">
        <v>0</v>
      </c>
      <c r="M268" t="n">
        <v>0</v>
      </c>
      <c r="N268" t="n">
        <v>0</v>
      </c>
      <c r="O268" t="n">
        <v>0</v>
      </c>
      <c r="P268" t="n">
        <v>0</v>
      </c>
      <c r="Q268" t="n">
        <v>0</v>
      </c>
      <c r="R268" s="2" t="inlineStr"/>
    </row>
    <row r="269" ht="15" customHeight="1">
      <c r="A269" t="inlineStr">
        <is>
          <t>A 40582-2021</t>
        </is>
      </c>
      <c r="B269" s="1" t="n">
        <v>44420</v>
      </c>
      <c r="C269" s="1" t="n">
        <v>45505</v>
      </c>
      <c r="D269" t="inlineStr">
        <is>
          <t>DALARNAS LÄN</t>
        </is>
      </c>
      <c r="E269" t="inlineStr">
        <is>
          <t>LUDVIKA</t>
        </is>
      </c>
      <c r="G269" t="n">
        <v>2.2</v>
      </c>
      <c r="H269" t="n">
        <v>0</v>
      </c>
      <c r="I269" t="n">
        <v>0</v>
      </c>
      <c r="J269" t="n">
        <v>0</v>
      </c>
      <c r="K269" t="n">
        <v>0</v>
      </c>
      <c r="L269" t="n">
        <v>0</v>
      </c>
      <c r="M269" t="n">
        <v>0</v>
      </c>
      <c r="N269" t="n">
        <v>0</v>
      </c>
      <c r="O269" t="n">
        <v>0</v>
      </c>
      <c r="P269" t="n">
        <v>0</v>
      </c>
      <c r="Q269" t="n">
        <v>0</v>
      </c>
      <c r="R269" s="2" t="inlineStr"/>
    </row>
    <row r="270" ht="15" customHeight="1">
      <c r="A270" t="inlineStr">
        <is>
          <t>A 43115-2021</t>
        </is>
      </c>
      <c r="B270" s="1" t="n">
        <v>44431</v>
      </c>
      <c r="C270" s="1" t="n">
        <v>45505</v>
      </c>
      <c r="D270" t="inlineStr">
        <is>
          <t>DALARNAS LÄN</t>
        </is>
      </c>
      <c r="E270" t="inlineStr">
        <is>
          <t>LUDVIKA</t>
        </is>
      </c>
      <c r="G270" t="n">
        <v>3.5</v>
      </c>
      <c r="H270" t="n">
        <v>0</v>
      </c>
      <c r="I270" t="n">
        <v>0</v>
      </c>
      <c r="J270" t="n">
        <v>0</v>
      </c>
      <c r="K270" t="n">
        <v>0</v>
      </c>
      <c r="L270" t="n">
        <v>0</v>
      </c>
      <c r="M270" t="n">
        <v>0</v>
      </c>
      <c r="N270" t="n">
        <v>0</v>
      </c>
      <c r="O270" t="n">
        <v>0</v>
      </c>
      <c r="P270" t="n">
        <v>0</v>
      </c>
      <c r="Q270" t="n">
        <v>0</v>
      </c>
      <c r="R270" s="2" t="inlineStr"/>
    </row>
    <row r="271" ht="15" customHeight="1">
      <c r="A271" t="inlineStr">
        <is>
          <t>A 43907-2021</t>
        </is>
      </c>
      <c r="B271" s="1" t="n">
        <v>44434</v>
      </c>
      <c r="C271" s="1" t="n">
        <v>45505</v>
      </c>
      <c r="D271" t="inlineStr">
        <is>
          <t>DALARNAS LÄN</t>
        </is>
      </c>
      <c r="E271" t="inlineStr">
        <is>
          <t>LUDVIKA</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44270-2021</t>
        </is>
      </c>
      <c r="B272" s="1" t="n">
        <v>44435</v>
      </c>
      <c r="C272" s="1" t="n">
        <v>45505</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44264-2021</t>
        </is>
      </c>
      <c r="B273" s="1" t="n">
        <v>44435</v>
      </c>
      <c r="C273" s="1" t="n">
        <v>45505</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45313-2021</t>
        </is>
      </c>
      <c r="B274" s="1" t="n">
        <v>44439</v>
      </c>
      <c r="C274" s="1" t="n">
        <v>45505</v>
      </c>
      <c r="D274" t="inlineStr">
        <is>
          <t>DALARNAS LÄN</t>
        </is>
      </c>
      <c r="E274" t="inlineStr">
        <is>
          <t>LUDVIKA</t>
        </is>
      </c>
      <c r="G274" t="n">
        <v>2.6</v>
      </c>
      <c r="H274" t="n">
        <v>0</v>
      </c>
      <c r="I274" t="n">
        <v>0</v>
      </c>
      <c r="J274" t="n">
        <v>0</v>
      </c>
      <c r="K274" t="n">
        <v>0</v>
      </c>
      <c r="L274" t="n">
        <v>0</v>
      </c>
      <c r="M274" t="n">
        <v>0</v>
      </c>
      <c r="N274" t="n">
        <v>0</v>
      </c>
      <c r="O274" t="n">
        <v>0</v>
      </c>
      <c r="P274" t="n">
        <v>0</v>
      </c>
      <c r="Q274" t="n">
        <v>0</v>
      </c>
      <c r="R274" s="2" t="inlineStr"/>
    </row>
    <row r="275" ht="15" customHeight="1">
      <c r="A275" t="inlineStr">
        <is>
          <t>A 45309-2021</t>
        </is>
      </c>
      <c r="B275" s="1" t="n">
        <v>44439</v>
      </c>
      <c r="C275" s="1" t="n">
        <v>45505</v>
      </c>
      <c r="D275" t="inlineStr">
        <is>
          <t>DALARNAS LÄN</t>
        </is>
      </c>
      <c r="E275" t="inlineStr">
        <is>
          <t>LUDVIKA</t>
        </is>
      </c>
      <c r="G275" t="n">
        <v>1.9</v>
      </c>
      <c r="H275" t="n">
        <v>0</v>
      </c>
      <c r="I275" t="n">
        <v>0</v>
      </c>
      <c r="J275" t="n">
        <v>0</v>
      </c>
      <c r="K275" t="n">
        <v>0</v>
      </c>
      <c r="L275" t="n">
        <v>0</v>
      </c>
      <c r="M275" t="n">
        <v>0</v>
      </c>
      <c r="N275" t="n">
        <v>0</v>
      </c>
      <c r="O275" t="n">
        <v>0</v>
      </c>
      <c r="P275" t="n">
        <v>0</v>
      </c>
      <c r="Q275" t="n">
        <v>0</v>
      </c>
      <c r="R275" s="2" t="inlineStr"/>
    </row>
    <row r="276" ht="15" customHeight="1">
      <c r="A276" t="inlineStr">
        <is>
          <t>A 45995-2021</t>
        </is>
      </c>
      <c r="B276" s="1" t="n">
        <v>44441</v>
      </c>
      <c r="C276" s="1" t="n">
        <v>45505</v>
      </c>
      <c r="D276" t="inlineStr">
        <is>
          <t>DALARNAS LÄN</t>
        </is>
      </c>
      <c r="E276" t="inlineStr">
        <is>
          <t>LUDVIKA</t>
        </is>
      </c>
      <c r="G276" t="n">
        <v>1.2</v>
      </c>
      <c r="H276" t="n">
        <v>0</v>
      </c>
      <c r="I276" t="n">
        <v>0</v>
      </c>
      <c r="J276" t="n">
        <v>0</v>
      </c>
      <c r="K276" t="n">
        <v>0</v>
      </c>
      <c r="L276" t="n">
        <v>0</v>
      </c>
      <c r="M276" t="n">
        <v>0</v>
      </c>
      <c r="N276" t="n">
        <v>0</v>
      </c>
      <c r="O276" t="n">
        <v>0</v>
      </c>
      <c r="P276" t="n">
        <v>0</v>
      </c>
      <c r="Q276" t="n">
        <v>0</v>
      </c>
      <c r="R276" s="2" t="inlineStr"/>
    </row>
    <row r="277" ht="15" customHeight="1">
      <c r="A277" t="inlineStr">
        <is>
          <t>A 47216-2021</t>
        </is>
      </c>
      <c r="B277" s="1" t="n">
        <v>44447</v>
      </c>
      <c r="C277" s="1" t="n">
        <v>45505</v>
      </c>
      <c r="D277" t="inlineStr">
        <is>
          <t>DALARNAS LÄN</t>
        </is>
      </c>
      <c r="E277" t="inlineStr">
        <is>
          <t>LUDVIKA</t>
        </is>
      </c>
      <c r="G277" t="n">
        <v>0.5</v>
      </c>
      <c r="H277" t="n">
        <v>0</v>
      </c>
      <c r="I277" t="n">
        <v>0</v>
      </c>
      <c r="J277" t="n">
        <v>0</v>
      </c>
      <c r="K277" t="n">
        <v>0</v>
      </c>
      <c r="L277" t="n">
        <v>0</v>
      </c>
      <c r="M277" t="n">
        <v>0</v>
      </c>
      <c r="N277" t="n">
        <v>0</v>
      </c>
      <c r="O277" t="n">
        <v>0</v>
      </c>
      <c r="P277" t="n">
        <v>0</v>
      </c>
      <c r="Q277" t="n">
        <v>0</v>
      </c>
      <c r="R277" s="2" t="inlineStr"/>
    </row>
    <row r="278" ht="15" customHeight="1">
      <c r="A278" t="inlineStr">
        <is>
          <t>A 48003-2021</t>
        </is>
      </c>
      <c r="B278" s="1" t="n">
        <v>44449</v>
      </c>
      <c r="C278" s="1" t="n">
        <v>45505</v>
      </c>
      <c r="D278" t="inlineStr">
        <is>
          <t>DALARNAS LÄN</t>
        </is>
      </c>
      <c r="E278" t="inlineStr">
        <is>
          <t>LUDVIKA</t>
        </is>
      </c>
      <c r="F278" t="inlineStr">
        <is>
          <t>Naturvårdsverket</t>
        </is>
      </c>
      <c r="G278" t="n">
        <v>0.8</v>
      </c>
      <c r="H278" t="n">
        <v>0</v>
      </c>
      <c r="I278" t="n">
        <v>0</v>
      </c>
      <c r="J278" t="n">
        <v>0</v>
      </c>
      <c r="K278" t="n">
        <v>0</v>
      </c>
      <c r="L278" t="n">
        <v>0</v>
      </c>
      <c r="M278" t="n">
        <v>0</v>
      </c>
      <c r="N278" t="n">
        <v>0</v>
      </c>
      <c r="O278" t="n">
        <v>0</v>
      </c>
      <c r="P278" t="n">
        <v>0</v>
      </c>
      <c r="Q278" t="n">
        <v>0</v>
      </c>
      <c r="R278" s="2" t="inlineStr"/>
    </row>
    <row r="279" ht="15" customHeight="1">
      <c r="A279" t="inlineStr">
        <is>
          <t>A 48580-2021</t>
        </is>
      </c>
      <c r="B279" s="1" t="n">
        <v>44452</v>
      </c>
      <c r="C279" s="1" t="n">
        <v>45505</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48942-2021</t>
        </is>
      </c>
      <c r="B280" s="1" t="n">
        <v>44453</v>
      </c>
      <c r="C280" s="1" t="n">
        <v>45505</v>
      </c>
      <c r="D280" t="inlineStr">
        <is>
          <t>DALARNAS LÄN</t>
        </is>
      </c>
      <c r="E280" t="inlineStr">
        <is>
          <t>LUDVIKA</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50004-2021</t>
        </is>
      </c>
      <c r="B281" s="1" t="n">
        <v>44456</v>
      </c>
      <c r="C281" s="1" t="n">
        <v>45505</v>
      </c>
      <c r="D281" t="inlineStr">
        <is>
          <t>DALARNAS LÄN</t>
        </is>
      </c>
      <c r="E281" t="inlineStr">
        <is>
          <t>LUDVIKA</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49977-2021</t>
        </is>
      </c>
      <c r="B282" s="1" t="n">
        <v>44456</v>
      </c>
      <c r="C282" s="1" t="n">
        <v>45505</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50273-2021</t>
        </is>
      </c>
      <c r="B283" s="1" t="n">
        <v>44459</v>
      </c>
      <c r="C283" s="1" t="n">
        <v>45505</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50347-2021</t>
        </is>
      </c>
      <c r="B284" s="1" t="n">
        <v>44459</v>
      </c>
      <c r="C284" s="1" t="n">
        <v>45505</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50995-2021</t>
        </is>
      </c>
      <c r="B285" s="1" t="n">
        <v>44460</v>
      </c>
      <c r="C285" s="1" t="n">
        <v>45505</v>
      </c>
      <c r="D285" t="inlineStr">
        <is>
          <t>DALARNAS LÄN</t>
        </is>
      </c>
      <c r="E285" t="inlineStr">
        <is>
          <t>LUDVIKA</t>
        </is>
      </c>
      <c r="G285" t="n">
        <v>0.9</v>
      </c>
      <c r="H285" t="n">
        <v>0</v>
      </c>
      <c r="I285" t="n">
        <v>0</v>
      </c>
      <c r="J285" t="n">
        <v>0</v>
      </c>
      <c r="K285" t="n">
        <v>0</v>
      </c>
      <c r="L285" t="n">
        <v>0</v>
      </c>
      <c r="M285" t="n">
        <v>0</v>
      </c>
      <c r="N285" t="n">
        <v>0</v>
      </c>
      <c r="O285" t="n">
        <v>0</v>
      </c>
      <c r="P285" t="n">
        <v>0</v>
      </c>
      <c r="Q285" t="n">
        <v>0</v>
      </c>
      <c r="R285" s="2" t="inlineStr"/>
    </row>
    <row r="286" ht="15" customHeight="1">
      <c r="A286" t="inlineStr">
        <is>
          <t>A 51485-2021</t>
        </is>
      </c>
      <c r="B286" s="1" t="n">
        <v>44462</v>
      </c>
      <c r="C286" s="1" t="n">
        <v>45505</v>
      </c>
      <c r="D286" t="inlineStr">
        <is>
          <t>DALARNAS LÄN</t>
        </is>
      </c>
      <c r="E286" t="inlineStr">
        <is>
          <t>LUDVIKA</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54279-2021</t>
        </is>
      </c>
      <c r="B287" s="1" t="n">
        <v>44470</v>
      </c>
      <c r="C287" s="1" t="n">
        <v>45505</v>
      </c>
      <c r="D287" t="inlineStr">
        <is>
          <t>DALARNAS LÄN</t>
        </is>
      </c>
      <c r="E287" t="inlineStr">
        <is>
          <t>LUDVIKA</t>
        </is>
      </c>
      <c r="G287" t="n">
        <v>1.1</v>
      </c>
      <c r="H287" t="n">
        <v>0</v>
      </c>
      <c r="I287" t="n">
        <v>0</v>
      </c>
      <c r="J287" t="n">
        <v>0</v>
      </c>
      <c r="K287" t="n">
        <v>0</v>
      </c>
      <c r="L287" t="n">
        <v>0</v>
      </c>
      <c r="M287" t="n">
        <v>0</v>
      </c>
      <c r="N287" t="n">
        <v>0</v>
      </c>
      <c r="O287" t="n">
        <v>0</v>
      </c>
      <c r="P287" t="n">
        <v>0</v>
      </c>
      <c r="Q287" t="n">
        <v>0</v>
      </c>
      <c r="R287" s="2" t="inlineStr"/>
    </row>
    <row r="288" ht="15" customHeight="1">
      <c r="A288" t="inlineStr">
        <is>
          <t>A 55633-2021</t>
        </is>
      </c>
      <c r="B288" s="1" t="n">
        <v>44476</v>
      </c>
      <c r="C288" s="1" t="n">
        <v>45505</v>
      </c>
      <c r="D288" t="inlineStr">
        <is>
          <t>DALARNAS LÄN</t>
        </is>
      </c>
      <c r="E288" t="inlineStr">
        <is>
          <t>LUDVIKA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56113-2021</t>
        </is>
      </c>
      <c r="B289" s="1" t="n">
        <v>44477</v>
      </c>
      <c r="C289" s="1" t="n">
        <v>45505</v>
      </c>
      <c r="D289" t="inlineStr">
        <is>
          <t>DALARNAS LÄN</t>
        </is>
      </c>
      <c r="E289" t="inlineStr">
        <is>
          <t>LUDVIKA</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45505</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v>
      </c>
      <c r="C291" s="1" t="n">
        <v>45505</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57076-2021</t>
        </is>
      </c>
      <c r="B292" s="1" t="n">
        <v>44482</v>
      </c>
      <c r="C292" s="1" t="n">
        <v>45505</v>
      </c>
      <c r="D292" t="inlineStr">
        <is>
          <t>DALARNAS LÄN</t>
        </is>
      </c>
      <c r="E292" t="inlineStr">
        <is>
          <t>LUDVIKA</t>
        </is>
      </c>
      <c r="G292" t="n">
        <v>4.7</v>
      </c>
      <c r="H292" t="n">
        <v>0</v>
      </c>
      <c r="I292" t="n">
        <v>0</v>
      </c>
      <c r="J292" t="n">
        <v>0</v>
      </c>
      <c r="K292" t="n">
        <v>0</v>
      </c>
      <c r="L292" t="n">
        <v>0</v>
      </c>
      <c r="M292" t="n">
        <v>0</v>
      </c>
      <c r="N292" t="n">
        <v>0</v>
      </c>
      <c r="O292" t="n">
        <v>0</v>
      </c>
      <c r="P292" t="n">
        <v>0</v>
      </c>
      <c r="Q292" t="n">
        <v>0</v>
      </c>
      <c r="R292" s="2" t="inlineStr"/>
    </row>
    <row r="293" ht="15" customHeight="1">
      <c r="A293" t="inlineStr">
        <is>
          <t>A 57002-2021</t>
        </is>
      </c>
      <c r="B293" s="1" t="n">
        <v>44482</v>
      </c>
      <c r="C293" s="1" t="n">
        <v>45505</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62152-2021</t>
        </is>
      </c>
      <c r="B294" s="1" t="n">
        <v>44502</v>
      </c>
      <c r="C294" s="1" t="n">
        <v>45505</v>
      </c>
      <c r="D294" t="inlineStr">
        <is>
          <t>DALARNAS LÄN</t>
        </is>
      </c>
      <c r="E294" t="inlineStr">
        <is>
          <t>LUDVIKA</t>
        </is>
      </c>
      <c r="G294" t="n">
        <v>6.1</v>
      </c>
      <c r="H294" t="n">
        <v>0</v>
      </c>
      <c r="I294" t="n">
        <v>0</v>
      </c>
      <c r="J294" t="n">
        <v>0</v>
      </c>
      <c r="K294" t="n">
        <v>0</v>
      </c>
      <c r="L294" t="n">
        <v>0</v>
      </c>
      <c r="M294" t="n">
        <v>0</v>
      </c>
      <c r="N294" t="n">
        <v>0</v>
      </c>
      <c r="O294" t="n">
        <v>0</v>
      </c>
      <c r="P294" t="n">
        <v>0</v>
      </c>
      <c r="Q294" t="n">
        <v>0</v>
      </c>
      <c r="R294" s="2" t="inlineStr"/>
    </row>
    <row r="295" ht="15" customHeight="1">
      <c r="A295" t="inlineStr">
        <is>
          <t>A 62467-2021</t>
        </is>
      </c>
      <c r="B295" s="1" t="n">
        <v>44503</v>
      </c>
      <c r="C295" s="1" t="n">
        <v>45505</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63267-2021</t>
        </is>
      </c>
      <c r="B296" s="1" t="n">
        <v>44508</v>
      </c>
      <c r="C296" s="1" t="n">
        <v>45505</v>
      </c>
      <c r="D296" t="inlineStr">
        <is>
          <t>DALARNAS LÄN</t>
        </is>
      </c>
      <c r="E296" t="inlineStr">
        <is>
          <t>LUDVIKA</t>
        </is>
      </c>
      <c r="F296" t="inlineStr">
        <is>
          <t>Bergvik skog väst AB</t>
        </is>
      </c>
      <c r="G296" t="n">
        <v>0.2</v>
      </c>
      <c r="H296" t="n">
        <v>0</v>
      </c>
      <c r="I296" t="n">
        <v>0</v>
      </c>
      <c r="J296" t="n">
        <v>0</v>
      </c>
      <c r="K296" t="n">
        <v>0</v>
      </c>
      <c r="L296" t="n">
        <v>0</v>
      </c>
      <c r="M296" t="n">
        <v>0</v>
      </c>
      <c r="N296" t="n">
        <v>0</v>
      </c>
      <c r="O296" t="n">
        <v>0</v>
      </c>
      <c r="P296" t="n">
        <v>0</v>
      </c>
      <c r="Q296" t="n">
        <v>0</v>
      </c>
      <c r="R296" s="2" t="inlineStr"/>
    </row>
    <row r="297" ht="15" customHeight="1">
      <c r="A297" t="inlineStr">
        <is>
          <t>A 65195-2021</t>
        </is>
      </c>
      <c r="B297" s="1" t="n">
        <v>44515</v>
      </c>
      <c r="C297" s="1" t="n">
        <v>45505</v>
      </c>
      <c r="D297" t="inlineStr">
        <is>
          <t>DALARNAS LÄN</t>
        </is>
      </c>
      <c r="E297" t="inlineStr">
        <is>
          <t>LUDVIKA</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65699-2021</t>
        </is>
      </c>
      <c r="B298" s="1" t="n">
        <v>44516</v>
      </c>
      <c r="C298" s="1" t="n">
        <v>45505</v>
      </c>
      <c r="D298" t="inlineStr">
        <is>
          <t>DALARNAS LÄN</t>
        </is>
      </c>
      <c r="E298" t="inlineStr">
        <is>
          <t>LUDVIKA</t>
        </is>
      </c>
      <c r="G298" t="n">
        <v>1.4</v>
      </c>
      <c r="H298" t="n">
        <v>0</v>
      </c>
      <c r="I298" t="n">
        <v>0</v>
      </c>
      <c r="J298" t="n">
        <v>0</v>
      </c>
      <c r="K298" t="n">
        <v>0</v>
      </c>
      <c r="L298" t="n">
        <v>0</v>
      </c>
      <c r="M298" t="n">
        <v>0</v>
      </c>
      <c r="N298" t="n">
        <v>0</v>
      </c>
      <c r="O298" t="n">
        <v>0</v>
      </c>
      <c r="P298" t="n">
        <v>0</v>
      </c>
      <c r="Q298" t="n">
        <v>0</v>
      </c>
      <c r="R298" s="2" t="inlineStr"/>
    </row>
    <row r="299" ht="15" customHeight="1">
      <c r="A299" t="inlineStr">
        <is>
          <t>A 65667-2021</t>
        </is>
      </c>
      <c r="B299" s="1" t="n">
        <v>44516</v>
      </c>
      <c r="C299" s="1" t="n">
        <v>45505</v>
      </c>
      <c r="D299" t="inlineStr">
        <is>
          <t>DALARNAS LÄN</t>
        </is>
      </c>
      <c r="E299" t="inlineStr">
        <is>
          <t>LUDVIKA</t>
        </is>
      </c>
      <c r="G299" t="n">
        <v>1.5</v>
      </c>
      <c r="H299" t="n">
        <v>0</v>
      </c>
      <c r="I299" t="n">
        <v>0</v>
      </c>
      <c r="J299" t="n">
        <v>0</v>
      </c>
      <c r="K299" t="n">
        <v>0</v>
      </c>
      <c r="L299" t="n">
        <v>0</v>
      </c>
      <c r="M299" t="n">
        <v>0</v>
      </c>
      <c r="N299" t="n">
        <v>0</v>
      </c>
      <c r="O299" t="n">
        <v>0</v>
      </c>
      <c r="P299" t="n">
        <v>0</v>
      </c>
      <c r="Q299" t="n">
        <v>0</v>
      </c>
      <c r="R299" s="2" t="inlineStr"/>
    </row>
    <row r="300" ht="15" customHeight="1">
      <c r="A300" t="inlineStr">
        <is>
          <t>A 65685-2021</t>
        </is>
      </c>
      <c r="B300" s="1" t="n">
        <v>44516</v>
      </c>
      <c r="C300" s="1" t="n">
        <v>45505</v>
      </c>
      <c r="D300" t="inlineStr">
        <is>
          <t>DALARNAS LÄN</t>
        </is>
      </c>
      <c r="E300" t="inlineStr">
        <is>
          <t>LUDVIKA</t>
        </is>
      </c>
      <c r="G300" t="n">
        <v>1</v>
      </c>
      <c r="H300" t="n">
        <v>0</v>
      </c>
      <c r="I300" t="n">
        <v>0</v>
      </c>
      <c r="J300" t="n">
        <v>0</v>
      </c>
      <c r="K300" t="n">
        <v>0</v>
      </c>
      <c r="L300" t="n">
        <v>0</v>
      </c>
      <c r="M300" t="n">
        <v>0</v>
      </c>
      <c r="N300" t="n">
        <v>0</v>
      </c>
      <c r="O300" t="n">
        <v>0</v>
      </c>
      <c r="P300" t="n">
        <v>0</v>
      </c>
      <c r="Q300" t="n">
        <v>0</v>
      </c>
      <c r="R300" s="2" t="inlineStr"/>
    </row>
    <row r="301" ht="15" customHeight="1">
      <c r="A301" t="inlineStr">
        <is>
          <t>A 70046-2021</t>
        </is>
      </c>
      <c r="B301" s="1" t="n">
        <v>44533</v>
      </c>
      <c r="C301" s="1" t="n">
        <v>45505</v>
      </c>
      <c r="D301" t="inlineStr">
        <is>
          <t>DALARNAS LÄN</t>
        </is>
      </c>
      <c r="E301" t="inlineStr">
        <is>
          <t>LUDVIKA</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70291-2021</t>
        </is>
      </c>
      <c r="B302" s="1" t="n">
        <v>44536</v>
      </c>
      <c r="C302" s="1" t="n">
        <v>45505</v>
      </c>
      <c r="D302" t="inlineStr">
        <is>
          <t>DALARNAS LÄN</t>
        </is>
      </c>
      <c r="E302" t="inlineStr">
        <is>
          <t>LUDVIKA</t>
        </is>
      </c>
      <c r="G302" t="n">
        <v>1</v>
      </c>
      <c r="H302" t="n">
        <v>0</v>
      </c>
      <c r="I302" t="n">
        <v>0</v>
      </c>
      <c r="J302" t="n">
        <v>0</v>
      </c>
      <c r="K302" t="n">
        <v>0</v>
      </c>
      <c r="L302" t="n">
        <v>0</v>
      </c>
      <c r="M302" t="n">
        <v>0</v>
      </c>
      <c r="N302" t="n">
        <v>0</v>
      </c>
      <c r="O302" t="n">
        <v>0</v>
      </c>
      <c r="P302" t="n">
        <v>0</v>
      </c>
      <c r="Q302" t="n">
        <v>0</v>
      </c>
      <c r="R302" s="2" t="inlineStr"/>
    </row>
    <row r="303" ht="15" customHeight="1">
      <c r="A303" t="inlineStr">
        <is>
          <t>A 71639-2021</t>
        </is>
      </c>
      <c r="B303" s="1" t="n">
        <v>44543</v>
      </c>
      <c r="C303" s="1" t="n">
        <v>45505</v>
      </c>
      <c r="D303" t="inlineStr">
        <is>
          <t>DALARNAS LÄN</t>
        </is>
      </c>
      <c r="E303" t="inlineStr">
        <is>
          <t>LUDVIKA</t>
        </is>
      </c>
      <c r="F303" t="inlineStr">
        <is>
          <t>Naturvårdsverket</t>
        </is>
      </c>
      <c r="G303" t="n">
        <v>2.2</v>
      </c>
      <c r="H303" t="n">
        <v>0</v>
      </c>
      <c r="I303" t="n">
        <v>0</v>
      </c>
      <c r="J303" t="n">
        <v>0</v>
      </c>
      <c r="K303" t="n">
        <v>0</v>
      </c>
      <c r="L303" t="n">
        <v>0</v>
      </c>
      <c r="M303" t="n">
        <v>0</v>
      </c>
      <c r="N303" t="n">
        <v>0</v>
      </c>
      <c r="O303" t="n">
        <v>0</v>
      </c>
      <c r="P303" t="n">
        <v>0</v>
      </c>
      <c r="Q303" t="n">
        <v>0</v>
      </c>
      <c r="R303" s="2" t="inlineStr"/>
    </row>
    <row r="304" ht="15" customHeight="1">
      <c r="A304" t="inlineStr">
        <is>
          <t>A 73167-2021</t>
        </is>
      </c>
      <c r="B304" s="1" t="n">
        <v>44550</v>
      </c>
      <c r="C304" s="1" t="n">
        <v>45505</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73703-2021</t>
        </is>
      </c>
      <c r="B305" s="1" t="n">
        <v>44552</v>
      </c>
      <c r="C305" s="1" t="n">
        <v>45505</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74427-2021</t>
        </is>
      </c>
      <c r="B306" s="1" t="n">
        <v>44560</v>
      </c>
      <c r="C306" s="1" t="n">
        <v>45505</v>
      </c>
      <c r="D306" t="inlineStr">
        <is>
          <t>DALARNAS LÄN</t>
        </is>
      </c>
      <c r="E306" t="inlineStr">
        <is>
          <t>LUDVIKA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v>
      </c>
      <c r="C307" s="1" t="n">
        <v>45505</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1299-2022</t>
        </is>
      </c>
      <c r="B308" s="1" t="n">
        <v>44572</v>
      </c>
      <c r="C308" s="1" t="n">
        <v>45505</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2422-2022</t>
        </is>
      </c>
      <c r="B309" s="1" t="n">
        <v>44579</v>
      </c>
      <c r="C309" s="1" t="n">
        <v>45505</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2491-2022</t>
        </is>
      </c>
      <c r="B310" s="1" t="n">
        <v>44579</v>
      </c>
      <c r="C310" s="1" t="n">
        <v>45505</v>
      </c>
      <c r="D310" t="inlineStr">
        <is>
          <t>DALARNAS LÄN</t>
        </is>
      </c>
      <c r="E310" t="inlineStr">
        <is>
          <t>LUDVIKA</t>
        </is>
      </c>
      <c r="G310" t="n">
        <v>2.8</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45505</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4551-2022</t>
        </is>
      </c>
      <c r="B312" s="1" t="n">
        <v>44590</v>
      </c>
      <c r="C312" s="1" t="n">
        <v>45505</v>
      </c>
      <c r="D312" t="inlineStr">
        <is>
          <t>DALARNAS LÄN</t>
        </is>
      </c>
      <c r="E312" t="inlineStr">
        <is>
          <t>LUDVIKA</t>
        </is>
      </c>
      <c r="G312" t="n">
        <v>1.1</v>
      </c>
      <c r="H312" t="n">
        <v>0</v>
      </c>
      <c r="I312" t="n">
        <v>0</v>
      </c>
      <c r="J312" t="n">
        <v>0</v>
      </c>
      <c r="K312" t="n">
        <v>0</v>
      </c>
      <c r="L312" t="n">
        <v>0</v>
      </c>
      <c r="M312" t="n">
        <v>0</v>
      </c>
      <c r="N312" t="n">
        <v>0</v>
      </c>
      <c r="O312" t="n">
        <v>0</v>
      </c>
      <c r="P312" t="n">
        <v>0</v>
      </c>
      <c r="Q312" t="n">
        <v>0</v>
      </c>
      <c r="R312" s="2" t="inlineStr"/>
    </row>
    <row r="313" ht="15" customHeight="1">
      <c r="A313" t="inlineStr">
        <is>
          <t>A 5970-2022</t>
        </is>
      </c>
      <c r="B313" s="1" t="n">
        <v>44599</v>
      </c>
      <c r="C313" s="1" t="n">
        <v>45505</v>
      </c>
      <c r="D313" t="inlineStr">
        <is>
          <t>DALARNAS LÄN</t>
        </is>
      </c>
      <c r="E313" t="inlineStr">
        <is>
          <t>LUDVIKA</t>
        </is>
      </c>
      <c r="G313" t="n">
        <v>8.4</v>
      </c>
      <c r="H313" t="n">
        <v>0</v>
      </c>
      <c r="I313" t="n">
        <v>0</v>
      </c>
      <c r="J313" t="n">
        <v>0</v>
      </c>
      <c r="K313" t="n">
        <v>0</v>
      </c>
      <c r="L313" t="n">
        <v>0</v>
      </c>
      <c r="M313" t="n">
        <v>0</v>
      </c>
      <c r="N313" t="n">
        <v>0</v>
      </c>
      <c r="O313" t="n">
        <v>0</v>
      </c>
      <c r="P313" t="n">
        <v>0</v>
      </c>
      <c r="Q313" t="n">
        <v>0</v>
      </c>
      <c r="R313" s="2" t="inlineStr"/>
    </row>
    <row r="314" ht="15" customHeight="1">
      <c r="A314" t="inlineStr">
        <is>
          <t>A 6364-2022</t>
        </is>
      </c>
      <c r="B314" s="1" t="n">
        <v>44600</v>
      </c>
      <c r="C314" s="1" t="n">
        <v>45505</v>
      </c>
      <c r="D314" t="inlineStr">
        <is>
          <t>DALARNAS LÄN</t>
        </is>
      </c>
      <c r="E314" t="inlineStr">
        <is>
          <t>LUDVIKA</t>
        </is>
      </c>
      <c r="F314" t="inlineStr">
        <is>
          <t>Övriga Aktiebolag</t>
        </is>
      </c>
      <c r="G314" t="n">
        <v>52.3</v>
      </c>
      <c r="H314" t="n">
        <v>0</v>
      </c>
      <c r="I314" t="n">
        <v>0</v>
      </c>
      <c r="J314" t="n">
        <v>0</v>
      </c>
      <c r="K314" t="n">
        <v>0</v>
      </c>
      <c r="L314" t="n">
        <v>0</v>
      </c>
      <c r="M314" t="n">
        <v>0</v>
      </c>
      <c r="N314" t="n">
        <v>0</v>
      </c>
      <c r="O314" t="n">
        <v>0</v>
      </c>
      <c r="P314" t="n">
        <v>0</v>
      </c>
      <c r="Q314" t="n">
        <v>0</v>
      </c>
      <c r="R314" s="2" t="inlineStr"/>
    </row>
    <row r="315" ht="15" customHeight="1">
      <c r="A315" t="inlineStr">
        <is>
          <t>A 6836-2022</t>
        </is>
      </c>
      <c r="B315" s="1" t="n">
        <v>44602</v>
      </c>
      <c r="C315" s="1" t="n">
        <v>45505</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7011-2022</t>
        </is>
      </c>
      <c r="B316" s="1" t="n">
        <v>44603</v>
      </c>
      <c r="C316" s="1" t="n">
        <v>45505</v>
      </c>
      <c r="D316" t="inlineStr">
        <is>
          <t>DALARNAS LÄN</t>
        </is>
      </c>
      <c r="E316" t="inlineStr">
        <is>
          <t>LUDVIKA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9464-2022</t>
        </is>
      </c>
      <c r="B317" s="1" t="n">
        <v>44616</v>
      </c>
      <c r="C317" s="1" t="n">
        <v>45505</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13051-2022</t>
        </is>
      </c>
      <c r="B318" s="1" t="n">
        <v>44643</v>
      </c>
      <c r="C318" s="1" t="n">
        <v>45505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14387-2022</t>
        </is>
      </c>
      <c r="B319" s="1" t="n">
        <v>44652</v>
      </c>
      <c r="C319" s="1" t="n">
        <v>45505</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14872-2022</t>
        </is>
      </c>
      <c r="B320" s="1" t="n">
        <v>44656</v>
      </c>
      <c r="C320" s="1" t="n">
        <v>45505</v>
      </c>
      <c r="D320" t="inlineStr">
        <is>
          <t>DALARNAS LÄN</t>
        </is>
      </c>
      <c r="E320" t="inlineStr">
        <is>
          <t>LUDVIKA</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15145-2022</t>
        </is>
      </c>
      <c r="B321" s="1" t="n">
        <v>44658</v>
      </c>
      <c r="C321" s="1" t="n">
        <v>45505</v>
      </c>
      <c r="D321" t="inlineStr">
        <is>
          <t>DALARNAS LÄN</t>
        </is>
      </c>
      <c r="E321" t="inlineStr">
        <is>
          <t>LUDVIKA</t>
        </is>
      </c>
      <c r="G321" t="n">
        <v>3.7</v>
      </c>
      <c r="H321" t="n">
        <v>0</v>
      </c>
      <c r="I321" t="n">
        <v>0</v>
      </c>
      <c r="J321" t="n">
        <v>0</v>
      </c>
      <c r="K321" t="n">
        <v>0</v>
      </c>
      <c r="L321" t="n">
        <v>0</v>
      </c>
      <c r="M321" t="n">
        <v>0</v>
      </c>
      <c r="N321" t="n">
        <v>0</v>
      </c>
      <c r="O321" t="n">
        <v>0</v>
      </c>
      <c r="P321" t="n">
        <v>0</v>
      </c>
      <c r="Q321" t="n">
        <v>0</v>
      </c>
      <c r="R321" s="2" t="inlineStr"/>
    </row>
    <row r="322" ht="15" customHeight="1">
      <c r="A322" t="inlineStr">
        <is>
          <t>A 15617-2022</t>
        </is>
      </c>
      <c r="B322" s="1" t="n">
        <v>44662</v>
      </c>
      <c r="C322" s="1" t="n">
        <v>45505</v>
      </c>
      <c r="D322" t="inlineStr">
        <is>
          <t>DALARNAS LÄN</t>
        </is>
      </c>
      <c r="E322" t="inlineStr">
        <is>
          <t>LUDVIKA</t>
        </is>
      </c>
      <c r="F322" t="inlineStr">
        <is>
          <t>Bergvik skog väst AB</t>
        </is>
      </c>
      <c r="G322" t="n">
        <v>7.8</v>
      </c>
      <c r="H322" t="n">
        <v>0</v>
      </c>
      <c r="I322" t="n">
        <v>0</v>
      </c>
      <c r="J322" t="n">
        <v>0</v>
      </c>
      <c r="K322" t="n">
        <v>0</v>
      </c>
      <c r="L322" t="n">
        <v>0</v>
      </c>
      <c r="M322" t="n">
        <v>0</v>
      </c>
      <c r="N322" t="n">
        <v>0</v>
      </c>
      <c r="O322" t="n">
        <v>0</v>
      </c>
      <c r="P322" t="n">
        <v>0</v>
      </c>
      <c r="Q322" t="n">
        <v>0</v>
      </c>
      <c r="R322" s="2" t="inlineStr"/>
    </row>
    <row r="323" ht="15" customHeight="1">
      <c r="A323" t="inlineStr">
        <is>
          <t>A 17677-2022</t>
        </is>
      </c>
      <c r="B323" s="1" t="n">
        <v>44680</v>
      </c>
      <c r="C323" s="1" t="n">
        <v>45505</v>
      </c>
      <c r="D323" t="inlineStr">
        <is>
          <t>DALARNAS LÄN</t>
        </is>
      </c>
      <c r="E323" t="inlineStr">
        <is>
          <t>LUDVIKA</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18289-2022</t>
        </is>
      </c>
      <c r="B324" s="1" t="n">
        <v>44685</v>
      </c>
      <c r="C324" s="1" t="n">
        <v>45505</v>
      </c>
      <c r="D324" t="inlineStr">
        <is>
          <t>DALARNAS LÄN</t>
        </is>
      </c>
      <c r="E324" t="inlineStr">
        <is>
          <t>LUDVIKA</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18703-2022</t>
        </is>
      </c>
      <c r="B325" s="1" t="n">
        <v>44687</v>
      </c>
      <c r="C325" s="1" t="n">
        <v>45505</v>
      </c>
      <c r="D325" t="inlineStr">
        <is>
          <t>DALARNAS LÄN</t>
        </is>
      </c>
      <c r="E325" t="inlineStr">
        <is>
          <t>LUDVIKA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18724-2022</t>
        </is>
      </c>
      <c r="B326" s="1" t="n">
        <v>44687</v>
      </c>
      <c r="C326" s="1" t="n">
        <v>45505</v>
      </c>
      <c r="D326" t="inlineStr">
        <is>
          <t>DALARNAS LÄN</t>
        </is>
      </c>
      <c r="E326" t="inlineStr">
        <is>
          <t>LUDVIKA</t>
        </is>
      </c>
      <c r="G326" t="n">
        <v>4.3</v>
      </c>
      <c r="H326" t="n">
        <v>0</v>
      </c>
      <c r="I326" t="n">
        <v>0</v>
      </c>
      <c r="J326" t="n">
        <v>0</v>
      </c>
      <c r="K326" t="n">
        <v>0</v>
      </c>
      <c r="L326" t="n">
        <v>0</v>
      </c>
      <c r="M326" t="n">
        <v>0</v>
      </c>
      <c r="N326" t="n">
        <v>0</v>
      </c>
      <c r="O326" t="n">
        <v>0</v>
      </c>
      <c r="P326" t="n">
        <v>0</v>
      </c>
      <c r="Q326" t="n">
        <v>0</v>
      </c>
      <c r="R326" s="2" t="inlineStr"/>
    </row>
    <row r="327" ht="15" customHeight="1">
      <c r="A327" t="inlineStr">
        <is>
          <t>A 20656-2022</t>
        </is>
      </c>
      <c r="B327" s="1" t="n">
        <v>44700</v>
      </c>
      <c r="C327" s="1" t="n">
        <v>45505</v>
      </c>
      <c r="D327" t="inlineStr">
        <is>
          <t>DALARNAS LÄN</t>
        </is>
      </c>
      <c r="E327" t="inlineStr">
        <is>
          <t>LUDVIKA</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20852-2022</t>
        </is>
      </c>
      <c r="B328" s="1" t="n">
        <v>44701</v>
      </c>
      <c r="C328" s="1" t="n">
        <v>45505</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21466-2022</t>
        </is>
      </c>
      <c r="B329" s="1" t="n">
        <v>44706</v>
      </c>
      <c r="C329" s="1" t="n">
        <v>45505</v>
      </c>
      <c r="D329" t="inlineStr">
        <is>
          <t>DALARNAS LÄN</t>
        </is>
      </c>
      <c r="E329" t="inlineStr">
        <is>
          <t>LUDVIKA</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21502-2022</t>
        </is>
      </c>
      <c r="B330" s="1" t="n">
        <v>44706</v>
      </c>
      <c r="C330" s="1" t="n">
        <v>45505</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21741-2022</t>
        </is>
      </c>
      <c r="B331" s="1" t="n">
        <v>44708</v>
      </c>
      <c r="C331" s="1" t="n">
        <v>45505</v>
      </c>
      <c r="D331" t="inlineStr">
        <is>
          <t>DALARNAS LÄN</t>
        </is>
      </c>
      <c r="E331" t="inlineStr">
        <is>
          <t>LUDVIKA</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22000-2022</t>
        </is>
      </c>
      <c r="B332" s="1" t="n">
        <v>44711</v>
      </c>
      <c r="C332" s="1" t="n">
        <v>45505</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22920-2022</t>
        </is>
      </c>
      <c r="B333" s="1" t="n">
        <v>44715</v>
      </c>
      <c r="C333" s="1" t="n">
        <v>45505</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23258-2022</t>
        </is>
      </c>
      <c r="B334" s="1" t="n">
        <v>44720</v>
      </c>
      <c r="C334" s="1" t="n">
        <v>45505</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23345-2022</t>
        </is>
      </c>
      <c r="B335" s="1" t="n">
        <v>44720</v>
      </c>
      <c r="C335" s="1" t="n">
        <v>45505</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24160-2022</t>
        </is>
      </c>
      <c r="B336" s="1" t="n">
        <v>44725</v>
      </c>
      <c r="C336" s="1" t="n">
        <v>45505</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25095-2022</t>
        </is>
      </c>
      <c r="B337" s="1" t="n">
        <v>44729</v>
      </c>
      <c r="C337" s="1" t="n">
        <v>45505</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25243-2022</t>
        </is>
      </c>
      <c r="B338" s="1" t="n">
        <v>44730</v>
      </c>
      <c r="C338" s="1" t="n">
        <v>45505</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25272-2022</t>
        </is>
      </c>
      <c r="B339" s="1" t="n">
        <v>44730</v>
      </c>
      <c r="C339" s="1" t="n">
        <v>45505</v>
      </c>
      <c r="D339" t="inlineStr">
        <is>
          <t>DALARNAS LÄN</t>
        </is>
      </c>
      <c r="E339" t="inlineStr">
        <is>
          <t>LUDVIKA</t>
        </is>
      </c>
      <c r="F339" t="inlineStr">
        <is>
          <t>Bergvik skog väst AB</t>
        </is>
      </c>
      <c r="G339" t="n">
        <v>9.6</v>
      </c>
      <c r="H339" t="n">
        <v>0</v>
      </c>
      <c r="I339" t="n">
        <v>0</v>
      </c>
      <c r="J339" t="n">
        <v>0</v>
      </c>
      <c r="K339" t="n">
        <v>0</v>
      </c>
      <c r="L339" t="n">
        <v>0</v>
      </c>
      <c r="M339" t="n">
        <v>0</v>
      </c>
      <c r="N339" t="n">
        <v>0</v>
      </c>
      <c r="O339" t="n">
        <v>0</v>
      </c>
      <c r="P339" t="n">
        <v>0</v>
      </c>
      <c r="Q339" t="n">
        <v>0</v>
      </c>
      <c r="R339" s="2" t="inlineStr"/>
    </row>
    <row r="340" ht="15" customHeight="1">
      <c r="A340" t="inlineStr">
        <is>
          <t>A 25274-2022</t>
        </is>
      </c>
      <c r="B340" s="1" t="n">
        <v>44730</v>
      </c>
      <c r="C340" s="1" t="n">
        <v>45505</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25273-2022</t>
        </is>
      </c>
      <c r="B341" s="1" t="n">
        <v>44730</v>
      </c>
      <c r="C341" s="1" t="n">
        <v>45505</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25292-2022</t>
        </is>
      </c>
      <c r="B342" s="1" t="n">
        <v>44731</v>
      </c>
      <c r="C342" s="1" t="n">
        <v>45505</v>
      </c>
      <c r="D342" t="inlineStr">
        <is>
          <t>DALARNAS LÄN</t>
        </is>
      </c>
      <c r="E342" t="inlineStr">
        <is>
          <t>LUDVIKA</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25296-2022</t>
        </is>
      </c>
      <c r="B343" s="1" t="n">
        <v>44731</v>
      </c>
      <c r="C343" s="1" t="n">
        <v>45505</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25300-2022</t>
        </is>
      </c>
      <c r="B344" s="1" t="n">
        <v>44731</v>
      </c>
      <c r="C344" s="1" t="n">
        <v>45505</v>
      </c>
      <c r="D344" t="inlineStr">
        <is>
          <t>DALARNAS LÄN</t>
        </is>
      </c>
      <c r="E344" t="inlineStr">
        <is>
          <t>LUDVIKA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25289-2022</t>
        </is>
      </c>
      <c r="B345" s="1" t="n">
        <v>44731</v>
      </c>
      <c r="C345" s="1" t="n">
        <v>45505</v>
      </c>
      <c r="D345" t="inlineStr">
        <is>
          <t>DALARNAS LÄN</t>
        </is>
      </c>
      <c r="E345" t="inlineStr">
        <is>
          <t>LUDVIKA</t>
        </is>
      </c>
      <c r="F345" t="inlineStr">
        <is>
          <t>Bergvik skog väst AB</t>
        </is>
      </c>
      <c r="G345" t="n">
        <v>10.1</v>
      </c>
      <c r="H345" t="n">
        <v>0</v>
      </c>
      <c r="I345" t="n">
        <v>0</v>
      </c>
      <c r="J345" t="n">
        <v>0</v>
      </c>
      <c r="K345" t="n">
        <v>0</v>
      </c>
      <c r="L345" t="n">
        <v>0</v>
      </c>
      <c r="M345" t="n">
        <v>0</v>
      </c>
      <c r="N345" t="n">
        <v>0</v>
      </c>
      <c r="O345" t="n">
        <v>0</v>
      </c>
      <c r="P345" t="n">
        <v>0</v>
      </c>
      <c r="Q345" t="n">
        <v>0</v>
      </c>
      <c r="R345" s="2" t="inlineStr"/>
    </row>
    <row r="346" ht="15" customHeight="1">
      <c r="A346" t="inlineStr">
        <is>
          <t>A 25293-2022</t>
        </is>
      </c>
      <c r="B346" s="1" t="n">
        <v>44731</v>
      </c>
      <c r="C346" s="1" t="n">
        <v>45505</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25297-2022</t>
        </is>
      </c>
      <c r="B347" s="1" t="n">
        <v>44731</v>
      </c>
      <c r="C347" s="1" t="n">
        <v>45505</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25301-2022</t>
        </is>
      </c>
      <c r="B348" s="1" t="n">
        <v>44731</v>
      </c>
      <c r="C348" s="1" t="n">
        <v>45505</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25290-2022</t>
        </is>
      </c>
      <c r="B349" s="1" t="n">
        <v>44731</v>
      </c>
      <c r="C349" s="1" t="n">
        <v>45505</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25294-2022</t>
        </is>
      </c>
      <c r="B350" s="1" t="n">
        <v>44730</v>
      </c>
      <c r="C350" s="1" t="n">
        <v>45505</v>
      </c>
      <c r="D350" t="inlineStr">
        <is>
          <t>DALARNAS LÄN</t>
        </is>
      </c>
      <c r="E350" t="inlineStr">
        <is>
          <t>LUDVIKA</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25298-2022</t>
        </is>
      </c>
      <c r="B351" s="1" t="n">
        <v>44731</v>
      </c>
      <c r="C351" s="1" t="n">
        <v>45505</v>
      </c>
      <c r="D351" t="inlineStr">
        <is>
          <t>DALARNAS LÄN</t>
        </is>
      </c>
      <c r="E351" t="inlineStr">
        <is>
          <t>LUDVIKA</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25291-2022</t>
        </is>
      </c>
      <c r="B352" s="1" t="n">
        <v>44731</v>
      </c>
      <c r="C352" s="1" t="n">
        <v>45505</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25299-2022</t>
        </is>
      </c>
      <c r="B353" s="1" t="n">
        <v>44731</v>
      </c>
      <c r="C353" s="1" t="n">
        <v>45505</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25328-2022</t>
        </is>
      </c>
      <c r="B354" s="1" t="n">
        <v>44731</v>
      </c>
      <c r="C354" s="1" t="n">
        <v>45505</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25454-2022</t>
        </is>
      </c>
      <c r="B355" s="1" t="n">
        <v>44732</v>
      </c>
      <c r="C355" s="1" t="n">
        <v>45505</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25755-2022</t>
        </is>
      </c>
      <c r="B356" s="1" t="n">
        <v>44733</v>
      </c>
      <c r="C356" s="1" t="n">
        <v>45505</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27226-2022</t>
        </is>
      </c>
      <c r="B357" s="1" t="n">
        <v>44741</v>
      </c>
      <c r="C357" s="1" t="n">
        <v>45505</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27738-2022</t>
        </is>
      </c>
      <c r="B358" s="1" t="n">
        <v>44743</v>
      </c>
      <c r="C358" s="1" t="n">
        <v>45505</v>
      </c>
      <c r="D358" t="inlineStr">
        <is>
          <t>DALARNAS LÄN</t>
        </is>
      </c>
      <c r="E358" t="inlineStr">
        <is>
          <t>LUDVIKA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31273-2022</t>
        </is>
      </c>
      <c r="B359" s="1" t="n">
        <v>44771</v>
      </c>
      <c r="C359" s="1" t="n">
        <v>45505</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31270-2022</t>
        </is>
      </c>
      <c r="B360" s="1" t="n">
        <v>44771</v>
      </c>
      <c r="C360" s="1" t="n">
        <v>45505</v>
      </c>
      <c r="D360" t="inlineStr">
        <is>
          <t>DALARNAS LÄN</t>
        </is>
      </c>
      <c r="E360" t="inlineStr">
        <is>
          <t>LUDVIKA</t>
        </is>
      </c>
      <c r="G360" t="n">
        <v>1.2</v>
      </c>
      <c r="H360" t="n">
        <v>0</v>
      </c>
      <c r="I360" t="n">
        <v>0</v>
      </c>
      <c r="J360" t="n">
        <v>0</v>
      </c>
      <c r="K360" t="n">
        <v>0</v>
      </c>
      <c r="L360" t="n">
        <v>0</v>
      </c>
      <c r="M360" t="n">
        <v>0</v>
      </c>
      <c r="N360" t="n">
        <v>0</v>
      </c>
      <c r="O360" t="n">
        <v>0</v>
      </c>
      <c r="P360" t="n">
        <v>0</v>
      </c>
      <c r="Q360" t="n">
        <v>0</v>
      </c>
      <c r="R360" s="2" t="inlineStr"/>
    </row>
    <row r="361" ht="15" customHeight="1">
      <c r="A361" t="inlineStr">
        <is>
          <t>A 31272-2022</t>
        </is>
      </c>
      <c r="B361" s="1" t="n">
        <v>44771</v>
      </c>
      <c r="C361" s="1" t="n">
        <v>45505</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33108-2022</t>
        </is>
      </c>
      <c r="B362" s="1" t="n">
        <v>44785</v>
      </c>
      <c r="C362" s="1" t="n">
        <v>45505</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33673-2022</t>
        </is>
      </c>
      <c r="B363" s="1" t="n">
        <v>44789</v>
      </c>
      <c r="C363" s="1" t="n">
        <v>45505</v>
      </c>
      <c r="D363" t="inlineStr">
        <is>
          <t>DALARNAS LÄN</t>
        </is>
      </c>
      <c r="E363" t="inlineStr">
        <is>
          <t>LUDVIKA</t>
        </is>
      </c>
      <c r="G363" t="n">
        <v>1.5</v>
      </c>
      <c r="H363" t="n">
        <v>0</v>
      </c>
      <c r="I363" t="n">
        <v>0</v>
      </c>
      <c r="J363" t="n">
        <v>0</v>
      </c>
      <c r="K363" t="n">
        <v>0</v>
      </c>
      <c r="L363" t="n">
        <v>0</v>
      </c>
      <c r="M363" t="n">
        <v>0</v>
      </c>
      <c r="N363" t="n">
        <v>0</v>
      </c>
      <c r="O363" t="n">
        <v>0</v>
      </c>
      <c r="P363" t="n">
        <v>0</v>
      </c>
      <c r="Q363" t="n">
        <v>0</v>
      </c>
      <c r="R363" s="2" t="inlineStr"/>
    </row>
    <row r="364" ht="15" customHeight="1">
      <c r="A364" t="inlineStr">
        <is>
          <t>A 36770-2022</t>
        </is>
      </c>
      <c r="B364" s="1" t="n">
        <v>44805</v>
      </c>
      <c r="C364" s="1" t="n">
        <v>45505</v>
      </c>
      <c r="D364" t="inlineStr">
        <is>
          <t>DALARNAS LÄN</t>
        </is>
      </c>
      <c r="E364" t="inlineStr">
        <is>
          <t>LUDVIKA</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36852-2022</t>
        </is>
      </c>
      <c r="B365" s="1" t="n">
        <v>44805</v>
      </c>
      <c r="C365" s="1" t="n">
        <v>45505</v>
      </c>
      <c r="D365" t="inlineStr">
        <is>
          <t>DALARNAS LÄN</t>
        </is>
      </c>
      <c r="E365" t="inlineStr">
        <is>
          <t>LUDVIKA</t>
        </is>
      </c>
      <c r="F365" t="inlineStr">
        <is>
          <t>Bergvik skog väst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37495-2022</t>
        </is>
      </c>
      <c r="B366" s="1" t="n">
        <v>44809</v>
      </c>
      <c r="C366" s="1" t="n">
        <v>45505</v>
      </c>
      <c r="D366" t="inlineStr">
        <is>
          <t>DALARNAS LÄN</t>
        </is>
      </c>
      <c r="E366" t="inlineStr">
        <is>
          <t>LUDVIKA</t>
        </is>
      </c>
      <c r="F366" t="inlineStr">
        <is>
          <t>Naturvårdsverket</t>
        </is>
      </c>
      <c r="G366" t="n">
        <v>3.2</v>
      </c>
      <c r="H366" t="n">
        <v>0</v>
      </c>
      <c r="I366" t="n">
        <v>0</v>
      </c>
      <c r="J366" t="n">
        <v>0</v>
      </c>
      <c r="K366" t="n">
        <v>0</v>
      </c>
      <c r="L366" t="n">
        <v>0</v>
      </c>
      <c r="M366" t="n">
        <v>0</v>
      </c>
      <c r="N366" t="n">
        <v>0</v>
      </c>
      <c r="O366" t="n">
        <v>0</v>
      </c>
      <c r="P366" t="n">
        <v>0</v>
      </c>
      <c r="Q366" t="n">
        <v>0</v>
      </c>
      <c r="R366" s="2" t="inlineStr"/>
    </row>
    <row r="367" ht="15" customHeight="1">
      <c r="A367" t="inlineStr">
        <is>
          <t>A 37479-2022</t>
        </is>
      </c>
      <c r="B367" s="1" t="n">
        <v>44809</v>
      </c>
      <c r="C367" s="1" t="n">
        <v>45505</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38014-2022</t>
        </is>
      </c>
      <c r="B368" s="1" t="n">
        <v>44811</v>
      </c>
      <c r="C368" s="1" t="n">
        <v>45505</v>
      </c>
      <c r="D368" t="inlineStr">
        <is>
          <t>DALARNAS LÄN</t>
        </is>
      </c>
      <c r="E368" t="inlineStr">
        <is>
          <t>LUDVIKA</t>
        </is>
      </c>
      <c r="F368" t="inlineStr">
        <is>
          <t>Naturvårdsverket</t>
        </is>
      </c>
      <c r="G368" t="n">
        <v>1.2</v>
      </c>
      <c r="H368" t="n">
        <v>0</v>
      </c>
      <c r="I368" t="n">
        <v>0</v>
      </c>
      <c r="J368" t="n">
        <v>0</v>
      </c>
      <c r="K368" t="n">
        <v>0</v>
      </c>
      <c r="L368" t="n">
        <v>0</v>
      </c>
      <c r="M368" t="n">
        <v>0</v>
      </c>
      <c r="N368" t="n">
        <v>0</v>
      </c>
      <c r="O368" t="n">
        <v>0</v>
      </c>
      <c r="P368" t="n">
        <v>0</v>
      </c>
      <c r="Q368" t="n">
        <v>0</v>
      </c>
      <c r="R368" s="2" t="inlineStr"/>
    </row>
    <row r="369" ht="15" customHeight="1">
      <c r="A369" t="inlineStr">
        <is>
          <t>A 38565-2022</t>
        </is>
      </c>
      <c r="B369" s="1" t="n">
        <v>44813</v>
      </c>
      <c r="C369" s="1" t="n">
        <v>45505</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39090-2022</t>
        </is>
      </c>
      <c r="B370" s="1" t="n">
        <v>44817</v>
      </c>
      <c r="C370" s="1" t="n">
        <v>45505</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39257-2022</t>
        </is>
      </c>
      <c r="B371" s="1" t="n">
        <v>44817</v>
      </c>
      <c r="C371" s="1" t="n">
        <v>45505</v>
      </c>
      <c r="D371" t="inlineStr">
        <is>
          <t>DALARNAS LÄN</t>
        </is>
      </c>
      <c r="E371" t="inlineStr">
        <is>
          <t>LUDVIKA</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39761-2022</t>
        </is>
      </c>
      <c r="B372" s="1" t="n">
        <v>44819</v>
      </c>
      <c r="C372" s="1" t="n">
        <v>45505</v>
      </c>
      <c r="D372" t="inlineStr">
        <is>
          <t>DALARNAS LÄN</t>
        </is>
      </c>
      <c r="E372" t="inlineStr">
        <is>
          <t>LUDVIKA</t>
        </is>
      </c>
      <c r="F372" t="inlineStr">
        <is>
          <t>Naturvårdsverket</t>
        </is>
      </c>
      <c r="G372" t="n">
        <v>1</v>
      </c>
      <c r="H372" t="n">
        <v>0</v>
      </c>
      <c r="I372" t="n">
        <v>0</v>
      </c>
      <c r="J372" t="n">
        <v>0</v>
      </c>
      <c r="K372" t="n">
        <v>0</v>
      </c>
      <c r="L372" t="n">
        <v>0</v>
      </c>
      <c r="M372" t="n">
        <v>0</v>
      </c>
      <c r="N372" t="n">
        <v>0</v>
      </c>
      <c r="O372" t="n">
        <v>0</v>
      </c>
      <c r="P372" t="n">
        <v>0</v>
      </c>
      <c r="Q372" t="n">
        <v>0</v>
      </c>
      <c r="R372" s="2" t="inlineStr"/>
    </row>
    <row r="373" ht="15" customHeight="1">
      <c r="A373" t="inlineStr">
        <is>
          <t>A 40151-2022</t>
        </is>
      </c>
      <c r="B373" s="1" t="n">
        <v>44820</v>
      </c>
      <c r="C373" s="1" t="n">
        <v>45505</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40137-2022</t>
        </is>
      </c>
      <c r="B374" s="1" t="n">
        <v>44820</v>
      </c>
      <c r="C374" s="1" t="n">
        <v>45505</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40142-2022</t>
        </is>
      </c>
      <c r="B375" s="1" t="n">
        <v>44820</v>
      </c>
      <c r="C375" s="1" t="n">
        <v>45505</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41090-2022</t>
        </is>
      </c>
      <c r="B376" s="1" t="n">
        <v>44825</v>
      </c>
      <c r="C376" s="1" t="n">
        <v>45505</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41158-2022</t>
        </is>
      </c>
      <c r="B377" s="1" t="n">
        <v>44825</v>
      </c>
      <c r="C377" s="1" t="n">
        <v>45505</v>
      </c>
      <c r="D377" t="inlineStr">
        <is>
          <t>DALARNAS LÄN</t>
        </is>
      </c>
      <c r="E377" t="inlineStr">
        <is>
          <t>LUDVIKA</t>
        </is>
      </c>
      <c r="G377" t="n">
        <v>2.1</v>
      </c>
      <c r="H377" t="n">
        <v>0</v>
      </c>
      <c r="I377" t="n">
        <v>0</v>
      </c>
      <c r="J377" t="n">
        <v>0</v>
      </c>
      <c r="K377" t="n">
        <v>0</v>
      </c>
      <c r="L377" t="n">
        <v>0</v>
      </c>
      <c r="M377" t="n">
        <v>0</v>
      </c>
      <c r="N377" t="n">
        <v>0</v>
      </c>
      <c r="O377" t="n">
        <v>0</v>
      </c>
      <c r="P377" t="n">
        <v>0</v>
      </c>
      <c r="Q377" t="n">
        <v>0</v>
      </c>
      <c r="R377" s="2" t="inlineStr"/>
    </row>
    <row r="378" ht="15" customHeight="1">
      <c r="A378" t="inlineStr">
        <is>
          <t>A 41123-2022</t>
        </is>
      </c>
      <c r="B378" s="1" t="n">
        <v>44825</v>
      </c>
      <c r="C378" s="1" t="n">
        <v>45505</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41400-2022</t>
        </is>
      </c>
      <c r="B379" s="1" t="n">
        <v>44826</v>
      </c>
      <c r="C379" s="1" t="n">
        <v>45505</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41328-2022</t>
        </is>
      </c>
      <c r="B380" s="1" t="n">
        <v>44826</v>
      </c>
      <c r="C380" s="1" t="n">
        <v>45505</v>
      </c>
      <c r="D380" t="inlineStr">
        <is>
          <t>DALARNAS LÄN</t>
        </is>
      </c>
      <c r="E380" t="inlineStr">
        <is>
          <t>LUDVIKA</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41712-2022</t>
        </is>
      </c>
      <c r="B381" s="1" t="n">
        <v>44827</v>
      </c>
      <c r="C381" s="1" t="n">
        <v>45505</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41594-2022</t>
        </is>
      </c>
      <c r="B382" s="1" t="n">
        <v>44827</v>
      </c>
      <c r="C382" s="1" t="n">
        <v>45505</v>
      </c>
      <c r="D382" t="inlineStr">
        <is>
          <t>DALARNAS LÄN</t>
        </is>
      </c>
      <c r="E382" t="inlineStr">
        <is>
          <t>LUDVIKA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41796-2022</t>
        </is>
      </c>
      <c r="B383" s="1" t="n">
        <v>44827</v>
      </c>
      <c r="C383" s="1" t="n">
        <v>45505</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41797-2022</t>
        </is>
      </c>
      <c r="B384" s="1" t="n">
        <v>44827</v>
      </c>
      <c r="C384" s="1" t="n">
        <v>45505</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42140-2022</t>
        </is>
      </c>
      <c r="B385" s="1" t="n">
        <v>44830</v>
      </c>
      <c r="C385" s="1" t="n">
        <v>45505</v>
      </c>
      <c r="D385" t="inlineStr">
        <is>
          <t>DALARNAS LÄN</t>
        </is>
      </c>
      <c r="E385" t="inlineStr">
        <is>
          <t>LUDVIKA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42329-2022</t>
        </is>
      </c>
      <c r="B386" s="1" t="n">
        <v>44831</v>
      </c>
      <c r="C386" s="1" t="n">
        <v>45505</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42440-2022</t>
        </is>
      </c>
      <c r="B387" s="1" t="n">
        <v>44831</v>
      </c>
      <c r="C387" s="1" t="n">
        <v>45505</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42572-2022</t>
        </is>
      </c>
      <c r="B388" s="1" t="n">
        <v>44831</v>
      </c>
      <c r="C388" s="1" t="n">
        <v>45505</v>
      </c>
      <c r="D388" t="inlineStr">
        <is>
          <t>DALARNAS LÄN</t>
        </is>
      </c>
      <c r="E388" t="inlineStr">
        <is>
          <t>LUDVIKA</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42709-2022</t>
        </is>
      </c>
      <c r="B389" s="1" t="n">
        <v>44832</v>
      </c>
      <c r="C389" s="1" t="n">
        <v>45505</v>
      </c>
      <c r="D389" t="inlineStr">
        <is>
          <t>DALARNAS LÄN</t>
        </is>
      </c>
      <c r="E389" t="inlineStr">
        <is>
          <t>LUDVIKA</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43008-2022</t>
        </is>
      </c>
      <c r="B390" s="1" t="n">
        <v>44833</v>
      </c>
      <c r="C390" s="1" t="n">
        <v>45505</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43047-2022</t>
        </is>
      </c>
      <c r="B391" s="1" t="n">
        <v>44833</v>
      </c>
      <c r="C391" s="1" t="n">
        <v>45505</v>
      </c>
      <c r="D391" t="inlineStr">
        <is>
          <t>DALARNAS LÄN</t>
        </is>
      </c>
      <c r="E391" t="inlineStr">
        <is>
          <t>LUDVIKA</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45060-2022</t>
        </is>
      </c>
      <c r="B392" s="1" t="n">
        <v>44841</v>
      </c>
      <c r="C392" s="1" t="n">
        <v>45505</v>
      </c>
      <c r="D392" t="inlineStr">
        <is>
          <t>DALARNAS LÄN</t>
        </is>
      </c>
      <c r="E392" t="inlineStr">
        <is>
          <t>LUDVIKA</t>
        </is>
      </c>
      <c r="G392" t="n">
        <v>1.1</v>
      </c>
      <c r="H392" t="n">
        <v>0</v>
      </c>
      <c r="I392" t="n">
        <v>0</v>
      </c>
      <c r="J392" t="n">
        <v>0</v>
      </c>
      <c r="K392" t="n">
        <v>0</v>
      </c>
      <c r="L392" t="n">
        <v>0</v>
      </c>
      <c r="M392" t="n">
        <v>0</v>
      </c>
      <c r="N392" t="n">
        <v>0</v>
      </c>
      <c r="O392" t="n">
        <v>0</v>
      </c>
      <c r="P392" t="n">
        <v>0</v>
      </c>
      <c r="Q392" t="n">
        <v>0</v>
      </c>
      <c r="R392" s="2" t="inlineStr"/>
    </row>
    <row r="393" ht="15" customHeight="1">
      <c r="A393" t="inlineStr">
        <is>
          <t>A 45235-2022</t>
        </is>
      </c>
      <c r="B393" s="1" t="n">
        <v>44844</v>
      </c>
      <c r="C393" s="1" t="n">
        <v>45505</v>
      </c>
      <c r="D393" t="inlineStr">
        <is>
          <t>DALARNAS LÄN</t>
        </is>
      </c>
      <c r="E393" t="inlineStr">
        <is>
          <t>LUDVIKA</t>
        </is>
      </c>
      <c r="F393" t="inlineStr">
        <is>
          <t>Naturvårdsverket</t>
        </is>
      </c>
      <c r="G393" t="n">
        <v>4.1</v>
      </c>
      <c r="H393" t="n">
        <v>0</v>
      </c>
      <c r="I393" t="n">
        <v>0</v>
      </c>
      <c r="J393" t="n">
        <v>0</v>
      </c>
      <c r="K393" t="n">
        <v>0</v>
      </c>
      <c r="L393" t="n">
        <v>0</v>
      </c>
      <c r="M393" t="n">
        <v>0</v>
      </c>
      <c r="N393" t="n">
        <v>0</v>
      </c>
      <c r="O393" t="n">
        <v>0</v>
      </c>
      <c r="P393" t="n">
        <v>0</v>
      </c>
      <c r="Q393" t="n">
        <v>0</v>
      </c>
      <c r="R393" s="2" t="inlineStr"/>
    </row>
    <row r="394" ht="15" customHeight="1">
      <c r="A394" t="inlineStr">
        <is>
          <t>A 45179-2022</t>
        </is>
      </c>
      <c r="B394" s="1" t="n">
        <v>44844</v>
      </c>
      <c r="C394" s="1" t="n">
        <v>45505</v>
      </c>
      <c r="D394" t="inlineStr">
        <is>
          <t>DALARNAS LÄN</t>
        </is>
      </c>
      <c r="E394" t="inlineStr">
        <is>
          <t>LUDVIKA</t>
        </is>
      </c>
      <c r="F394" t="inlineStr">
        <is>
          <t>Naturvårdsverket</t>
        </is>
      </c>
      <c r="G394" t="n">
        <v>4.3</v>
      </c>
      <c r="H394" t="n">
        <v>0</v>
      </c>
      <c r="I394" t="n">
        <v>0</v>
      </c>
      <c r="J394" t="n">
        <v>0</v>
      </c>
      <c r="K394" t="n">
        <v>0</v>
      </c>
      <c r="L394" t="n">
        <v>0</v>
      </c>
      <c r="M394" t="n">
        <v>0</v>
      </c>
      <c r="N394" t="n">
        <v>0</v>
      </c>
      <c r="O394" t="n">
        <v>0</v>
      </c>
      <c r="P394" t="n">
        <v>0</v>
      </c>
      <c r="Q394" t="n">
        <v>0</v>
      </c>
      <c r="R394" s="2" t="inlineStr"/>
    </row>
    <row r="395" ht="15" customHeight="1">
      <c r="A395" t="inlineStr">
        <is>
          <t>A 45230-2022</t>
        </is>
      </c>
      <c r="B395" s="1" t="n">
        <v>44844</v>
      </c>
      <c r="C395" s="1" t="n">
        <v>45505</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45268-2022</t>
        </is>
      </c>
      <c r="B396" s="1" t="n">
        <v>44844</v>
      </c>
      <c r="C396" s="1" t="n">
        <v>45505</v>
      </c>
      <c r="D396" t="inlineStr">
        <is>
          <t>DALARNAS LÄN</t>
        </is>
      </c>
      <c r="E396" t="inlineStr">
        <is>
          <t>LUDVIKA</t>
        </is>
      </c>
      <c r="F396" t="inlineStr">
        <is>
          <t>Naturvårdsverket</t>
        </is>
      </c>
      <c r="G396" t="n">
        <v>2.3</v>
      </c>
      <c r="H396" t="n">
        <v>0</v>
      </c>
      <c r="I396" t="n">
        <v>0</v>
      </c>
      <c r="J396" t="n">
        <v>0</v>
      </c>
      <c r="K396" t="n">
        <v>0</v>
      </c>
      <c r="L396" t="n">
        <v>0</v>
      </c>
      <c r="M396" t="n">
        <v>0</v>
      </c>
      <c r="N396" t="n">
        <v>0</v>
      </c>
      <c r="O396" t="n">
        <v>0</v>
      </c>
      <c r="P396" t="n">
        <v>0</v>
      </c>
      <c r="Q396" t="n">
        <v>0</v>
      </c>
      <c r="R396" s="2" t="inlineStr"/>
    </row>
    <row r="397" ht="15" customHeight="1">
      <c r="A397" t="inlineStr">
        <is>
          <t>A 45361-2022</t>
        </is>
      </c>
      <c r="B397" s="1" t="n">
        <v>44844</v>
      </c>
      <c r="C397" s="1" t="n">
        <v>45505</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45458-2022</t>
        </is>
      </c>
      <c r="B398" s="1" t="n">
        <v>44845</v>
      </c>
      <c r="C398" s="1" t="n">
        <v>45505</v>
      </c>
      <c r="D398" t="inlineStr">
        <is>
          <t>DALARNAS LÄN</t>
        </is>
      </c>
      <c r="E398" t="inlineStr">
        <is>
          <t>LUDVIKA</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46878-2022</t>
        </is>
      </c>
      <c r="B399" s="1" t="n">
        <v>44848</v>
      </c>
      <c r="C399" s="1" t="n">
        <v>45505</v>
      </c>
      <c r="D399" t="inlineStr">
        <is>
          <t>DALARNAS LÄN</t>
        </is>
      </c>
      <c r="E399" t="inlineStr">
        <is>
          <t>LUDVIKA</t>
        </is>
      </c>
      <c r="G399" t="n">
        <v>4</v>
      </c>
      <c r="H399" t="n">
        <v>0</v>
      </c>
      <c r="I399" t="n">
        <v>0</v>
      </c>
      <c r="J399" t="n">
        <v>0</v>
      </c>
      <c r="K399" t="n">
        <v>0</v>
      </c>
      <c r="L399" t="n">
        <v>0</v>
      </c>
      <c r="M399" t="n">
        <v>0</v>
      </c>
      <c r="N399" t="n">
        <v>0</v>
      </c>
      <c r="O399" t="n">
        <v>0</v>
      </c>
      <c r="P399" t="n">
        <v>0</v>
      </c>
      <c r="Q399" t="n">
        <v>0</v>
      </c>
      <c r="R399" s="2" t="inlineStr"/>
    </row>
    <row r="400" ht="15" customHeight="1">
      <c r="A400" t="inlineStr">
        <is>
          <t>A 46680-2022</t>
        </is>
      </c>
      <c r="B400" s="1" t="n">
        <v>44851</v>
      </c>
      <c r="C400" s="1" t="n">
        <v>45505</v>
      </c>
      <c r="D400" t="inlineStr">
        <is>
          <t>DALARNAS LÄN</t>
        </is>
      </c>
      <c r="E400" t="inlineStr">
        <is>
          <t>LUDVIKA</t>
        </is>
      </c>
      <c r="G400" t="n">
        <v>2.6</v>
      </c>
      <c r="H400" t="n">
        <v>0</v>
      </c>
      <c r="I400" t="n">
        <v>0</v>
      </c>
      <c r="J400" t="n">
        <v>0</v>
      </c>
      <c r="K400" t="n">
        <v>0</v>
      </c>
      <c r="L400" t="n">
        <v>0</v>
      </c>
      <c r="M400" t="n">
        <v>0</v>
      </c>
      <c r="N400" t="n">
        <v>0</v>
      </c>
      <c r="O400" t="n">
        <v>0</v>
      </c>
      <c r="P400" t="n">
        <v>0</v>
      </c>
      <c r="Q400" t="n">
        <v>0</v>
      </c>
      <c r="R400" s="2" t="inlineStr"/>
    </row>
    <row r="401" ht="15" customHeight="1">
      <c r="A401" t="inlineStr">
        <is>
          <t>A 46905-2022</t>
        </is>
      </c>
      <c r="B401" s="1" t="n">
        <v>44851</v>
      </c>
      <c r="C401" s="1" t="n">
        <v>45505</v>
      </c>
      <c r="D401" t="inlineStr">
        <is>
          <t>DALARNAS LÄN</t>
        </is>
      </c>
      <c r="E401" t="inlineStr">
        <is>
          <t>LUDVIKA</t>
        </is>
      </c>
      <c r="F401" t="inlineStr">
        <is>
          <t>Naturvårdsverket</t>
        </is>
      </c>
      <c r="G401" t="n">
        <v>0.6</v>
      </c>
      <c r="H401" t="n">
        <v>0</v>
      </c>
      <c r="I401" t="n">
        <v>0</v>
      </c>
      <c r="J401" t="n">
        <v>0</v>
      </c>
      <c r="K401" t="n">
        <v>0</v>
      </c>
      <c r="L401" t="n">
        <v>0</v>
      </c>
      <c r="M401" t="n">
        <v>0</v>
      </c>
      <c r="N401" t="n">
        <v>0</v>
      </c>
      <c r="O401" t="n">
        <v>0</v>
      </c>
      <c r="P401" t="n">
        <v>0</v>
      </c>
      <c r="Q401" t="n">
        <v>0</v>
      </c>
      <c r="R401" s="2" t="inlineStr"/>
    </row>
    <row r="402" ht="15" customHeight="1">
      <c r="A402" t="inlineStr">
        <is>
          <t>A 47071-2022</t>
        </is>
      </c>
      <c r="B402" s="1" t="n">
        <v>44852</v>
      </c>
      <c r="C402" s="1" t="n">
        <v>45505</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47496-2022</t>
        </is>
      </c>
      <c r="B403" s="1" t="n">
        <v>44853</v>
      </c>
      <c r="C403" s="1" t="n">
        <v>45505</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47731-2022</t>
        </is>
      </c>
      <c r="B404" s="1" t="n">
        <v>44854</v>
      </c>
      <c r="C404" s="1" t="n">
        <v>45505</v>
      </c>
      <c r="D404" t="inlineStr">
        <is>
          <t>DALARNAS LÄN</t>
        </is>
      </c>
      <c r="E404" t="inlineStr">
        <is>
          <t>LUDVIKA</t>
        </is>
      </c>
      <c r="F404" t="inlineStr">
        <is>
          <t>Naturvårdsverket</t>
        </is>
      </c>
      <c r="G404" t="n">
        <v>2.1</v>
      </c>
      <c r="H404" t="n">
        <v>0</v>
      </c>
      <c r="I404" t="n">
        <v>0</v>
      </c>
      <c r="J404" t="n">
        <v>0</v>
      </c>
      <c r="K404" t="n">
        <v>0</v>
      </c>
      <c r="L404" t="n">
        <v>0</v>
      </c>
      <c r="M404" t="n">
        <v>0</v>
      </c>
      <c r="N404" t="n">
        <v>0</v>
      </c>
      <c r="O404" t="n">
        <v>0</v>
      </c>
      <c r="P404" t="n">
        <v>0</v>
      </c>
      <c r="Q404" t="n">
        <v>0</v>
      </c>
      <c r="R404" s="2" t="inlineStr"/>
    </row>
    <row r="405" ht="15" customHeight="1">
      <c r="A405" t="inlineStr">
        <is>
          <t>A 48740-2022</t>
        </is>
      </c>
      <c r="B405" s="1" t="n">
        <v>44859</v>
      </c>
      <c r="C405" s="1" t="n">
        <v>45505</v>
      </c>
      <c r="D405" t="inlineStr">
        <is>
          <t>DALARNAS LÄN</t>
        </is>
      </c>
      <c r="E405" t="inlineStr">
        <is>
          <t>LUDVIKA</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48804-2022</t>
        </is>
      </c>
      <c r="B406" s="1" t="n">
        <v>44859</v>
      </c>
      <c r="C406" s="1" t="n">
        <v>45505</v>
      </c>
      <c r="D406" t="inlineStr">
        <is>
          <t>DALARNAS LÄN</t>
        </is>
      </c>
      <c r="E406" t="inlineStr">
        <is>
          <t>LUDVIKA</t>
        </is>
      </c>
      <c r="F406" t="inlineStr">
        <is>
          <t>Naturvårdsverket</t>
        </is>
      </c>
      <c r="G406" t="n">
        <v>5.1</v>
      </c>
      <c r="H406" t="n">
        <v>0</v>
      </c>
      <c r="I406" t="n">
        <v>0</v>
      </c>
      <c r="J406" t="n">
        <v>0</v>
      </c>
      <c r="K406" t="n">
        <v>0</v>
      </c>
      <c r="L406" t="n">
        <v>0</v>
      </c>
      <c r="M406" t="n">
        <v>0</v>
      </c>
      <c r="N406" t="n">
        <v>0</v>
      </c>
      <c r="O406" t="n">
        <v>0</v>
      </c>
      <c r="P406" t="n">
        <v>0</v>
      </c>
      <c r="Q406" t="n">
        <v>0</v>
      </c>
      <c r="R406" s="2" t="inlineStr"/>
    </row>
    <row r="407" ht="15" customHeight="1">
      <c r="A407" t="inlineStr">
        <is>
          <t>A 48642-2022</t>
        </is>
      </c>
      <c r="B407" s="1" t="n">
        <v>44859</v>
      </c>
      <c r="C407" s="1" t="n">
        <v>45505</v>
      </c>
      <c r="D407" t="inlineStr">
        <is>
          <t>DALARNAS LÄN</t>
        </is>
      </c>
      <c r="E407" t="inlineStr">
        <is>
          <t>LUDVIKA</t>
        </is>
      </c>
      <c r="F407" t="inlineStr">
        <is>
          <t>Naturvårdsverket</t>
        </is>
      </c>
      <c r="G407" t="n">
        <v>1.5</v>
      </c>
      <c r="H407" t="n">
        <v>0</v>
      </c>
      <c r="I407" t="n">
        <v>0</v>
      </c>
      <c r="J407" t="n">
        <v>0</v>
      </c>
      <c r="K407" t="n">
        <v>0</v>
      </c>
      <c r="L407" t="n">
        <v>0</v>
      </c>
      <c r="M407" t="n">
        <v>0</v>
      </c>
      <c r="N407" t="n">
        <v>0</v>
      </c>
      <c r="O407" t="n">
        <v>0</v>
      </c>
      <c r="P407" t="n">
        <v>0</v>
      </c>
      <c r="Q407" t="n">
        <v>0</v>
      </c>
      <c r="R407" s="2" t="inlineStr"/>
    </row>
    <row r="408" ht="15" customHeight="1">
      <c r="A408" t="inlineStr">
        <is>
          <t>A 48715-2022</t>
        </is>
      </c>
      <c r="B408" s="1" t="n">
        <v>44859</v>
      </c>
      <c r="C408" s="1" t="n">
        <v>45505</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48748-2022</t>
        </is>
      </c>
      <c r="B409" s="1" t="n">
        <v>44859</v>
      </c>
      <c r="C409" s="1" t="n">
        <v>45505</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48857-2022</t>
        </is>
      </c>
      <c r="B410" s="1" t="n">
        <v>44859</v>
      </c>
      <c r="C410" s="1" t="n">
        <v>45505</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48673-2022</t>
        </is>
      </c>
      <c r="B411" s="1" t="n">
        <v>44859</v>
      </c>
      <c r="C411" s="1" t="n">
        <v>45505</v>
      </c>
      <c r="D411" t="inlineStr">
        <is>
          <t>DALARNAS LÄN</t>
        </is>
      </c>
      <c r="E411" t="inlineStr">
        <is>
          <t>LUDVIKA</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48759-2022</t>
        </is>
      </c>
      <c r="B412" s="1" t="n">
        <v>44859</v>
      </c>
      <c r="C412" s="1" t="n">
        <v>45505</v>
      </c>
      <c r="D412" t="inlineStr">
        <is>
          <t>DALARNAS LÄN</t>
        </is>
      </c>
      <c r="E412" t="inlineStr">
        <is>
          <t>LUDVIKA</t>
        </is>
      </c>
      <c r="F412" t="inlineStr">
        <is>
          <t>Naturvårdsverket</t>
        </is>
      </c>
      <c r="G412" t="n">
        <v>4.2</v>
      </c>
      <c r="H412" t="n">
        <v>0</v>
      </c>
      <c r="I412" t="n">
        <v>0</v>
      </c>
      <c r="J412" t="n">
        <v>0</v>
      </c>
      <c r="K412" t="n">
        <v>0</v>
      </c>
      <c r="L412" t="n">
        <v>0</v>
      </c>
      <c r="M412" t="n">
        <v>0</v>
      </c>
      <c r="N412" t="n">
        <v>0</v>
      </c>
      <c r="O412" t="n">
        <v>0</v>
      </c>
      <c r="P412" t="n">
        <v>0</v>
      </c>
      <c r="Q412" t="n">
        <v>0</v>
      </c>
      <c r="R412" s="2" t="inlineStr"/>
    </row>
    <row r="413" ht="15" customHeight="1">
      <c r="A413" t="inlineStr">
        <is>
          <t>A 49371-2022</t>
        </is>
      </c>
      <c r="B413" s="1" t="n">
        <v>44861</v>
      </c>
      <c r="C413" s="1" t="n">
        <v>45505</v>
      </c>
      <c r="D413" t="inlineStr">
        <is>
          <t>DALARNAS LÄN</t>
        </is>
      </c>
      <c r="E413" t="inlineStr">
        <is>
          <t>LUDVIKA</t>
        </is>
      </c>
      <c r="F413" t="inlineStr">
        <is>
          <t>Bergvik skog väst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49564-2022</t>
        </is>
      </c>
      <c r="B414" s="1" t="n">
        <v>44862</v>
      </c>
      <c r="C414" s="1" t="n">
        <v>45505</v>
      </c>
      <c r="D414" t="inlineStr">
        <is>
          <t>DALARNAS LÄN</t>
        </is>
      </c>
      <c r="E414" t="inlineStr">
        <is>
          <t>LUDVIKA</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50078-2022</t>
        </is>
      </c>
      <c r="B415" s="1" t="n">
        <v>44865</v>
      </c>
      <c r="C415" s="1" t="n">
        <v>45505</v>
      </c>
      <c r="D415" t="inlineStr">
        <is>
          <t>DALARNAS LÄN</t>
        </is>
      </c>
      <c r="E415" t="inlineStr">
        <is>
          <t>LUDVIKA</t>
        </is>
      </c>
      <c r="F415" t="inlineStr">
        <is>
          <t>Naturvårdsverket</t>
        </is>
      </c>
      <c r="G415" t="n">
        <v>0.7</v>
      </c>
      <c r="H415" t="n">
        <v>0</v>
      </c>
      <c r="I415" t="n">
        <v>0</v>
      </c>
      <c r="J415" t="n">
        <v>0</v>
      </c>
      <c r="K415" t="n">
        <v>0</v>
      </c>
      <c r="L415" t="n">
        <v>0</v>
      </c>
      <c r="M415" t="n">
        <v>0</v>
      </c>
      <c r="N415" t="n">
        <v>0</v>
      </c>
      <c r="O415" t="n">
        <v>0</v>
      </c>
      <c r="P415" t="n">
        <v>0</v>
      </c>
      <c r="Q415" t="n">
        <v>0</v>
      </c>
      <c r="R415" s="2" t="inlineStr"/>
    </row>
    <row r="416" ht="15" customHeight="1">
      <c r="A416" t="inlineStr">
        <is>
          <t>A 49951-2022</t>
        </is>
      </c>
      <c r="B416" s="1" t="n">
        <v>44865</v>
      </c>
      <c r="C416" s="1" t="n">
        <v>45505</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50057-2022</t>
        </is>
      </c>
      <c r="B417" s="1" t="n">
        <v>44865</v>
      </c>
      <c r="C417" s="1" t="n">
        <v>45505</v>
      </c>
      <c r="D417" t="inlineStr">
        <is>
          <t>DALARNAS LÄN</t>
        </is>
      </c>
      <c r="E417" t="inlineStr">
        <is>
          <t>LUDVIKA</t>
        </is>
      </c>
      <c r="F417" t="inlineStr">
        <is>
          <t>Naturvårdsverket</t>
        </is>
      </c>
      <c r="G417" t="n">
        <v>2.3</v>
      </c>
      <c r="H417" t="n">
        <v>0</v>
      </c>
      <c r="I417" t="n">
        <v>0</v>
      </c>
      <c r="J417" t="n">
        <v>0</v>
      </c>
      <c r="K417" t="n">
        <v>0</v>
      </c>
      <c r="L417" t="n">
        <v>0</v>
      </c>
      <c r="M417" t="n">
        <v>0</v>
      </c>
      <c r="N417" t="n">
        <v>0</v>
      </c>
      <c r="O417" t="n">
        <v>0</v>
      </c>
      <c r="P417" t="n">
        <v>0</v>
      </c>
      <c r="Q417" t="n">
        <v>0</v>
      </c>
      <c r="R417" s="2" t="inlineStr"/>
    </row>
    <row r="418" ht="15" customHeight="1">
      <c r="A418" t="inlineStr">
        <is>
          <t>A 50814-2022</t>
        </is>
      </c>
      <c r="B418" s="1" t="n">
        <v>44867</v>
      </c>
      <c r="C418" s="1" t="n">
        <v>45505</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50862-2022</t>
        </is>
      </c>
      <c r="B419" s="1" t="n">
        <v>44867</v>
      </c>
      <c r="C419" s="1" t="n">
        <v>45505</v>
      </c>
      <c r="D419" t="inlineStr">
        <is>
          <t>DALARNAS LÄN</t>
        </is>
      </c>
      <c r="E419" t="inlineStr">
        <is>
          <t>LUDVIKA</t>
        </is>
      </c>
      <c r="F419" t="inlineStr">
        <is>
          <t>Naturvårdsverket</t>
        </is>
      </c>
      <c r="G419" t="n">
        <v>14</v>
      </c>
      <c r="H419" t="n">
        <v>0</v>
      </c>
      <c r="I419" t="n">
        <v>0</v>
      </c>
      <c r="J419" t="n">
        <v>0</v>
      </c>
      <c r="K419" t="n">
        <v>0</v>
      </c>
      <c r="L419" t="n">
        <v>0</v>
      </c>
      <c r="M419" t="n">
        <v>0</v>
      </c>
      <c r="N419" t="n">
        <v>0</v>
      </c>
      <c r="O419" t="n">
        <v>0</v>
      </c>
      <c r="P419" t="n">
        <v>0</v>
      </c>
      <c r="Q419" t="n">
        <v>0</v>
      </c>
      <c r="R419" s="2" t="inlineStr"/>
    </row>
    <row r="420" ht="15" customHeight="1">
      <c r="A420" t="inlineStr">
        <is>
          <t>A 51386-2022</t>
        </is>
      </c>
      <c r="B420" s="1" t="n">
        <v>44869</v>
      </c>
      <c r="C420" s="1" t="n">
        <v>45505</v>
      </c>
      <c r="D420" t="inlineStr">
        <is>
          <t>DALARNAS LÄN</t>
        </is>
      </c>
      <c r="E420" t="inlineStr">
        <is>
          <t>LUDVIKA</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51453-2022</t>
        </is>
      </c>
      <c r="B421" s="1" t="n">
        <v>44869</v>
      </c>
      <c r="C421" s="1" t="n">
        <v>45505</v>
      </c>
      <c r="D421" t="inlineStr">
        <is>
          <t>DALARNAS LÄN</t>
        </is>
      </c>
      <c r="E421" t="inlineStr">
        <is>
          <t>LUDVIKA</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52303-2022</t>
        </is>
      </c>
      <c r="B422" s="1" t="n">
        <v>44869</v>
      </c>
      <c r="C422" s="1" t="n">
        <v>45505</v>
      </c>
      <c r="D422" t="inlineStr">
        <is>
          <t>DALARNAS LÄN</t>
        </is>
      </c>
      <c r="E422" t="inlineStr">
        <is>
          <t>LUDVIKA</t>
        </is>
      </c>
      <c r="G422" t="n">
        <v>1</v>
      </c>
      <c r="H422" t="n">
        <v>0</v>
      </c>
      <c r="I422" t="n">
        <v>0</v>
      </c>
      <c r="J422" t="n">
        <v>0</v>
      </c>
      <c r="K422" t="n">
        <v>0</v>
      </c>
      <c r="L422" t="n">
        <v>0</v>
      </c>
      <c r="M422" t="n">
        <v>0</v>
      </c>
      <c r="N422" t="n">
        <v>0</v>
      </c>
      <c r="O422" t="n">
        <v>0</v>
      </c>
      <c r="P422" t="n">
        <v>0</v>
      </c>
      <c r="Q422" t="n">
        <v>0</v>
      </c>
      <c r="R422" s="2" t="inlineStr"/>
    </row>
    <row r="423" ht="15" customHeight="1">
      <c r="A423" t="inlineStr">
        <is>
          <t>A 51713-2022</t>
        </is>
      </c>
      <c r="B423" s="1" t="n">
        <v>44872</v>
      </c>
      <c r="C423" s="1" t="n">
        <v>45505</v>
      </c>
      <c r="D423" t="inlineStr">
        <is>
          <t>DALARNAS LÄN</t>
        </is>
      </c>
      <c r="E423" t="inlineStr">
        <is>
          <t>LUDVIKA</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51659-2022</t>
        </is>
      </c>
      <c r="B424" s="1" t="n">
        <v>44872</v>
      </c>
      <c r="C424" s="1" t="n">
        <v>45505</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51709-2022</t>
        </is>
      </c>
      <c r="B425" s="1" t="n">
        <v>44872</v>
      </c>
      <c r="C425" s="1" t="n">
        <v>45505</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51886-2022</t>
        </is>
      </c>
      <c r="B426" s="1" t="n">
        <v>44872</v>
      </c>
      <c r="C426" s="1" t="n">
        <v>45505</v>
      </c>
      <c r="D426" t="inlineStr">
        <is>
          <t>DALARNAS LÄN</t>
        </is>
      </c>
      <c r="E426" t="inlineStr">
        <is>
          <t>LUDVIKA</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52432-2022</t>
        </is>
      </c>
      <c r="B427" s="1" t="n">
        <v>44874</v>
      </c>
      <c r="C427" s="1" t="n">
        <v>45505</v>
      </c>
      <c r="D427" t="inlineStr">
        <is>
          <t>DALARNAS LÄN</t>
        </is>
      </c>
      <c r="E427" t="inlineStr">
        <is>
          <t>LUDVIKA</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53509-2022</t>
        </is>
      </c>
      <c r="B428" s="1" t="n">
        <v>44879</v>
      </c>
      <c r="C428" s="1" t="n">
        <v>45505</v>
      </c>
      <c r="D428" t="inlineStr">
        <is>
          <t>DALARNAS LÄN</t>
        </is>
      </c>
      <c r="E428" t="inlineStr">
        <is>
          <t>LUDVIKA</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53619-2022</t>
        </is>
      </c>
      <c r="B429" s="1" t="n">
        <v>44879</v>
      </c>
      <c r="C429" s="1" t="n">
        <v>45505</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v>
      </c>
      <c r="C430" s="1" t="n">
        <v>45505</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53705-2022</t>
        </is>
      </c>
      <c r="B431" s="1" t="n">
        <v>44880</v>
      </c>
      <c r="C431" s="1" t="n">
        <v>45505</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54730-2022</t>
        </is>
      </c>
      <c r="B432" s="1" t="n">
        <v>44883</v>
      </c>
      <c r="C432" s="1" t="n">
        <v>45505</v>
      </c>
      <c r="D432" t="inlineStr">
        <is>
          <t>DALARNAS LÄN</t>
        </is>
      </c>
      <c r="E432" t="inlineStr">
        <is>
          <t>LUDVIKA</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54767-2022</t>
        </is>
      </c>
      <c r="B433" s="1" t="n">
        <v>44883</v>
      </c>
      <c r="C433" s="1" t="n">
        <v>45505</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54914-2022</t>
        </is>
      </c>
      <c r="B434" s="1" t="n">
        <v>44886</v>
      </c>
      <c r="C434" s="1" t="n">
        <v>45505</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55262-2022</t>
        </is>
      </c>
      <c r="B435" s="1" t="n">
        <v>44887</v>
      </c>
      <c r="C435" s="1" t="n">
        <v>45505</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56346-2022</t>
        </is>
      </c>
      <c r="B436" s="1" t="n">
        <v>44890</v>
      </c>
      <c r="C436" s="1" t="n">
        <v>45505</v>
      </c>
      <c r="D436" t="inlineStr">
        <is>
          <t>DALARNAS LÄN</t>
        </is>
      </c>
      <c r="E436" t="inlineStr">
        <is>
          <t>LUDVIKA</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56347-2022</t>
        </is>
      </c>
      <c r="B437" s="1" t="n">
        <v>44890</v>
      </c>
      <c r="C437" s="1" t="n">
        <v>45505</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56680-2022</t>
        </is>
      </c>
      <c r="B438" s="1" t="n">
        <v>44893</v>
      </c>
      <c r="C438" s="1" t="n">
        <v>45505</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56686-2022</t>
        </is>
      </c>
      <c r="B439" s="1" t="n">
        <v>44893</v>
      </c>
      <c r="C439" s="1" t="n">
        <v>45505</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56685-2022</t>
        </is>
      </c>
      <c r="B440" s="1" t="n">
        <v>44893</v>
      </c>
      <c r="C440" s="1" t="n">
        <v>45505</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57193-2022</t>
        </is>
      </c>
      <c r="B441" s="1" t="n">
        <v>44895</v>
      </c>
      <c r="C441" s="1" t="n">
        <v>45505</v>
      </c>
      <c r="D441" t="inlineStr">
        <is>
          <t>DALARNAS LÄN</t>
        </is>
      </c>
      <c r="E441" t="inlineStr">
        <is>
          <t>LUDVIKA</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58021-2022</t>
        </is>
      </c>
      <c r="B442" s="1" t="n">
        <v>44900</v>
      </c>
      <c r="C442" s="1" t="n">
        <v>45505</v>
      </c>
      <c r="D442" t="inlineStr">
        <is>
          <t>DALARNAS LÄN</t>
        </is>
      </c>
      <c r="E442" t="inlineStr">
        <is>
          <t>LUDVIKA</t>
        </is>
      </c>
      <c r="F442" t="inlineStr">
        <is>
          <t>Bergvik skog väst AB</t>
        </is>
      </c>
      <c r="G442" t="n">
        <v>22.3</v>
      </c>
      <c r="H442" t="n">
        <v>0</v>
      </c>
      <c r="I442" t="n">
        <v>0</v>
      </c>
      <c r="J442" t="n">
        <v>0</v>
      </c>
      <c r="K442" t="n">
        <v>0</v>
      </c>
      <c r="L442" t="n">
        <v>0</v>
      </c>
      <c r="M442" t="n">
        <v>0</v>
      </c>
      <c r="N442" t="n">
        <v>0</v>
      </c>
      <c r="O442" t="n">
        <v>0</v>
      </c>
      <c r="P442" t="n">
        <v>0</v>
      </c>
      <c r="Q442" t="n">
        <v>0</v>
      </c>
      <c r="R442" s="2" t="inlineStr"/>
    </row>
    <row r="443" ht="15" customHeight="1">
      <c r="A443" t="inlineStr">
        <is>
          <t>A 59050-2022</t>
        </is>
      </c>
      <c r="B443" s="1" t="n">
        <v>44903</v>
      </c>
      <c r="C443" s="1" t="n">
        <v>45505</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59415-2022</t>
        </is>
      </c>
      <c r="B444" s="1" t="n">
        <v>44907</v>
      </c>
      <c r="C444" s="1" t="n">
        <v>45505</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59413-2022</t>
        </is>
      </c>
      <c r="B445" s="1" t="n">
        <v>44907</v>
      </c>
      <c r="C445" s="1" t="n">
        <v>45505</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61050-2022</t>
        </is>
      </c>
      <c r="B446" s="1" t="n">
        <v>44915</v>
      </c>
      <c r="C446" s="1" t="n">
        <v>45505</v>
      </c>
      <c r="D446" t="inlineStr">
        <is>
          <t>DALARNAS LÄN</t>
        </is>
      </c>
      <c r="E446" t="inlineStr">
        <is>
          <t>LUDVIKA</t>
        </is>
      </c>
      <c r="G446" t="n">
        <v>2.4</v>
      </c>
      <c r="H446" t="n">
        <v>0</v>
      </c>
      <c r="I446" t="n">
        <v>0</v>
      </c>
      <c r="J446" t="n">
        <v>0</v>
      </c>
      <c r="K446" t="n">
        <v>0</v>
      </c>
      <c r="L446" t="n">
        <v>0</v>
      </c>
      <c r="M446" t="n">
        <v>0</v>
      </c>
      <c r="N446" t="n">
        <v>0</v>
      </c>
      <c r="O446" t="n">
        <v>0</v>
      </c>
      <c r="P446" t="n">
        <v>0</v>
      </c>
      <c r="Q446" t="n">
        <v>0</v>
      </c>
      <c r="R446" s="2" t="inlineStr"/>
    </row>
    <row r="447" ht="15" customHeight="1">
      <c r="A447" t="inlineStr">
        <is>
          <t>A 61309-2022</t>
        </is>
      </c>
      <c r="B447" s="1" t="n">
        <v>44915</v>
      </c>
      <c r="C447" s="1" t="n">
        <v>45505</v>
      </c>
      <c r="D447" t="inlineStr">
        <is>
          <t>DALARNAS LÄN</t>
        </is>
      </c>
      <c r="E447" t="inlineStr">
        <is>
          <t>LUDVIKA</t>
        </is>
      </c>
      <c r="F447" t="inlineStr">
        <is>
          <t>Bergvik skog väst AB</t>
        </is>
      </c>
      <c r="G447" t="n">
        <v>2.3</v>
      </c>
      <c r="H447" t="n">
        <v>0</v>
      </c>
      <c r="I447" t="n">
        <v>0</v>
      </c>
      <c r="J447" t="n">
        <v>0</v>
      </c>
      <c r="K447" t="n">
        <v>0</v>
      </c>
      <c r="L447" t="n">
        <v>0</v>
      </c>
      <c r="M447" t="n">
        <v>0</v>
      </c>
      <c r="N447" t="n">
        <v>0</v>
      </c>
      <c r="O447" t="n">
        <v>0</v>
      </c>
      <c r="P447" t="n">
        <v>0</v>
      </c>
      <c r="Q447" t="n">
        <v>0</v>
      </c>
      <c r="R447" s="2" t="inlineStr"/>
    </row>
    <row r="448" ht="15" customHeight="1">
      <c r="A448" t="inlineStr">
        <is>
          <t>A 61278-2022</t>
        </is>
      </c>
      <c r="B448" s="1" t="n">
        <v>44915</v>
      </c>
      <c r="C448" s="1" t="n">
        <v>45505</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61621-2022</t>
        </is>
      </c>
      <c r="B449" s="1" t="n">
        <v>44916</v>
      </c>
      <c r="C449" s="1" t="n">
        <v>45505</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62275-2022</t>
        </is>
      </c>
      <c r="B450" s="1" t="n">
        <v>44923</v>
      </c>
      <c r="C450" s="1" t="n">
        <v>45505</v>
      </c>
      <c r="D450" t="inlineStr">
        <is>
          <t>DALARNAS LÄN</t>
        </is>
      </c>
      <c r="E450" t="inlineStr">
        <is>
          <t>LUDVIKA</t>
        </is>
      </c>
      <c r="G450" t="n">
        <v>4.6</v>
      </c>
      <c r="H450" t="n">
        <v>0</v>
      </c>
      <c r="I450" t="n">
        <v>0</v>
      </c>
      <c r="J450" t="n">
        <v>0</v>
      </c>
      <c r="K450" t="n">
        <v>0</v>
      </c>
      <c r="L450" t="n">
        <v>0</v>
      </c>
      <c r="M450" t="n">
        <v>0</v>
      </c>
      <c r="N450" t="n">
        <v>0</v>
      </c>
      <c r="O450" t="n">
        <v>0</v>
      </c>
      <c r="P450" t="n">
        <v>0</v>
      </c>
      <c r="Q450" t="n">
        <v>0</v>
      </c>
      <c r="R450" s="2" t="inlineStr"/>
    </row>
    <row r="451" ht="15" customHeight="1">
      <c r="A451" t="inlineStr">
        <is>
          <t>A 400-2023</t>
        </is>
      </c>
      <c r="B451" s="1" t="n">
        <v>44929</v>
      </c>
      <c r="C451" s="1" t="n">
        <v>45505</v>
      </c>
      <c r="D451" t="inlineStr">
        <is>
          <t>DALARNAS LÄN</t>
        </is>
      </c>
      <c r="E451" t="inlineStr">
        <is>
          <t>LUDVIKA</t>
        </is>
      </c>
      <c r="G451" t="n">
        <v>3.6</v>
      </c>
      <c r="H451" t="n">
        <v>0</v>
      </c>
      <c r="I451" t="n">
        <v>0</v>
      </c>
      <c r="J451" t="n">
        <v>0</v>
      </c>
      <c r="K451" t="n">
        <v>0</v>
      </c>
      <c r="L451" t="n">
        <v>0</v>
      </c>
      <c r="M451" t="n">
        <v>0</v>
      </c>
      <c r="N451" t="n">
        <v>0</v>
      </c>
      <c r="O451" t="n">
        <v>0</v>
      </c>
      <c r="P451" t="n">
        <v>0</v>
      </c>
      <c r="Q451" t="n">
        <v>0</v>
      </c>
      <c r="R451" s="2" t="inlineStr"/>
    </row>
    <row r="452" ht="15" customHeight="1">
      <c r="A452" t="inlineStr">
        <is>
          <t>A 381-2023</t>
        </is>
      </c>
      <c r="B452" s="1" t="n">
        <v>44929</v>
      </c>
      <c r="C452" s="1" t="n">
        <v>45505</v>
      </c>
      <c r="D452" t="inlineStr">
        <is>
          <t>DALARNAS LÄN</t>
        </is>
      </c>
      <c r="E452" t="inlineStr">
        <is>
          <t>LUDVIKA</t>
        </is>
      </c>
      <c r="G452" t="n">
        <v>7.9</v>
      </c>
      <c r="H452" t="n">
        <v>0</v>
      </c>
      <c r="I452" t="n">
        <v>0</v>
      </c>
      <c r="J452" t="n">
        <v>0</v>
      </c>
      <c r="K452" t="n">
        <v>0</v>
      </c>
      <c r="L452" t="n">
        <v>0</v>
      </c>
      <c r="M452" t="n">
        <v>0</v>
      </c>
      <c r="N452" t="n">
        <v>0</v>
      </c>
      <c r="O452" t="n">
        <v>0</v>
      </c>
      <c r="P452" t="n">
        <v>0</v>
      </c>
      <c r="Q452" t="n">
        <v>0</v>
      </c>
      <c r="R452" s="2" t="inlineStr"/>
    </row>
    <row r="453" ht="15" customHeight="1">
      <c r="A453" t="inlineStr">
        <is>
          <t>A 1047-2023</t>
        </is>
      </c>
      <c r="B453" s="1" t="n">
        <v>44929</v>
      </c>
      <c r="C453" s="1" t="n">
        <v>45505</v>
      </c>
      <c r="D453" t="inlineStr">
        <is>
          <t>DALARNAS LÄN</t>
        </is>
      </c>
      <c r="E453" t="inlineStr">
        <is>
          <t>LUDVIKA</t>
        </is>
      </c>
      <c r="F453" t="inlineStr">
        <is>
          <t>Kommuner</t>
        </is>
      </c>
      <c r="G453" t="n">
        <v>3.2</v>
      </c>
      <c r="H453" t="n">
        <v>0</v>
      </c>
      <c r="I453" t="n">
        <v>0</v>
      </c>
      <c r="J453" t="n">
        <v>0</v>
      </c>
      <c r="K453" t="n">
        <v>0</v>
      </c>
      <c r="L453" t="n">
        <v>0</v>
      </c>
      <c r="M453" t="n">
        <v>0</v>
      </c>
      <c r="N453" t="n">
        <v>0</v>
      </c>
      <c r="O453" t="n">
        <v>0</v>
      </c>
      <c r="P453" t="n">
        <v>0</v>
      </c>
      <c r="Q453" t="n">
        <v>0</v>
      </c>
      <c r="R453" s="2" t="inlineStr"/>
    </row>
    <row r="454" ht="15" customHeight="1">
      <c r="A454" t="inlineStr">
        <is>
          <t>A 1647-2023</t>
        </is>
      </c>
      <c r="B454" s="1" t="n">
        <v>44937</v>
      </c>
      <c r="C454" s="1" t="n">
        <v>45505</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1852-2023</t>
        </is>
      </c>
      <c r="B455" s="1" t="n">
        <v>44938</v>
      </c>
      <c r="C455" s="1" t="n">
        <v>45505</v>
      </c>
      <c r="D455" t="inlineStr">
        <is>
          <t>DALARNAS LÄN</t>
        </is>
      </c>
      <c r="E455" t="inlineStr">
        <is>
          <t>LUDVIKA</t>
        </is>
      </c>
      <c r="G455" t="n">
        <v>4</v>
      </c>
      <c r="H455" t="n">
        <v>0</v>
      </c>
      <c r="I455" t="n">
        <v>0</v>
      </c>
      <c r="J455" t="n">
        <v>0</v>
      </c>
      <c r="K455" t="n">
        <v>0</v>
      </c>
      <c r="L455" t="n">
        <v>0</v>
      </c>
      <c r="M455" t="n">
        <v>0</v>
      </c>
      <c r="N455" t="n">
        <v>0</v>
      </c>
      <c r="O455" t="n">
        <v>0</v>
      </c>
      <c r="P455" t="n">
        <v>0</v>
      </c>
      <c r="Q455" t="n">
        <v>0</v>
      </c>
      <c r="R455" s="2" t="inlineStr"/>
    </row>
    <row r="456" ht="15" customHeight="1">
      <c r="A456" t="inlineStr">
        <is>
          <t>A 1878-2023</t>
        </is>
      </c>
      <c r="B456" s="1" t="n">
        <v>44939</v>
      </c>
      <c r="C456" s="1" t="n">
        <v>45505</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2614-2023</t>
        </is>
      </c>
      <c r="B457" s="1" t="n">
        <v>44942</v>
      </c>
      <c r="C457" s="1" t="n">
        <v>45505</v>
      </c>
      <c r="D457" t="inlineStr">
        <is>
          <t>DALARNAS LÄN</t>
        </is>
      </c>
      <c r="E457" t="inlineStr">
        <is>
          <t>LUDVIKA</t>
        </is>
      </c>
      <c r="G457" t="n">
        <v>13.1</v>
      </c>
      <c r="H457" t="n">
        <v>0</v>
      </c>
      <c r="I457" t="n">
        <v>0</v>
      </c>
      <c r="J457" t="n">
        <v>0</v>
      </c>
      <c r="K457" t="n">
        <v>0</v>
      </c>
      <c r="L457" t="n">
        <v>0</v>
      </c>
      <c r="M457" t="n">
        <v>0</v>
      </c>
      <c r="N457" t="n">
        <v>0</v>
      </c>
      <c r="O457" t="n">
        <v>0</v>
      </c>
      <c r="P457" t="n">
        <v>0</v>
      </c>
      <c r="Q457" t="n">
        <v>0</v>
      </c>
      <c r="R457" s="2" t="inlineStr"/>
    </row>
    <row r="458" ht="15" customHeight="1">
      <c r="A458" t="inlineStr">
        <is>
          <t>A 3509-2023</t>
        </is>
      </c>
      <c r="B458" s="1" t="n">
        <v>44950</v>
      </c>
      <c r="C458" s="1" t="n">
        <v>45505</v>
      </c>
      <c r="D458" t="inlineStr">
        <is>
          <t>DALARNAS LÄN</t>
        </is>
      </c>
      <c r="E458" t="inlineStr">
        <is>
          <t>LUDVIKA</t>
        </is>
      </c>
      <c r="F458" t="inlineStr">
        <is>
          <t>Naturvårdsverket</t>
        </is>
      </c>
      <c r="G458" t="n">
        <v>5.1</v>
      </c>
      <c r="H458" t="n">
        <v>0</v>
      </c>
      <c r="I458" t="n">
        <v>0</v>
      </c>
      <c r="J458" t="n">
        <v>0</v>
      </c>
      <c r="K458" t="n">
        <v>0</v>
      </c>
      <c r="L458" t="n">
        <v>0</v>
      </c>
      <c r="M458" t="n">
        <v>0</v>
      </c>
      <c r="N458" t="n">
        <v>0</v>
      </c>
      <c r="O458" t="n">
        <v>0</v>
      </c>
      <c r="P458" t="n">
        <v>0</v>
      </c>
      <c r="Q458" t="n">
        <v>0</v>
      </c>
      <c r="R458" s="2" t="inlineStr"/>
    </row>
    <row r="459" ht="15" customHeight="1">
      <c r="A459" t="inlineStr">
        <is>
          <t>A 4705-2023</t>
        </is>
      </c>
      <c r="B459" s="1" t="n">
        <v>44957</v>
      </c>
      <c r="C459" s="1" t="n">
        <v>45505</v>
      </c>
      <c r="D459" t="inlineStr">
        <is>
          <t>DALARNAS LÄN</t>
        </is>
      </c>
      <c r="E459" t="inlineStr">
        <is>
          <t>LUDVIKA</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4703-2023</t>
        </is>
      </c>
      <c r="B460" s="1" t="n">
        <v>44957</v>
      </c>
      <c r="C460" s="1" t="n">
        <v>45505</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4903-2023</t>
        </is>
      </c>
      <c r="B461" s="1" t="n">
        <v>44958</v>
      </c>
      <c r="C461" s="1" t="n">
        <v>45505</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4890-2023</t>
        </is>
      </c>
      <c r="B462" s="1" t="n">
        <v>44958</v>
      </c>
      <c r="C462" s="1" t="n">
        <v>45505</v>
      </c>
      <c r="D462" t="inlineStr">
        <is>
          <t>DALARNAS LÄN</t>
        </is>
      </c>
      <c r="E462" t="inlineStr">
        <is>
          <t>LUDVIKA</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5672-2023</t>
        </is>
      </c>
      <c r="B463" s="1" t="n">
        <v>44960</v>
      </c>
      <c r="C463" s="1" t="n">
        <v>45505</v>
      </c>
      <c r="D463" t="inlineStr">
        <is>
          <t>DALARNAS LÄN</t>
        </is>
      </c>
      <c r="E463" t="inlineStr">
        <is>
          <t>LUDVIKA</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5673-2023</t>
        </is>
      </c>
      <c r="B464" s="1" t="n">
        <v>44960</v>
      </c>
      <c r="C464" s="1" t="n">
        <v>45505</v>
      </c>
      <c r="D464" t="inlineStr">
        <is>
          <t>DALARNAS LÄN</t>
        </is>
      </c>
      <c r="E464" t="inlineStr">
        <is>
          <t>LUDVIKA</t>
        </is>
      </c>
      <c r="F464" t="inlineStr">
        <is>
          <t>Naturvårdsverket</t>
        </is>
      </c>
      <c r="G464" t="n">
        <v>0.7</v>
      </c>
      <c r="H464" t="n">
        <v>0</v>
      </c>
      <c r="I464" t="n">
        <v>0</v>
      </c>
      <c r="J464" t="n">
        <v>0</v>
      </c>
      <c r="K464" t="n">
        <v>0</v>
      </c>
      <c r="L464" t="n">
        <v>0</v>
      </c>
      <c r="M464" t="n">
        <v>0</v>
      </c>
      <c r="N464" t="n">
        <v>0</v>
      </c>
      <c r="O464" t="n">
        <v>0</v>
      </c>
      <c r="P464" t="n">
        <v>0</v>
      </c>
      <c r="Q464" t="n">
        <v>0</v>
      </c>
      <c r="R464" s="2" t="inlineStr"/>
    </row>
    <row r="465" ht="15" customHeight="1">
      <c r="A465" t="inlineStr">
        <is>
          <t>A 6579-2023</t>
        </is>
      </c>
      <c r="B465" s="1" t="n">
        <v>44960</v>
      </c>
      <c r="C465" s="1" t="n">
        <v>45505</v>
      </c>
      <c r="D465" t="inlineStr">
        <is>
          <t>DALARNAS LÄN</t>
        </is>
      </c>
      <c r="E465" t="inlineStr">
        <is>
          <t>LUDVIKA</t>
        </is>
      </c>
      <c r="G465" t="n">
        <v>3.4</v>
      </c>
      <c r="H465" t="n">
        <v>0</v>
      </c>
      <c r="I465" t="n">
        <v>0</v>
      </c>
      <c r="J465" t="n">
        <v>0</v>
      </c>
      <c r="K465" t="n">
        <v>0</v>
      </c>
      <c r="L465" t="n">
        <v>0</v>
      </c>
      <c r="M465" t="n">
        <v>0</v>
      </c>
      <c r="N465" t="n">
        <v>0</v>
      </c>
      <c r="O465" t="n">
        <v>0</v>
      </c>
      <c r="P465" t="n">
        <v>0</v>
      </c>
      <c r="Q465" t="n">
        <v>0</v>
      </c>
      <c r="R465" s="2" t="inlineStr"/>
    </row>
    <row r="466" ht="15" customHeight="1">
      <c r="A466" t="inlineStr">
        <is>
          <t>A 6593-2023</t>
        </is>
      </c>
      <c r="B466" s="1" t="n">
        <v>44960</v>
      </c>
      <c r="C466" s="1" t="n">
        <v>45505</v>
      </c>
      <c r="D466" t="inlineStr">
        <is>
          <t>DALARNAS LÄN</t>
        </is>
      </c>
      <c r="E466" t="inlineStr">
        <is>
          <t>LUDVIKA</t>
        </is>
      </c>
      <c r="G466" t="n">
        <v>3.8</v>
      </c>
      <c r="H466" t="n">
        <v>0</v>
      </c>
      <c r="I466" t="n">
        <v>0</v>
      </c>
      <c r="J466" t="n">
        <v>0</v>
      </c>
      <c r="K466" t="n">
        <v>0</v>
      </c>
      <c r="L466" t="n">
        <v>0</v>
      </c>
      <c r="M466" t="n">
        <v>0</v>
      </c>
      <c r="N466" t="n">
        <v>0</v>
      </c>
      <c r="O466" t="n">
        <v>0</v>
      </c>
      <c r="P466" t="n">
        <v>0</v>
      </c>
      <c r="Q466" t="n">
        <v>0</v>
      </c>
      <c r="R466" s="2" t="inlineStr"/>
    </row>
    <row r="467" ht="15" customHeight="1">
      <c r="A467" t="inlineStr">
        <is>
          <t>A 5599-2023</t>
        </is>
      </c>
      <c r="B467" s="1" t="n">
        <v>44960</v>
      </c>
      <c r="C467" s="1" t="n">
        <v>45505</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5752-2023</t>
        </is>
      </c>
      <c r="B468" s="1" t="n">
        <v>44963</v>
      </c>
      <c r="C468" s="1" t="n">
        <v>45505</v>
      </c>
      <c r="D468" t="inlineStr">
        <is>
          <t>DALARNAS LÄN</t>
        </is>
      </c>
      <c r="E468" t="inlineStr">
        <is>
          <t>LUDVIKA</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6010-2023</t>
        </is>
      </c>
      <c r="B469" s="1" t="n">
        <v>44964</v>
      </c>
      <c r="C469" s="1" t="n">
        <v>45505</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6281-2023</t>
        </is>
      </c>
      <c r="B470" s="1" t="n">
        <v>44965</v>
      </c>
      <c r="C470" s="1" t="n">
        <v>45505</v>
      </c>
      <c r="D470" t="inlineStr">
        <is>
          <t>DALARNAS LÄN</t>
        </is>
      </c>
      <c r="E470" t="inlineStr">
        <is>
          <t>LUDVIKA</t>
        </is>
      </c>
      <c r="G470" t="n">
        <v>7.7</v>
      </c>
      <c r="H470" t="n">
        <v>0</v>
      </c>
      <c r="I470" t="n">
        <v>0</v>
      </c>
      <c r="J470" t="n">
        <v>0</v>
      </c>
      <c r="K470" t="n">
        <v>0</v>
      </c>
      <c r="L470" t="n">
        <v>0</v>
      </c>
      <c r="M470" t="n">
        <v>0</v>
      </c>
      <c r="N470" t="n">
        <v>0</v>
      </c>
      <c r="O470" t="n">
        <v>0</v>
      </c>
      <c r="P470" t="n">
        <v>0</v>
      </c>
      <c r="Q470" t="n">
        <v>0</v>
      </c>
      <c r="R470" s="2" t="inlineStr"/>
    </row>
    <row r="471" ht="15" customHeight="1">
      <c r="A471" t="inlineStr">
        <is>
          <t>A 6564-2023</t>
        </is>
      </c>
      <c r="B471" s="1" t="n">
        <v>44966</v>
      </c>
      <c r="C471" s="1" t="n">
        <v>45505</v>
      </c>
      <c r="D471" t="inlineStr">
        <is>
          <t>DALARNAS LÄN</t>
        </is>
      </c>
      <c r="E471" t="inlineStr">
        <is>
          <t>LUDVIKA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6975-2023</t>
        </is>
      </c>
      <c r="B472" s="1" t="n">
        <v>44967</v>
      </c>
      <c r="C472" s="1" t="n">
        <v>45505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v>
      </c>
      <c r="C473" s="1" t="n">
        <v>45505</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7238-2023</t>
        </is>
      </c>
      <c r="B474" s="1" t="n">
        <v>44970</v>
      </c>
      <c r="C474" s="1" t="n">
        <v>45505</v>
      </c>
      <c r="D474" t="inlineStr">
        <is>
          <t>DALARNAS LÄN</t>
        </is>
      </c>
      <c r="E474" t="inlineStr">
        <is>
          <t>LUDVIKA</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7173-2023</t>
        </is>
      </c>
      <c r="B475" s="1" t="n">
        <v>44970</v>
      </c>
      <c r="C475" s="1" t="n">
        <v>45505</v>
      </c>
      <c r="D475" t="inlineStr">
        <is>
          <t>DALARNAS LÄN</t>
        </is>
      </c>
      <c r="E475" t="inlineStr">
        <is>
          <t>LUDVIKA</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7435-2023</t>
        </is>
      </c>
      <c r="B476" s="1" t="n">
        <v>44971</v>
      </c>
      <c r="C476" s="1" t="n">
        <v>45505</v>
      </c>
      <c r="D476" t="inlineStr">
        <is>
          <t>DALARNAS LÄN</t>
        </is>
      </c>
      <c r="E476" t="inlineStr">
        <is>
          <t>LUDVIKA</t>
        </is>
      </c>
      <c r="F476" t="inlineStr">
        <is>
          <t>Naturvårdsverket</t>
        </is>
      </c>
      <c r="G476" t="n">
        <v>0.8</v>
      </c>
      <c r="H476" t="n">
        <v>0</v>
      </c>
      <c r="I476" t="n">
        <v>0</v>
      </c>
      <c r="J476" t="n">
        <v>0</v>
      </c>
      <c r="K476" t="n">
        <v>0</v>
      </c>
      <c r="L476" t="n">
        <v>0</v>
      </c>
      <c r="M476" t="n">
        <v>0</v>
      </c>
      <c r="N476" t="n">
        <v>0</v>
      </c>
      <c r="O476" t="n">
        <v>0</v>
      </c>
      <c r="P476" t="n">
        <v>0</v>
      </c>
      <c r="Q476" t="n">
        <v>0</v>
      </c>
      <c r="R476" s="2" t="inlineStr"/>
    </row>
    <row r="477" ht="15" customHeight="1">
      <c r="A477" t="inlineStr">
        <is>
          <t>A 7539-2023</t>
        </is>
      </c>
      <c r="B477" s="1" t="n">
        <v>44972</v>
      </c>
      <c r="C477" s="1" t="n">
        <v>45505</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8076-2023</t>
        </is>
      </c>
      <c r="B478" s="1" t="n">
        <v>44974</v>
      </c>
      <c r="C478" s="1" t="n">
        <v>45505</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8703-2023</t>
        </is>
      </c>
      <c r="B479" s="1" t="n">
        <v>44978</v>
      </c>
      <c r="C479" s="1" t="n">
        <v>45505</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9386-2023</t>
        </is>
      </c>
      <c r="B480" s="1" t="n">
        <v>44981</v>
      </c>
      <c r="C480" s="1" t="n">
        <v>45505</v>
      </c>
      <c r="D480" t="inlineStr">
        <is>
          <t>DALARNAS LÄN</t>
        </is>
      </c>
      <c r="E480" t="inlineStr">
        <is>
          <t>LUDVIKA</t>
        </is>
      </c>
      <c r="G480" t="n">
        <v>6.2</v>
      </c>
      <c r="H480" t="n">
        <v>0</v>
      </c>
      <c r="I480" t="n">
        <v>0</v>
      </c>
      <c r="J480" t="n">
        <v>0</v>
      </c>
      <c r="K480" t="n">
        <v>0</v>
      </c>
      <c r="L480" t="n">
        <v>0</v>
      </c>
      <c r="M480" t="n">
        <v>0</v>
      </c>
      <c r="N480" t="n">
        <v>0</v>
      </c>
      <c r="O480" t="n">
        <v>0</v>
      </c>
      <c r="P480" t="n">
        <v>0</v>
      </c>
      <c r="Q480" t="n">
        <v>0</v>
      </c>
      <c r="R480" s="2" t="inlineStr"/>
    </row>
    <row r="481" ht="15" customHeight="1">
      <c r="A481" t="inlineStr">
        <is>
          <t>A 11797-2023</t>
        </is>
      </c>
      <c r="B481" s="1" t="n">
        <v>44994</v>
      </c>
      <c r="C481" s="1" t="n">
        <v>45505</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11755-2023</t>
        </is>
      </c>
      <c r="B482" s="1" t="n">
        <v>44994</v>
      </c>
      <c r="C482" s="1" t="n">
        <v>45505</v>
      </c>
      <c r="D482" t="inlineStr">
        <is>
          <t>DALARNAS LÄN</t>
        </is>
      </c>
      <c r="E482" t="inlineStr">
        <is>
          <t>LUDVIKA</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12096-2023</t>
        </is>
      </c>
      <c r="B483" s="1" t="n">
        <v>44998</v>
      </c>
      <c r="C483" s="1" t="n">
        <v>45505</v>
      </c>
      <c r="D483" t="inlineStr">
        <is>
          <t>DALARNAS LÄN</t>
        </is>
      </c>
      <c r="E483" t="inlineStr">
        <is>
          <t>LUDVIKA</t>
        </is>
      </c>
      <c r="G483" t="n">
        <v>1.2</v>
      </c>
      <c r="H483" t="n">
        <v>0</v>
      </c>
      <c r="I483" t="n">
        <v>0</v>
      </c>
      <c r="J483" t="n">
        <v>0</v>
      </c>
      <c r="K483" t="n">
        <v>0</v>
      </c>
      <c r="L483" t="n">
        <v>0</v>
      </c>
      <c r="M483" t="n">
        <v>0</v>
      </c>
      <c r="N483" t="n">
        <v>0</v>
      </c>
      <c r="O483" t="n">
        <v>0</v>
      </c>
      <c r="P483" t="n">
        <v>0</v>
      </c>
      <c r="Q483" t="n">
        <v>0</v>
      </c>
      <c r="R483" s="2" t="inlineStr"/>
    </row>
    <row r="484" ht="15" customHeight="1">
      <c r="A484" t="inlineStr">
        <is>
          <t>A 13180-2023</t>
        </is>
      </c>
      <c r="B484" s="1" t="n">
        <v>45002</v>
      </c>
      <c r="C484" s="1" t="n">
        <v>45505</v>
      </c>
      <c r="D484" t="inlineStr">
        <is>
          <t>DALARNAS LÄN</t>
        </is>
      </c>
      <c r="E484" t="inlineStr">
        <is>
          <t>LUDVIKA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13215-2023</t>
        </is>
      </c>
      <c r="B485" s="1" t="n">
        <v>45002</v>
      </c>
      <c r="C485" s="1" t="n">
        <v>45505</v>
      </c>
      <c r="D485" t="inlineStr">
        <is>
          <t>DALARNAS LÄN</t>
        </is>
      </c>
      <c r="E485" t="inlineStr">
        <is>
          <t>LUDVIKA</t>
        </is>
      </c>
      <c r="G485" t="n">
        <v>1.2</v>
      </c>
      <c r="H485" t="n">
        <v>0</v>
      </c>
      <c r="I485" t="n">
        <v>0</v>
      </c>
      <c r="J485" t="n">
        <v>0</v>
      </c>
      <c r="K485" t="n">
        <v>0</v>
      </c>
      <c r="L485" t="n">
        <v>0</v>
      </c>
      <c r="M485" t="n">
        <v>0</v>
      </c>
      <c r="N485" t="n">
        <v>0</v>
      </c>
      <c r="O485" t="n">
        <v>0</v>
      </c>
      <c r="P485" t="n">
        <v>0</v>
      </c>
      <c r="Q485" t="n">
        <v>0</v>
      </c>
      <c r="R485" s="2" t="inlineStr"/>
    </row>
    <row r="486" ht="15" customHeight="1">
      <c r="A486" t="inlineStr">
        <is>
          <t>A 13217-2023</t>
        </is>
      </c>
      <c r="B486" s="1" t="n">
        <v>45002</v>
      </c>
      <c r="C486" s="1" t="n">
        <v>45505</v>
      </c>
      <c r="D486" t="inlineStr">
        <is>
          <t>DALARNAS LÄN</t>
        </is>
      </c>
      <c r="E486" t="inlineStr">
        <is>
          <t>LUDVIKA</t>
        </is>
      </c>
      <c r="G486" t="n">
        <v>0.8</v>
      </c>
      <c r="H486" t="n">
        <v>0</v>
      </c>
      <c r="I486" t="n">
        <v>0</v>
      </c>
      <c r="J486" t="n">
        <v>0</v>
      </c>
      <c r="K486" t="n">
        <v>0</v>
      </c>
      <c r="L486" t="n">
        <v>0</v>
      </c>
      <c r="M486" t="n">
        <v>0</v>
      </c>
      <c r="N486" t="n">
        <v>0</v>
      </c>
      <c r="O486" t="n">
        <v>0</v>
      </c>
      <c r="P486" t="n">
        <v>0</v>
      </c>
      <c r="Q486" t="n">
        <v>0</v>
      </c>
      <c r="R486" s="2" t="inlineStr"/>
    </row>
    <row r="487" ht="15" customHeight="1">
      <c r="A487" t="inlineStr">
        <is>
          <t>A 14632-2023</t>
        </is>
      </c>
      <c r="B487" s="1" t="n">
        <v>45013</v>
      </c>
      <c r="C487" s="1" t="n">
        <v>45505</v>
      </c>
      <c r="D487" t="inlineStr">
        <is>
          <t>DALARNAS LÄN</t>
        </is>
      </c>
      <c r="E487" t="inlineStr">
        <is>
          <t>LUDVIKA</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15754-2023</t>
        </is>
      </c>
      <c r="B488" s="1" t="n">
        <v>45021</v>
      </c>
      <c r="C488" s="1" t="n">
        <v>45505</v>
      </c>
      <c r="D488" t="inlineStr">
        <is>
          <t>DALARNAS LÄN</t>
        </is>
      </c>
      <c r="E488" t="inlineStr">
        <is>
          <t>LUDVIKA</t>
        </is>
      </c>
      <c r="F488" t="inlineStr">
        <is>
          <t>Naturvårdsverket</t>
        </is>
      </c>
      <c r="G488" t="n">
        <v>1.2</v>
      </c>
      <c r="H488" t="n">
        <v>0</v>
      </c>
      <c r="I488" t="n">
        <v>0</v>
      </c>
      <c r="J488" t="n">
        <v>0</v>
      </c>
      <c r="K488" t="n">
        <v>0</v>
      </c>
      <c r="L488" t="n">
        <v>0</v>
      </c>
      <c r="M488" t="n">
        <v>0</v>
      </c>
      <c r="N488" t="n">
        <v>0</v>
      </c>
      <c r="O488" t="n">
        <v>0</v>
      </c>
      <c r="P488" t="n">
        <v>0</v>
      </c>
      <c r="Q488" t="n">
        <v>0</v>
      </c>
      <c r="R488" s="2" t="inlineStr"/>
    </row>
    <row r="489" ht="15" customHeight="1">
      <c r="A489" t="inlineStr">
        <is>
          <t>A 16630-2023</t>
        </is>
      </c>
      <c r="B489" s="1" t="n">
        <v>45030</v>
      </c>
      <c r="C489" s="1" t="n">
        <v>45505</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17032-2023</t>
        </is>
      </c>
      <c r="B490" s="1" t="n">
        <v>45034</v>
      </c>
      <c r="C490" s="1" t="n">
        <v>45505</v>
      </c>
      <c r="D490" t="inlineStr">
        <is>
          <t>DALARNAS LÄN</t>
        </is>
      </c>
      <c r="E490" t="inlineStr">
        <is>
          <t>LUDVIKA</t>
        </is>
      </c>
      <c r="F490" t="inlineStr">
        <is>
          <t>Naturvårdsverket</t>
        </is>
      </c>
      <c r="G490" t="n">
        <v>1</v>
      </c>
      <c r="H490" t="n">
        <v>0</v>
      </c>
      <c r="I490" t="n">
        <v>0</v>
      </c>
      <c r="J490" t="n">
        <v>0</v>
      </c>
      <c r="K490" t="n">
        <v>0</v>
      </c>
      <c r="L490" t="n">
        <v>0</v>
      </c>
      <c r="M490" t="n">
        <v>0</v>
      </c>
      <c r="N490" t="n">
        <v>0</v>
      </c>
      <c r="O490" t="n">
        <v>0</v>
      </c>
      <c r="P490" t="n">
        <v>0</v>
      </c>
      <c r="Q490" t="n">
        <v>0</v>
      </c>
      <c r="R490" s="2" t="inlineStr"/>
    </row>
    <row r="491" ht="15" customHeight="1">
      <c r="A491" t="inlineStr">
        <is>
          <t>A 17037-2023</t>
        </is>
      </c>
      <c r="B491" s="1" t="n">
        <v>45034</v>
      </c>
      <c r="C491" s="1" t="n">
        <v>45505</v>
      </c>
      <c r="D491" t="inlineStr">
        <is>
          <t>DALARNAS LÄN</t>
        </is>
      </c>
      <c r="E491" t="inlineStr">
        <is>
          <t>LUDVIKA</t>
        </is>
      </c>
      <c r="F491" t="inlineStr">
        <is>
          <t>Naturvårdsverket</t>
        </is>
      </c>
      <c r="G491" t="n">
        <v>1.4</v>
      </c>
      <c r="H491" t="n">
        <v>0</v>
      </c>
      <c r="I491" t="n">
        <v>0</v>
      </c>
      <c r="J491" t="n">
        <v>0</v>
      </c>
      <c r="K491" t="n">
        <v>0</v>
      </c>
      <c r="L491" t="n">
        <v>0</v>
      </c>
      <c r="M491" t="n">
        <v>0</v>
      </c>
      <c r="N491" t="n">
        <v>0</v>
      </c>
      <c r="O491" t="n">
        <v>0</v>
      </c>
      <c r="P491" t="n">
        <v>0</v>
      </c>
      <c r="Q491" t="n">
        <v>0</v>
      </c>
      <c r="R491" s="2" t="inlineStr"/>
    </row>
    <row r="492" ht="15" customHeight="1">
      <c r="A492" t="inlineStr">
        <is>
          <t>A 17035-2023</t>
        </is>
      </c>
      <c r="B492" s="1" t="n">
        <v>45034</v>
      </c>
      <c r="C492" s="1" t="n">
        <v>45505</v>
      </c>
      <c r="D492" t="inlineStr">
        <is>
          <t>DALARNAS LÄN</t>
        </is>
      </c>
      <c r="E492" t="inlineStr">
        <is>
          <t>LUDVIKA</t>
        </is>
      </c>
      <c r="F492" t="inlineStr">
        <is>
          <t>Naturvårdsverket</t>
        </is>
      </c>
      <c r="G492" t="n">
        <v>1.7</v>
      </c>
      <c r="H492" t="n">
        <v>0</v>
      </c>
      <c r="I492" t="n">
        <v>0</v>
      </c>
      <c r="J492" t="n">
        <v>0</v>
      </c>
      <c r="K492" t="n">
        <v>0</v>
      </c>
      <c r="L492" t="n">
        <v>0</v>
      </c>
      <c r="M492" t="n">
        <v>0</v>
      </c>
      <c r="N492" t="n">
        <v>0</v>
      </c>
      <c r="O492" t="n">
        <v>0</v>
      </c>
      <c r="P492" t="n">
        <v>0</v>
      </c>
      <c r="Q492" t="n">
        <v>0</v>
      </c>
      <c r="R492" s="2" t="inlineStr"/>
    </row>
    <row r="493" ht="15" customHeight="1">
      <c r="A493" t="inlineStr">
        <is>
          <t>A 17138-2023</t>
        </is>
      </c>
      <c r="B493" s="1" t="n">
        <v>45034</v>
      </c>
      <c r="C493" s="1" t="n">
        <v>45505</v>
      </c>
      <c r="D493" t="inlineStr">
        <is>
          <t>DALARNAS LÄN</t>
        </is>
      </c>
      <c r="E493" t="inlineStr">
        <is>
          <t>LUDVIKA</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18585-2023</t>
        </is>
      </c>
      <c r="B494" s="1" t="n">
        <v>45043</v>
      </c>
      <c r="C494" s="1" t="n">
        <v>45505</v>
      </c>
      <c r="D494" t="inlineStr">
        <is>
          <t>DALARNAS LÄN</t>
        </is>
      </c>
      <c r="E494" t="inlineStr">
        <is>
          <t>LUDVIKA</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18708-2023</t>
        </is>
      </c>
      <c r="B495" s="1" t="n">
        <v>45043</v>
      </c>
      <c r="C495" s="1" t="n">
        <v>45505</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18660-2023</t>
        </is>
      </c>
      <c r="B496" s="1" t="n">
        <v>45043</v>
      </c>
      <c r="C496" s="1" t="n">
        <v>45505</v>
      </c>
      <c r="D496" t="inlineStr">
        <is>
          <t>DALARNAS LÄN</t>
        </is>
      </c>
      <c r="E496" t="inlineStr">
        <is>
          <t>LUDVIKA</t>
        </is>
      </c>
      <c r="F496" t="inlineStr">
        <is>
          <t>Bergvik skog väst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18936-2023</t>
        </is>
      </c>
      <c r="B497" s="1" t="n">
        <v>45044</v>
      </c>
      <c r="C497" s="1" t="n">
        <v>45505</v>
      </c>
      <c r="D497" t="inlineStr">
        <is>
          <t>DALARNAS LÄN</t>
        </is>
      </c>
      <c r="E497" t="inlineStr">
        <is>
          <t>LUDVIKA</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18850-2023</t>
        </is>
      </c>
      <c r="B498" s="1" t="n">
        <v>45044</v>
      </c>
      <c r="C498" s="1" t="n">
        <v>45505</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18864-2023</t>
        </is>
      </c>
      <c r="B499" s="1" t="n">
        <v>45044</v>
      </c>
      <c r="C499" s="1" t="n">
        <v>45505</v>
      </c>
      <c r="D499" t="inlineStr">
        <is>
          <t>DALARNAS LÄN</t>
        </is>
      </c>
      <c r="E499" t="inlineStr">
        <is>
          <t>LUDVIKA</t>
        </is>
      </c>
      <c r="F499" t="inlineStr">
        <is>
          <t>Naturvårdsverket</t>
        </is>
      </c>
      <c r="G499" t="n">
        <v>0.5</v>
      </c>
      <c r="H499" t="n">
        <v>0</v>
      </c>
      <c r="I499" t="n">
        <v>0</v>
      </c>
      <c r="J499" t="n">
        <v>0</v>
      </c>
      <c r="K499" t="n">
        <v>0</v>
      </c>
      <c r="L499" t="n">
        <v>0</v>
      </c>
      <c r="M499" t="n">
        <v>0</v>
      </c>
      <c r="N499" t="n">
        <v>0</v>
      </c>
      <c r="O499" t="n">
        <v>0</v>
      </c>
      <c r="P499" t="n">
        <v>0</v>
      </c>
      <c r="Q499" t="n">
        <v>0</v>
      </c>
      <c r="R499" s="2" t="inlineStr"/>
    </row>
    <row r="500" ht="15" customHeight="1">
      <c r="A500" t="inlineStr">
        <is>
          <t>A 19449-2023</t>
        </is>
      </c>
      <c r="B500" s="1" t="n">
        <v>45050</v>
      </c>
      <c r="C500" s="1" t="n">
        <v>45505</v>
      </c>
      <c r="D500" t="inlineStr">
        <is>
          <t>DALARNAS LÄN</t>
        </is>
      </c>
      <c r="E500" t="inlineStr">
        <is>
          <t>LUDVIKA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19643-2023</t>
        </is>
      </c>
      <c r="B501" s="1" t="n">
        <v>45051</v>
      </c>
      <c r="C501" s="1" t="n">
        <v>45505</v>
      </c>
      <c r="D501" t="inlineStr">
        <is>
          <t>DALARNAS LÄN</t>
        </is>
      </c>
      <c r="E501" t="inlineStr">
        <is>
          <t>LUDVIKA</t>
        </is>
      </c>
      <c r="F501" t="inlineStr">
        <is>
          <t>Naturvårdsverket</t>
        </is>
      </c>
      <c r="G501" t="n">
        <v>25</v>
      </c>
      <c r="H501" t="n">
        <v>0</v>
      </c>
      <c r="I501" t="n">
        <v>0</v>
      </c>
      <c r="J501" t="n">
        <v>0</v>
      </c>
      <c r="K501" t="n">
        <v>0</v>
      </c>
      <c r="L501" t="n">
        <v>0</v>
      </c>
      <c r="M501" t="n">
        <v>0</v>
      </c>
      <c r="N501" t="n">
        <v>0</v>
      </c>
      <c r="O501" t="n">
        <v>0</v>
      </c>
      <c r="P501" t="n">
        <v>0</v>
      </c>
      <c r="Q501" t="n">
        <v>0</v>
      </c>
      <c r="R501" s="2" t="inlineStr"/>
    </row>
    <row r="502" ht="15" customHeight="1">
      <c r="A502" t="inlineStr">
        <is>
          <t>A 19651-2023</t>
        </is>
      </c>
      <c r="B502" s="1" t="n">
        <v>45051</v>
      </c>
      <c r="C502" s="1" t="n">
        <v>45505</v>
      </c>
      <c r="D502" t="inlineStr">
        <is>
          <t>DALARNAS LÄN</t>
        </is>
      </c>
      <c r="E502" t="inlineStr">
        <is>
          <t>LUDVIKA</t>
        </is>
      </c>
      <c r="F502" t="inlineStr">
        <is>
          <t>Bergvik skog väst AB</t>
        </is>
      </c>
      <c r="G502" t="n">
        <v>7.4</v>
      </c>
      <c r="H502" t="n">
        <v>0</v>
      </c>
      <c r="I502" t="n">
        <v>0</v>
      </c>
      <c r="J502" t="n">
        <v>0</v>
      </c>
      <c r="K502" t="n">
        <v>0</v>
      </c>
      <c r="L502" t="n">
        <v>0</v>
      </c>
      <c r="M502" t="n">
        <v>0</v>
      </c>
      <c r="N502" t="n">
        <v>0</v>
      </c>
      <c r="O502" t="n">
        <v>0</v>
      </c>
      <c r="P502" t="n">
        <v>0</v>
      </c>
      <c r="Q502" t="n">
        <v>0</v>
      </c>
      <c r="R502" s="2" t="inlineStr"/>
    </row>
    <row r="503" ht="15" customHeight="1">
      <c r="A503" t="inlineStr">
        <is>
          <t>A 20225-2023</t>
        </is>
      </c>
      <c r="B503" s="1" t="n">
        <v>45054</v>
      </c>
      <c r="C503" s="1" t="n">
        <v>45505</v>
      </c>
      <c r="D503" t="inlineStr">
        <is>
          <t>DALARNAS LÄN</t>
        </is>
      </c>
      <c r="E503" t="inlineStr">
        <is>
          <t>LUDVIKA</t>
        </is>
      </c>
      <c r="G503" t="n">
        <v>4.7</v>
      </c>
      <c r="H503" t="n">
        <v>0</v>
      </c>
      <c r="I503" t="n">
        <v>0</v>
      </c>
      <c r="J503" t="n">
        <v>0</v>
      </c>
      <c r="K503" t="n">
        <v>0</v>
      </c>
      <c r="L503" t="n">
        <v>0</v>
      </c>
      <c r="M503" t="n">
        <v>0</v>
      </c>
      <c r="N503" t="n">
        <v>0</v>
      </c>
      <c r="O503" t="n">
        <v>0</v>
      </c>
      <c r="P503" t="n">
        <v>0</v>
      </c>
      <c r="Q503" t="n">
        <v>0</v>
      </c>
      <c r="R503" s="2" t="inlineStr"/>
    </row>
    <row r="504" ht="15" customHeight="1">
      <c r="A504" t="inlineStr">
        <is>
          <t>A 20202-2023</t>
        </is>
      </c>
      <c r="B504" s="1" t="n">
        <v>45055</v>
      </c>
      <c r="C504" s="1" t="n">
        <v>45505</v>
      </c>
      <c r="D504" t="inlineStr">
        <is>
          <t>DALARNAS LÄN</t>
        </is>
      </c>
      <c r="E504" t="inlineStr">
        <is>
          <t>LUDVIKA</t>
        </is>
      </c>
      <c r="G504" t="n">
        <v>2.2</v>
      </c>
      <c r="H504" t="n">
        <v>0</v>
      </c>
      <c r="I504" t="n">
        <v>0</v>
      </c>
      <c r="J504" t="n">
        <v>0</v>
      </c>
      <c r="K504" t="n">
        <v>0</v>
      </c>
      <c r="L504" t="n">
        <v>0</v>
      </c>
      <c r="M504" t="n">
        <v>0</v>
      </c>
      <c r="N504" t="n">
        <v>0</v>
      </c>
      <c r="O504" t="n">
        <v>0</v>
      </c>
      <c r="P504" t="n">
        <v>0</v>
      </c>
      <c r="Q504" t="n">
        <v>0</v>
      </c>
      <c r="R504" s="2" t="inlineStr"/>
    </row>
    <row r="505" ht="15" customHeight="1">
      <c r="A505" t="inlineStr">
        <is>
          <t>A 20559-2023</t>
        </is>
      </c>
      <c r="B505" s="1" t="n">
        <v>45055</v>
      </c>
      <c r="C505" s="1" t="n">
        <v>45505</v>
      </c>
      <c r="D505" t="inlineStr">
        <is>
          <t>DALARNAS LÄN</t>
        </is>
      </c>
      <c r="E505" t="inlineStr">
        <is>
          <t>LUDVIKA</t>
        </is>
      </c>
      <c r="G505" t="n">
        <v>3.8</v>
      </c>
      <c r="H505" t="n">
        <v>0</v>
      </c>
      <c r="I505" t="n">
        <v>0</v>
      </c>
      <c r="J505" t="n">
        <v>0</v>
      </c>
      <c r="K505" t="n">
        <v>0</v>
      </c>
      <c r="L505" t="n">
        <v>0</v>
      </c>
      <c r="M505" t="n">
        <v>0</v>
      </c>
      <c r="N505" t="n">
        <v>0</v>
      </c>
      <c r="O505" t="n">
        <v>0</v>
      </c>
      <c r="P505" t="n">
        <v>0</v>
      </c>
      <c r="Q505" t="n">
        <v>0</v>
      </c>
      <c r="R505" s="2" t="inlineStr"/>
    </row>
    <row r="506" ht="15" customHeight="1">
      <c r="A506" t="inlineStr">
        <is>
          <t>A 20411-2023</t>
        </is>
      </c>
      <c r="B506" s="1" t="n">
        <v>45056</v>
      </c>
      <c r="C506" s="1" t="n">
        <v>45505</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20688-2023</t>
        </is>
      </c>
      <c r="B507" s="1" t="n">
        <v>45058</v>
      </c>
      <c r="C507" s="1" t="n">
        <v>45505</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20826-2023</t>
        </is>
      </c>
      <c r="B508" s="1" t="n">
        <v>45058</v>
      </c>
      <c r="C508" s="1" t="n">
        <v>45505</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20764-2023</t>
        </is>
      </c>
      <c r="B509" s="1" t="n">
        <v>45058</v>
      </c>
      <c r="C509" s="1" t="n">
        <v>45505</v>
      </c>
      <c r="D509" t="inlineStr">
        <is>
          <t>DALARNAS LÄN</t>
        </is>
      </c>
      <c r="E509" t="inlineStr">
        <is>
          <t>LUDVIKA</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v>
      </c>
      <c r="C510" s="1" t="n">
        <v>45505</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21152-2023</t>
        </is>
      </c>
      <c r="B511" s="1" t="n">
        <v>45062</v>
      </c>
      <c r="C511" s="1" t="n">
        <v>45505</v>
      </c>
      <c r="D511" t="inlineStr">
        <is>
          <t>DALARNAS LÄN</t>
        </is>
      </c>
      <c r="E511" t="inlineStr">
        <is>
          <t>LUDVIKA</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21297-2023</t>
        </is>
      </c>
      <c r="B512" s="1" t="n">
        <v>45062</v>
      </c>
      <c r="C512" s="1" t="n">
        <v>45505</v>
      </c>
      <c r="D512" t="inlineStr">
        <is>
          <t>DALARNAS LÄN</t>
        </is>
      </c>
      <c r="E512" t="inlineStr">
        <is>
          <t>LUDVIKA</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21247-2023</t>
        </is>
      </c>
      <c r="B513" s="1" t="n">
        <v>45062</v>
      </c>
      <c r="C513" s="1" t="n">
        <v>45505</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21539-2023</t>
        </is>
      </c>
      <c r="B514" s="1" t="n">
        <v>45063</v>
      </c>
      <c r="C514" s="1" t="n">
        <v>45505</v>
      </c>
      <c r="D514" t="inlineStr">
        <is>
          <t>DALARNAS LÄN</t>
        </is>
      </c>
      <c r="E514" t="inlineStr">
        <is>
          <t>LUDVIKA</t>
        </is>
      </c>
      <c r="F514" t="inlineStr">
        <is>
          <t>Bergvik skog väst AB</t>
        </is>
      </c>
      <c r="G514" t="n">
        <v>7.4</v>
      </c>
      <c r="H514" t="n">
        <v>0</v>
      </c>
      <c r="I514" t="n">
        <v>0</v>
      </c>
      <c r="J514" t="n">
        <v>0</v>
      </c>
      <c r="K514" t="n">
        <v>0</v>
      </c>
      <c r="L514" t="n">
        <v>0</v>
      </c>
      <c r="M514" t="n">
        <v>0</v>
      </c>
      <c r="N514" t="n">
        <v>0</v>
      </c>
      <c r="O514" t="n">
        <v>0</v>
      </c>
      <c r="P514" t="n">
        <v>0</v>
      </c>
      <c r="Q514" t="n">
        <v>0</v>
      </c>
      <c r="R514" s="2" t="inlineStr"/>
    </row>
    <row r="515" ht="15" customHeight="1">
      <c r="A515" t="inlineStr">
        <is>
          <t>A 21370-2023</t>
        </is>
      </c>
      <c r="B515" s="1" t="n">
        <v>45063</v>
      </c>
      <c r="C515" s="1" t="n">
        <v>45505</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21369-2023</t>
        </is>
      </c>
      <c r="B516" s="1" t="n">
        <v>45063</v>
      </c>
      <c r="C516" s="1" t="n">
        <v>45505</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21554-2023</t>
        </is>
      </c>
      <c r="B517" s="1" t="n">
        <v>45063</v>
      </c>
      <c r="C517" s="1" t="n">
        <v>45505</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21548-2023</t>
        </is>
      </c>
      <c r="B518" s="1" t="n">
        <v>45063</v>
      </c>
      <c r="C518" s="1" t="n">
        <v>45505</v>
      </c>
      <c r="D518" t="inlineStr">
        <is>
          <t>DALARNAS LÄN</t>
        </is>
      </c>
      <c r="E518" t="inlineStr">
        <is>
          <t>LUDVIKA</t>
        </is>
      </c>
      <c r="F518" t="inlineStr">
        <is>
          <t>Bergvik skog väst AB</t>
        </is>
      </c>
      <c r="G518" t="n">
        <v>6</v>
      </c>
      <c r="H518" t="n">
        <v>0</v>
      </c>
      <c r="I518" t="n">
        <v>0</v>
      </c>
      <c r="J518" t="n">
        <v>0</v>
      </c>
      <c r="K518" t="n">
        <v>0</v>
      </c>
      <c r="L518" t="n">
        <v>0</v>
      </c>
      <c r="M518" t="n">
        <v>0</v>
      </c>
      <c r="N518" t="n">
        <v>0</v>
      </c>
      <c r="O518" t="n">
        <v>0</v>
      </c>
      <c r="P518" t="n">
        <v>0</v>
      </c>
      <c r="Q518" t="n">
        <v>0</v>
      </c>
      <c r="R518" s="2" t="inlineStr"/>
    </row>
    <row r="519" ht="15" customHeight="1">
      <c r="A519" t="inlineStr">
        <is>
          <t>A 21551-2023</t>
        </is>
      </c>
      <c r="B519" s="1" t="n">
        <v>45063</v>
      </c>
      <c r="C519" s="1" t="n">
        <v>45505</v>
      </c>
      <c r="D519" t="inlineStr">
        <is>
          <t>DALARNAS LÄN</t>
        </is>
      </c>
      <c r="E519" t="inlineStr">
        <is>
          <t>LUDVIKA</t>
        </is>
      </c>
      <c r="G519" t="n">
        <v>8.4</v>
      </c>
      <c r="H519" t="n">
        <v>0</v>
      </c>
      <c r="I519" t="n">
        <v>0</v>
      </c>
      <c r="J519" t="n">
        <v>0</v>
      </c>
      <c r="K519" t="n">
        <v>0</v>
      </c>
      <c r="L519" t="n">
        <v>0</v>
      </c>
      <c r="M519" t="n">
        <v>0</v>
      </c>
      <c r="N519" t="n">
        <v>0</v>
      </c>
      <c r="O519" t="n">
        <v>0</v>
      </c>
      <c r="P519" t="n">
        <v>0</v>
      </c>
      <c r="Q519" t="n">
        <v>0</v>
      </c>
      <c r="R519" s="2" t="inlineStr"/>
    </row>
    <row r="520" ht="15" customHeight="1">
      <c r="A520" t="inlineStr">
        <is>
          <t>A 21598-2023</t>
        </is>
      </c>
      <c r="B520" s="1" t="n">
        <v>45063</v>
      </c>
      <c r="C520" s="1" t="n">
        <v>45505</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21649-2023</t>
        </is>
      </c>
      <c r="B521" s="1" t="n">
        <v>45063</v>
      </c>
      <c r="C521" s="1" t="n">
        <v>45505</v>
      </c>
      <c r="D521" t="inlineStr">
        <is>
          <t>DALARNAS LÄN</t>
        </is>
      </c>
      <c r="E521" t="inlineStr">
        <is>
          <t>LUDVIKA</t>
        </is>
      </c>
      <c r="F521" t="inlineStr">
        <is>
          <t>Bergvik skog väst AB</t>
        </is>
      </c>
      <c r="G521" t="n">
        <v>10.3</v>
      </c>
      <c r="H521" t="n">
        <v>0</v>
      </c>
      <c r="I521" t="n">
        <v>0</v>
      </c>
      <c r="J521" t="n">
        <v>0</v>
      </c>
      <c r="K521" t="n">
        <v>0</v>
      </c>
      <c r="L521" t="n">
        <v>0</v>
      </c>
      <c r="M521" t="n">
        <v>0</v>
      </c>
      <c r="N521" t="n">
        <v>0</v>
      </c>
      <c r="O521" t="n">
        <v>0</v>
      </c>
      <c r="P521" t="n">
        <v>0</v>
      </c>
      <c r="Q521" t="n">
        <v>0</v>
      </c>
      <c r="R521" s="2" t="inlineStr"/>
    </row>
    <row r="522" ht="15" customHeight="1">
      <c r="A522" t="inlineStr">
        <is>
          <t>A 21843-2023</t>
        </is>
      </c>
      <c r="B522" s="1" t="n">
        <v>45068</v>
      </c>
      <c r="C522" s="1" t="n">
        <v>45505</v>
      </c>
      <c r="D522" t="inlineStr">
        <is>
          <t>DALARNAS LÄN</t>
        </is>
      </c>
      <c r="E522" t="inlineStr">
        <is>
          <t>LUDVIKA</t>
        </is>
      </c>
      <c r="G522" t="n">
        <v>4.3</v>
      </c>
      <c r="H522" t="n">
        <v>0</v>
      </c>
      <c r="I522" t="n">
        <v>0</v>
      </c>
      <c r="J522" t="n">
        <v>0</v>
      </c>
      <c r="K522" t="n">
        <v>0</v>
      </c>
      <c r="L522" t="n">
        <v>0</v>
      </c>
      <c r="M522" t="n">
        <v>0</v>
      </c>
      <c r="N522" t="n">
        <v>0</v>
      </c>
      <c r="O522" t="n">
        <v>0</v>
      </c>
      <c r="P522" t="n">
        <v>0</v>
      </c>
      <c r="Q522" t="n">
        <v>0</v>
      </c>
      <c r="R522" s="2" t="inlineStr"/>
    </row>
    <row r="523" ht="15" customHeight="1">
      <c r="A523" t="inlineStr">
        <is>
          <t>A 21842-2023</t>
        </is>
      </c>
      <c r="B523" s="1" t="n">
        <v>45068</v>
      </c>
      <c r="C523" s="1" t="n">
        <v>45505</v>
      </c>
      <c r="D523" t="inlineStr">
        <is>
          <t>DALARNAS LÄN</t>
        </is>
      </c>
      <c r="E523" t="inlineStr">
        <is>
          <t>LUDVIKA</t>
        </is>
      </c>
      <c r="G523" t="n">
        <v>3.5</v>
      </c>
      <c r="H523" t="n">
        <v>0</v>
      </c>
      <c r="I523" t="n">
        <v>0</v>
      </c>
      <c r="J523" t="n">
        <v>0</v>
      </c>
      <c r="K523" t="n">
        <v>0</v>
      </c>
      <c r="L523" t="n">
        <v>0</v>
      </c>
      <c r="M523" t="n">
        <v>0</v>
      </c>
      <c r="N523" t="n">
        <v>0</v>
      </c>
      <c r="O523" t="n">
        <v>0</v>
      </c>
      <c r="P523" t="n">
        <v>0</v>
      </c>
      <c r="Q523" t="n">
        <v>0</v>
      </c>
      <c r="R523" s="2" t="inlineStr"/>
    </row>
    <row r="524" ht="15" customHeight="1">
      <c r="A524" t="inlineStr">
        <is>
          <t>A 21870-2023</t>
        </is>
      </c>
      <c r="B524" s="1" t="n">
        <v>45068</v>
      </c>
      <c r="C524" s="1" t="n">
        <v>45505</v>
      </c>
      <c r="D524" t="inlineStr">
        <is>
          <t>DALARNAS LÄN</t>
        </is>
      </c>
      <c r="E524" t="inlineStr">
        <is>
          <t>LUDVIKA</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21841-2023</t>
        </is>
      </c>
      <c r="B525" s="1" t="n">
        <v>45068</v>
      </c>
      <c r="C525" s="1" t="n">
        <v>45505</v>
      </c>
      <c r="D525" t="inlineStr">
        <is>
          <t>DALARNAS LÄN</t>
        </is>
      </c>
      <c r="E525" t="inlineStr">
        <is>
          <t>LUDVIKA</t>
        </is>
      </c>
      <c r="G525" t="n">
        <v>4.5</v>
      </c>
      <c r="H525" t="n">
        <v>0</v>
      </c>
      <c r="I525" t="n">
        <v>0</v>
      </c>
      <c r="J525" t="n">
        <v>0</v>
      </c>
      <c r="K525" t="n">
        <v>0</v>
      </c>
      <c r="L525" t="n">
        <v>0</v>
      </c>
      <c r="M525" t="n">
        <v>0</v>
      </c>
      <c r="N525" t="n">
        <v>0</v>
      </c>
      <c r="O525" t="n">
        <v>0</v>
      </c>
      <c r="P525" t="n">
        <v>0</v>
      </c>
      <c r="Q525" t="n">
        <v>0</v>
      </c>
      <c r="R525" s="2" t="inlineStr"/>
    </row>
    <row r="526" ht="15" customHeight="1">
      <c r="A526" t="inlineStr">
        <is>
          <t>A 21933-2023</t>
        </is>
      </c>
      <c r="B526" s="1" t="n">
        <v>45068</v>
      </c>
      <c r="C526" s="1" t="n">
        <v>45505</v>
      </c>
      <c r="D526" t="inlineStr">
        <is>
          <t>DALARNAS LÄN</t>
        </is>
      </c>
      <c r="E526" t="inlineStr">
        <is>
          <t>LUDVIKA</t>
        </is>
      </c>
      <c r="F526" t="inlineStr">
        <is>
          <t>Bergvik skog väst AB</t>
        </is>
      </c>
      <c r="G526" t="n">
        <v>12.5</v>
      </c>
      <c r="H526" t="n">
        <v>0</v>
      </c>
      <c r="I526" t="n">
        <v>0</v>
      </c>
      <c r="J526" t="n">
        <v>0</v>
      </c>
      <c r="K526" t="n">
        <v>0</v>
      </c>
      <c r="L526" t="n">
        <v>0</v>
      </c>
      <c r="M526" t="n">
        <v>0</v>
      </c>
      <c r="N526" t="n">
        <v>0</v>
      </c>
      <c r="O526" t="n">
        <v>0</v>
      </c>
      <c r="P526" t="n">
        <v>0</v>
      </c>
      <c r="Q526" t="n">
        <v>0</v>
      </c>
      <c r="R526" s="2" t="inlineStr"/>
    </row>
    <row r="527" ht="15" customHeight="1">
      <c r="A527" t="inlineStr">
        <is>
          <t>A 22149-2023</t>
        </is>
      </c>
      <c r="B527" s="1" t="n">
        <v>45069</v>
      </c>
      <c r="C527" s="1" t="n">
        <v>45505</v>
      </c>
      <c r="D527" t="inlineStr">
        <is>
          <t>DALARNAS LÄN</t>
        </is>
      </c>
      <c r="E527" t="inlineStr">
        <is>
          <t>LUDVIKA</t>
        </is>
      </c>
      <c r="F527" t="inlineStr">
        <is>
          <t>Bergvik skog väst AB</t>
        </is>
      </c>
      <c r="G527" t="n">
        <v>12.9</v>
      </c>
      <c r="H527" t="n">
        <v>0</v>
      </c>
      <c r="I527" t="n">
        <v>0</v>
      </c>
      <c r="J527" t="n">
        <v>0</v>
      </c>
      <c r="K527" t="n">
        <v>0</v>
      </c>
      <c r="L527" t="n">
        <v>0</v>
      </c>
      <c r="M527" t="n">
        <v>0</v>
      </c>
      <c r="N527" t="n">
        <v>0</v>
      </c>
      <c r="O527" t="n">
        <v>0</v>
      </c>
      <c r="P527" t="n">
        <v>0</v>
      </c>
      <c r="Q527" t="n">
        <v>0</v>
      </c>
      <c r="R527" s="2" t="inlineStr"/>
    </row>
    <row r="528" ht="15" customHeight="1">
      <c r="A528" t="inlineStr">
        <is>
          <t>A 22151-2023</t>
        </is>
      </c>
      <c r="B528" s="1" t="n">
        <v>45069</v>
      </c>
      <c r="C528" s="1" t="n">
        <v>45505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22286-2023</t>
        </is>
      </c>
      <c r="B529" s="1" t="n">
        <v>45070</v>
      </c>
      <c r="C529" s="1" t="n">
        <v>45505</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22306-2023</t>
        </is>
      </c>
      <c r="B530" s="1" t="n">
        <v>45070</v>
      </c>
      <c r="C530" s="1" t="n">
        <v>45505</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22375-2023</t>
        </is>
      </c>
      <c r="B531" s="1" t="n">
        <v>45070</v>
      </c>
      <c r="C531" s="1" t="n">
        <v>45505</v>
      </c>
      <c r="D531" t="inlineStr">
        <is>
          <t>DALARNAS LÄN</t>
        </is>
      </c>
      <c r="E531" t="inlineStr">
        <is>
          <t>LUDVIKA</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22420-2023</t>
        </is>
      </c>
      <c r="B532" s="1" t="n">
        <v>45070</v>
      </c>
      <c r="C532" s="1" t="n">
        <v>45505</v>
      </c>
      <c r="D532" t="inlineStr">
        <is>
          <t>DALARNAS LÄN</t>
        </is>
      </c>
      <c r="E532" t="inlineStr">
        <is>
          <t>LUDVIKA</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22555-2023</t>
        </is>
      </c>
      <c r="B533" s="1" t="n">
        <v>45071</v>
      </c>
      <c r="C533" s="1" t="n">
        <v>45505</v>
      </c>
      <c r="D533" t="inlineStr">
        <is>
          <t>DALARNAS LÄN</t>
        </is>
      </c>
      <c r="E533" t="inlineStr">
        <is>
          <t>LUDVIKA</t>
        </is>
      </c>
      <c r="F533" t="inlineStr">
        <is>
          <t>Bergvik skog väst AB</t>
        </is>
      </c>
      <c r="G533" t="n">
        <v>6</v>
      </c>
      <c r="H533" t="n">
        <v>0</v>
      </c>
      <c r="I533" t="n">
        <v>0</v>
      </c>
      <c r="J533" t="n">
        <v>0</v>
      </c>
      <c r="K533" t="n">
        <v>0</v>
      </c>
      <c r="L533" t="n">
        <v>0</v>
      </c>
      <c r="M533" t="n">
        <v>0</v>
      </c>
      <c r="N533" t="n">
        <v>0</v>
      </c>
      <c r="O533" t="n">
        <v>0</v>
      </c>
      <c r="P533" t="n">
        <v>0</v>
      </c>
      <c r="Q533" t="n">
        <v>0</v>
      </c>
      <c r="R533" s="2" t="inlineStr"/>
    </row>
    <row r="534" ht="15" customHeight="1">
      <c r="A534" t="inlineStr">
        <is>
          <t>A 23999-2023</t>
        </is>
      </c>
      <c r="B534" s="1" t="n">
        <v>45078</v>
      </c>
      <c r="C534" s="1" t="n">
        <v>45505</v>
      </c>
      <c r="D534" t="inlineStr">
        <is>
          <t>DALARNAS LÄN</t>
        </is>
      </c>
      <c r="E534" t="inlineStr">
        <is>
          <t>LUDVIKA</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24224-2023</t>
        </is>
      </c>
      <c r="B535" s="1" t="n">
        <v>45079</v>
      </c>
      <c r="C535" s="1" t="n">
        <v>45505</v>
      </c>
      <c r="D535" t="inlineStr">
        <is>
          <t>DALARNAS LÄN</t>
        </is>
      </c>
      <c r="E535" t="inlineStr">
        <is>
          <t>LUDVIKA</t>
        </is>
      </c>
      <c r="F535" t="inlineStr">
        <is>
          <t>Bergvik skog väst AB</t>
        </is>
      </c>
      <c r="G535" t="n">
        <v>12.1</v>
      </c>
      <c r="H535" t="n">
        <v>0</v>
      </c>
      <c r="I535" t="n">
        <v>0</v>
      </c>
      <c r="J535" t="n">
        <v>0</v>
      </c>
      <c r="K535" t="n">
        <v>0</v>
      </c>
      <c r="L535" t="n">
        <v>0</v>
      </c>
      <c r="M535" t="n">
        <v>0</v>
      </c>
      <c r="N535" t="n">
        <v>0</v>
      </c>
      <c r="O535" t="n">
        <v>0</v>
      </c>
      <c r="P535" t="n">
        <v>0</v>
      </c>
      <c r="Q535" t="n">
        <v>0</v>
      </c>
      <c r="R535" s="2" t="inlineStr"/>
    </row>
    <row r="536" ht="15" customHeight="1">
      <c r="A536" t="inlineStr">
        <is>
          <t>A 24256-2023</t>
        </is>
      </c>
      <c r="B536" s="1" t="n">
        <v>45079</v>
      </c>
      <c r="C536" s="1" t="n">
        <v>45505</v>
      </c>
      <c r="D536" t="inlineStr">
        <is>
          <t>DALARNAS LÄN</t>
        </is>
      </c>
      <c r="E536" t="inlineStr">
        <is>
          <t>LUDVIKA</t>
        </is>
      </c>
      <c r="F536" t="inlineStr">
        <is>
          <t>Bergvik skog väst AB</t>
        </is>
      </c>
      <c r="G536" t="n">
        <v>10.9</v>
      </c>
      <c r="H536" t="n">
        <v>0</v>
      </c>
      <c r="I536" t="n">
        <v>0</v>
      </c>
      <c r="J536" t="n">
        <v>0</v>
      </c>
      <c r="K536" t="n">
        <v>0</v>
      </c>
      <c r="L536" t="n">
        <v>0</v>
      </c>
      <c r="M536" t="n">
        <v>0</v>
      </c>
      <c r="N536" t="n">
        <v>0</v>
      </c>
      <c r="O536" t="n">
        <v>0</v>
      </c>
      <c r="P536" t="n">
        <v>0</v>
      </c>
      <c r="Q536" t="n">
        <v>0</v>
      </c>
      <c r="R536" s="2" t="inlineStr"/>
    </row>
    <row r="537" ht="15" customHeight="1">
      <c r="A537" t="inlineStr">
        <is>
          <t>A 24379-2023</t>
        </is>
      </c>
      <c r="B537" s="1" t="n">
        <v>45082</v>
      </c>
      <c r="C537" s="1" t="n">
        <v>45505</v>
      </c>
      <c r="D537" t="inlineStr">
        <is>
          <t>DALARNAS LÄN</t>
        </is>
      </c>
      <c r="E537" t="inlineStr">
        <is>
          <t>LUDVIKA</t>
        </is>
      </c>
      <c r="F537" t="inlineStr">
        <is>
          <t>Naturvårdsverket</t>
        </is>
      </c>
      <c r="G537" t="n">
        <v>2.1</v>
      </c>
      <c r="H537" t="n">
        <v>0</v>
      </c>
      <c r="I537" t="n">
        <v>0</v>
      </c>
      <c r="J537" t="n">
        <v>0</v>
      </c>
      <c r="K537" t="n">
        <v>0</v>
      </c>
      <c r="L537" t="n">
        <v>0</v>
      </c>
      <c r="M537" t="n">
        <v>0</v>
      </c>
      <c r="N537" t="n">
        <v>0</v>
      </c>
      <c r="O537" t="n">
        <v>0</v>
      </c>
      <c r="P537" t="n">
        <v>0</v>
      </c>
      <c r="Q537" t="n">
        <v>0</v>
      </c>
      <c r="R537" s="2" t="inlineStr"/>
    </row>
    <row r="538" ht="15" customHeight="1">
      <c r="A538" t="inlineStr">
        <is>
          <t>A 24469-2023</t>
        </is>
      </c>
      <c r="B538" s="1" t="n">
        <v>45082</v>
      </c>
      <c r="C538" s="1" t="n">
        <v>45505</v>
      </c>
      <c r="D538" t="inlineStr">
        <is>
          <t>DALARNAS LÄN</t>
        </is>
      </c>
      <c r="E538" t="inlineStr">
        <is>
          <t>LUDVIKA</t>
        </is>
      </c>
      <c r="F538" t="inlineStr">
        <is>
          <t>Naturvårdsverket</t>
        </is>
      </c>
      <c r="G538" t="n">
        <v>4</v>
      </c>
      <c r="H538" t="n">
        <v>0</v>
      </c>
      <c r="I538" t="n">
        <v>0</v>
      </c>
      <c r="J538" t="n">
        <v>0</v>
      </c>
      <c r="K538" t="n">
        <v>0</v>
      </c>
      <c r="L538" t="n">
        <v>0</v>
      </c>
      <c r="M538" t="n">
        <v>0</v>
      </c>
      <c r="N538" t="n">
        <v>0</v>
      </c>
      <c r="O538" t="n">
        <v>0</v>
      </c>
      <c r="P538" t="n">
        <v>0</v>
      </c>
      <c r="Q538" t="n">
        <v>0</v>
      </c>
      <c r="R538" s="2" t="inlineStr"/>
    </row>
    <row r="539" ht="15" customHeight="1">
      <c r="A539" t="inlineStr">
        <is>
          <t>A 24612-2023</t>
        </is>
      </c>
      <c r="B539" s="1" t="n">
        <v>45084</v>
      </c>
      <c r="C539" s="1" t="n">
        <v>45505</v>
      </c>
      <c r="D539" t="inlineStr">
        <is>
          <t>DALARNAS LÄN</t>
        </is>
      </c>
      <c r="E539" t="inlineStr">
        <is>
          <t>LUDVIKA</t>
        </is>
      </c>
      <c r="F539" t="inlineStr">
        <is>
          <t>Bergvik skog väst AB</t>
        </is>
      </c>
      <c r="G539" t="n">
        <v>11.7</v>
      </c>
      <c r="H539" t="n">
        <v>0</v>
      </c>
      <c r="I539" t="n">
        <v>0</v>
      </c>
      <c r="J539" t="n">
        <v>0</v>
      </c>
      <c r="K539" t="n">
        <v>0</v>
      </c>
      <c r="L539" t="n">
        <v>0</v>
      </c>
      <c r="M539" t="n">
        <v>0</v>
      </c>
      <c r="N539" t="n">
        <v>0</v>
      </c>
      <c r="O539" t="n">
        <v>0</v>
      </c>
      <c r="P539" t="n">
        <v>0</v>
      </c>
      <c r="Q539" t="n">
        <v>0</v>
      </c>
      <c r="R539" s="2" t="inlineStr"/>
    </row>
    <row r="540" ht="15" customHeight="1">
      <c r="A540" t="inlineStr">
        <is>
          <t>A 25077-2023</t>
        </is>
      </c>
      <c r="B540" s="1" t="n">
        <v>45086</v>
      </c>
      <c r="C540" s="1" t="n">
        <v>45505</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25099-2023</t>
        </is>
      </c>
      <c r="B541" s="1" t="n">
        <v>45086</v>
      </c>
      <c r="C541" s="1" t="n">
        <v>45505</v>
      </c>
      <c r="D541" t="inlineStr">
        <is>
          <t>DALARNAS LÄN</t>
        </is>
      </c>
      <c r="E541" t="inlineStr">
        <is>
          <t>LUDVIKA</t>
        </is>
      </c>
      <c r="F541" t="inlineStr">
        <is>
          <t>Bergvik skog väst AB</t>
        </is>
      </c>
      <c r="G541" t="n">
        <v>4.6</v>
      </c>
      <c r="H541" t="n">
        <v>0</v>
      </c>
      <c r="I541" t="n">
        <v>0</v>
      </c>
      <c r="J541" t="n">
        <v>0</v>
      </c>
      <c r="K541" t="n">
        <v>0</v>
      </c>
      <c r="L541" t="n">
        <v>0</v>
      </c>
      <c r="M541" t="n">
        <v>0</v>
      </c>
      <c r="N541" t="n">
        <v>0</v>
      </c>
      <c r="O541" t="n">
        <v>0</v>
      </c>
      <c r="P541" t="n">
        <v>0</v>
      </c>
      <c r="Q541" t="n">
        <v>0</v>
      </c>
      <c r="R541" s="2" t="inlineStr"/>
    </row>
    <row r="542" ht="15" customHeight="1">
      <c r="A542" t="inlineStr">
        <is>
          <t>A 25624-2023</t>
        </is>
      </c>
      <c r="B542" s="1" t="n">
        <v>45089</v>
      </c>
      <c r="C542" s="1" t="n">
        <v>45505</v>
      </c>
      <c r="D542" t="inlineStr">
        <is>
          <t>DALARNAS LÄN</t>
        </is>
      </c>
      <c r="E542" t="inlineStr">
        <is>
          <t>LUDVIKA</t>
        </is>
      </c>
      <c r="F542" t="inlineStr">
        <is>
          <t>Bergvik skog väst AB</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26147-2023</t>
        </is>
      </c>
      <c r="B543" s="1" t="n">
        <v>45091</v>
      </c>
      <c r="C543" s="1" t="n">
        <v>45505</v>
      </c>
      <c r="D543" t="inlineStr">
        <is>
          <t>DALARNAS LÄN</t>
        </is>
      </c>
      <c r="E543" t="inlineStr">
        <is>
          <t>LUDVIKA</t>
        </is>
      </c>
      <c r="F543" t="inlineStr">
        <is>
          <t>Naturvårdsverket</t>
        </is>
      </c>
      <c r="G543" t="n">
        <v>4.1</v>
      </c>
      <c r="H543" t="n">
        <v>0</v>
      </c>
      <c r="I543" t="n">
        <v>0</v>
      </c>
      <c r="J543" t="n">
        <v>0</v>
      </c>
      <c r="K543" t="n">
        <v>0</v>
      </c>
      <c r="L543" t="n">
        <v>0</v>
      </c>
      <c r="M543" t="n">
        <v>0</v>
      </c>
      <c r="N543" t="n">
        <v>0</v>
      </c>
      <c r="O543" t="n">
        <v>0</v>
      </c>
      <c r="P543" t="n">
        <v>0</v>
      </c>
      <c r="Q543" t="n">
        <v>0</v>
      </c>
      <c r="R543" s="2" t="inlineStr"/>
    </row>
    <row r="544" ht="15" customHeight="1">
      <c r="A544" t="inlineStr">
        <is>
          <t>A 26766-2023</t>
        </is>
      </c>
      <c r="B544" s="1" t="n">
        <v>45093</v>
      </c>
      <c r="C544" s="1" t="n">
        <v>45505</v>
      </c>
      <c r="D544" t="inlineStr">
        <is>
          <t>DALARNAS LÄN</t>
        </is>
      </c>
      <c r="E544" t="inlineStr">
        <is>
          <t>LUDVIKA</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26884-2023</t>
        </is>
      </c>
      <c r="B545" s="1" t="n">
        <v>45093</v>
      </c>
      <c r="C545" s="1" t="n">
        <v>45505</v>
      </c>
      <c r="D545" t="inlineStr">
        <is>
          <t>DALARNAS LÄN</t>
        </is>
      </c>
      <c r="E545" t="inlineStr">
        <is>
          <t>LUDVIKA</t>
        </is>
      </c>
      <c r="F545" t="inlineStr">
        <is>
          <t>Naturvårdsverket</t>
        </is>
      </c>
      <c r="G545" t="n">
        <v>3.5</v>
      </c>
      <c r="H545" t="n">
        <v>0</v>
      </c>
      <c r="I545" t="n">
        <v>0</v>
      </c>
      <c r="J545" t="n">
        <v>0</v>
      </c>
      <c r="K545" t="n">
        <v>0</v>
      </c>
      <c r="L545" t="n">
        <v>0</v>
      </c>
      <c r="M545" t="n">
        <v>0</v>
      </c>
      <c r="N545" t="n">
        <v>0</v>
      </c>
      <c r="O545" t="n">
        <v>0</v>
      </c>
      <c r="P545" t="n">
        <v>0</v>
      </c>
      <c r="Q545" t="n">
        <v>0</v>
      </c>
      <c r="R545" s="2" t="inlineStr"/>
    </row>
    <row r="546" ht="15" customHeight="1">
      <c r="A546" t="inlineStr">
        <is>
          <t>A 26789-2023</t>
        </is>
      </c>
      <c r="B546" s="1" t="n">
        <v>45093</v>
      </c>
      <c r="C546" s="1" t="n">
        <v>45505</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27870-2023</t>
        </is>
      </c>
      <c r="B547" s="1" t="n">
        <v>45098</v>
      </c>
      <c r="C547" s="1" t="n">
        <v>45505</v>
      </c>
      <c r="D547" t="inlineStr">
        <is>
          <t>DALARNAS LÄN</t>
        </is>
      </c>
      <c r="E547" t="inlineStr">
        <is>
          <t>LUDVIKA</t>
        </is>
      </c>
      <c r="F547" t="inlineStr">
        <is>
          <t>Bergvik skog väst AB</t>
        </is>
      </c>
      <c r="G547" t="n">
        <v>24.7</v>
      </c>
      <c r="H547" t="n">
        <v>0</v>
      </c>
      <c r="I547" t="n">
        <v>0</v>
      </c>
      <c r="J547" t="n">
        <v>0</v>
      </c>
      <c r="K547" t="n">
        <v>0</v>
      </c>
      <c r="L547" t="n">
        <v>0</v>
      </c>
      <c r="M547" t="n">
        <v>0</v>
      </c>
      <c r="N547" t="n">
        <v>0</v>
      </c>
      <c r="O547" t="n">
        <v>0</v>
      </c>
      <c r="P547" t="n">
        <v>0</v>
      </c>
      <c r="Q547" t="n">
        <v>0</v>
      </c>
      <c r="R547" s="2" t="inlineStr"/>
    </row>
    <row r="548" ht="15" customHeight="1">
      <c r="A548" t="inlineStr">
        <is>
          <t>A 27917-2023</t>
        </is>
      </c>
      <c r="B548" s="1" t="n">
        <v>45098</v>
      </c>
      <c r="C548" s="1" t="n">
        <v>45505</v>
      </c>
      <c r="D548" t="inlineStr">
        <is>
          <t>DALARNAS LÄN</t>
        </is>
      </c>
      <c r="E548" t="inlineStr">
        <is>
          <t>LUDVIKA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27954-2023</t>
        </is>
      </c>
      <c r="B549" s="1" t="n">
        <v>45098</v>
      </c>
      <c r="C549" s="1" t="n">
        <v>45505</v>
      </c>
      <c r="D549" t="inlineStr">
        <is>
          <t>DALARNAS LÄN</t>
        </is>
      </c>
      <c r="E549" t="inlineStr">
        <is>
          <t>LUDVIKA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27929-2023</t>
        </is>
      </c>
      <c r="B550" s="1" t="n">
        <v>45098</v>
      </c>
      <c r="C550" s="1" t="n">
        <v>45505</v>
      </c>
      <c r="D550" t="inlineStr">
        <is>
          <t>DALARNAS LÄN</t>
        </is>
      </c>
      <c r="E550" t="inlineStr">
        <is>
          <t>LUDVIKA</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28144-2023</t>
        </is>
      </c>
      <c r="B551" s="1" t="n">
        <v>45099</v>
      </c>
      <c r="C551" s="1" t="n">
        <v>45505</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28134-2023</t>
        </is>
      </c>
      <c r="B552" s="1" t="n">
        <v>45099</v>
      </c>
      <c r="C552" s="1" t="n">
        <v>45505</v>
      </c>
      <c r="D552" t="inlineStr">
        <is>
          <t>DALARNAS LÄN</t>
        </is>
      </c>
      <c r="E552" t="inlineStr">
        <is>
          <t>LUDVIKA</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28125-2023</t>
        </is>
      </c>
      <c r="B553" s="1" t="n">
        <v>45099</v>
      </c>
      <c r="C553" s="1" t="n">
        <v>45505</v>
      </c>
      <c r="D553" t="inlineStr">
        <is>
          <t>DALARNAS LÄN</t>
        </is>
      </c>
      <c r="E553" t="inlineStr">
        <is>
          <t>LUDVIKA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28138-2023</t>
        </is>
      </c>
      <c r="B554" s="1" t="n">
        <v>45099</v>
      </c>
      <c r="C554" s="1" t="n">
        <v>45505</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28157-2023</t>
        </is>
      </c>
      <c r="B555" s="1" t="n">
        <v>45099</v>
      </c>
      <c r="C555" s="1" t="n">
        <v>45505</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28141-2023</t>
        </is>
      </c>
      <c r="B556" s="1" t="n">
        <v>45099</v>
      </c>
      <c r="C556" s="1" t="n">
        <v>45505</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28150-2023</t>
        </is>
      </c>
      <c r="B557" s="1" t="n">
        <v>45099</v>
      </c>
      <c r="C557" s="1" t="n">
        <v>45505</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28507-2023</t>
        </is>
      </c>
      <c r="B558" s="1" t="n">
        <v>45103</v>
      </c>
      <c r="C558" s="1" t="n">
        <v>45505</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29242-2023</t>
        </is>
      </c>
      <c r="B559" s="1" t="n">
        <v>45105</v>
      </c>
      <c r="C559" s="1" t="n">
        <v>45505</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31702-2023</t>
        </is>
      </c>
      <c r="B560" s="1" t="n">
        <v>45105</v>
      </c>
      <c r="C560" s="1" t="n">
        <v>45505</v>
      </c>
      <c r="D560" t="inlineStr">
        <is>
          <t>DALARNAS LÄN</t>
        </is>
      </c>
      <c r="E560" t="inlineStr">
        <is>
          <t>LUDVIKA</t>
        </is>
      </c>
      <c r="G560" t="n">
        <v>2.3</v>
      </c>
      <c r="H560" t="n">
        <v>0</v>
      </c>
      <c r="I560" t="n">
        <v>0</v>
      </c>
      <c r="J560" t="n">
        <v>0</v>
      </c>
      <c r="K560" t="n">
        <v>0</v>
      </c>
      <c r="L560" t="n">
        <v>0</v>
      </c>
      <c r="M560" t="n">
        <v>0</v>
      </c>
      <c r="N560" t="n">
        <v>0</v>
      </c>
      <c r="O560" t="n">
        <v>0</v>
      </c>
      <c r="P560" t="n">
        <v>0</v>
      </c>
      <c r="Q560" t="n">
        <v>0</v>
      </c>
      <c r="R560" s="2" t="inlineStr"/>
    </row>
    <row r="561" ht="15" customHeight="1">
      <c r="A561" t="inlineStr">
        <is>
          <t>A 29535-2023</t>
        </is>
      </c>
      <c r="B561" s="1" t="n">
        <v>45106</v>
      </c>
      <c r="C561" s="1" t="n">
        <v>45505</v>
      </c>
      <c r="D561" t="inlineStr">
        <is>
          <t>DALARNAS LÄN</t>
        </is>
      </c>
      <c r="E561" t="inlineStr">
        <is>
          <t>LUDVIKA</t>
        </is>
      </c>
      <c r="G561" t="n">
        <v>2.8</v>
      </c>
      <c r="H561" t="n">
        <v>0</v>
      </c>
      <c r="I561" t="n">
        <v>0</v>
      </c>
      <c r="J561" t="n">
        <v>0</v>
      </c>
      <c r="K561" t="n">
        <v>0</v>
      </c>
      <c r="L561" t="n">
        <v>0</v>
      </c>
      <c r="M561" t="n">
        <v>0</v>
      </c>
      <c r="N561" t="n">
        <v>0</v>
      </c>
      <c r="O561" t="n">
        <v>0</v>
      </c>
      <c r="P561" t="n">
        <v>0</v>
      </c>
      <c r="Q561" t="n">
        <v>0</v>
      </c>
      <c r="R561" s="2" t="inlineStr"/>
    </row>
    <row r="562" ht="15" customHeight="1">
      <c r="A562" t="inlineStr">
        <is>
          <t>A 29666-2023</t>
        </is>
      </c>
      <c r="B562" s="1" t="n">
        <v>45107</v>
      </c>
      <c r="C562" s="1" t="n">
        <v>45505</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29698-2023</t>
        </is>
      </c>
      <c r="B563" s="1" t="n">
        <v>45107</v>
      </c>
      <c r="C563" s="1" t="n">
        <v>45505</v>
      </c>
      <c r="D563" t="inlineStr">
        <is>
          <t>DALARNAS LÄN</t>
        </is>
      </c>
      <c r="E563" t="inlineStr">
        <is>
          <t>LUDVIKA</t>
        </is>
      </c>
      <c r="G563" t="n">
        <v>2.7</v>
      </c>
      <c r="H563" t="n">
        <v>0</v>
      </c>
      <c r="I563" t="n">
        <v>0</v>
      </c>
      <c r="J563" t="n">
        <v>0</v>
      </c>
      <c r="K563" t="n">
        <v>0</v>
      </c>
      <c r="L563" t="n">
        <v>0</v>
      </c>
      <c r="M563" t="n">
        <v>0</v>
      </c>
      <c r="N563" t="n">
        <v>0</v>
      </c>
      <c r="O563" t="n">
        <v>0</v>
      </c>
      <c r="P563" t="n">
        <v>0</v>
      </c>
      <c r="Q563" t="n">
        <v>0</v>
      </c>
      <c r="R563" s="2" t="inlineStr"/>
    </row>
    <row r="564" ht="15" customHeight="1">
      <c r="A564" t="inlineStr">
        <is>
          <t>A 30113-2023</t>
        </is>
      </c>
      <c r="B564" s="1" t="n">
        <v>45110</v>
      </c>
      <c r="C564" s="1" t="n">
        <v>45505</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30123-2023</t>
        </is>
      </c>
      <c r="B565" s="1" t="n">
        <v>45110</v>
      </c>
      <c r="C565" s="1" t="n">
        <v>45505</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30127-2023</t>
        </is>
      </c>
      <c r="B566" s="1" t="n">
        <v>45110</v>
      </c>
      <c r="C566" s="1" t="n">
        <v>45505</v>
      </c>
      <c r="D566" t="inlineStr">
        <is>
          <t>DALARNAS LÄN</t>
        </is>
      </c>
      <c r="E566" t="inlineStr">
        <is>
          <t>LUDVIKA</t>
        </is>
      </c>
      <c r="G566" t="n">
        <v>1.1</v>
      </c>
      <c r="H566" t="n">
        <v>0</v>
      </c>
      <c r="I566" t="n">
        <v>0</v>
      </c>
      <c r="J566" t="n">
        <v>0</v>
      </c>
      <c r="K566" t="n">
        <v>0</v>
      </c>
      <c r="L566" t="n">
        <v>0</v>
      </c>
      <c r="M566" t="n">
        <v>0</v>
      </c>
      <c r="N566" t="n">
        <v>0</v>
      </c>
      <c r="O566" t="n">
        <v>0</v>
      </c>
      <c r="P566" t="n">
        <v>0</v>
      </c>
      <c r="Q566" t="n">
        <v>0</v>
      </c>
      <c r="R566" s="2" t="inlineStr"/>
    </row>
    <row r="567" ht="15" customHeight="1">
      <c r="A567" t="inlineStr">
        <is>
          <t>A 30581-2023</t>
        </is>
      </c>
      <c r="B567" s="1" t="n">
        <v>45112</v>
      </c>
      <c r="C567" s="1" t="n">
        <v>45505</v>
      </c>
      <c r="D567" t="inlineStr">
        <is>
          <t>DALARNAS LÄN</t>
        </is>
      </c>
      <c r="E567" t="inlineStr">
        <is>
          <t>LUDVIKA</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32852-2023</t>
        </is>
      </c>
      <c r="B568" s="1" t="n">
        <v>45112</v>
      </c>
      <c r="C568" s="1" t="n">
        <v>45505</v>
      </c>
      <c r="D568" t="inlineStr">
        <is>
          <t>DALARNAS LÄN</t>
        </is>
      </c>
      <c r="E568" t="inlineStr">
        <is>
          <t>LUDVIKA</t>
        </is>
      </c>
      <c r="F568" t="inlineStr">
        <is>
          <t>Kommuner</t>
        </is>
      </c>
      <c r="G568" t="n">
        <v>2</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45505</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30892-2023</t>
        </is>
      </c>
      <c r="B570" s="1" t="n">
        <v>45113</v>
      </c>
      <c r="C570" s="1" t="n">
        <v>45505</v>
      </c>
      <c r="D570" t="inlineStr">
        <is>
          <t>DALARNAS LÄN</t>
        </is>
      </c>
      <c r="E570" t="inlineStr">
        <is>
          <t>LUDVIKA</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45505</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31353-2023</t>
        </is>
      </c>
      <c r="B572" s="1" t="n">
        <v>45114</v>
      </c>
      <c r="C572" s="1" t="n">
        <v>45505</v>
      </c>
      <c r="D572" t="inlineStr">
        <is>
          <t>DALARNAS LÄN</t>
        </is>
      </c>
      <c r="E572" t="inlineStr">
        <is>
          <t>LUDVIKA</t>
        </is>
      </c>
      <c r="F572" t="inlineStr">
        <is>
          <t>Naturvårdsverket</t>
        </is>
      </c>
      <c r="G572" t="n">
        <v>2.5</v>
      </c>
      <c r="H572" t="n">
        <v>0</v>
      </c>
      <c r="I572" t="n">
        <v>0</v>
      </c>
      <c r="J572" t="n">
        <v>0</v>
      </c>
      <c r="K572" t="n">
        <v>0</v>
      </c>
      <c r="L572" t="n">
        <v>0</v>
      </c>
      <c r="M572" t="n">
        <v>0</v>
      </c>
      <c r="N572" t="n">
        <v>0</v>
      </c>
      <c r="O572" t="n">
        <v>0</v>
      </c>
      <c r="P572" t="n">
        <v>0</v>
      </c>
      <c r="Q572" t="n">
        <v>0</v>
      </c>
      <c r="R572" s="2" t="inlineStr"/>
    </row>
    <row r="573" ht="15" customHeight="1">
      <c r="A573" t="inlineStr">
        <is>
          <t>A 31478-2023</t>
        </is>
      </c>
      <c r="B573" s="1" t="n">
        <v>45114</v>
      </c>
      <c r="C573" s="1" t="n">
        <v>45505</v>
      </c>
      <c r="D573" t="inlineStr">
        <is>
          <t>DALARNAS LÄN</t>
        </is>
      </c>
      <c r="E573" t="inlineStr">
        <is>
          <t>LUDVIKA</t>
        </is>
      </c>
      <c r="G573" t="n">
        <v>6.2</v>
      </c>
      <c r="H573" t="n">
        <v>0</v>
      </c>
      <c r="I573" t="n">
        <v>0</v>
      </c>
      <c r="J573" t="n">
        <v>0</v>
      </c>
      <c r="K573" t="n">
        <v>0</v>
      </c>
      <c r="L573" t="n">
        <v>0</v>
      </c>
      <c r="M573" t="n">
        <v>0</v>
      </c>
      <c r="N573" t="n">
        <v>0</v>
      </c>
      <c r="O573" t="n">
        <v>0</v>
      </c>
      <c r="P573" t="n">
        <v>0</v>
      </c>
      <c r="Q573" t="n">
        <v>0</v>
      </c>
      <c r="R573" s="2" t="inlineStr"/>
    </row>
    <row r="574" ht="15" customHeight="1">
      <c r="A574" t="inlineStr">
        <is>
          <t>A 31341-2023</t>
        </is>
      </c>
      <c r="B574" s="1" t="n">
        <v>45114</v>
      </c>
      <c r="C574" s="1" t="n">
        <v>45505</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31477-2023</t>
        </is>
      </c>
      <c r="B575" s="1" t="n">
        <v>45114</v>
      </c>
      <c r="C575" s="1" t="n">
        <v>45505</v>
      </c>
      <c r="D575" t="inlineStr">
        <is>
          <t>DALARNAS LÄN</t>
        </is>
      </c>
      <c r="E575" t="inlineStr">
        <is>
          <t>LUDVIKA</t>
        </is>
      </c>
      <c r="G575" t="n">
        <v>3.4</v>
      </c>
      <c r="H575" t="n">
        <v>0</v>
      </c>
      <c r="I575" t="n">
        <v>0</v>
      </c>
      <c r="J575" t="n">
        <v>0</v>
      </c>
      <c r="K575" t="n">
        <v>0</v>
      </c>
      <c r="L575" t="n">
        <v>0</v>
      </c>
      <c r="M575" t="n">
        <v>0</v>
      </c>
      <c r="N575" t="n">
        <v>0</v>
      </c>
      <c r="O575" t="n">
        <v>0</v>
      </c>
      <c r="P575" t="n">
        <v>0</v>
      </c>
      <c r="Q575" t="n">
        <v>0</v>
      </c>
      <c r="R575" s="2" t="inlineStr"/>
    </row>
    <row r="576" ht="15" customHeight="1">
      <c r="A576" t="inlineStr">
        <is>
          <t>A 31625-2023</t>
        </is>
      </c>
      <c r="B576" s="1" t="n">
        <v>45117</v>
      </c>
      <c r="C576" s="1" t="n">
        <v>45505</v>
      </c>
      <c r="D576" t="inlineStr">
        <is>
          <t>DALARNAS LÄN</t>
        </is>
      </c>
      <c r="E576" t="inlineStr">
        <is>
          <t>LUDVIKA</t>
        </is>
      </c>
      <c r="G576" t="n">
        <v>4.1</v>
      </c>
      <c r="H576" t="n">
        <v>0</v>
      </c>
      <c r="I576" t="n">
        <v>0</v>
      </c>
      <c r="J576" t="n">
        <v>0</v>
      </c>
      <c r="K576" t="n">
        <v>0</v>
      </c>
      <c r="L576" t="n">
        <v>0</v>
      </c>
      <c r="M576" t="n">
        <v>0</v>
      </c>
      <c r="N576" t="n">
        <v>0</v>
      </c>
      <c r="O576" t="n">
        <v>0</v>
      </c>
      <c r="P576" t="n">
        <v>0</v>
      </c>
      <c r="Q576" t="n">
        <v>0</v>
      </c>
      <c r="R576" s="2" t="inlineStr"/>
    </row>
    <row r="577" ht="15" customHeight="1">
      <c r="A577" t="inlineStr">
        <is>
          <t>A 33535-2023</t>
        </is>
      </c>
      <c r="B577" s="1" t="n">
        <v>45118</v>
      </c>
      <c r="C577" s="1" t="n">
        <v>45505</v>
      </c>
      <c r="D577" t="inlineStr">
        <is>
          <t>DALARNAS LÄN</t>
        </is>
      </c>
      <c r="E577" t="inlineStr">
        <is>
          <t>LUDVIKA</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32119-2023</t>
        </is>
      </c>
      <c r="B578" s="1" t="n">
        <v>45119</v>
      </c>
      <c r="C578" s="1" t="n">
        <v>45505</v>
      </c>
      <c r="D578" t="inlineStr">
        <is>
          <t>DALARNAS LÄN</t>
        </is>
      </c>
      <c r="E578" t="inlineStr">
        <is>
          <t>LUDVIKA</t>
        </is>
      </c>
      <c r="F578" t="inlineStr">
        <is>
          <t>Naturvårdsverket</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32091-2023</t>
        </is>
      </c>
      <c r="B579" s="1" t="n">
        <v>45119</v>
      </c>
      <c r="C579" s="1" t="n">
        <v>45505</v>
      </c>
      <c r="D579" t="inlineStr">
        <is>
          <t>DALARNAS LÄN</t>
        </is>
      </c>
      <c r="E579" t="inlineStr">
        <is>
          <t>LUDVIKA</t>
        </is>
      </c>
      <c r="F579" t="inlineStr">
        <is>
          <t>Bergvik skog väst AB</t>
        </is>
      </c>
      <c r="G579" t="n">
        <v>7.3</v>
      </c>
      <c r="H579" t="n">
        <v>0</v>
      </c>
      <c r="I579" t="n">
        <v>0</v>
      </c>
      <c r="J579" t="n">
        <v>0</v>
      </c>
      <c r="K579" t="n">
        <v>0</v>
      </c>
      <c r="L579" t="n">
        <v>0</v>
      </c>
      <c r="M579" t="n">
        <v>0</v>
      </c>
      <c r="N579" t="n">
        <v>0</v>
      </c>
      <c r="O579" t="n">
        <v>0</v>
      </c>
      <c r="P579" t="n">
        <v>0</v>
      </c>
      <c r="Q579" t="n">
        <v>0</v>
      </c>
      <c r="R579" s="2" t="inlineStr"/>
    </row>
    <row r="580" ht="15" customHeight="1">
      <c r="A580" t="inlineStr">
        <is>
          <t>A 32124-2023</t>
        </is>
      </c>
      <c r="B580" s="1" t="n">
        <v>45119</v>
      </c>
      <c r="C580" s="1" t="n">
        <v>45505</v>
      </c>
      <c r="D580" t="inlineStr">
        <is>
          <t>DALARNAS LÄN</t>
        </is>
      </c>
      <c r="E580" t="inlineStr">
        <is>
          <t>LUDVIKA</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32526-2023</t>
        </is>
      </c>
      <c r="B581" s="1" t="n">
        <v>45121</v>
      </c>
      <c r="C581" s="1" t="n">
        <v>45505</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32527-2023</t>
        </is>
      </c>
      <c r="B582" s="1" t="n">
        <v>45121</v>
      </c>
      <c r="C582" s="1" t="n">
        <v>45505</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32927-2023</t>
        </is>
      </c>
      <c r="B583" s="1" t="n">
        <v>45125</v>
      </c>
      <c r="C583" s="1" t="n">
        <v>45505</v>
      </c>
      <c r="D583" t="inlineStr">
        <is>
          <t>DALARNAS LÄN</t>
        </is>
      </c>
      <c r="E583" t="inlineStr">
        <is>
          <t>LUDVIKA</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32930-2023</t>
        </is>
      </c>
      <c r="B584" s="1" t="n">
        <v>45125</v>
      </c>
      <c r="C584" s="1" t="n">
        <v>45505</v>
      </c>
      <c r="D584" t="inlineStr">
        <is>
          <t>DALARNAS LÄN</t>
        </is>
      </c>
      <c r="E584" t="inlineStr">
        <is>
          <t>LUDVIKA</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34041-2023</t>
        </is>
      </c>
      <c r="B585" s="1" t="n">
        <v>45125</v>
      </c>
      <c r="C585" s="1" t="n">
        <v>45505</v>
      </c>
      <c r="D585" t="inlineStr">
        <is>
          <t>DALARNAS LÄN</t>
        </is>
      </c>
      <c r="E585" t="inlineStr">
        <is>
          <t>LUDVIKA</t>
        </is>
      </c>
      <c r="G585" t="n">
        <v>4.2</v>
      </c>
      <c r="H585" t="n">
        <v>0</v>
      </c>
      <c r="I585" t="n">
        <v>0</v>
      </c>
      <c r="J585" t="n">
        <v>0</v>
      </c>
      <c r="K585" t="n">
        <v>0</v>
      </c>
      <c r="L585" t="n">
        <v>0</v>
      </c>
      <c r="M585" t="n">
        <v>0</v>
      </c>
      <c r="N585" t="n">
        <v>0</v>
      </c>
      <c r="O585" t="n">
        <v>0</v>
      </c>
      <c r="P585" t="n">
        <v>0</v>
      </c>
      <c r="Q585" t="n">
        <v>0</v>
      </c>
      <c r="R585" s="2" t="inlineStr"/>
    </row>
    <row r="586" ht="15" customHeight="1">
      <c r="A586" t="inlineStr">
        <is>
          <t>A 33063-2023</t>
        </is>
      </c>
      <c r="B586" s="1" t="n">
        <v>45126</v>
      </c>
      <c r="C586" s="1" t="n">
        <v>45505</v>
      </c>
      <c r="D586" t="inlineStr">
        <is>
          <t>DALARNAS LÄN</t>
        </is>
      </c>
      <c r="E586" t="inlineStr">
        <is>
          <t>LUDVIKA</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33275-2023</t>
        </is>
      </c>
      <c r="B587" s="1" t="n">
        <v>45127</v>
      </c>
      <c r="C587" s="1" t="n">
        <v>45505</v>
      </c>
      <c r="D587" t="inlineStr">
        <is>
          <t>DALARNAS LÄN</t>
        </is>
      </c>
      <c r="E587" t="inlineStr">
        <is>
          <t>LUDVIKA</t>
        </is>
      </c>
      <c r="F587" t="inlineStr">
        <is>
          <t>Naturvårdsverket</t>
        </is>
      </c>
      <c r="G587" t="n">
        <v>3.2</v>
      </c>
      <c r="H587" t="n">
        <v>0</v>
      </c>
      <c r="I587" t="n">
        <v>0</v>
      </c>
      <c r="J587" t="n">
        <v>0</v>
      </c>
      <c r="K587" t="n">
        <v>0</v>
      </c>
      <c r="L587" t="n">
        <v>0</v>
      </c>
      <c r="M587" t="n">
        <v>0</v>
      </c>
      <c r="N587" t="n">
        <v>0</v>
      </c>
      <c r="O587" t="n">
        <v>0</v>
      </c>
      <c r="P587" t="n">
        <v>0</v>
      </c>
      <c r="Q587" t="n">
        <v>0</v>
      </c>
      <c r="R587" s="2" t="inlineStr"/>
    </row>
    <row r="588" ht="15" customHeight="1">
      <c r="A588" t="inlineStr">
        <is>
          <t>A 33347-2023</t>
        </is>
      </c>
      <c r="B588" s="1" t="n">
        <v>45128</v>
      </c>
      <c r="C588" s="1" t="n">
        <v>45505</v>
      </c>
      <c r="D588" t="inlineStr">
        <is>
          <t>DALARNAS LÄN</t>
        </is>
      </c>
      <c r="E588" t="inlineStr">
        <is>
          <t>LUDVIKA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33344-2023</t>
        </is>
      </c>
      <c r="B589" s="1" t="n">
        <v>45128</v>
      </c>
      <c r="C589" s="1" t="n">
        <v>45505</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33361-2023</t>
        </is>
      </c>
      <c r="B590" s="1" t="n">
        <v>45128</v>
      </c>
      <c r="C590" s="1" t="n">
        <v>45505</v>
      </c>
      <c r="D590" t="inlineStr">
        <is>
          <t>DALARNAS LÄN</t>
        </is>
      </c>
      <c r="E590" t="inlineStr">
        <is>
          <t>LUDVIKA</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33560-2023</t>
        </is>
      </c>
      <c r="B591" s="1" t="n">
        <v>45131</v>
      </c>
      <c r="C591" s="1" t="n">
        <v>45505</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34341-2023</t>
        </is>
      </c>
      <c r="B592" s="1" t="n">
        <v>45131</v>
      </c>
      <c r="C592" s="1" t="n">
        <v>45505</v>
      </c>
      <c r="D592" t="inlineStr">
        <is>
          <t>DALARNAS LÄN</t>
        </is>
      </c>
      <c r="E592" t="inlineStr">
        <is>
          <t>LUDVIKA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33620-2023</t>
        </is>
      </c>
      <c r="B593" s="1" t="n">
        <v>45132</v>
      </c>
      <c r="C593" s="1" t="n">
        <v>45505</v>
      </c>
      <c r="D593" t="inlineStr">
        <is>
          <t>DALARNAS LÄN</t>
        </is>
      </c>
      <c r="E593" t="inlineStr">
        <is>
          <t>LUDVIKA</t>
        </is>
      </c>
      <c r="F593" t="inlineStr">
        <is>
          <t>Bergvik skog väst AB</t>
        </is>
      </c>
      <c r="G593" t="n">
        <v>7.4</v>
      </c>
      <c r="H593" t="n">
        <v>0</v>
      </c>
      <c r="I593" t="n">
        <v>0</v>
      </c>
      <c r="J593" t="n">
        <v>0</v>
      </c>
      <c r="K593" t="n">
        <v>0</v>
      </c>
      <c r="L593" t="n">
        <v>0</v>
      </c>
      <c r="M593" t="n">
        <v>0</v>
      </c>
      <c r="N593" t="n">
        <v>0</v>
      </c>
      <c r="O593" t="n">
        <v>0</v>
      </c>
      <c r="P593" t="n">
        <v>0</v>
      </c>
      <c r="Q593" t="n">
        <v>0</v>
      </c>
      <c r="R593" s="2" t="inlineStr"/>
    </row>
    <row r="594" ht="15" customHeight="1">
      <c r="A594" t="inlineStr">
        <is>
          <t>A 33914-2023</t>
        </is>
      </c>
      <c r="B594" s="1" t="n">
        <v>45134</v>
      </c>
      <c r="C594" s="1" t="n">
        <v>45505</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33933-2023</t>
        </is>
      </c>
      <c r="B595" s="1" t="n">
        <v>45134</v>
      </c>
      <c r="C595" s="1" t="n">
        <v>45505</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33916-2023</t>
        </is>
      </c>
      <c r="B596" s="1" t="n">
        <v>45134</v>
      </c>
      <c r="C596" s="1" t="n">
        <v>45505</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33917-2023</t>
        </is>
      </c>
      <c r="B597" s="1" t="n">
        <v>45134</v>
      </c>
      <c r="C597" s="1" t="n">
        <v>45505</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33947-2023</t>
        </is>
      </c>
      <c r="B598" s="1" t="n">
        <v>45134</v>
      </c>
      <c r="C598" s="1" t="n">
        <v>45505</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34024-2023</t>
        </is>
      </c>
      <c r="B599" s="1" t="n">
        <v>45135</v>
      </c>
      <c r="C599" s="1" t="n">
        <v>45505</v>
      </c>
      <c r="D599" t="inlineStr">
        <is>
          <t>DALARNAS LÄN</t>
        </is>
      </c>
      <c r="E599" t="inlineStr">
        <is>
          <t>LUDVIKA</t>
        </is>
      </c>
      <c r="F599" t="inlineStr">
        <is>
          <t>Bergvik skog väst AB</t>
        </is>
      </c>
      <c r="G599" t="n">
        <v>18.3</v>
      </c>
      <c r="H599" t="n">
        <v>0</v>
      </c>
      <c r="I599" t="n">
        <v>0</v>
      </c>
      <c r="J599" t="n">
        <v>0</v>
      </c>
      <c r="K599" t="n">
        <v>0</v>
      </c>
      <c r="L599" t="n">
        <v>0</v>
      </c>
      <c r="M599" t="n">
        <v>0</v>
      </c>
      <c r="N599" t="n">
        <v>0</v>
      </c>
      <c r="O599" t="n">
        <v>0</v>
      </c>
      <c r="P599" t="n">
        <v>0</v>
      </c>
      <c r="Q599" t="n">
        <v>0</v>
      </c>
      <c r="R599" s="2" t="inlineStr"/>
    </row>
    <row r="600" ht="15" customHeight="1">
      <c r="A600" t="inlineStr">
        <is>
          <t>A 34503-2023</t>
        </is>
      </c>
      <c r="B600" s="1" t="n">
        <v>45140</v>
      </c>
      <c r="C600" s="1" t="n">
        <v>45505</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34555-2023</t>
        </is>
      </c>
      <c r="B601" s="1" t="n">
        <v>45140</v>
      </c>
      <c r="C601" s="1" t="n">
        <v>45505</v>
      </c>
      <c r="D601" t="inlineStr">
        <is>
          <t>DALARNAS LÄN</t>
        </is>
      </c>
      <c r="E601" t="inlineStr">
        <is>
          <t>LUDVIKA</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34895-2023</t>
        </is>
      </c>
      <c r="B602" s="1" t="n">
        <v>45142</v>
      </c>
      <c r="C602" s="1" t="n">
        <v>45505</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35791-2023</t>
        </is>
      </c>
      <c r="B603" s="1" t="n">
        <v>45148</v>
      </c>
      <c r="C603" s="1" t="n">
        <v>45505</v>
      </c>
      <c r="D603" t="inlineStr">
        <is>
          <t>DALARNAS LÄN</t>
        </is>
      </c>
      <c r="E603" t="inlineStr">
        <is>
          <t>LUDVIKA</t>
        </is>
      </c>
      <c r="F603" t="inlineStr">
        <is>
          <t>Bergvik skog väst AB</t>
        </is>
      </c>
      <c r="G603" t="n">
        <v>9.4</v>
      </c>
      <c r="H603" t="n">
        <v>0</v>
      </c>
      <c r="I603" t="n">
        <v>0</v>
      </c>
      <c r="J603" t="n">
        <v>0</v>
      </c>
      <c r="K603" t="n">
        <v>0</v>
      </c>
      <c r="L603" t="n">
        <v>0</v>
      </c>
      <c r="M603" t="n">
        <v>0</v>
      </c>
      <c r="N603" t="n">
        <v>0</v>
      </c>
      <c r="O603" t="n">
        <v>0</v>
      </c>
      <c r="P603" t="n">
        <v>0</v>
      </c>
      <c r="Q603" t="n">
        <v>0</v>
      </c>
      <c r="R603" s="2" t="inlineStr"/>
    </row>
    <row r="604" ht="15" customHeight="1">
      <c r="A604" t="inlineStr">
        <is>
          <t>A 35789-2023</t>
        </is>
      </c>
      <c r="B604" s="1" t="n">
        <v>45148</v>
      </c>
      <c r="C604" s="1" t="n">
        <v>45505</v>
      </c>
      <c r="D604" t="inlineStr">
        <is>
          <t>DALARNAS LÄN</t>
        </is>
      </c>
      <c r="E604" t="inlineStr">
        <is>
          <t>LUDVIKA</t>
        </is>
      </c>
      <c r="G604" t="n">
        <v>2.1</v>
      </c>
      <c r="H604" t="n">
        <v>0</v>
      </c>
      <c r="I604" t="n">
        <v>0</v>
      </c>
      <c r="J604" t="n">
        <v>0</v>
      </c>
      <c r="K604" t="n">
        <v>0</v>
      </c>
      <c r="L604" t="n">
        <v>0</v>
      </c>
      <c r="M604" t="n">
        <v>0</v>
      </c>
      <c r="N604" t="n">
        <v>0</v>
      </c>
      <c r="O604" t="n">
        <v>0</v>
      </c>
      <c r="P604" t="n">
        <v>0</v>
      </c>
      <c r="Q604" t="n">
        <v>0</v>
      </c>
      <c r="R604" s="2" t="inlineStr"/>
    </row>
    <row r="605" ht="15" customHeight="1">
      <c r="A605" t="inlineStr">
        <is>
          <t>A 36079-2023</t>
        </is>
      </c>
      <c r="B605" s="1" t="n">
        <v>45149</v>
      </c>
      <c r="C605" s="1" t="n">
        <v>45505</v>
      </c>
      <c r="D605" t="inlineStr">
        <is>
          <t>DALARNAS LÄN</t>
        </is>
      </c>
      <c r="E605" t="inlineStr">
        <is>
          <t>LUDVIKA</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36083-2023</t>
        </is>
      </c>
      <c r="B606" s="1" t="n">
        <v>45149</v>
      </c>
      <c r="C606" s="1" t="n">
        <v>45505</v>
      </c>
      <c r="D606" t="inlineStr">
        <is>
          <t>DALARNAS LÄN</t>
        </is>
      </c>
      <c r="E606" t="inlineStr">
        <is>
          <t>LUDVIKA</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36073-2023</t>
        </is>
      </c>
      <c r="B607" s="1" t="n">
        <v>45149</v>
      </c>
      <c r="C607" s="1" t="n">
        <v>45505</v>
      </c>
      <c r="D607" t="inlineStr">
        <is>
          <t>DALARNAS LÄN</t>
        </is>
      </c>
      <c r="E607" t="inlineStr">
        <is>
          <t>LUDVIKA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36296-2023</t>
        </is>
      </c>
      <c r="B608" s="1" t="n">
        <v>45152</v>
      </c>
      <c r="C608" s="1" t="n">
        <v>45505</v>
      </c>
      <c r="D608" t="inlineStr">
        <is>
          <t>DALARNAS LÄN</t>
        </is>
      </c>
      <c r="E608" t="inlineStr">
        <is>
          <t>LUDVIKA</t>
        </is>
      </c>
      <c r="F608" t="inlineStr">
        <is>
          <t>Bergvik skog väst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36294-2023</t>
        </is>
      </c>
      <c r="B609" s="1" t="n">
        <v>45152</v>
      </c>
      <c r="C609" s="1" t="n">
        <v>45505</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36297-2023</t>
        </is>
      </c>
      <c r="B610" s="1" t="n">
        <v>45152</v>
      </c>
      <c r="C610" s="1" t="n">
        <v>45505</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37008-2023</t>
        </is>
      </c>
      <c r="B611" s="1" t="n">
        <v>45155</v>
      </c>
      <c r="C611" s="1" t="n">
        <v>45505</v>
      </c>
      <c r="D611" t="inlineStr">
        <is>
          <t>DALARNAS LÄN</t>
        </is>
      </c>
      <c r="E611" t="inlineStr">
        <is>
          <t>LUDVIKA</t>
        </is>
      </c>
      <c r="G611" t="n">
        <v>3</v>
      </c>
      <c r="H611" t="n">
        <v>0</v>
      </c>
      <c r="I611" t="n">
        <v>0</v>
      </c>
      <c r="J611" t="n">
        <v>0</v>
      </c>
      <c r="K611" t="n">
        <v>0</v>
      </c>
      <c r="L611" t="n">
        <v>0</v>
      </c>
      <c r="M611" t="n">
        <v>0</v>
      </c>
      <c r="N611" t="n">
        <v>0</v>
      </c>
      <c r="O611" t="n">
        <v>0</v>
      </c>
      <c r="P611" t="n">
        <v>0</v>
      </c>
      <c r="Q611" t="n">
        <v>0</v>
      </c>
      <c r="R611" s="2" t="inlineStr"/>
    </row>
    <row r="612" ht="15" customHeight="1">
      <c r="A612" t="inlineStr">
        <is>
          <t>A 37273-2023</t>
        </is>
      </c>
      <c r="B612" s="1" t="n">
        <v>45156</v>
      </c>
      <c r="C612" s="1" t="n">
        <v>45505</v>
      </c>
      <c r="D612" t="inlineStr">
        <is>
          <t>DALARNAS LÄN</t>
        </is>
      </c>
      <c r="E612" t="inlineStr">
        <is>
          <t>LUDVIKA</t>
        </is>
      </c>
      <c r="G612" t="n">
        <v>4</v>
      </c>
      <c r="H612" t="n">
        <v>0</v>
      </c>
      <c r="I612" t="n">
        <v>0</v>
      </c>
      <c r="J612" t="n">
        <v>0</v>
      </c>
      <c r="K612" t="n">
        <v>0</v>
      </c>
      <c r="L612" t="n">
        <v>0</v>
      </c>
      <c r="M612" t="n">
        <v>0</v>
      </c>
      <c r="N612" t="n">
        <v>0</v>
      </c>
      <c r="O612" t="n">
        <v>0</v>
      </c>
      <c r="P612" t="n">
        <v>0</v>
      </c>
      <c r="Q612" t="n">
        <v>0</v>
      </c>
      <c r="R612" s="2" t="inlineStr"/>
    </row>
    <row r="613" ht="15" customHeight="1">
      <c r="A613" t="inlineStr">
        <is>
          <t>A 37272-2023</t>
        </is>
      </c>
      <c r="B613" s="1" t="n">
        <v>45156</v>
      </c>
      <c r="C613" s="1" t="n">
        <v>45505</v>
      </c>
      <c r="D613" t="inlineStr">
        <is>
          <t>DALARNAS LÄN</t>
        </is>
      </c>
      <c r="E613" t="inlineStr">
        <is>
          <t>LUDVIKA</t>
        </is>
      </c>
      <c r="G613" t="n">
        <v>6</v>
      </c>
      <c r="H613" t="n">
        <v>0</v>
      </c>
      <c r="I613" t="n">
        <v>0</v>
      </c>
      <c r="J613" t="n">
        <v>0</v>
      </c>
      <c r="K613" t="n">
        <v>0</v>
      </c>
      <c r="L613" t="n">
        <v>0</v>
      </c>
      <c r="M613" t="n">
        <v>0</v>
      </c>
      <c r="N613" t="n">
        <v>0</v>
      </c>
      <c r="O613" t="n">
        <v>0</v>
      </c>
      <c r="P613" t="n">
        <v>0</v>
      </c>
      <c r="Q613" t="n">
        <v>0</v>
      </c>
      <c r="R613" s="2" t="inlineStr"/>
    </row>
    <row r="614" ht="15" customHeight="1">
      <c r="A614" t="inlineStr">
        <is>
          <t>A 37333-2023</t>
        </is>
      </c>
      <c r="B614" s="1" t="n">
        <v>45156</v>
      </c>
      <c r="C614" s="1" t="n">
        <v>45505</v>
      </c>
      <c r="D614" t="inlineStr">
        <is>
          <t>DALARNAS LÄN</t>
        </is>
      </c>
      <c r="E614" t="inlineStr">
        <is>
          <t>LUDVIKA</t>
        </is>
      </c>
      <c r="F614" t="inlineStr">
        <is>
          <t>Bergvik skog väst AB</t>
        </is>
      </c>
      <c r="G614" t="n">
        <v>5</v>
      </c>
      <c r="H614" t="n">
        <v>0</v>
      </c>
      <c r="I614" t="n">
        <v>0</v>
      </c>
      <c r="J614" t="n">
        <v>0</v>
      </c>
      <c r="K614" t="n">
        <v>0</v>
      </c>
      <c r="L614" t="n">
        <v>0</v>
      </c>
      <c r="M614" t="n">
        <v>0</v>
      </c>
      <c r="N614" t="n">
        <v>0</v>
      </c>
      <c r="O614" t="n">
        <v>0</v>
      </c>
      <c r="P614" t="n">
        <v>0</v>
      </c>
      <c r="Q614" t="n">
        <v>0</v>
      </c>
      <c r="R614" s="2" t="inlineStr"/>
    </row>
    <row r="615" ht="15" customHeight="1">
      <c r="A615" t="inlineStr">
        <is>
          <t>A 37366-2023</t>
        </is>
      </c>
      <c r="B615" s="1" t="n">
        <v>45156</v>
      </c>
      <c r="C615" s="1" t="n">
        <v>45505</v>
      </c>
      <c r="D615" t="inlineStr">
        <is>
          <t>DALARNAS LÄN</t>
        </is>
      </c>
      <c r="E615" t="inlineStr">
        <is>
          <t>LUDVIKA</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37392-2023</t>
        </is>
      </c>
      <c r="B616" s="1" t="n">
        <v>45156</v>
      </c>
      <c r="C616" s="1" t="n">
        <v>45505</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38170-2023</t>
        </is>
      </c>
      <c r="B617" s="1" t="n">
        <v>45161</v>
      </c>
      <c r="C617" s="1" t="n">
        <v>45505</v>
      </c>
      <c r="D617" t="inlineStr">
        <is>
          <t>DALARNAS LÄN</t>
        </is>
      </c>
      <c r="E617" t="inlineStr">
        <is>
          <t>LUDVIKA</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38138-2023</t>
        </is>
      </c>
      <c r="B618" s="1" t="n">
        <v>45161</v>
      </c>
      <c r="C618" s="1" t="n">
        <v>45505</v>
      </c>
      <c r="D618" t="inlineStr">
        <is>
          <t>DALARNAS LÄN</t>
        </is>
      </c>
      <c r="E618" t="inlineStr">
        <is>
          <t>LUDVIKA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38279-2023</t>
        </is>
      </c>
      <c r="B619" s="1" t="n">
        <v>45161</v>
      </c>
      <c r="C619" s="1" t="n">
        <v>45505</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38168-2023</t>
        </is>
      </c>
      <c r="B620" s="1" t="n">
        <v>45161</v>
      </c>
      <c r="C620" s="1" t="n">
        <v>45505</v>
      </c>
      <c r="D620" t="inlineStr">
        <is>
          <t>DALARNAS LÄN</t>
        </is>
      </c>
      <c r="E620" t="inlineStr">
        <is>
          <t>LUDVIKA</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38197-2023</t>
        </is>
      </c>
      <c r="B621" s="1" t="n">
        <v>45161</v>
      </c>
      <c r="C621" s="1" t="n">
        <v>45505</v>
      </c>
      <c r="D621" t="inlineStr">
        <is>
          <t>DALARNAS LÄN</t>
        </is>
      </c>
      <c r="E621" t="inlineStr">
        <is>
          <t>LUDVIKA</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38243-2023</t>
        </is>
      </c>
      <c r="B622" s="1" t="n">
        <v>45161</v>
      </c>
      <c r="C622" s="1" t="n">
        <v>45505</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38280-2023</t>
        </is>
      </c>
      <c r="B623" s="1" t="n">
        <v>45161</v>
      </c>
      <c r="C623" s="1" t="n">
        <v>45505</v>
      </c>
      <c r="D623" t="inlineStr">
        <is>
          <t>DALARNAS LÄN</t>
        </is>
      </c>
      <c r="E623" t="inlineStr">
        <is>
          <t>LUDVIKA</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38963-2023</t>
        </is>
      </c>
      <c r="B624" s="1" t="n">
        <v>45163</v>
      </c>
      <c r="C624" s="1" t="n">
        <v>45505</v>
      </c>
      <c r="D624" t="inlineStr">
        <is>
          <t>DALARNAS LÄN</t>
        </is>
      </c>
      <c r="E624" t="inlineStr">
        <is>
          <t>LUDVIKA</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38925-2023</t>
        </is>
      </c>
      <c r="B625" s="1" t="n">
        <v>45163</v>
      </c>
      <c r="C625" s="1" t="n">
        <v>45505</v>
      </c>
      <c r="D625" t="inlineStr">
        <is>
          <t>DALARNAS LÄN</t>
        </is>
      </c>
      <c r="E625" t="inlineStr">
        <is>
          <t>LUDVIKA</t>
        </is>
      </c>
      <c r="G625" t="n">
        <v>3</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v>
      </c>
      <c r="C626" s="1" t="n">
        <v>45505</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v>
      </c>
      <c r="C627" s="1" t="n">
        <v>45505</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39405-2023</t>
        </is>
      </c>
      <c r="B628" s="1" t="n">
        <v>45166</v>
      </c>
      <c r="C628" s="1" t="n">
        <v>45505</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39417-2023</t>
        </is>
      </c>
      <c r="B629" s="1" t="n">
        <v>45166</v>
      </c>
      <c r="C629" s="1" t="n">
        <v>45505</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39438-2023</t>
        </is>
      </c>
      <c r="B630" s="1" t="n">
        <v>45166</v>
      </c>
      <c r="C630" s="1" t="n">
        <v>45505</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39441-2023</t>
        </is>
      </c>
      <c r="B631" s="1" t="n">
        <v>45166</v>
      </c>
      <c r="C631" s="1" t="n">
        <v>45505</v>
      </c>
      <c r="D631" t="inlineStr">
        <is>
          <t>DALARNAS LÄN</t>
        </is>
      </c>
      <c r="E631" t="inlineStr">
        <is>
          <t>LUDVIKA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39447-2023</t>
        </is>
      </c>
      <c r="B632" s="1" t="n">
        <v>45166</v>
      </c>
      <c r="C632" s="1" t="n">
        <v>45505</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39675-2023</t>
        </is>
      </c>
      <c r="B633" s="1" t="n">
        <v>45167</v>
      </c>
      <c r="C633" s="1" t="n">
        <v>45505</v>
      </c>
      <c r="D633" t="inlineStr">
        <is>
          <t>DALARNAS LÄN</t>
        </is>
      </c>
      <c r="E633" t="inlineStr">
        <is>
          <t>LUDVIKA</t>
        </is>
      </c>
      <c r="F633" t="inlineStr">
        <is>
          <t>Naturvårdsverket</t>
        </is>
      </c>
      <c r="G633" t="n">
        <v>0.9</v>
      </c>
      <c r="H633" t="n">
        <v>0</v>
      </c>
      <c r="I633" t="n">
        <v>0</v>
      </c>
      <c r="J633" t="n">
        <v>0</v>
      </c>
      <c r="K633" t="n">
        <v>0</v>
      </c>
      <c r="L633" t="n">
        <v>0</v>
      </c>
      <c r="M633" t="n">
        <v>0</v>
      </c>
      <c r="N633" t="n">
        <v>0</v>
      </c>
      <c r="O633" t="n">
        <v>0</v>
      </c>
      <c r="P633" t="n">
        <v>0</v>
      </c>
      <c r="Q633" t="n">
        <v>0</v>
      </c>
      <c r="R633" s="2" t="inlineStr"/>
    </row>
    <row r="634" ht="15" customHeight="1">
      <c r="A634" t="inlineStr">
        <is>
          <t>A 39673-2023</t>
        </is>
      </c>
      <c r="B634" s="1" t="n">
        <v>45167</v>
      </c>
      <c r="C634" s="1" t="n">
        <v>45505</v>
      </c>
      <c r="D634" t="inlineStr">
        <is>
          <t>DALARNAS LÄN</t>
        </is>
      </c>
      <c r="E634" t="inlineStr">
        <is>
          <t>LUDVIKA</t>
        </is>
      </c>
      <c r="F634" t="inlineStr">
        <is>
          <t>Naturvårdsverket</t>
        </is>
      </c>
      <c r="G634" t="n">
        <v>1.1</v>
      </c>
      <c r="H634" t="n">
        <v>0</v>
      </c>
      <c r="I634" t="n">
        <v>0</v>
      </c>
      <c r="J634" t="n">
        <v>0</v>
      </c>
      <c r="K634" t="n">
        <v>0</v>
      </c>
      <c r="L634" t="n">
        <v>0</v>
      </c>
      <c r="M634" t="n">
        <v>0</v>
      </c>
      <c r="N634" t="n">
        <v>0</v>
      </c>
      <c r="O634" t="n">
        <v>0</v>
      </c>
      <c r="P634" t="n">
        <v>0</v>
      </c>
      <c r="Q634" t="n">
        <v>0</v>
      </c>
      <c r="R634" s="2" t="inlineStr"/>
    </row>
    <row r="635" ht="15" customHeight="1">
      <c r="A635" t="inlineStr">
        <is>
          <t>A 39678-2023</t>
        </is>
      </c>
      <c r="B635" s="1" t="n">
        <v>45167</v>
      </c>
      <c r="C635" s="1" t="n">
        <v>45505</v>
      </c>
      <c r="D635" t="inlineStr">
        <is>
          <t>DALARNAS LÄN</t>
        </is>
      </c>
      <c r="E635" t="inlineStr">
        <is>
          <t>LUDVIKA</t>
        </is>
      </c>
      <c r="F635" t="inlineStr">
        <is>
          <t>Naturvårdsverket</t>
        </is>
      </c>
      <c r="G635" t="n">
        <v>1</v>
      </c>
      <c r="H635" t="n">
        <v>0</v>
      </c>
      <c r="I635" t="n">
        <v>0</v>
      </c>
      <c r="J635" t="n">
        <v>0</v>
      </c>
      <c r="K635" t="n">
        <v>0</v>
      </c>
      <c r="L635" t="n">
        <v>0</v>
      </c>
      <c r="M635" t="n">
        <v>0</v>
      </c>
      <c r="N635" t="n">
        <v>0</v>
      </c>
      <c r="O635" t="n">
        <v>0</v>
      </c>
      <c r="P635" t="n">
        <v>0</v>
      </c>
      <c r="Q635" t="n">
        <v>0</v>
      </c>
      <c r="R635" s="2" t="inlineStr"/>
    </row>
    <row r="636" ht="15" customHeight="1">
      <c r="A636" t="inlineStr">
        <is>
          <t>A 39670-2023</t>
        </is>
      </c>
      <c r="B636" s="1" t="n">
        <v>45167</v>
      </c>
      <c r="C636" s="1" t="n">
        <v>45505</v>
      </c>
      <c r="D636" t="inlineStr">
        <is>
          <t>DALARNAS LÄN</t>
        </is>
      </c>
      <c r="E636" t="inlineStr">
        <is>
          <t>LUDVIKA</t>
        </is>
      </c>
      <c r="F636" t="inlineStr">
        <is>
          <t>Naturvårdsverket</t>
        </is>
      </c>
      <c r="G636" t="n">
        <v>3.9</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v>
      </c>
      <c r="C637" s="1" t="n">
        <v>45505</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39878-2023</t>
        </is>
      </c>
      <c r="B638" s="1" t="n">
        <v>45168</v>
      </c>
      <c r="C638" s="1" t="n">
        <v>45505</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40016-2023</t>
        </is>
      </c>
      <c r="B639" s="1" t="n">
        <v>45168</v>
      </c>
      <c r="C639" s="1" t="n">
        <v>45505</v>
      </c>
      <c r="D639" t="inlineStr">
        <is>
          <t>DALARNAS LÄN</t>
        </is>
      </c>
      <c r="E639" t="inlineStr">
        <is>
          <t>LUDVIKA</t>
        </is>
      </c>
      <c r="F639" t="inlineStr">
        <is>
          <t>Bergvik skog väst AB</t>
        </is>
      </c>
      <c r="G639" t="n">
        <v>7.6</v>
      </c>
      <c r="H639" t="n">
        <v>0</v>
      </c>
      <c r="I639" t="n">
        <v>0</v>
      </c>
      <c r="J639" t="n">
        <v>0</v>
      </c>
      <c r="K639" t="n">
        <v>0</v>
      </c>
      <c r="L639" t="n">
        <v>0</v>
      </c>
      <c r="M639" t="n">
        <v>0</v>
      </c>
      <c r="N639" t="n">
        <v>0</v>
      </c>
      <c r="O639" t="n">
        <v>0</v>
      </c>
      <c r="P639" t="n">
        <v>0</v>
      </c>
      <c r="Q639" t="n">
        <v>0</v>
      </c>
      <c r="R639" s="2" t="inlineStr"/>
    </row>
    <row r="640" ht="15" customHeight="1">
      <c r="A640" t="inlineStr">
        <is>
          <t>A 39971-2023</t>
        </is>
      </c>
      <c r="B640" s="1" t="n">
        <v>45168</v>
      </c>
      <c r="C640" s="1" t="n">
        <v>45505</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39886-2023</t>
        </is>
      </c>
      <c r="B641" s="1" t="n">
        <v>45168</v>
      </c>
      <c r="C641" s="1" t="n">
        <v>45505</v>
      </c>
      <c r="D641" t="inlineStr">
        <is>
          <t>DALARNAS LÄN</t>
        </is>
      </c>
      <c r="E641" t="inlineStr">
        <is>
          <t>LUDVIKA</t>
        </is>
      </c>
      <c r="F641" t="inlineStr">
        <is>
          <t>Bergvik skog väst AB</t>
        </is>
      </c>
      <c r="G641" t="n">
        <v>28.4</v>
      </c>
      <c r="H641" t="n">
        <v>0</v>
      </c>
      <c r="I641" t="n">
        <v>0</v>
      </c>
      <c r="J641" t="n">
        <v>0</v>
      </c>
      <c r="K641" t="n">
        <v>0</v>
      </c>
      <c r="L641" t="n">
        <v>0</v>
      </c>
      <c r="M641" t="n">
        <v>0</v>
      </c>
      <c r="N641" t="n">
        <v>0</v>
      </c>
      <c r="O641" t="n">
        <v>0</v>
      </c>
      <c r="P641" t="n">
        <v>0</v>
      </c>
      <c r="Q641" t="n">
        <v>0</v>
      </c>
      <c r="R641" s="2" t="inlineStr"/>
    </row>
    <row r="642" ht="15" customHeight="1">
      <c r="A642" t="inlineStr">
        <is>
          <t>A 40020-2023</t>
        </is>
      </c>
      <c r="B642" s="1" t="n">
        <v>45168</v>
      </c>
      <c r="C642" s="1" t="n">
        <v>45505</v>
      </c>
      <c r="D642" t="inlineStr">
        <is>
          <t>DALARNAS LÄN</t>
        </is>
      </c>
      <c r="E642" t="inlineStr">
        <is>
          <t>LUDVIKA</t>
        </is>
      </c>
      <c r="F642" t="inlineStr">
        <is>
          <t>Bergvik skog väst AB</t>
        </is>
      </c>
      <c r="G642" t="n">
        <v>8.4</v>
      </c>
      <c r="H642" t="n">
        <v>0</v>
      </c>
      <c r="I642" t="n">
        <v>0</v>
      </c>
      <c r="J642" t="n">
        <v>0</v>
      </c>
      <c r="K642" t="n">
        <v>0</v>
      </c>
      <c r="L642" t="n">
        <v>0</v>
      </c>
      <c r="M642" t="n">
        <v>0</v>
      </c>
      <c r="N642" t="n">
        <v>0</v>
      </c>
      <c r="O642" t="n">
        <v>0</v>
      </c>
      <c r="P642" t="n">
        <v>0</v>
      </c>
      <c r="Q642" t="n">
        <v>0</v>
      </c>
      <c r="R642" s="2" t="inlineStr"/>
    </row>
    <row r="643" ht="15" customHeight="1">
      <c r="A643" t="inlineStr">
        <is>
          <t>A 40489-2023</t>
        </is>
      </c>
      <c r="B643" s="1" t="n">
        <v>45170</v>
      </c>
      <c r="C643" s="1" t="n">
        <v>45505</v>
      </c>
      <c r="D643" t="inlineStr">
        <is>
          <t>DALARNAS LÄN</t>
        </is>
      </c>
      <c r="E643" t="inlineStr">
        <is>
          <t>LUDVIKA</t>
        </is>
      </c>
      <c r="F643" t="inlineStr">
        <is>
          <t>Sveaskog</t>
        </is>
      </c>
      <c r="G643" t="n">
        <v>22.5</v>
      </c>
      <c r="H643" t="n">
        <v>0</v>
      </c>
      <c r="I643" t="n">
        <v>0</v>
      </c>
      <c r="J643" t="n">
        <v>0</v>
      </c>
      <c r="K643" t="n">
        <v>0</v>
      </c>
      <c r="L643" t="n">
        <v>0</v>
      </c>
      <c r="M643" t="n">
        <v>0</v>
      </c>
      <c r="N643" t="n">
        <v>0</v>
      </c>
      <c r="O643" t="n">
        <v>0</v>
      </c>
      <c r="P643" t="n">
        <v>0</v>
      </c>
      <c r="Q643" t="n">
        <v>0</v>
      </c>
      <c r="R643" s="2" t="inlineStr"/>
    </row>
    <row r="644" ht="15" customHeight="1">
      <c r="A644" t="inlineStr">
        <is>
          <t>A 40499-2023</t>
        </is>
      </c>
      <c r="B644" s="1" t="n">
        <v>45170</v>
      </c>
      <c r="C644" s="1" t="n">
        <v>45505</v>
      </c>
      <c r="D644" t="inlineStr">
        <is>
          <t>DALARNAS LÄN</t>
        </is>
      </c>
      <c r="E644" t="inlineStr">
        <is>
          <t>LUDVIKA</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40672-2023</t>
        </is>
      </c>
      <c r="B645" s="1" t="n">
        <v>45170</v>
      </c>
      <c r="C645" s="1" t="n">
        <v>45505</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40646-2023</t>
        </is>
      </c>
      <c r="B646" s="1" t="n">
        <v>45170</v>
      </c>
      <c r="C646" s="1" t="n">
        <v>45505</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40473-2023</t>
        </is>
      </c>
      <c r="B647" s="1" t="n">
        <v>45170</v>
      </c>
      <c r="C647" s="1" t="n">
        <v>45505</v>
      </c>
      <c r="D647" t="inlineStr">
        <is>
          <t>DALARNAS LÄN</t>
        </is>
      </c>
      <c r="E647" t="inlineStr">
        <is>
          <t>LUDVIKA</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40687-2023</t>
        </is>
      </c>
      <c r="B648" s="1" t="n">
        <v>45170</v>
      </c>
      <c r="C648" s="1" t="n">
        <v>45505</v>
      </c>
      <c r="D648" t="inlineStr">
        <is>
          <t>DALARNAS LÄN</t>
        </is>
      </c>
      <c r="E648" t="inlineStr">
        <is>
          <t>LUDVIKA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40869-2023</t>
        </is>
      </c>
      <c r="B649" s="1" t="n">
        <v>45173</v>
      </c>
      <c r="C649" s="1" t="n">
        <v>45505</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41177-2023</t>
        </is>
      </c>
      <c r="B650" s="1" t="n">
        <v>45174</v>
      </c>
      <c r="C650" s="1" t="n">
        <v>45505</v>
      </c>
      <c r="D650" t="inlineStr">
        <is>
          <t>DALARNAS LÄN</t>
        </is>
      </c>
      <c r="E650" t="inlineStr">
        <is>
          <t>LUDVIKA</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41628-2023</t>
        </is>
      </c>
      <c r="B651" s="1" t="n">
        <v>45175</v>
      </c>
      <c r="C651" s="1" t="n">
        <v>45505</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41627-2023</t>
        </is>
      </c>
      <c r="B652" s="1" t="n">
        <v>45175</v>
      </c>
      <c r="C652" s="1" t="n">
        <v>45505</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41631-2023</t>
        </is>
      </c>
      <c r="B653" s="1" t="n">
        <v>45175</v>
      </c>
      <c r="C653" s="1" t="n">
        <v>45505</v>
      </c>
      <c r="D653" t="inlineStr">
        <is>
          <t>DALARNAS LÄN</t>
        </is>
      </c>
      <c r="E653" t="inlineStr">
        <is>
          <t>LUDVIKA</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v>
      </c>
      <c r="C654" s="1" t="n">
        <v>45505</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41993-2023</t>
        </is>
      </c>
      <c r="B655" s="1" t="n">
        <v>45177</v>
      </c>
      <c r="C655" s="1" t="n">
        <v>45505</v>
      </c>
      <c r="D655" t="inlineStr">
        <is>
          <t>DALARNAS LÄN</t>
        </is>
      </c>
      <c r="E655" t="inlineStr">
        <is>
          <t>LUDVIKA</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41988-2023</t>
        </is>
      </c>
      <c r="B656" s="1" t="n">
        <v>45177</v>
      </c>
      <c r="C656" s="1" t="n">
        <v>45505</v>
      </c>
      <c r="D656" t="inlineStr">
        <is>
          <t>DALARNAS LÄN</t>
        </is>
      </c>
      <c r="E656" t="inlineStr">
        <is>
          <t>LUDVIKA</t>
        </is>
      </c>
      <c r="F656" t="inlineStr">
        <is>
          <t>Sveaskog</t>
        </is>
      </c>
      <c r="G656" t="n">
        <v>22.2</v>
      </c>
      <c r="H656" t="n">
        <v>0</v>
      </c>
      <c r="I656" t="n">
        <v>0</v>
      </c>
      <c r="J656" t="n">
        <v>0</v>
      </c>
      <c r="K656" t="n">
        <v>0</v>
      </c>
      <c r="L656" t="n">
        <v>0</v>
      </c>
      <c r="M656" t="n">
        <v>0</v>
      </c>
      <c r="N656" t="n">
        <v>0</v>
      </c>
      <c r="O656" t="n">
        <v>0</v>
      </c>
      <c r="P656" t="n">
        <v>0</v>
      </c>
      <c r="Q656" t="n">
        <v>0</v>
      </c>
      <c r="R656" s="2" t="inlineStr"/>
    </row>
    <row r="657" ht="15" customHeight="1">
      <c r="A657" t="inlineStr">
        <is>
          <t>A 42022-2023</t>
        </is>
      </c>
      <c r="B657" s="1" t="n">
        <v>45177</v>
      </c>
      <c r="C657" s="1" t="n">
        <v>45505</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41991-2023</t>
        </is>
      </c>
      <c r="B658" s="1" t="n">
        <v>45177</v>
      </c>
      <c r="C658" s="1" t="n">
        <v>45505</v>
      </c>
      <c r="D658" t="inlineStr">
        <is>
          <t>DALARNAS LÄN</t>
        </is>
      </c>
      <c r="E658" t="inlineStr">
        <is>
          <t>LUDVIKA</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42268-2023</t>
        </is>
      </c>
      <c r="B659" s="1" t="n">
        <v>45180</v>
      </c>
      <c r="C659" s="1" t="n">
        <v>45505</v>
      </c>
      <c r="D659" t="inlineStr">
        <is>
          <t>DALARNAS LÄN</t>
        </is>
      </c>
      <c r="E659" t="inlineStr">
        <is>
          <t>LUDVIKA</t>
        </is>
      </c>
      <c r="F659" t="inlineStr">
        <is>
          <t>Bergvik skog väst AB</t>
        </is>
      </c>
      <c r="G659" t="n">
        <v>10.6</v>
      </c>
      <c r="H659" t="n">
        <v>0</v>
      </c>
      <c r="I659" t="n">
        <v>0</v>
      </c>
      <c r="J659" t="n">
        <v>0</v>
      </c>
      <c r="K659" t="n">
        <v>0</v>
      </c>
      <c r="L659" t="n">
        <v>0</v>
      </c>
      <c r="M659" t="n">
        <v>0</v>
      </c>
      <c r="N659" t="n">
        <v>0</v>
      </c>
      <c r="O659" t="n">
        <v>0</v>
      </c>
      <c r="P659" t="n">
        <v>0</v>
      </c>
      <c r="Q659" t="n">
        <v>0</v>
      </c>
      <c r="R659" s="2" t="inlineStr"/>
    </row>
    <row r="660" ht="15" customHeight="1">
      <c r="A660" t="inlineStr">
        <is>
          <t>A 42367-2023</t>
        </is>
      </c>
      <c r="B660" s="1" t="n">
        <v>45180</v>
      </c>
      <c r="C660" s="1" t="n">
        <v>45505</v>
      </c>
      <c r="D660" t="inlineStr">
        <is>
          <t>DALARNAS LÄN</t>
        </is>
      </c>
      <c r="E660" t="inlineStr">
        <is>
          <t>LUDVIKA</t>
        </is>
      </c>
      <c r="F660" t="inlineStr">
        <is>
          <t>Övriga Aktiebolag</t>
        </is>
      </c>
      <c r="G660" t="n">
        <v>17.9</v>
      </c>
      <c r="H660" t="n">
        <v>0</v>
      </c>
      <c r="I660" t="n">
        <v>0</v>
      </c>
      <c r="J660" t="n">
        <v>0</v>
      </c>
      <c r="K660" t="n">
        <v>0</v>
      </c>
      <c r="L660" t="n">
        <v>0</v>
      </c>
      <c r="M660" t="n">
        <v>0</v>
      </c>
      <c r="N660" t="n">
        <v>0</v>
      </c>
      <c r="O660" t="n">
        <v>0</v>
      </c>
      <c r="P660" t="n">
        <v>0</v>
      </c>
      <c r="Q660" t="n">
        <v>0</v>
      </c>
      <c r="R660" s="2" t="inlineStr"/>
    </row>
    <row r="661" ht="15" customHeight="1">
      <c r="A661" t="inlineStr">
        <is>
          <t>A 42860-2023</t>
        </is>
      </c>
      <c r="B661" s="1" t="n">
        <v>45182</v>
      </c>
      <c r="C661" s="1" t="n">
        <v>45505</v>
      </c>
      <c r="D661" t="inlineStr">
        <is>
          <t>DALARNAS LÄN</t>
        </is>
      </c>
      <c r="E661" t="inlineStr">
        <is>
          <t>LUDVIKA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42843-2023</t>
        </is>
      </c>
      <c r="B662" s="1" t="n">
        <v>45182</v>
      </c>
      <c r="C662" s="1" t="n">
        <v>45505</v>
      </c>
      <c r="D662" t="inlineStr">
        <is>
          <t>DALARNAS LÄN</t>
        </is>
      </c>
      <c r="E662" t="inlineStr">
        <is>
          <t>LUDVIKA</t>
        </is>
      </c>
      <c r="F662" t="inlineStr">
        <is>
          <t>Bergvik skog väst AB</t>
        </is>
      </c>
      <c r="G662" t="n">
        <v>15.6</v>
      </c>
      <c r="H662" t="n">
        <v>0</v>
      </c>
      <c r="I662" t="n">
        <v>0</v>
      </c>
      <c r="J662" t="n">
        <v>0</v>
      </c>
      <c r="K662" t="n">
        <v>0</v>
      </c>
      <c r="L662" t="n">
        <v>0</v>
      </c>
      <c r="M662" t="n">
        <v>0</v>
      </c>
      <c r="N662" t="n">
        <v>0</v>
      </c>
      <c r="O662" t="n">
        <v>0</v>
      </c>
      <c r="P662" t="n">
        <v>0</v>
      </c>
      <c r="Q662" t="n">
        <v>0</v>
      </c>
      <c r="R662" s="2" t="inlineStr"/>
    </row>
    <row r="663" ht="15" customHeight="1">
      <c r="A663" t="inlineStr">
        <is>
          <t>A 42857-2023</t>
        </is>
      </c>
      <c r="B663" s="1" t="n">
        <v>45182</v>
      </c>
      <c r="C663" s="1" t="n">
        <v>45505</v>
      </c>
      <c r="D663" t="inlineStr">
        <is>
          <t>DALARNAS LÄN</t>
        </is>
      </c>
      <c r="E663" t="inlineStr">
        <is>
          <t>LUDVIKA</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43214-2023</t>
        </is>
      </c>
      <c r="B664" s="1" t="n">
        <v>45183</v>
      </c>
      <c r="C664" s="1" t="n">
        <v>45505</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43470-2023</t>
        </is>
      </c>
      <c r="B665" s="1" t="n">
        <v>45184</v>
      </c>
      <c r="C665" s="1" t="n">
        <v>45505</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43586-2023</t>
        </is>
      </c>
      <c r="B666" s="1" t="n">
        <v>45184</v>
      </c>
      <c r="C666" s="1" t="n">
        <v>45505</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43589-2023</t>
        </is>
      </c>
      <c r="B667" s="1" t="n">
        <v>45184</v>
      </c>
      <c r="C667" s="1" t="n">
        <v>45505</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43681-2023</t>
        </is>
      </c>
      <c r="B668" s="1" t="n">
        <v>45187</v>
      </c>
      <c r="C668" s="1" t="n">
        <v>45505</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43679-2023</t>
        </is>
      </c>
      <c r="B669" s="1" t="n">
        <v>45187</v>
      </c>
      <c r="C669" s="1" t="n">
        <v>45505</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43674-2023</t>
        </is>
      </c>
      <c r="B670" s="1" t="n">
        <v>45187</v>
      </c>
      <c r="C670" s="1" t="n">
        <v>45505</v>
      </c>
      <c r="D670" t="inlineStr">
        <is>
          <t>DALARNAS LÄN</t>
        </is>
      </c>
      <c r="E670" t="inlineStr">
        <is>
          <t>LUDVIKA</t>
        </is>
      </c>
      <c r="F670" t="inlineStr">
        <is>
          <t>Bergvik skog väst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43797-2023</t>
        </is>
      </c>
      <c r="B671" s="1" t="n">
        <v>45187</v>
      </c>
      <c r="C671" s="1" t="n">
        <v>45505</v>
      </c>
      <c r="D671" t="inlineStr">
        <is>
          <t>DALARNAS LÄN</t>
        </is>
      </c>
      <c r="E671" t="inlineStr">
        <is>
          <t>LUDVIKA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43839-2023</t>
        </is>
      </c>
      <c r="B672" s="1" t="n">
        <v>45187</v>
      </c>
      <c r="C672" s="1" t="n">
        <v>45505</v>
      </c>
      <c r="D672" t="inlineStr">
        <is>
          <t>DALARNAS LÄN</t>
        </is>
      </c>
      <c r="E672" t="inlineStr">
        <is>
          <t>LUDVIKA</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43867-2023</t>
        </is>
      </c>
      <c r="B673" s="1" t="n">
        <v>45187</v>
      </c>
      <c r="C673" s="1" t="n">
        <v>45505</v>
      </c>
      <c r="D673" t="inlineStr">
        <is>
          <t>DALARNAS LÄN</t>
        </is>
      </c>
      <c r="E673" t="inlineStr">
        <is>
          <t>LUDVIKA</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44088-2023</t>
        </is>
      </c>
      <c r="B674" s="1" t="n">
        <v>45188</v>
      </c>
      <c r="C674" s="1" t="n">
        <v>45505</v>
      </c>
      <c r="D674" t="inlineStr">
        <is>
          <t>DALARNAS LÄN</t>
        </is>
      </c>
      <c r="E674" t="inlineStr">
        <is>
          <t>LUDVIKA</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44099-2023</t>
        </is>
      </c>
      <c r="B675" s="1" t="n">
        <v>45188</v>
      </c>
      <c r="C675" s="1" t="n">
        <v>45505</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44103-2023</t>
        </is>
      </c>
      <c r="B676" s="1" t="n">
        <v>45188</v>
      </c>
      <c r="C676" s="1" t="n">
        <v>45505</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44312-2023</t>
        </is>
      </c>
      <c r="B677" s="1" t="n">
        <v>45188</v>
      </c>
      <c r="C677" s="1" t="n">
        <v>45505</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44093-2023</t>
        </is>
      </c>
      <c r="B678" s="1" t="n">
        <v>45188</v>
      </c>
      <c r="C678" s="1" t="n">
        <v>45505</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44110-2023</t>
        </is>
      </c>
      <c r="B679" s="1" t="n">
        <v>45188</v>
      </c>
      <c r="C679" s="1" t="n">
        <v>45505</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44520-2023</t>
        </is>
      </c>
      <c r="B680" s="1" t="n">
        <v>45189</v>
      </c>
      <c r="C680" s="1" t="n">
        <v>45505</v>
      </c>
      <c r="D680" t="inlineStr">
        <is>
          <t>DALARNAS LÄN</t>
        </is>
      </c>
      <c r="E680" t="inlineStr">
        <is>
          <t>LUDVIKA</t>
        </is>
      </c>
      <c r="G680" t="n">
        <v>0.7</v>
      </c>
      <c r="H680" t="n">
        <v>0</v>
      </c>
      <c r="I680" t="n">
        <v>0</v>
      </c>
      <c r="J680" t="n">
        <v>0</v>
      </c>
      <c r="K680" t="n">
        <v>0</v>
      </c>
      <c r="L680" t="n">
        <v>0</v>
      </c>
      <c r="M680" t="n">
        <v>0</v>
      </c>
      <c r="N680" t="n">
        <v>0</v>
      </c>
      <c r="O680" t="n">
        <v>0</v>
      </c>
      <c r="P680" t="n">
        <v>0</v>
      </c>
      <c r="Q680" t="n">
        <v>0</v>
      </c>
      <c r="R680" s="2" t="inlineStr"/>
    </row>
    <row r="681" ht="15" customHeight="1">
      <c r="A681" t="inlineStr">
        <is>
          <t>A 45094-2023</t>
        </is>
      </c>
      <c r="B681" s="1" t="n">
        <v>45191</v>
      </c>
      <c r="C681" s="1" t="n">
        <v>45505</v>
      </c>
      <c r="D681" t="inlineStr">
        <is>
          <t>DALARNAS LÄN</t>
        </is>
      </c>
      <c r="E681" t="inlineStr">
        <is>
          <t>LUDVIKA</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45045-2023</t>
        </is>
      </c>
      <c r="B682" s="1" t="n">
        <v>45191</v>
      </c>
      <c r="C682" s="1" t="n">
        <v>45505</v>
      </c>
      <c r="D682" t="inlineStr">
        <is>
          <t>DALARNAS LÄN</t>
        </is>
      </c>
      <c r="E682" t="inlineStr">
        <is>
          <t>LUDVIKA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45046-2023</t>
        </is>
      </c>
      <c r="B683" s="1" t="n">
        <v>45191</v>
      </c>
      <c r="C683" s="1" t="n">
        <v>45505</v>
      </c>
      <c r="D683" t="inlineStr">
        <is>
          <t>DALARNAS LÄN</t>
        </is>
      </c>
      <c r="E683" t="inlineStr">
        <is>
          <t>LUDVIKA</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45083-2023</t>
        </is>
      </c>
      <c r="B684" s="1" t="n">
        <v>45191</v>
      </c>
      <c r="C684" s="1" t="n">
        <v>45505</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45128-2023</t>
        </is>
      </c>
      <c r="B685" s="1" t="n">
        <v>45191</v>
      </c>
      <c r="C685" s="1" t="n">
        <v>45505</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45140-2023</t>
        </is>
      </c>
      <c r="B686" s="1" t="n">
        <v>45191</v>
      </c>
      <c r="C686" s="1" t="n">
        <v>45505</v>
      </c>
      <c r="D686" t="inlineStr">
        <is>
          <t>DALARNAS LÄN</t>
        </is>
      </c>
      <c r="E686" t="inlineStr">
        <is>
          <t>LUDVIKA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45127-2023</t>
        </is>
      </c>
      <c r="B687" s="1" t="n">
        <v>45191</v>
      </c>
      <c r="C687" s="1" t="n">
        <v>45505</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45124-2023</t>
        </is>
      </c>
      <c r="B688" s="1" t="n">
        <v>45191</v>
      </c>
      <c r="C688" s="1" t="n">
        <v>45505</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45541-2023</t>
        </is>
      </c>
      <c r="B689" s="1" t="n">
        <v>45194</v>
      </c>
      <c r="C689" s="1" t="n">
        <v>45505</v>
      </c>
      <c r="D689" t="inlineStr">
        <is>
          <t>DALARNAS LÄN</t>
        </is>
      </c>
      <c r="E689" t="inlineStr">
        <is>
          <t>LUDVIKA</t>
        </is>
      </c>
      <c r="G689" t="n">
        <v>2.8</v>
      </c>
      <c r="H689" t="n">
        <v>0</v>
      </c>
      <c r="I689" t="n">
        <v>0</v>
      </c>
      <c r="J689" t="n">
        <v>0</v>
      </c>
      <c r="K689" t="n">
        <v>0</v>
      </c>
      <c r="L689" t="n">
        <v>0</v>
      </c>
      <c r="M689" t="n">
        <v>0</v>
      </c>
      <c r="N689" t="n">
        <v>0</v>
      </c>
      <c r="O689" t="n">
        <v>0</v>
      </c>
      <c r="P689" t="n">
        <v>0</v>
      </c>
      <c r="Q689" t="n">
        <v>0</v>
      </c>
      <c r="R689" s="2" t="inlineStr"/>
    </row>
    <row r="690" ht="15" customHeight="1">
      <c r="A690" t="inlineStr">
        <is>
          <t>A 45853-2023</t>
        </is>
      </c>
      <c r="B690" s="1" t="n">
        <v>45195</v>
      </c>
      <c r="C690" s="1" t="n">
        <v>45505</v>
      </c>
      <c r="D690" t="inlineStr">
        <is>
          <t>DALARNAS LÄN</t>
        </is>
      </c>
      <c r="E690" t="inlineStr">
        <is>
          <t>LUDVIKA</t>
        </is>
      </c>
      <c r="G690" t="n">
        <v>3.8</v>
      </c>
      <c r="H690" t="n">
        <v>0</v>
      </c>
      <c r="I690" t="n">
        <v>0</v>
      </c>
      <c r="J690" t="n">
        <v>0</v>
      </c>
      <c r="K690" t="n">
        <v>0</v>
      </c>
      <c r="L690" t="n">
        <v>0</v>
      </c>
      <c r="M690" t="n">
        <v>0</v>
      </c>
      <c r="N690" t="n">
        <v>0</v>
      </c>
      <c r="O690" t="n">
        <v>0</v>
      </c>
      <c r="P690" t="n">
        <v>0</v>
      </c>
      <c r="Q690" t="n">
        <v>0</v>
      </c>
      <c r="R690" s="2" t="inlineStr"/>
    </row>
    <row r="691" ht="15" customHeight="1">
      <c r="A691" t="inlineStr">
        <is>
          <t>A 46074-2023</t>
        </is>
      </c>
      <c r="B691" s="1" t="n">
        <v>45196</v>
      </c>
      <c r="C691" s="1" t="n">
        <v>45505</v>
      </c>
      <c r="D691" t="inlineStr">
        <is>
          <t>DALARNAS LÄN</t>
        </is>
      </c>
      <c r="E691" t="inlineStr">
        <is>
          <t>LUDVIKA</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46140-2023</t>
        </is>
      </c>
      <c r="B692" s="1" t="n">
        <v>45196</v>
      </c>
      <c r="C692" s="1" t="n">
        <v>45505</v>
      </c>
      <c r="D692" t="inlineStr">
        <is>
          <t>DALARNAS LÄN</t>
        </is>
      </c>
      <c r="E692" t="inlineStr">
        <is>
          <t>LUDVIKA</t>
        </is>
      </c>
      <c r="F692" t="inlineStr">
        <is>
          <t>Bergvik skog väst AB</t>
        </is>
      </c>
      <c r="G692" t="n">
        <v>4.7</v>
      </c>
      <c r="H692" t="n">
        <v>0</v>
      </c>
      <c r="I692" t="n">
        <v>0</v>
      </c>
      <c r="J692" t="n">
        <v>0</v>
      </c>
      <c r="K692" t="n">
        <v>0</v>
      </c>
      <c r="L692" t="n">
        <v>0</v>
      </c>
      <c r="M692" t="n">
        <v>0</v>
      </c>
      <c r="N692" t="n">
        <v>0</v>
      </c>
      <c r="O692" t="n">
        <v>0</v>
      </c>
      <c r="P692" t="n">
        <v>0</v>
      </c>
      <c r="Q692" t="n">
        <v>0</v>
      </c>
      <c r="R692" s="2" t="inlineStr"/>
    </row>
    <row r="693" ht="15" customHeight="1">
      <c r="A693" t="inlineStr">
        <is>
          <t>A 46571-2023</t>
        </is>
      </c>
      <c r="B693" s="1" t="n">
        <v>45198</v>
      </c>
      <c r="C693" s="1" t="n">
        <v>45505</v>
      </c>
      <c r="D693" t="inlineStr">
        <is>
          <t>DALARNAS LÄN</t>
        </is>
      </c>
      <c r="E693" t="inlineStr">
        <is>
          <t>LUDVIKA</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46570-2023</t>
        </is>
      </c>
      <c r="B694" s="1" t="n">
        <v>45198</v>
      </c>
      <c r="C694" s="1" t="n">
        <v>45505</v>
      </c>
      <c r="D694" t="inlineStr">
        <is>
          <t>DALARNAS LÄN</t>
        </is>
      </c>
      <c r="E694" t="inlineStr">
        <is>
          <t>LUDVIKA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46622-2023</t>
        </is>
      </c>
      <c r="B695" s="1" t="n">
        <v>45198</v>
      </c>
      <c r="C695" s="1" t="n">
        <v>45505</v>
      </c>
      <c r="D695" t="inlineStr">
        <is>
          <t>DALARNAS LÄN</t>
        </is>
      </c>
      <c r="E695" t="inlineStr">
        <is>
          <t>LUDVIKA</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46654-2023</t>
        </is>
      </c>
      <c r="B696" s="1" t="n">
        <v>45198</v>
      </c>
      <c r="C696" s="1" t="n">
        <v>45505</v>
      </c>
      <c r="D696" t="inlineStr">
        <is>
          <t>DALARNAS LÄN</t>
        </is>
      </c>
      <c r="E696" t="inlineStr">
        <is>
          <t>LUDVIKA</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46647-2023</t>
        </is>
      </c>
      <c r="B697" s="1" t="n">
        <v>45198</v>
      </c>
      <c r="C697" s="1" t="n">
        <v>45505</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46656-2023</t>
        </is>
      </c>
      <c r="B698" s="1" t="n">
        <v>45198</v>
      </c>
      <c r="C698" s="1" t="n">
        <v>45505</v>
      </c>
      <c r="D698" t="inlineStr">
        <is>
          <t>DALARNAS LÄN</t>
        </is>
      </c>
      <c r="E698" t="inlineStr">
        <is>
          <t>LUDVIKA</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46660-2023</t>
        </is>
      </c>
      <c r="B699" s="1" t="n">
        <v>45198</v>
      </c>
      <c r="C699" s="1" t="n">
        <v>45505</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46620-2023</t>
        </is>
      </c>
      <c r="B700" s="1" t="n">
        <v>45198</v>
      </c>
      <c r="C700" s="1" t="n">
        <v>45505</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46657-2023</t>
        </is>
      </c>
      <c r="B701" s="1" t="n">
        <v>45198</v>
      </c>
      <c r="C701" s="1" t="n">
        <v>45505</v>
      </c>
      <c r="D701" t="inlineStr">
        <is>
          <t>DALARNAS LÄN</t>
        </is>
      </c>
      <c r="E701" t="inlineStr">
        <is>
          <t>LUDVIKA</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47269-2023</t>
        </is>
      </c>
      <c r="B702" s="1" t="n">
        <v>45202</v>
      </c>
      <c r="C702" s="1" t="n">
        <v>45505</v>
      </c>
      <c r="D702" t="inlineStr">
        <is>
          <t>DALARNAS LÄN</t>
        </is>
      </c>
      <c r="E702" t="inlineStr">
        <is>
          <t>LUDVIKA</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47349-2023</t>
        </is>
      </c>
      <c r="B703" s="1" t="n">
        <v>45202</v>
      </c>
      <c r="C703" s="1" t="n">
        <v>45505</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47281-2023</t>
        </is>
      </c>
      <c r="B704" s="1" t="n">
        <v>45202</v>
      </c>
      <c r="C704" s="1" t="n">
        <v>45505</v>
      </c>
      <c r="D704" t="inlineStr">
        <is>
          <t>DALARNAS LÄN</t>
        </is>
      </c>
      <c r="E704" t="inlineStr">
        <is>
          <t>LUDVIKA</t>
        </is>
      </c>
      <c r="G704" t="n">
        <v>2.6</v>
      </c>
      <c r="H704" t="n">
        <v>0</v>
      </c>
      <c r="I704" t="n">
        <v>0</v>
      </c>
      <c r="J704" t="n">
        <v>0</v>
      </c>
      <c r="K704" t="n">
        <v>0</v>
      </c>
      <c r="L704" t="n">
        <v>0</v>
      </c>
      <c r="M704" t="n">
        <v>0</v>
      </c>
      <c r="N704" t="n">
        <v>0</v>
      </c>
      <c r="O704" t="n">
        <v>0</v>
      </c>
      <c r="P704" t="n">
        <v>0</v>
      </c>
      <c r="Q704" t="n">
        <v>0</v>
      </c>
      <c r="R704" s="2" t="inlineStr"/>
    </row>
    <row r="705" ht="15" customHeight="1">
      <c r="A705" t="inlineStr">
        <is>
          <t>A 47366-2023</t>
        </is>
      </c>
      <c r="B705" s="1" t="n">
        <v>45202</v>
      </c>
      <c r="C705" s="1" t="n">
        <v>45505</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47429-2023</t>
        </is>
      </c>
      <c r="B706" s="1" t="n">
        <v>45202</v>
      </c>
      <c r="C706" s="1" t="n">
        <v>45505</v>
      </c>
      <c r="D706" t="inlineStr">
        <is>
          <t>DALARNAS LÄN</t>
        </is>
      </c>
      <c r="E706" t="inlineStr">
        <is>
          <t>LUDVIKA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47940-2023</t>
        </is>
      </c>
      <c r="B707" s="1" t="n">
        <v>45204</v>
      </c>
      <c r="C707" s="1" t="n">
        <v>45505</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48003-2023</t>
        </is>
      </c>
      <c r="B708" s="1" t="n">
        <v>45204</v>
      </c>
      <c r="C708" s="1" t="n">
        <v>45505</v>
      </c>
      <c r="D708" t="inlineStr">
        <is>
          <t>DALARNAS LÄN</t>
        </is>
      </c>
      <c r="E708" t="inlineStr">
        <is>
          <t>LUDVIKA</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48212-2023</t>
        </is>
      </c>
      <c r="B709" s="1" t="n">
        <v>45205</v>
      </c>
      <c r="C709" s="1" t="n">
        <v>45505</v>
      </c>
      <c r="D709" t="inlineStr">
        <is>
          <t>DALARNAS LÄN</t>
        </is>
      </c>
      <c r="E709" t="inlineStr">
        <is>
          <t>LUDVIKA</t>
        </is>
      </c>
      <c r="F709" t="inlineStr">
        <is>
          <t>Bergvik skog väst AB</t>
        </is>
      </c>
      <c r="G709" t="n">
        <v>6.5</v>
      </c>
      <c r="H709" t="n">
        <v>0</v>
      </c>
      <c r="I709" t="n">
        <v>0</v>
      </c>
      <c r="J709" t="n">
        <v>0</v>
      </c>
      <c r="K709" t="n">
        <v>0</v>
      </c>
      <c r="L709" t="n">
        <v>0</v>
      </c>
      <c r="M709" t="n">
        <v>0</v>
      </c>
      <c r="N709" t="n">
        <v>0</v>
      </c>
      <c r="O709" t="n">
        <v>0</v>
      </c>
      <c r="P709" t="n">
        <v>0</v>
      </c>
      <c r="Q709" t="n">
        <v>0</v>
      </c>
      <c r="R709" s="2" t="inlineStr"/>
    </row>
    <row r="710" ht="15" customHeight="1">
      <c r="A710" t="inlineStr">
        <is>
          <t>A 48288-2023</t>
        </is>
      </c>
      <c r="B710" s="1" t="n">
        <v>45205</v>
      </c>
      <c r="C710" s="1" t="n">
        <v>45505</v>
      </c>
      <c r="D710" t="inlineStr">
        <is>
          <t>DALARNAS LÄN</t>
        </is>
      </c>
      <c r="E710" t="inlineStr">
        <is>
          <t>LUDVIKA</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48352-2023</t>
        </is>
      </c>
      <c r="B711" s="1" t="n">
        <v>45205</v>
      </c>
      <c r="C711" s="1" t="n">
        <v>45505</v>
      </c>
      <c r="D711" t="inlineStr">
        <is>
          <t>DALARNAS LÄN</t>
        </is>
      </c>
      <c r="E711" t="inlineStr">
        <is>
          <t>LUDVIKA</t>
        </is>
      </c>
      <c r="F711" t="inlineStr">
        <is>
          <t>Bergvik skog väst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48331-2023</t>
        </is>
      </c>
      <c r="B712" s="1" t="n">
        <v>45205</v>
      </c>
      <c r="C712" s="1" t="n">
        <v>45505</v>
      </c>
      <c r="D712" t="inlineStr">
        <is>
          <t>DALARNAS LÄN</t>
        </is>
      </c>
      <c r="E712" t="inlineStr">
        <is>
          <t>LUDVIKA</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48559-2023</t>
        </is>
      </c>
      <c r="B713" s="1" t="n">
        <v>45208</v>
      </c>
      <c r="C713" s="1" t="n">
        <v>45505</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48589-2023</t>
        </is>
      </c>
      <c r="B714" s="1" t="n">
        <v>45208</v>
      </c>
      <c r="C714" s="1" t="n">
        <v>45505</v>
      </c>
      <c r="D714" t="inlineStr">
        <is>
          <t>DALARNAS LÄN</t>
        </is>
      </c>
      <c r="E714" t="inlineStr">
        <is>
          <t>LUDVIKA</t>
        </is>
      </c>
      <c r="F714" t="inlineStr">
        <is>
          <t>Naturvårdsverket</t>
        </is>
      </c>
      <c r="G714" t="n">
        <v>0.7</v>
      </c>
      <c r="H714" t="n">
        <v>0</v>
      </c>
      <c r="I714" t="n">
        <v>0</v>
      </c>
      <c r="J714" t="n">
        <v>0</v>
      </c>
      <c r="K714" t="n">
        <v>0</v>
      </c>
      <c r="L714" t="n">
        <v>0</v>
      </c>
      <c r="M714" t="n">
        <v>0</v>
      </c>
      <c r="N714" t="n">
        <v>0</v>
      </c>
      <c r="O714" t="n">
        <v>0</v>
      </c>
      <c r="P714" t="n">
        <v>0</v>
      </c>
      <c r="Q714" t="n">
        <v>0</v>
      </c>
      <c r="R714" s="2" t="inlineStr"/>
    </row>
    <row r="715" ht="15" customHeight="1">
      <c r="A715" t="inlineStr">
        <is>
          <t>A 48522-2023</t>
        </is>
      </c>
      <c r="B715" s="1" t="n">
        <v>45208</v>
      </c>
      <c r="C715" s="1" t="n">
        <v>45505</v>
      </c>
      <c r="D715" t="inlineStr">
        <is>
          <t>DALARNAS LÄN</t>
        </is>
      </c>
      <c r="E715" t="inlineStr">
        <is>
          <t>LUDVIKA</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48615-2023</t>
        </is>
      </c>
      <c r="B716" s="1" t="n">
        <v>45208</v>
      </c>
      <c r="C716" s="1" t="n">
        <v>45505</v>
      </c>
      <c r="D716" t="inlineStr">
        <is>
          <t>DALARNAS LÄN</t>
        </is>
      </c>
      <c r="E716" t="inlineStr">
        <is>
          <t>LUDVIKA</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48683-2023</t>
        </is>
      </c>
      <c r="B717" s="1" t="n">
        <v>45208</v>
      </c>
      <c r="C717" s="1" t="n">
        <v>45505</v>
      </c>
      <c r="D717" t="inlineStr">
        <is>
          <t>DALARNAS LÄN</t>
        </is>
      </c>
      <c r="E717" t="inlineStr">
        <is>
          <t>LUDVIKA</t>
        </is>
      </c>
      <c r="G717" t="n">
        <v>1.3</v>
      </c>
      <c r="H717" t="n">
        <v>0</v>
      </c>
      <c r="I717" t="n">
        <v>0</v>
      </c>
      <c r="J717" t="n">
        <v>0</v>
      </c>
      <c r="K717" t="n">
        <v>0</v>
      </c>
      <c r="L717" t="n">
        <v>0</v>
      </c>
      <c r="M717" t="n">
        <v>0</v>
      </c>
      <c r="N717" t="n">
        <v>0</v>
      </c>
      <c r="O717" t="n">
        <v>0</v>
      </c>
      <c r="P717" t="n">
        <v>0</v>
      </c>
      <c r="Q717" t="n">
        <v>0</v>
      </c>
      <c r="R717" s="2" t="inlineStr"/>
    </row>
    <row r="718" ht="15" customHeight="1">
      <c r="A718" t="inlineStr">
        <is>
          <t>A 49060-2023</t>
        </is>
      </c>
      <c r="B718" s="1" t="n">
        <v>45210</v>
      </c>
      <c r="C718" s="1" t="n">
        <v>45505</v>
      </c>
      <c r="D718" t="inlineStr">
        <is>
          <t>DALARNAS LÄN</t>
        </is>
      </c>
      <c r="E718" t="inlineStr">
        <is>
          <t>LUDVIKA</t>
        </is>
      </c>
      <c r="F718" t="inlineStr">
        <is>
          <t>Naturvårdsverket</t>
        </is>
      </c>
      <c r="G718" t="n">
        <v>0.8</v>
      </c>
      <c r="H718" t="n">
        <v>0</v>
      </c>
      <c r="I718" t="n">
        <v>0</v>
      </c>
      <c r="J718" t="n">
        <v>0</v>
      </c>
      <c r="K718" t="n">
        <v>0</v>
      </c>
      <c r="L718" t="n">
        <v>0</v>
      </c>
      <c r="M718" t="n">
        <v>0</v>
      </c>
      <c r="N718" t="n">
        <v>0</v>
      </c>
      <c r="O718" t="n">
        <v>0</v>
      </c>
      <c r="P718" t="n">
        <v>0</v>
      </c>
      <c r="Q718" t="n">
        <v>0</v>
      </c>
      <c r="R718" s="2" t="inlineStr"/>
    </row>
    <row r="719" ht="15" customHeight="1">
      <c r="A719" t="inlineStr">
        <is>
          <t>A 49114-2023</t>
        </is>
      </c>
      <c r="B719" s="1" t="n">
        <v>45210</v>
      </c>
      <c r="C719" s="1" t="n">
        <v>45505</v>
      </c>
      <c r="D719" t="inlineStr">
        <is>
          <t>DALARNAS LÄN</t>
        </is>
      </c>
      <c r="E719" t="inlineStr">
        <is>
          <t>LUDVIKA</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49714-2023</t>
        </is>
      </c>
      <c r="B720" s="1" t="n">
        <v>45212</v>
      </c>
      <c r="C720" s="1" t="n">
        <v>45505</v>
      </c>
      <c r="D720" t="inlineStr">
        <is>
          <t>DALARNAS LÄN</t>
        </is>
      </c>
      <c r="E720" t="inlineStr">
        <is>
          <t>LUDVIKA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49798-2023</t>
        </is>
      </c>
      <c r="B721" s="1" t="n">
        <v>45212</v>
      </c>
      <c r="C721" s="1" t="n">
        <v>45505</v>
      </c>
      <c r="D721" t="inlineStr">
        <is>
          <t>DALARNAS LÄN</t>
        </is>
      </c>
      <c r="E721" t="inlineStr">
        <is>
          <t>LUDVIKA</t>
        </is>
      </c>
      <c r="F721" t="inlineStr">
        <is>
          <t>Bergvik skog väst AB</t>
        </is>
      </c>
      <c r="G721" t="n">
        <v>9.6</v>
      </c>
      <c r="H721" t="n">
        <v>0</v>
      </c>
      <c r="I721" t="n">
        <v>0</v>
      </c>
      <c r="J721" t="n">
        <v>0</v>
      </c>
      <c r="K721" t="n">
        <v>0</v>
      </c>
      <c r="L721" t="n">
        <v>0</v>
      </c>
      <c r="M721" t="n">
        <v>0</v>
      </c>
      <c r="N721" t="n">
        <v>0</v>
      </c>
      <c r="O721" t="n">
        <v>0</v>
      </c>
      <c r="P721" t="n">
        <v>0</v>
      </c>
      <c r="Q721" t="n">
        <v>0</v>
      </c>
      <c r="R721" s="2" t="inlineStr"/>
    </row>
    <row r="722" ht="15" customHeight="1">
      <c r="A722" t="inlineStr">
        <is>
          <t>A 49805-2023</t>
        </is>
      </c>
      <c r="B722" s="1" t="n">
        <v>45212</v>
      </c>
      <c r="C722" s="1" t="n">
        <v>45505</v>
      </c>
      <c r="D722" t="inlineStr">
        <is>
          <t>DALARNAS LÄN</t>
        </is>
      </c>
      <c r="E722" t="inlineStr">
        <is>
          <t>LUDVIKA</t>
        </is>
      </c>
      <c r="G722" t="n">
        <v>1.9</v>
      </c>
      <c r="H722" t="n">
        <v>0</v>
      </c>
      <c r="I722" t="n">
        <v>0</v>
      </c>
      <c r="J722" t="n">
        <v>0</v>
      </c>
      <c r="K722" t="n">
        <v>0</v>
      </c>
      <c r="L722" t="n">
        <v>0</v>
      </c>
      <c r="M722" t="n">
        <v>0</v>
      </c>
      <c r="N722" t="n">
        <v>0</v>
      </c>
      <c r="O722" t="n">
        <v>0</v>
      </c>
      <c r="P722" t="n">
        <v>0</v>
      </c>
      <c r="Q722" t="n">
        <v>0</v>
      </c>
      <c r="R722" s="2" t="inlineStr"/>
    </row>
    <row r="723" ht="15" customHeight="1">
      <c r="A723" t="inlineStr">
        <is>
          <t>A 50132-2023</t>
        </is>
      </c>
      <c r="B723" s="1" t="n">
        <v>45215</v>
      </c>
      <c r="C723" s="1" t="n">
        <v>45505</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50054-2023</t>
        </is>
      </c>
      <c r="B724" s="1" t="n">
        <v>45215</v>
      </c>
      <c r="C724" s="1" t="n">
        <v>45505</v>
      </c>
      <c r="D724" t="inlineStr">
        <is>
          <t>DALARNAS LÄN</t>
        </is>
      </c>
      <c r="E724" t="inlineStr">
        <is>
          <t>LUDVIKA</t>
        </is>
      </c>
      <c r="F724" t="inlineStr">
        <is>
          <t>Bergvik skog väst AB</t>
        </is>
      </c>
      <c r="G724" t="n">
        <v>11.4</v>
      </c>
      <c r="H724" t="n">
        <v>0</v>
      </c>
      <c r="I724" t="n">
        <v>0</v>
      </c>
      <c r="J724" t="n">
        <v>0</v>
      </c>
      <c r="K724" t="n">
        <v>0</v>
      </c>
      <c r="L724" t="n">
        <v>0</v>
      </c>
      <c r="M724" t="n">
        <v>0</v>
      </c>
      <c r="N724" t="n">
        <v>0</v>
      </c>
      <c r="O724" t="n">
        <v>0</v>
      </c>
      <c r="P724" t="n">
        <v>0</v>
      </c>
      <c r="Q724" t="n">
        <v>0</v>
      </c>
      <c r="R724" s="2" t="inlineStr"/>
    </row>
    <row r="725" ht="15" customHeight="1">
      <c r="A725" t="inlineStr">
        <is>
          <t>A 50310-2023</t>
        </is>
      </c>
      <c r="B725" s="1" t="n">
        <v>45216</v>
      </c>
      <c r="C725" s="1" t="n">
        <v>45505</v>
      </c>
      <c r="D725" t="inlineStr">
        <is>
          <t>DALARNAS LÄN</t>
        </is>
      </c>
      <c r="E725" t="inlineStr">
        <is>
          <t>LUDVIKA</t>
        </is>
      </c>
      <c r="G725" t="n">
        <v>2</v>
      </c>
      <c r="H725" t="n">
        <v>0</v>
      </c>
      <c r="I725" t="n">
        <v>0</v>
      </c>
      <c r="J725" t="n">
        <v>0</v>
      </c>
      <c r="K725" t="n">
        <v>0</v>
      </c>
      <c r="L725" t="n">
        <v>0</v>
      </c>
      <c r="M725" t="n">
        <v>0</v>
      </c>
      <c r="N725" t="n">
        <v>0</v>
      </c>
      <c r="O725" t="n">
        <v>0</v>
      </c>
      <c r="P725" t="n">
        <v>0</v>
      </c>
      <c r="Q725" t="n">
        <v>0</v>
      </c>
      <c r="R725" s="2" t="inlineStr"/>
    </row>
    <row r="726" ht="15" customHeight="1">
      <c r="A726" t="inlineStr">
        <is>
          <t>A 50594-2023</t>
        </is>
      </c>
      <c r="B726" s="1" t="n">
        <v>45217</v>
      </c>
      <c r="C726" s="1" t="n">
        <v>45505</v>
      </c>
      <c r="D726" t="inlineStr">
        <is>
          <t>DALARNAS LÄN</t>
        </is>
      </c>
      <c r="E726" t="inlineStr">
        <is>
          <t>LUDVIKA</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51015-2023</t>
        </is>
      </c>
      <c r="B727" s="1" t="n">
        <v>45218</v>
      </c>
      <c r="C727" s="1" t="n">
        <v>45505</v>
      </c>
      <c r="D727" t="inlineStr">
        <is>
          <t>DALARNAS LÄN</t>
        </is>
      </c>
      <c r="E727" t="inlineStr">
        <is>
          <t>LUDVIKA</t>
        </is>
      </c>
      <c r="G727" t="n">
        <v>5.9</v>
      </c>
      <c r="H727" t="n">
        <v>0</v>
      </c>
      <c r="I727" t="n">
        <v>0</v>
      </c>
      <c r="J727" t="n">
        <v>0</v>
      </c>
      <c r="K727" t="n">
        <v>0</v>
      </c>
      <c r="L727" t="n">
        <v>0</v>
      </c>
      <c r="M727" t="n">
        <v>0</v>
      </c>
      <c r="N727" t="n">
        <v>0</v>
      </c>
      <c r="O727" t="n">
        <v>0</v>
      </c>
      <c r="P727" t="n">
        <v>0</v>
      </c>
      <c r="Q727" t="n">
        <v>0</v>
      </c>
      <c r="R727" s="2" t="inlineStr"/>
    </row>
    <row r="728" ht="15" customHeight="1">
      <c r="A728" t="inlineStr">
        <is>
          <t>A 51208-2023</t>
        </is>
      </c>
      <c r="B728" s="1" t="n">
        <v>45219</v>
      </c>
      <c r="C728" s="1" t="n">
        <v>45505</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51181-2023</t>
        </is>
      </c>
      <c r="B729" s="1" t="n">
        <v>45219</v>
      </c>
      <c r="C729" s="1" t="n">
        <v>45505</v>
      </c>
      <c r="D729" t="inlineStr">
        <is>
          <t>DALARNAS LÄN</t>
        </is>
      </c>
      <c r="E729" t="inlineStr">
        <is>
          <t>LUDVIKA</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51160-2023</t>
        </is>
      </c>
      <c r="B730" s="1" t="n">
        <v>45219</v>
      </c>
      <c r="C730" s="1" t="n">
        <v>45505</v>
      </c>
      <c r="D730" t="inlineStr">
        <is>
          <t>DALARNAS LÄN</t>
        </is>
      </c>
      <c r="E730" t="inlineStr">
        <is>
          <t>LUDVIKA</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51200-2023</t>
        </is>
      </c>
      <c r="B731" s="1" t="n">
        <v>45219</v>
      </c>
      <c r="C731" s="1" t="n">
        <v>45505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52038-2023</t>
        </is>
      </c>
      <c r="B732" s="1" t="n">
        <v>45223</v>
      </c>
      <c r="C732" s="1" t="n">
        <v>45505</v>
      </c>
      <c r="D732" t="inlineStr">
        <is>
          <t>DALARNAS LÄN</t>
        </is>
      </c>
      <c r="E732" t="inlineStr">
        <is>
          <t>LUDVIKA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52230-2023</t>
        </is>
      </c>
      <c r="B733" s="1" t="n">
        <v>45224</v>
      </c>
      <c r="C733" s="1" t="n">
        <v>45505</v>
      </c>
      <c r="D733" t="inlineStr">
        <is>
          <t>DALARNAS LÄN</t>
        </is>
      </c>
      <c r="E733" t="inlineStr">
        <is>
          <t>LUDVIKA</t>
        </is>
      </c>
      <c r="G733" t="n">
        <v>3.5</v>
      </c>
      <c r="H733" t="n">
        <v>0</v>
      </c>
      <c r="I733" t="n">
        <v>0</v>
      </c>
      <c r="J733" t="n">
        <v>0</v>
      </c>
      <c r="K733" t="n">
        <v>0</v>
      </c>
      <c r="L733" t="n">
        <v>0</v>
      </c>
      <c r="M733" t="n">
        <v>0</v>
      </c>
      <c r="N733" t="n">
        <v>0</v>
      </c>
      <c r="O733" t="n">
        <v>0</v>
      </c>
      <c r="P733" t="n">
        <v>0</v>
      </c>
      <c r="Q733" t="n">
        <v>0</v>
      </c>
      <c r="R733" s="2" t="inlineStr"/>
    </row>
    <row r="734" ht="15" customHeight="1">
      <c r="A734" t="inlineStr">
        <is>
          <t>A 52440-2023</t>
        </is>
      </c>
      <c r="B734" s="1" t="n">
        <v>45225</v>
      </c>
      <c r="C734" s="1" t="n">
        <v>45505</v>
      </c>
      <c r="D734" t="inlineStr">
        <is>
          <t>DALARNAS LÄN</t>
        </is>
      </c>
      <c r="E734" t="inlineStr">
        <is>
          <t>LUDVIKA</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52466-2023</t>
        </is>
      </c>
      <c r="B735" s="1" t="n">
        <v>45225</v>
      </c>
      <c r="C735" s="1" t="n">
        <v>45505</v>
      </c>
      <c r="D735" t="inlineStr">
        <is>
          <t>DALARNAS LÄN</t>
        </is>
      </c>
      <c r="E735" t="inlineStr">
        <is>
          <t>LUDVIKA</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52461-2023</t>
        </is>
      </c>
      <c r="B736" s="1" t="n">
        <v>45225</v>
      </c>
      <c r="C736" s="1" t="n">
        <v>45505</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52720-2023</t>
        </is>
      </c>
      <c r="B737" s="1" t="n">
        <v>45225</v>
      </c>
      <c r="C737" s="1" t="n">
        <v>45505</v>
      </c>
      <c r="D737" t="inlineStr">
        <is>
          <t>DALARNAS LÄN</t>
        </is>
      </c>
      <c r="E737" t="inlineStr">
        <is>
          <t>LUDVIKA</t>
        </is>
      </c>
      <c r="G737" t="n">
        <v>6.2</v>
      </c>
      <c r="H737" t="n">
        <v>0</v>
      </c>
      <c r="I737" t="n">
        <v>0</v>
      </c>
      <c r="J737" t="n">
        <v>0</v>
      </c>
      <c r="K737" t="n">
        <v>0</v>
      </c>
      <c r="L737" t="n">
        <v>0</v>
      </c>
      <c r="M737" t="n">
        <v>0</v>
      </c>
      <c r="N737" t="n">
        <v>0</v>
      </c>
      <c r="O737" t="n">
        <v>0</v>
      </c>
      <c r="P737" t="n">
        <v>0</v>
      </c>
      <c r="Q737" t="n">
        <v>0</v>
      </c>
      <c r="R737" s="2" t="inlineStr"/>
    </row>
    <row r="738" ht="15" customHeight="1">
      <c r="A738" t="inlineStr">
        <is>
          <t>A 52868-2023</t>
        </is>
      </c>
      <c r="B738" s="1" t="n">
        <v>45226</v>
      </c>
      <c r="C738" s="1" t="n">
        <v>45505</v>
      </c>
      <c r="D738" t="inlineStr">
        <is>
          <t>DALARNAS LÄN</t>
        </is>
      </c>
      <c r="E738" t="inlineStr">
        <is>
          <t>LUDVIKA</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52894-2023</t>
        </is>
      </c>
      <c r="B739" s="1" t="n">
        <v>45226</v>
      </c>
      <c r="C739" s="1" t="n">
        <v>45505</v>
      </c>
      <c r="D739" t="inlineStr">
        <is>
          <t>DALARNAS LÄN</t>
        </is>
      </c>
      <c r="E739" t="inlineStr">
        <is>
          <t>LUDVIKA</t>
        </is>
      </c>
      <c r="F739" t="inlineStr">
        <is>
          <t>Bergvik skog väst AB</t>
        </is>
      </c>
      <c r="G739" t="n">
        <v>6.9</v>
      </c>
      <c r="H739" t="n">
        <v>0</v>
      </c>
      <c r="I739" t="n">
        <v>0</v>
      </c>
      <c r="J739" t="n">
        <v>0</v>
      </c>
      <c r="K739" t="n">
        <v>0</v>
      </c>
      <c r="L739" t="n">
        <v>0</v>
      </c>
      <c r="M739" t="n">
        <v>0</v>
      </c>
      <c r="N739" t="n">
        <v>0</v>
      </c>
      <c r="O739" t="n">
        <v>0</v>
      </c>
      <c r="P739" t="n">
        <v>0</v>
      </c>
      <c r="Q739" t="n">
        <v>0</v>
      </c>
      <c r="R739" s="2" t="inlineStr"/>
    </row>
    <row r="740" ht="15" customHeight="1">
      <c r="A740" t="inlineStr">
        <is>
          <t>A 52932-2023</t>
        </is>
      </c>
      <c r="B740" s="1" t="n">
        <v>45226</v>
      </c>
      <c r="C740" s="1" t="n">
        <v>45505</v>
      </c>
      <c r="D740" t="inlineStr">
        <is>
          <t>DALARNAS LÄN</t>
        </is>
      </c>
      <c r="E740" t="inlineStr">
        <is>
          <t>LUDVIKA</t>
        </is>
      </c>
      <c r="F740" t="inlineStr">
        <is>
          <t>Bergvik skog väst AB</t>
        </is>
      </c>
      <c r="G740" t="n">
        <v>4.5</v>
      </c>
      <c r="H740" t="n">
        <v>0</v>
      </c>
      <c r="I740" t="n">
        <v>0</v>
      </c>
      <c r="J740" t="n">
        <v>0</v>
      </c>
      <c r="K740" t="n">
        <v>0</v>
      </c>
      <c r="L740" t="n">
        <v>0</v>
      </c>
      <c r="M740" t="n">
        <v>0</v>
      </c>
      <c r="N740" t="n">
        <v>0</v>
      </c>
      <c r="O740" t="n">
        <v>0</v>
      </c>
      <c r="P740" t="n">
        <v>0</v>
      </c>
      <c r="Q740" t="n">
        <v>0</v>
      </c>
      <c r="R740" s="2" t="inlineStr"/>
    </row>
    <row r="741" ht="15" customHeight="1">
      <c r="A741" t="inlineStr">
        <is>
          <t>A 53632-2023</t>
        </is>
      </c>
      <c r="B741" s="1" t="n">
        <v>45230</v>
      </c>
      <c r="C741" s="1" t="n">
        <v>45505</v>
      </c>
      <c r="D741" t="inlineStr">
        <is>
          <t>DALARNAS LÄN</t>
        </is>
      </c>
      <c r="E741" t="inlineStr">
        <is>
          <t>LUDVIKA</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53622-2023</t>
        </is>
      </c>
      <c r="B742" s="1" t="n">
        <v>45230</v>
      </c>
      <c r="C742" s="1" t="n">
        <v>45505</v>
      </c>
      <c r="D742" t="inlineStr">
        <is>
          <t>DALARNAS LÄN</t>
        </is>
      </c>
      <c r="E742" t="inlineStr">
        <is>
          <t>LUDVIKA</t>
        </is>
      </c>
      <c r="G742" t="n">
        <v>2.3</v>
      </c>
      <c r="H742" t="n">
        <v>0</v>
      </c>
      <c r="I742" t="n">
        <v>0</v>
      </c>
      <c r="J742" t="n">
        <v>0</v>
      </c>
      <c r="K742" t="n">
        <v>0</v>
      </c>
      <c r="L742" t="n">
        <v>0</v>
      </c>
      <c r="M742" t="n">
        <v>0</v>
      </c>
      <c r="N742" t="n">
        <v>0</v>
      </c>
      <c r="O742" t="n">
        <v>0</v>
      </c>
      <c r="P742" t="n">
        <v>0</v>
      </c>
      <c r="Q742" t="n">
        <v>0</v>
      </c>
      <c r="R742" s="2" t="inlineStr"/>
    </row>
    <row r="743" ht="15" customHeight="1">
      <c r="A743" t="inlineStr">
        <is>
          <t>A 53602-2023</t>
        </is>
      </c>
      <c r="B743" s="1" t="n">
        <v>45230</v>
      </c>
      <c r="C743" s="1" t="n">
        <v>45505</v>
      </c>
      <c r="D743" t="inlineStr">
        <is>
          <t>DALARNAS LÄN</t>
        </is>
      </c>
      <c r="E743" t="inlineStr">
        <is>
          <t>LUDVIKA</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53633-2023</t>
        </is>
      </c>
      <c r="B744" s="1" t="n">
        <v>45230</v>
      </c>
      <c r="C744" s="1" t="n">
        <v>45505</v>
      </c>
      <c r="D744" t="inlineStr">
        <is>
          <t>DALARNAS LÄN</t>
        </is>
      </c>
      <c r="E744" t="inlineStr">
        <is>
          <t>LUDVIKA</t>
        </is>
      </c>
      <c r="F744" t="inlineStr">
        <is>
          <t>Bergvik skog väst AB</t>
        </is>
      </c>
      <c r="G744" t="n">
        <v>3.2</v>
      </c>
      <c r="H744" t="n">
        <v>0</v>
      </c>
      <c r="I744" t="n">
        <v>0</v>
      </c>
      <c r="J744" t="n">
        <v>0</v>
      </c>
      <c r="K744" t="n">
        <v>0</v>
      </c>
      <c r="L744" t="n">
        <v>0</v>
      </c>
      <c r="M744" t="n">
        <v>0</v>
      </c>
      <c r="N744" t="n">
        <v>0</v>
      </c>
      <c r="O744" t="n">
        <v>0</v>
      </c>
      <c r="P744" t="n">
        <v>0</v>
      </c>
      <c r="Q744" t="n">
        <v>0</v>
      </c>
      <c r="R744" s="2" t="inlineStr"/>
    </row>
    <row r="745" ht="15" customHeight="1">
      <c r="A745" t="inlineStr">
        <is>
          <t>A 53570-2023</t>
        </is>
      </c>
      <c r="B745" s="1" t="n">
        <v>45230</v>
      </c>
      <c r="C745" s="1" t="n">
        <v>45505</v>
      </c>
      <c r="D745" t="inlineStr">
        <is>
          <t>DALARNAS LÄN</t>
        </is>
      </c>
      <c r="E745" t="inlineStr">
        <is>
          <t>LUDVIKA</t>
        </is>
      </c>
      <c r="F745" t="inlineStr">
        <is>
          <t>Bergvik skog väst AB</t>
        </is>
      </c>
      <c r="G745" t="n">
        <v>1.9</v>
      </c>
      <c r="H745" t="n">
        <v>0</v>
      </c>
      <c r="I745" t="n">
        <v>0</v>
      </c>
      <c r="J745" t="n">
        <v>0</v>
      </c>
      <c r="K745" t="n">
        <v>0</v>
      </c>
      <c r="L745" t="n">
        <v>0</v>
      </c>
      <c r="M745" t="n">
        <v>0</v>
      </c>
      <c r="N745" t="n">
        <v>0</v>
      </c>
      <c r="O745" t="n">
        <v>0</v>
      </c>
      <c r="P745" t="n">
        <v>0</v>
      </c>
      <c r="Q745" t="n">
        <v>0</v>
      </c>
      <c r="R745" s="2" t="inlineStr"/>
    </row>
    <row r="746" ht="15" customHeight="1">
      <c r="A746" t="inlineStr">
        <is>
          <t>A 54744-2023</t>
        </is>
      </c>
      <c r="B746" s="1" t="n">
        <v>45236</v>
      </c>
      <c r="C746" s="1" t="n">
        <v>45505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54886-2023</t>
        </is>
      </c>
      <c r="B747" s="1" t="n">
        <v>45236</v>
      </c>
      <c r="C747" s="1" t="n">
        <v>45505</v>
      </c>
      <c r="D747" t="inlineStr">
        <is>
          <t>DALARNAS LÄN</t>
        </is>
      </c>
      <c r="E747" t="inlineStr">
        <is>
          <t>LUDVIKA</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55213-2023</t>
        </is>
      </c>
      <c r="B748" s="1" t="n">
        <v>45237</v>
      </c>
      <c r="C748" s="1" t="n">
        <v>45505</v>
      </c>
      <c r="D748" t="inlineStr">
        <is>
          <t>DALARNAS LÄN</t>
        </is>
      </c>
      <c r="E748" t="inlineStr">
        <is>
          <t>LUDVIKA</t>
        </is>
      </c>
      <c r="G748" t="n">
        <v>5.1</v>
      </c>
      <c r="H748" t="n">
        <v>0</v>
      </c>
      <c r="I748" t="n">
        <v>0</v>
      </c>
      <c r="J748" t="n">
        <v>0</v>
      </c>
      <c r="K748" t="n">
        <v>0</v>
      </c>
      <c r="L748" t="n">
        <v>0</v>
      </c>
      <c r="M748" t="n">
        <v>0</v>
      </c>
      <c r="N748" t="n">
        <v>0</v>
      </c>
      <c r="O748" t="n">
        <v>0</v>
      </c>
      <c r="P748" t="n">
        <v>0</v>
      </c>
      <c r="Q748" t="n">
        <v>0</v>
      </c>
      <c r="R748" s="2" t="inlineStr"/>
    </row>
    <row r="749" ht="15" customHeight="1">
      <c r="A749" t="inlineStr">
        <is>
          <t>A 55760-2023</t>
        </is>
      </c>
      <c r="B749" s="1" t="n">
        <v>45239</v>
      </c>
      <c r="C749" s="1" t="n">
        <v>45505</v>
      </c>
      <c r="D749" t="inlineStr">
        <is>
          <t>DALARNAS LÄN</t>
        </is>
      </c>
      <c r="E749" t="inlineStr">
        <is>
          <t>LUDVIKA</t>
        </is>
      </c>
      <c r="F749" t="inlineStr">
        <is>
          <t>Bergvik skog väst AB</t>
        </is>
      </c>
      <c r="G749" t="n">
        <v>9.1</v>
      </c>
      <c r="H749" t="n">
        <v>0</v>
      </c>
      <c r="I749" t="n">
        <v>0</v>
      </c>
      <c r="J749" t="n">
        <v>0</v>
      </c>
      <c r="K749" t="n">
        <v>0</v>
      </c>
      <c r="L749" t="n">
        <v>0</v>
      </c>
      <c r="M749" t="n">
        <v>0</v>
      </c>
      <c r="N749" t="n">
        <v>0</v>
      </c>
      <c r="O749" t="n">
        <v>0</v>
      </c>
      <c r="P749" t="n">
        <v>0</v>
      </c>
      <c r="Q749" t="n">
        <v>0</v>
      </c>
      <c r="R749" s="2" t="inlineStr"/>
    </row>
    <row r="750" ht="15" customHeight="1">
      <c r="A750" t="inlineStr">
        <is>
          <t>A 56604-2023</t>
        </is>
      </c>
      <c r="B750" s="1" t="n">
        <v>45243</v>
      </c>
      <c r="C750" s="1" t="n">
        <v>45505</v>
      </c>
      <c r="D750" t="inlineStr">
        <is>
          <t>DALARNAS LÄN</t>
        </is>
      </c>
      <c r="E750" t="inlineStr">
        <is>
          <t>LUDVIKA</t>
        </is>
      </c>
      <c r="G750" t="n">
        <v>2.5</v>
      </c>
      <c r="H750" t="n">
        <v>0</v>
      </c>
      <c r="I750" t="n">
        <v>0</v>
      </c>
      <c r="J750" t="n">
        <v>0</v>
      </c>
      <c r="K750" t="n">
        <v>0</v>
      </c>
      <c r="L750" t="n">
        <v>0</v>
      </c>
      <c r="M750" t="n">
        <v>0</v>
      </c>
      <c r="N750" t="n">
        <v>0</v>
      </c>
      <c r="O750" t="n">
        <v>0</v>
      </c>
      <c r="P750" t="n">
        <v>0</v>
      </c>
      <c r="Q750" t="n">
        <v>0</v>
      </c>
      <c r="R750" s="2" t="inlineStr"/>
    </row>
    <row r="751" ht="15" customHeight="1">
      <c r="A751" t="inlineStr">
        <is>
          <t>A 56672-2023</t>
        </is>
      </c>
      <c r="B751" s="1" t="n">
        <v>45243</v>
      </c>
      <c r="C751" s="1" t="n">
        <v>45505</v>
      </c>
      <c r="D751" t="inlineStr">
        <is>
          <t>DALARNAS LÄN</t>
        </is>
      </c>
      <c r="E751" t="inlineStr">
        <is>
          <t>LUDVIKA</t>
        </is>
      </c>
      <c r="G751" t="n">
        <v>2.9</v>
      </c>
      <c r="H751" t="n">
        <v>0</v>
      </c>
      <c r="I751" t="n">
        <v>0</v>
      </c>
      <c r="J751" t="n">
        <v>0</v>
      </c>
      <c r="K751" t="n">
        <v>0</v>
      </c>
      <c r="L751" t="n">
        <v>0</v>
      </c>
      <c r="M751" t="n">
        <v>0</v>
      </c>
      <c r="N751" t="n">
        <v>0</v>
      </c>
      <c r="O751" t="n">
        <v>0</v>
      </c>
      <c r="P751" t="n">
        <v>0</v>
      </c>
      <c r="Q751" t="n">
        <v>0</v>
      </c>
      <c r="R751" s="2" t="inlineStr"/>
    </row>
    <row r="752" ht="15" customHeight="1">
      <c r="A752" t="inlineStr">
        <is>
          <t>A 56621-2023</t>
        </is>
      </c>
      <c r="B752" s="1" t="n">
        <v>45243</v>
      </c>
      <c r="C752" s="1" t="n">
        <v>45505</v>
      </c>
      <c r="D752" t="inlineStr">
        <is>
          <t>DALARNAS LÄN</t>
        </is>
      </c>
      <c r="E752" t="inlineStr">
        <is>
          <t>LUDVIKA</t>
        </is>
      </c>
      <c r="G752" t="n">
        <v>0.5</v>
      </c>
      <c r="H752" t="n">
        <v>0</v>
      </c>
      <c r="I752" t="n">
        <v>0</v>
      </c>
      <c r="J752" t="n">
        <v>0</v>
      </c>
      <c r="K752" t="n">
        <v>0</v>
      </c>
      <c r="L752" t="n">
        <v>0</v>
      </c>
      <c r="M752" t="n">
        <v>0</v>
      </c>
      <c r="N752" t="n">
        <v>0</v>
      </c>
      <c r="O752" t="n">
        <v>0</v>
      </c>
      <c r="P752" t="n">
        <v>0</v>
      </c>
      <c r="Q752" t="n">
        <v>0</v>
      </c>
      <c r="R752" s="2" t="inlineStr"/>
    </row>
    <row r="753" ht="15" customHeight="1">
      <c r="A753" t="inlineStr">
        <is>
          <t>A 56818-2023</t>
        </is>
      </c>
      <c r="B753" s="1" t="n">
        <v>45244</v>
      </c>
      <c r="C753" s="1" t="n">
        <v>45505</v>
      </c>
      <c r="D753" t="inlineStr">
        <is>
          <t>DALARNAS LÄN</t>
        </is>
      </c>
      <c r="E753" t="inlineStr">
        <is>
          <t>LUDVIKA</t>
        </is>
      </c>
      <c r="G753" t="n">
        <v>1.4</v>
      </c>
      <c r="H753" t="n">
        <v>0</v>
      </c>
      <c r="I753" t="n">
        <v>0</v>
      </c>
      <c r="J753" t="n">
        <v>0</v>
      </c>
      <c r="K753" t="n">
        <v>0</v>
      </c>
      <c r="L753" t="n">
        <v>0</v>
      </c>
      <c r="M753" t="n">
        <v>0</v>
      </c>
      <c r="N753" t="n">
        <v>0</v>
      </c>
      <c r="O753" t="n">
        <v>0</v>
      </c>
      <c r="P753" t="n">
        <v>0</v>
      </c>
      <c r="Q753" t="n">
        <v>0</v>
      </c>
      <c r="R753" s="2" t="inlineStr"/>
    </row>
    <row r="754" ht="15" customHeight="1">
      <c r="A754" t="inlineStr">
        <is>
          <t>A 57557-2023</t>
        </is>
      </c>
      <c r="B754" s="1" t="n">
        <v>45246</v>
      </c>
      <c r="C754" s="1" t="n">
        <v>45505</v>
      </c>
      <c r="D754" t="inlineStr">
        <is>
          <t>DALARNAS LÄN</t>
        </is>
      </c>
      <c r="E754" t="inlineStr">
        <is>
          <t>LUDVIKA</t>
        </is>
      </c>
      <c r="G754" t="n">
        <v>12.7</v>
      </c>
      <c r="H754" t="n">
        <v>0</v>
      </c>
      <c r="I754" t="n">
        <v>0</v>
      </c>
      <c r="J754" t="n">
        <v>0</v>
      </c>
      <c r="K754" t="n">
        <v>0</v>
      </c>
      <c r="L754" t="n">
        <v>0</v>
      </c>
      <c r="M754" t="n">
        <v>0</v>
      </c>
      <c r="N754" t="n">
        <v>0</v>
      </c>
      <c r="O754" t="n">
        <v>0</v>
      </c>
      <c r="P754" t="n">
        <v>0</v>
      </c>
      <c r="Q754" t="n">
        <v>0</v>
      </c>
      <c r="R754" s="2" t="inlineStr"/>
    </row>
    <row r="755" ht="15" customHeight="1">
      <c r="A755" t="inlineStr">
        <is>
          <t>A 57424-2023</t>
        </is>
      </c>
      <c r="B755" s="1" t="n">
        <v>45246</v>
      </c>
      <c r="C755" s="1" t="n">
        <v>45505</v>
      </c>
      <c r="D755" t="inlineStr">
        <is>
          <t>DALARNAS LÄN</t>
        </is>
      </c>
      <c r="E755" t="inlineStr">
        <is>
          <t>LUDVIKA</t>
        </is>
      </c>
      <c r="G755" t="n">
        <v>4.5</v>
      </c>
      <c r="H755" t="n">
        <v>0</v>
      </c>
      <c r="I755" t="n">
        <v>0</v>
      </c>
      <c r="J755" t="n">
        <v>0</v>
      </c>
      <c r="K755" t="n">
        <v>0</v>
      </c>
      <c r="L755" t="n">
        <v>0</v>
      </c>
      <c r="M755" t="n">
        <v>0</v>
      </c>
      <c r="N755" t="n">
        <v>0</v>
      </c>
      <c r="O755" t="n">
        <v>0</v>
      </c>
      <c r="P755" t="n">
        <v>0</v>
      </c>
      <c r="Q755" t="n">
        <v>0</v>
      </c>
      <c r="R755" s="2" t="inlineStr"/>
    </row>
    <row r="756" ht="15" customHeight="1">
      <c r="A756" t="inlineStr">
        <is>
          <t>A 57803-2023</t>
        </is>
      </c>
      <c r="B756" s="1" t="n">
        <v>45246</v>
      </c>
      <c r="C756" s="1" t="n">
        <v>45505</v>
      </c>
      <c r="D756" t="inlineStr">
        <is>
          <t>DALARNAS LÄN</t>
        </is>
      </c>
      <c r="E756" t="inlineStr">
        <is>
          <t>LUDVIKA</t>
        </is>
      </c>
      <c r="G756" t="n">
        <v>3.3</v>
      </c>
      <c r="H756" t="n">
        <v>0</v>
      </c>
      <c r="I756" t="n">
        <v>0</v>
      </c>
      <c r="J756" t="n">
        <v>0</v>
      </c>
      <c r="K756" t="n">
        <v>0</v>
      </c>
      <c r="L756" t="n">
        <v>0</v>
      </c>
      <c r="M756" t="n">
        <v>0</v>
      </c>
      <c r="N756" t="n">
        <v>0</v>
      </c>
      <c r="O756" t="n">
        <v>0</v>
      </c>
      <c r="P756" t="n">
        <v>0</v>
      </c>
      <c r="Q756" t="n">
        <v>0</v>
      </c>
      <c r="R756" s="2" t="inlineStr"/>
    </row>
    <row r="757" ht="15" customHeight="1">
      <c r="A757" t="inlineStr">
        <is>
          <t>A 57858-2023</t>
        </is>
      </c>
      <c r="B757" s="1" t="n">
        <v>45247</v>
      </c>
      <c r="C757" s="1" t="n">
        <v>45505</v>
      </c>
      <c r="D757" t="inlineStr">
        <is>
          <t>DALARNAS LÄN</t>
        </is>
      </c>
      <c r="E757" t="inlineStr">
        <is>
          <t>LUDVIKA</t>
        </is>
      </c>
      <c r="F757" t="inlineStr">
        <is>
          <t>Bergvik skog väst AB</t>
        </is>
      </c>
      <c r="G757" t="n">
        <v>14.2</v>
      </c>
      <c r="H757" t="n">
        <v>0</v>
      </c>
      <c r="I757" t="n">
        <v>0</v>
      </c>
      <c r="J757" t="n">
        <v>0</v>
      </c>
      <c r="K757" t="n">
        <v>0</v>
      </c>
      <c r="L757" t="n">
        <v>0</v>
      </c>
      <c r="M757" t="n">
        <v>0</v>
      </c>
      <c r="N757" t="n">
        <v>0</v>
      </c>
      <c r="O757" t="n">
        <v>0</v>
      </c>
      <c r="P757" t="n">
        <v>0</v>
      </c>
      <c r="Q757" t="n">
        <v>0</v>
      </c>
      <c r="R757" s="2" t="inlineStr"/>
    </row>
    <row r="758" ht="15" customHeight="1">
      <c r="A758" t="inlineStr">
        <is>
          <t>A 57922-2023</t>
        </is>
      </c>
      <c r="B758" s="1" t="n">
        <v>45247</v>
      </c>
      <c r="C758" s="1" t="n">
        <v>45505</v>
      </c>
      <c r="D758" t="inlineStr">
        <is>
          <t>DALARNAS LÄN</t>
        </is>
      </c>
      <c r="E758" t="inlineStr">
        <is>
          <t>LUDVIKA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57982-2023</t>
        </is>
      </c>
      <c r="B759" s="1" t="n">
        <v>45247</v>
      </c>
      <c r="C759" s="1" t="n">
        <v>45505</v>
      </c>
      <c r="D759" t="inlineStr">
        <is>
          <t>DALARNAS LÄN</t>
        </is>
      </c>
      <c r="E759" t="inlineStr">
        <is>
          <t>LUDVIKA</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58112-2023</t>
        </is>
      </c>
      <c r="B760" s="1" t="n">
        <v>45249</v>
      </c>
      <c r="C760" s="1" t="n">
        <v>45505</v>
      </c>
      <c r="D760" t="inlineStr">
        <is>
          <t>DALARNAS LÄN</t>
        </is>
      </c>
      <c r="E760" t="inlineStr">
        <is>
          <t>LUDVIKA</t>
        </is>
      </c>
      <c r="G760" t="n">
        <v>4.7</v>
      </c>
      <c r="H760" t="n">
        <v>0</v>
      </c>
      <c r="I760" t="n">
        <v>0</v>
      </c>
      <c r="J760" t="n">
        <v>0</v>
      </c>
      <c r="K760" t="n">
        <v>0</v>
      </c>
      <c r="L760" t="n">
        <v>0</v>
      </c>
      <c r="M760" t="n">
        <v>0</v>
      </c>
      <c r="N760" t="n">
        <v>0</v>
      </c>
      <c r="O760" t="n">
        <v>0</v>
      </c>
      <c r="P760" t="n">
        <v>0</v>
      </c>
      <c r="Q760" t="n">
        <v>0</v>
      </c>
      <c r="R760" s="2" t="inlineStr"/>
    </row>
    <row r="761" ht="15" customHeight="1">
      <c r="A761" t="inlineStr">
        <is>
          <t>A 59201-2023</t>
        </is>
      </c>
      <c r="B761" s="1" t="n">
        <v>45253</v>
      </c>
      <c r="C761" s="1" t="n">
        <v>45505</v>
      </c>
      <c r="D761" t="inlineStr">
        <is>
          <t>DALARNAS LÄN</t>
        </is>
      </c>
      <c r="E761" t="inlineStr">
        <is>
          <t>LUDVIKA</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59206-2023</t>
        </is>
      </c>
      <c r="B762" s="1" t="n">
        <v>45253</v>
      </c>
      <c r="C762" s="1" t="n">
        <v>45505</v>
      </c>
      <c r="D762" t="inlineStr">
        <is>
          <t>DALARNAS LÄN</t>
        </is>
      </c>
      <c r="E762" t="inlineStr">
        <is>
          <t>LUDVIKA</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59219-2023</t>
        </is>
      </c>
      <c r="B763" s="1" t="n">
        <v>45253</v>
      </c>
      <c r="C763" s="1" t="n">
        <v>45505</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59285-2023</t>
        </is>
      </c>
      <c r="B764" s="1" t="n">
        <v>45253</v>
      </c>
      <c r="C764" s="1" t="n">
        <v>45505</v>
      </c>
      <c r="D764" t="inlineStr">
        <is>
          <t>DALARNAS LÄN</t>
        </is>
      </c>
      <c r="E764" t="inlineStr">
        <is>
          <t>LUDVIKA</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59351-2023</t>
        </is>
      </c>
      <c r="B765" s="1" t="n">
        <v>45253</v>
      </c>
      <c r="C765" s="1" t="n">
        <v>45505</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59437-2023</t>
        </is>
      </c>
      <c r="B766" s="1" t="n">
        <v>45254</v>
      </c>
      <c r="C766" s="1" t="n">
        <v>45505</v>
      </c>
      <c r="D766" t="inlineStr">
        <is>
          <t>DALARNAS LÄN</t>
        </is>
      </c>
      <c r="E766" t="inlineStr">
        <is>
          <t>LUDVIKA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59646-2023</t>
        </is>
      </c>
      <c r="B767" s="1" t="n">
        <v>45254</v>
      </c>
      <c r="C767" s="1" t="n">
        <v>45505</v>
      </c>
      <c r="D767" t="inlineStr">
        <is>
          <t>DALARNAS LÄN</t>
        </is>
      </c>
      <c r="E767" t="inlineStr">
        <is>
          <t>LUDVIKA</t>
        </is>
      </c>
      <c r="G767" t="n">
        <v>7.6</v>
      </c>
      <c r="H767" t="n">
        <v>0</v>
      </c>
      <c r="I767" t="n">
        <v>0</v>
      </c>
      <c r="J767" t="n">
        <v>0</v>
      </c>
      <c r="K767" t="n">
        <v>0</v>
      </c>
      <c r="L767" t="n">
        <v>0</v>
      </c>
      <c r="M767" t="n">
        <v>0</v>
      </c>
      <c r="N767" t="n">
        <v>0</v>
      </c>
      <c r="O767" t="n">
        <v>0</v>
      </c>
      <c r="P767" t="n">
        <v>0</v>
      </c>
      <c r="Q767" t="n">
        <v>0</v>
      </c>
      <c r="R767" s="2" t="inlineStr"/>
    </row>
    <row r="768" ht="15" customHeight="1">
      <c r="A768" t="inlineStr">
        <is>
          <t>A 60180-2023</t>
        </is>
      </c>
      <c r="B768" s="1" t="n">
        <v>45257</v>
      </c>
      <c r="C768" s="1" t="n">
        <v>45505</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60183-2023</t>
        </is>
      </c>
      <c r="B769" s="1" t="n">
        <v>45257</v>
      </c>
      <c r="C769" s="1" t="n">
        <v>45505</v>
      </c>
      <c r="D769" t="inlineStr">
        <is>
          <t>DALARNAS LÄN</t>
        </is>
      </c>
      <c r="E769" t="inlineStr">
        <is>
          <t>LUDVIKA</t>
        </is>
      </c>
      <c r="G769" t="n">
        <v>3.9</v>
      </c>
      <c r="H769" t="n">
        <v>0</v>
      </c>
      <c r="I769" t="n">
        <v>0</v>
      </c>
      <c r="J769" t="n">
        <v>0</v>
      </c>
      <c r="K769" t="n">
        <v>0</v>
      </c>
      <c r="L769" t="n">
        <v>0</v>
      </c>
      <c r="M769" t="n">
        <v>0</v>
      </c>
      <c r="N769" t="n">
        <v>0</v>
      </c>
      <c r="O769" t="n">
        <v>0</v>
      </c>
      <c r="P769" t="n">
        <v>0</v>
      </c>
      <c r="Q769" t="n">
        <v>0</v>
      </c>
      <c r="R769" s="2" t="inlineStr"/>
    </row>
    <row r="770" ht="15" customHeight="1">
      <c r="A770" t="inlineStr">
        <is>
          <t>A 59918-2023</t>
        </is>
      </c>
      <c r="B770" s="1" t="n">
        <v>45257</v>
      </c>
      <c r="C770" s="1" t="n">
        <v>45505</v>
      </c>
      <c r="D770" t="inlineStr">
        <is>
          <t>DALARNAS LÄN</t>
        </is>
      </c>
      <c r="E770" t="inlineStr">
        <is>
          <t>LUDVIKA</t>
        </is>
      </c>
      <c r="F770" t="inlineStr">
        <is>
          <t>Bergvik skog väst AB</t>
        </is>
      </c>
      <c r="G770" t="n">
        <v>5.9</v>
      </c>
      <c r="H770" t="n">
        <v>0</v>
      </c>
      <c r="I770" t="n">
        <v>0</v>
      </c>
      <c r="J770" t="n">
        <v>0</v>
      </c>
      <c r="K770" t="n">
        <v>0</v>
      </c>
      <c r="L770" t="n">
        <v>0</v>
      </c>
      <c r="M770" t="n">
        <v>0</v>
      </c>
      <c r="N770" t="n">
        <v>0</v>
      </c>
      <c r="O770" t="n">
        <v>0</v>
      </c>
      <c r="P770" t="n">
        <v>0</v>
      </c>
      <c r="Q770" t="n">
        <v>0</v>
      </c>
      <c r="R770" s="2" t="inlineStr"/>
    </row>
    <row r="771" ht="15" customHeight="1">
      <c r="A771" t="inlineStr">
        <is>
          <t>A 60138-2023</t>
        </is>
      </c>
      <c r="B771" s="1" t="n">
        <v>45258</v>
      </c>
      <c r="C771" s="1" t="n">
        <v>45505</v>
      </c>
      <c r="D771" t="inlineStr">
        <is>
          <t>DALARNAS LÄN</t>
        </is>
      </c>
      <c r="E771" t="inlineStr">
        <is>
          <t>LUDVIKA</t>
        </is>
      </c>
      <c r="G771" t="n">
        <v>1.3</v>
      </c>
      <c r="H771" t="n">
        <v>0</v>
      </c>
      <c r="I771" t="n">
        <v>0</v>
      </c>
      <c r="J771" t="n">
        <v>0</v>
      </c>
      <c r="K771" t="n">
        <v>0</v>
      </c>
      <c r="L771" t="n">
        <v>0</v>
      </c>
      <c r="M771" t="n">
        <v>0</v>
      </c>
      <c r="N771" t="n">
        <v>0</v>
      </c>
      <c r="O771" t="n">
        <v>0</v>
      </c>
      <c r="P771" t="n">
        <v>0</v>
      </c>
      <c r="Q771" t="n">
        <v>0</v>
      </c>
      <c r="R771" s="2" t="inlineStr"/>
    </row>
    <row r="772" ht="15" customHeight="1">
      <c r="A772" t="inlineStr">
        <is>
          <t>A 60636-2023</t>
        </is>
      </c>
      <c r="B772" s="1" t="n">
        <v>45260</v>
      </c>
      <c r="C772" s="1" t="n">
        <v>45505</v>
      </c>
      <c r="D772" t="inlineStr">
        <is>
          <t>DALARNAS LÄN</t>
        </is>
      </c>
      <c r="E772" t="inlineStr">
        <is>
          <t>LUDVIKA</t>
        </is>
      </c>
      <c r="G772" t="n">
        <v>0.8</v>
      </c>
      <c r="H772" t="n">
        <v>0</v>
      </c>
      <c r="I772" t="n">
        <v>0</v>
      </c>
      <c r="J772" t="n">
        <v>0</v>
      </c>
      <c r="K772" t="n">
        <v>0</v>
      </c>
      <c r="L772" t="n">
        <v>0</v>
      </c>
      <c r="M772" t="n">
        <v>0</v>
      </c>
      <c r="N772" t="n">
        <v>0</v>
      </c>
      <c r="O772" t="n">
        <v>0</v>
      </c>
      <c r="P772" t="n">
        <v>0</v>
      </c>
      <c r="Q772" t="n">
        <v>0</v>
      </c>
      <c r="R772" s="2" t="inlineStr"/>
    </row>
    <row r="773" ht="15" customHeight="1">
      <c r="A773" t="inlineStr">
        <is>
          <t>A 61507-2023</t>
        </is>
      </c>
      <c r="B773" s="1" t="n">
        <v>45265</v>
      </c>
      <c r="C773" s="1" t="n">
        <v>45505</v>
      </c>
      <c r="D773" t="inlineStr">
        <is>
          <t>DALARNAS LÄN</t>
        </is>
      </c>
      <c r="E773" t="inlineStr">
        <is>
          <t>LUDVIKA</t>
        </is>
      </c>
      <c r="G773" t="n">
        <v>3</v>
      </c>
      <c r="H773" t="n">
        <v>0</v>
      </c>
      <c r="I773" t="n">
        <v>0</v>
      </c>
      <c r="J773" t="n">
        <v>0</v>
      </c>
      <c r="K773" t="n">
        <v>0</v>
      </c>
      <c r="L773" t="n">
        <v>0</v>
      </c>
      <c r="M773" t="n">
        <v>0</v>
      </c>
      <c r="N773" t="n">
        <v>0</v>
      </c>
      <c r="O773" t="n">
        <v>0</v>
      </c>
      <c r="P773" t="n">
        <v>0</v>
      </c>
      <c r="Q773" t="n">
        <v>0</v>
      </c>
      <c r="R773" s="2" t="inlineStr"/>
    </row>
    <row r="774" ht="15" customHeight="1">
      <c r="A774" t="inlineStr">
        <is>
          <t>A 63131-2023</t>
        </is>
      </c>
      <c r="B774" s="1" t="n">
        <v>45273</v>
      </c>
      <c r="C774" s="1" t="n">
        <v>45505</v>
      </c>
      <c r="D774" t="inlineStr">
        <is>
          <t>DALARNAS LÄN</t>
        </is>
      </c>
      <c r="E774" t="inlineStr">
        <is>
          <t>LUDVIKA</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64171-2023</t>
        </is>
      </c>
      <c r="B775" s="1" t="n">
        <v>45279</v>
      </c>
      <c r="C775" s="1" t="n">
        <v>45505</v>
      </c>
      <c r="D775" t="inlineStr">
        <is>
          <t>DALARNAS LÄN</t>
        </is>
      </c>
      <c r="E775" t="inlineStr">
        <is>
          <t>LUDVIKA</t>
        </is>
      </c>
      <c r="G775" t="n">
        <v>8.6</v>
      </c>
      <c r="H775" t="n">
        <v>0</v>
      </c>
      <c r="I775" t="n">
        <v>0</v>
      </c>
      <c r="J775" t="n">
        <v>0</v>
      </c>
      <c r="K775" t="n">
        <v>0</v>
      </c>
      <c r="L775" t="n">
        <v>0</v>
      </c>
      <c r="M775" t="n">
        <v>0</v>
      </c>
      <c r="N775" t="n">
        <v>0</v>
      </c>
      <c r="O775" t="n">
        <v>0</v>
      </c>
      <c r="P775" t="n">
        <v>0</v>
      </c>
      <c r="Q775" t="n">
        <v>0</v>
      </c>
      <c r="R775" s="2" t="inlineStr"/>
    </row>
    <row r="776" ht="15" customHeight="1">
      <c r="A776" t="inlineStr">
        <is>
          <t>A 64450-2023</t>
        </is>
      </c>
      <c r="B776" s="1" t="n">
        <v>45280</v>
      </c>
      <c r="C776" s="1" t="n">
        <v>45505</v>
      </c>
      <c r="D776" t="inlineStr">
        <is>
          <t>DALARNAS LÄN</t>
        </is>
      </c>
      <c r="E776" t="inlineStr">
        <is>
          <t>LUDVIKA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64447-2023</t>
        </is>
      </c>
      <c r="B777" s="1" t="n">
        <v>45280</v>
      </c>
      <c r="C777" s="1" t="n">
        <v>45505</v>
      </c>
      <c r="D777" t="inlineStr">
        <is>
          <t>DALARNAS LÄN</t>
        </is>
      </c>
      <c r="E777" t="inlineStr">
        <is>
          <t>LUDVIKA</t>
        </is>
      </c>
      <c r="G777" t="n">
        <v>2</v>
      </c>
      <c r="H777" t="n">
        <v>0</v>
      </c>
      <c r="I777" t="n">
        <v>0</v>
      </c>
      <c r="J777" t="n">
        <v>0</v>
      </c>
      <c r="K777" t="n">
        <v>0</v>
      </c>
      <c r="L777" t="n">
        <v>0</v>
      </c>
      <c r="M777" t="n">
        <v>0</v>
      </c>
      <c r="N777" t="n">
        <v>0</v>
      </c>
      <c r="O777" t="n">
        <v>0</v>
      </c>
      <c r="P777" t="n">
        <v>0</v>
      </c>
      <c r="Q777" t="n">
        <v>0</v>
      </c>
      <c r="R777" s="2" t="inlineStr"/>
    </row>
    <row r="778" ht="15" customHeight="1">
      <c r="A778" t="inlineStr">
        <is>
          <t>A 64449-2023</t>
        </is>
      </c>
      <c r="B778" s="1" t="n">
        <v>45280</v>
      </c>
      <c r="C778" s="1" t="n">
        <v>45505</v>
      </c>
      <c r="D778" t="inlineStr">
        <is>
          <t>DALARNAS LÄN</t>
        </is>
      </c>
      <c r="E778" t="inlineStr">
        <is>
          <t>LUDVIKA</t>
        </is>
      </c>
      <c r="G778" t="n">
        <v>10.2</v>
      </c>
      <c r="H778" t="n">
        <v>0</v>
      </c>
      <c r="I778" t="n">
        <v>0</v>
      </c>
      <c r="J778" t="n">
        <v>0</v>
      </c>
      <c r="K778" t="n">
        <v>0</v>
      </c>
      <c r="L778" t="n">
        <v>0</v>
      </c>
      <c r="M778" t="n">
        <v>0</v>
      </c>
      <c r="N778" t="n">
        <v>0</v>
      </c>
      <c r="O778" t="n">
        <v>0</v>
      </c>
      <c r="P778" t="n">
        <v>0</v>
      </c>
      <c r="Q778" t="n">
        <v>0</v>
      </c>
      <c r="R778" s="2" t="inlineStr"/>
    </row>
    <row r="779" ht="15" customHeight="1">
      <c r="A779" t="inlineStr">
        <is>
          <t>A 65104-2023</t>
        </is>
      </c>
      <c r="B779" s="1" t="n">
        <v>45288</v>
      </c>
      <c r="C779" s="1" t="n">
        <v>45505</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451-2024</t>
        </is>
      </c>
      <c r="B780" s="1" t="n">
        <v>45296</v>
      </c>
      <c r="C780" s="1" t="n">
        <v>45505</v>
      </c>
      <c r="D780" t="inlineStr">
        <is>
          <t>DALARNAS LÄN</t>
        </is>
      </c>
      <c r="E780" t="inlineStr">
        <is>
          <t>LUDVIKA</t>
        </is>
      </c>
      <c r="F780" t="inlineStr">
        <is>
          <t>Bergvik skog väst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478-2024</t>
        </is>
      </c>
      <c r="B781" s="1" t="n">
        <v>45297</v>
      </c>
      <c r="C781" s="1" t="n">
        <v>45505</v>
      </c>
      <c r="D781" t="inlineStr">
        <is>
          <t>DALARNAS LÄN</t>
        </is>
      </c>
      <c r="E781" t="inlineStr">
        <is>
          <t>LUDVIKA</t>
        </is>
      </c>
      <c r="G781" t="n">
        <v>3.2</v>
      </c>
      <c r="H781" t="n">
        <v>0</v>
      </c>
      <c r="I781" t="n">
        <v>0</v>
      </c>
      <c r="J781" t="n">
        <v>0</v>
      </c>
      <c r="K781" t="n">
        <v>0</v>
      </c>
      <c r="L781" t="n">
        <v>0</v>
      </c>
      <c r="M781" t="n">
        <v>0</v>
      </c>
      <c r="N781" t="n">
        <v>0</v>
      </c>
      <c r="O781" t="n">
        <v>0</v>
      </c>
      <c r="P781" t="n">
        <v>0</v>
      </c>
      <c r="Q781" t="n">
        <v>0</v>
      </c>
      <c r="R781" s="2" t="inlineStr"/>
    </row>
    <row r="782" ht="15" customHeight="1">
      <c r="A782" t="inlineStr">
        <is>
          <t>A 923-2024</t>
        </is>
      </c>
      <c r="B782" s="1" t="n">
        <v>45301</v>
      </c>
      <c r="C782" s="1" t="n">
        <v>45505</v>
      </c>
      <c r="D782" t="inlineStr">
        <is>
          <t>DALARNAS LÄN</t>
        </is>
      </c>
      <c r="E782" t="inlineStr">
        <is>
          <t>LUDVIKA</t>
        </is>
      </c>
      <c r="G782" t="n">
        <v>0.3</v>
      </c>
      <c r="H782" t="n">
        <v>0</v>
      </c>
      <c r="I782" t="n">
        <v>0</v>
      </c>
      <c r="J782" t="n">
        <v>0</v>
      </c>
      <c r="K782" t="n">
        <v>0</v>
      </c>
      <c r="L782" t="n">
        <v>0</v>
      </c>
      <c r="M782" t="n">
        <v>0</v>
      </c>
      <c r="N782" t="n">
        <v>0</v>
      </c>
      <c r="O782" t="n">
        <v>0</v>
      </c>
      <c r="P782" t="n">
        <v>0</v>
      </c>
      <c r="Q782" t="n">
        <v>0</v>
      </c>
      <c r="R782" s="2" t="inlineStr"/>
    </row>
    <row r="783" ht="15" customHeight="1">
      <c r="A783" t="inlineStr">
        <is>
          <t>A 918-2024</t>
        </is>
      </c>
      <c r="B783" s="1" t="n">
        <v>45301</v>
      </c>
      <c r="C783" s="1" t="n">
        <v>45505</v>
      </c>
      <c r="D783" t="inlineStr">
        <is>
          <t>DALARNAS LÄN</t>
        </is>
      </c>
      <c r="E783" t="inlineStr">
        <is>
          <t>LUDVIKA</t>
        </is>
      </c>
      <c r="G783" t="n">
        <v>6</v>
      </c>
      <c r="H783" t="n">
        <v>0</v>
      </c>
      <c r="I783" t="n">
        <v>0</v>
      </c>
      <c r="J783" t="n">
        <v>0</v>
      </c>
      <c r="K783" t="n">
        <v>0</v>
      </c>
      <c r="L783" t="n">
        <v>0</v>
      </c>
      <c r="M783" t="n">
        <v>0</v>
      </c>
      <c r="N783" t="n">
        <v>0</v>
      </c>
      <c r="O783" t="n">
        <v>0</v>
      </c>
      <c r="P783" t="n">
        <v>0</v>
      </c>
      <c r="Q783" t="n">
        <v>0</v>
      </c>
      <c r="R783" s="2" t="inlineStr"/>
    </row>
    <row r="784" ht="15" customHeight="1">
      <c r="A784" t="inlineStr">
        <is>
          <t>A 1133-2024</t>
        </is>
      </c>
      <c r="B784" s="1" t="n">
        <v>45302</v>
      </c>
      <c r="C784" s="1" t="n">
        <v>45505</v>
      </c>
      <c r="D784" t="inlineStr">
        <is>
          <t>DALARNAS LÄN</t>
        </is>
      </c>
      <c r="E784" t="inlineStr">
        <is>
          <t>LUDVIKA</t>
        </is>
      </c>
      <c r="G784" t="n">
        <v>2.6</v>
      </c>
      <c r="H784" t="n">
        <v>0</v>
      </c>
      <c r="I784" t="n">
        <v>0</v>
      </c>
      <c r="J784" t="n">
        <v>0</v>
      </c>
      <c r="K784" t="n">
        <v>0</v>
      </c>
      <c r="L784" t="n">
        <v>0</v>
      </c>
      <c r="M784" t="n">
        <v>0</v>
      </c>
      <c r="N784" t="n">
        <v>0</v>
      </c>
      <c r="O784" t="n">
        <v>0</v>
      </c>
      <c r="P784" t="n">
        <v>0</v>
      </c>
      <c r="Q784" t="n">
        <v>0</v>
      </c>
      <c r="R784" s="2" t="inlineStr"/>
    </row>
    <row r="785" ht="15" customHeight="1">
      <c r="A785" t="inlineStr">
        <is>
          <t>A 1444-2024</t>
        </is>
      </c>
      <c r="B785" s="1" t="n">
        <v>45303</v>
      </c>
      <c r="C785" s="1" t="n">
        <v>45505</v>
      </c>
      <c r="D785" t="inlineStr">
        <is>
          <t>DALARNAS LÄN</t>
        </is>
      </c>
      <c r="E785" t="inlineStr">
        <is>
          <t>LUDVIKA</t>
        </is>
      </c>
      <c r="G785" t="n">
        <v>0.9</v>
      </c>
      <c r="H785" t="n">
        <v>0</v>
      </c>
      <c r="I785" t="n">
        <v>0</v>
      </c>
      <c r="J785" t="n">
        <v>0</v>
      </c>
      <c r="K785" t="n">
        <v>0</v>
      </c>
      <c r="L785" t="n">
        <v>0</v>
      </c>
      <c r="M785" t="n">
        <v>0</v>
      </c>
      <c r="N785" t="n">
        <v>0</v>
      </c>
      <c r="O785" t="n">
        <v>0</v>
      </c>
      <c r="P785" t="n">
        <v>0</v>
      </c>
      <c r="Q785" t="n">
        <v>0</v>
      </c>
      <c r="R785" s="2" t="inlineStr"/>
    </row>
    <row r="786" ht="15" customHeight="1">
      <c r="A786" t="inlineStr">
        <is>
          <t>A 1761-2024</t>
        </is>
      </c>
      <c r="B786" s="1" t="n">
        <v>45307</v>
      </c>
      <c r="C786" s="1" t="n">
        <v>45505</v>
      </c>
      <c r="D786" t="inlineStr">
        <is>
          <t>DALARNAS LÄN</t>
        </is>
      </c>
      <c r="E786" t="inlineStr">
        <is>
          <t>LUDVIKA</t>
        </is>
      </c>
      <c r="F786" t="inlineStr">
        <is>
          <t>Naturvårdsverket</t>
        </is>
      </c>
      <c r="G786" t="n">
        <v>1.5</v>
      </c>
      <c r="H786" t="n">
        <v>0</v>
      </c>
      <c r="I786" t="n">
        <v>0</v>
      </c>
      <c r="J786" t="n">
        <v>0</v>
      </c>
      <c r="K786" t="n">
        <v>0</v>
      </c>
      <c r="L786" t="n">
        <v>0</v>
      </c>
      <c r="M786" t="n">
        <v>0</v>
      </c>
      <c r="N786" t="n">
        <v>0</v>
      </c>
      <c r="O786" t="n">
        <v>0</v>
      </c>
      <c r="P786" t="n">
        <v>0</v>
      </c>
      <c r="Q786" t="n">
        <v>0</v>
      </c>
      <c r="R786" s="2" t="inlineStr"/>
    </row>
    <row r="787" ht="15" customHeight="1">
      <c r="A787" t="inlineStr">
        <is>
          <t>A 1988-2024</t>
        </is>
      </c>
      <c r="B787" s="1" t="n">
        <v>45308</v>
      </c>
      <c r="C787" s="1" t="n">
        <v>45505</v>
      </c>
      <c r="D787" t="inlineStr">
        <is>
          <t>DALARNAS LÄN</t>
        </is>
      </c>
      <c r="E787" t="inlineStr">
        <is>
          <t>LUDVIKA</t>
        </is>
      </c>
      <c r="G787" t="n">
        <v>4.2</v>
      </c>
      <c r="H787" t="n">
        <v>0</v>
      </c>
      <c r="I787" t="n">
        <v>0</v>
      </c>
      <c r="J787" t="n">
        <v>0</v>
      </c>
      <c r="K787" t="n">
        <v>0</v>
      </c>
      <c r="L787" t="n">
        <v>0</v>
      </c>
      <c r="M787" t="n">
        <v>0</v>
      </c>
      <c r="N787" t="n">
        <v>0</v>
      </c>
      <c r="O787" t="n">
        <v>0</v>
      </c>
      <c r="P787" t="n">
        <v>0</v>
      </c>
      <c r="Q787" t="n">
        <v>0</v>
      </c>
      <c r="R787" s="2" t="inlineStr"/>
    </row>
    <row r="788" ht="15" customHeight="1">
      <c r="A788" t="inlineStr">
        <is>
          <t>A 2481-2024</t>
        </is>
      </c>
      <c r="B788" s="1" t="n">
        <v>45313</v>
      </c>
      <c r="C788" s="1" t="n">
        <v>45505</v>
      </c>
      <c r="D788" t="inlineStr">
        <is>
          <t>DALARNAS LÄN</t>
        </is>
      </c>
      <c r="E788" t="inlineStr">
        <is>
          <t>LUDVIKA</t>
        </is>
      </c>
      <c r="G788" t="n">
        <v>4.8</v>
      </c>
      <c r="H788" t="n">
        <v>0</v>
      </c>
      <c r="I788" t="n">
        <v>0</v>
      </c>
      <c r="J788" t="n">
        <v>0</v>
      </c>
      <c r="K788" t="n">
        <v>0</v>
      </c>
      <c r="L788" t="n">
        <v>0</v>
      </c>
      <c r="M788" t="n">
        <v>0</v>
      </c>
      <c r="N788" t="n">
        <v>0</v>
      </c>
      <c r="O788" t="n">
        <v>0</v>
      </c>
      <c r="P788" t="n">
        <v>0</v>
      </c>
      <c r="Q788" t="n">
        <v>0</v>
      </c>
      <c r="R788" s="2" t="inlineStr"/>
      <c r="U788">
        <f>HYPERLINK("https://klasma.github.io/Logging_2085/knärot/A 2481-2024 karta knärot.png", "A 2481-2024")</f>
        <v/>
      </c>
      <c r="V788">
        <f>HYPERLINK("https://klasma.github.io/Logging_2085/klagomål/A 2481-2024 FSC-klagomål.docx", "A 2481-2024")</f>
        <v/>
      </c>
      <c r="W788">
        <f>HYPERLINK("https://klasma.github.io/Logging_2085/klagomålsmail/A 2481-2024 FSC-klagomål mail.docx", "A 2481-2024")</f>
        <v/>
      </c>
      <c r="X788">
        <f>HYPERLINK("https://klasma.github.io/Logging_2085/tillsyn/A 2481-2024 tillsynsbegäran.docx", "A 2481-2024")</f>
        <v/>
      </c>
      <c r="Y788">
        <f>HYPERLINK("https://klasma.github.io/Logging_2085/tillsynsmail/A 2481-2024 tillsynsbegäran mail.docx", "A 2481-2024")</f>
        <v/>
      </c>
    </row>
    <row r="789" ht="15" customHeight="1">
      <c r="A789" t="inlineStr">
        <is>
          <t>A 2485-2024</t>
        </is>
      </c>
      <c r="B789" s="1" t="n">
        <v>45313</v>
      </c>
      <c r="C789" s="1" t="n">
        <v>45505</v>
      </c>
      <c r="D789" t="inlineStr">
        <is>
          <t>DALARNAS LÄN</t>
        </is>
      </c>
      <c r="E789" t="inlineStr">
        <is>
          <t>LUDVIKA</t>
        </is>
      </c>
      <c r="G789" t="n">
        <v>2</v>
      </c>
      <c r="H789" t="n">
        <v>0</v>
      </c>
      <c r="I789" t="n">
        <v>0</v>
      </c>
      <c r="J789" t="n">
        <v>0</v>
      </c>
      <c r="K789" t="n">
        <v>0</v>
      </c>
      <c r="L789" t="n">
        <v>0</v>
      </c>
      <c r="M789" t="n">
        <v>0</v>
      </c>
      <c r="N789" t="n">
        <v>0</v>
      </c>
      <c r="O789" t="n">
        <v>0</v>
      </c>
      <c r="P789" t="n">
        <v>0</v>
      </c>
      <c r="Q789" t="n">
        <v>0</v>
      </c>
      <c r="R789" s="2" t="inlineStr"/>
    </row>
    <row r="790" ht="15" customHeight="1">
      <c r="A790" t="inlineStr">
        <is>
          <t>A 2484-2024</t>
        </is>
      </c>
      <c r="B790" s="1" t="n">
        <v>45313</v>
      </c>
      <c r="C790" s="1" t="n">
        <v>45505</v>
      </c>
      <c r="D790" t="inlineStr">
        <is>
          <t>DALARNAS LÄN</t>
        </is>
      </c>
      <c r="E790" t="inlineStr">
        <is>
          <t>LUDVIKA</t>
        </is>
      </c>
      <c r="G790" t="n">
        <v>1</v>
      </c>
      <c r="H790" t="n">
        <v>0</v>
      </c>
      <c r="I790" t="n">
        <v>0</v>
      </c>
      <c r="J790" t="n">
        <v>0</v>
      </c>
      <c r="K790" t="n">
        <v>0</v>
      </c>
      <c r="L790" t="n">
        <v>0</v>
      </c>
      <c r="M790" t="n">
        <v>0</v>
      </c>
      <c r="N790" t="n">
        <v>0</v>
      </c>
      <c r="O790" t="n">
        <v>0</v>
      </c>
      <c r="P790" t="n">
        <v>0</v>
      </c>
      <c r="Q790" t="n">
        <v>0</v>
      </c>
      <c r="R790" s="2" t="inlineStr"/>
    </row>
    <row r="791" ht="15" customHeight="1">
      <c r="A791" t="inlineStr">
        <is>
          <t>A 2603-2024</t>
        </is>
      </c>
      <c r="B791" s="1" t="n">
        <v>45313</v>
      </c>
      <c r="C791" s="1" t="n">
        <v>45505</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3277-2024</t>
        </is>
      </c>
      <c r="B792" s="1" t="n">
        <v>45317</v>
      </c>
      <c r="C792" s="1" t="n">
        <v>45505</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3280-2024</t>
        </is>
      </c>
      <c r="B793" s="1" t="n">
        <v>45317</v>
      </c>
      <c r="C793" s="1" t="n">
        <v>45505</v>
      </c>
      <c r="D793" t="inlineStr">
        <is>
          <t>DALARNAS LÄN</t>
        </is>
      </c>
      <c r="E793" t="inlineStr">
        <is>
          <t>LUDVIKA</t>
        </is>
      </c>
      <c r="G793" t="n">
        <v>0.4</v>
      </c>
      <c r="H793" t="n">
        <v>0</v>
      </c>
      <c r="I793" t="n">
        <v>0</v>
      </c>
      <c r="J793" t="n">
        <v>0</v>
      </c>
      <c r="K793" t="n">
        <v>0</v>
      </c>
      <c r="L793" t="n">
        <v>0</v>
      </c>
      <c r="M793" t="n">
        <v>0</v>
      </c>
      <c r="N793" t="n">
        <v>0</v>
      </c>
      <c r="O793" t="n">
        <v>0</v>
      </c>
      <c r="P793" t="n">
        <v>0</v>
      </c>
      <c r="Q793" t="n">
        <v>0</v>
      </c>
      <c r="R793" s="2" t="inlineStr"/>
    </row>
    <row r="794" ht="15" customHeight="1">
      <c r="A794" t="inlineStr">
        <is>
          <t>A 3349-2024</t>
        </is>
      </c>
      <c r="B794" s="1" t="n">
        <v>45317</v>
      </c>
      <c r="C794" s="1" t="n">
        <v>45505</v>
      </c>
      <c r="D794" t="inlineStr">
        <is>
          <t>DALARNAS LÄN</t>
        </is>
      </c>
      <c r="E794" t="inlineStr">
        <is>
          <t>LUDVIKA</t>
        </is>
      </c>
      <c r="G794" t="n">
        <v>3.8</v>
      </c>
      <c r="H794" t="n">
        <v>0</v>
      </c>
      <c r="I794" t="n">
        <v>0</v>
      </c>
      <c r="J794" t="n">
        <v>0</v>
      </c>
      <c r="K794" t="n">
        <v>0</v>
      </c>
      <c r="L794" t="n">
        <v>0</v>
      </c>
      <c r="M794" t="n">
        <v>0</v>
      </c>
      <c r="N794" t="n">
        <v>0</v>
      </c>
      <c r="O794" t="n">
        <v>0</v>
      </c>
      <c r="P794" t="n">
        <v>0</v>
      </c>
      <c r="Q794" t="n">
        <v>0</v>
      </c>
      <c r="R794" s="2" t="inlineStr"/>
    </row>
    <row r="795" ht="15" customHeight="1">
      <c r="A795" t="inlineStr">
        <is>
          <t>A 3687-2024</t>
        </is>
      </c>
      <c r="B795" s="1" t="n">
        <v>45321</v>
      </c>
      <c r="C795" s="1" t="n">
        <v>45505</v>
      </c>
      <c r="D795" t="inlineStr">
        <is>
          <t>DALARNAS LÄN</t>
        </is>
      </c>
      <c r="E795" t="inlineStr">
        <is>
          <t>LUDVIKA</t>
        </is>
      </c>
      <c r="G795" t="n">
        <v>5</v>
      </c>
      <c r="H795" t="n">
        <v>0</v>
      </c>
      <c r="I795" t="n">
        <v>0</v>
      </c>
      <c r="J795" t="n">
        <v>0</v>
      </c>
      <c r="K795" t="n">
        <v>0</v>
      </c>
      <c r="L795" t="n">
        <v>0</v>
      </c>
      <c r="M795" t="n">
        <v>0</v>
      </c>
      <c r="N795" t="n">
        <v>0</v>
      </c>
      <c r="O795" t="n">
        <v>0</v>
      </c>
      <c r="P795" t="n">
        <v>0</v>
      </c>
      <c r="Q795" t="n">
        <v>0</v>
      </c>
      <c r="R795" s="2" t="inlineStr"/>
    </row>
    <row r="796" ht="15" customHeight="1">
      <c r="A796" t="inlineStr">
        <is>
          <t>A 3809-2024</t>
        </is>
      </c>
      <c r="B796" s="1" t="n">
        <v>45321</v>
      </c>
      <c r="C796" s="1" t="n">
        <v>45505</v>
      </c>
      <c r="D796" t="inlineStr">
        <is>
          <t>DALARNAS LÄN</t>
        </is>
      </c>
      <c r="E796" t="inlineStr">
        <is>
          <t>LUDVIKA</t>
        </is>
      </c>
      <c r="G796" t="n">
        <v>0.5</v>
      </c>
      <c r="H796" t="n">
        <v>0</v>
      </c>
      <c r="I796" t="n">
        <v>0</v>
      </c>
      <c r="J796" t="n">
        <v>0</v>
      </c>
      <c r="K796" t="n">
        <v>0</v>
      </c>
      <c r="L796" t="n">
        <v>0</v>
      </c>
      <c r="M796" t="n">
        <v>0</v>
      </c>
      <c r="N796" t="n">
        <v>0</v>
      </c>
      <c r="O796" t="n">
        <v>0</v>
      </c>
      <c r="P796" t="n">
        <v>0</v>
      </c>
      <c r="Q796" t="n">
        <v>0</v>
      </c>
      <c r="R796" s="2" t="inlineStr"/>
    </row>
    <row r="797" ht="15" customHeight="1">
      <c r="A797" t="inlineStr">
        <is>
          <t>A 5576-2024</t>
        </is>
      </c>
      <c r="B797" s="1" t="n">
        <v>45334</v>
      </c>
      <c r="C797" s="1" t="n">
        <v>45505</v>
      </c>
      <c r="D797" t="inlineStr">
        <is>
          <t>DALARNAS LÄN</t>
        </is>
      </c>
      <c r="E797" t="inlineStr">
        <is>
          <t>LUDVIKA</t>
        </is>
      </c>
      <c r="G797" t="n">
        <v>7</v>
      </c>
      <c r="H797" t="n">
        <v>0</v>
      </c>
      <c r="I797" t="n">
        <v>0</v>
      </c>
      <c r="J797" t="n">
        <v>0</v>
      </c>
      <c r="K797" t="n">
        <v>0</v>
      </c>
      <c r="L797" t="n">
        <v>0</v>
      </c>
      <c r="M797" t="n">
        <v>0</v>
      </c>
      <c r="N797" t="n">
        <v>0</v>
      </c>
      <c r="O797" t="n">
        <v>0</v>
      </c>
      <c r="P797" t="n">
        <v>0</v>
      </c>
      <c r="Q797" t="n">
        <v>0</v>
      </c>
      <c r="R797" s="2" t="inlineStr"/>
    </row>
    <row r="798" ht="15" customHeight="1">
      <c r="A798" t="inlineStr">
        <is>
          <t>A 5841-2024</t>
        </is>
      </c>
      <c r="B798" s="1" t="n">
        <v>45335</v>
      </c>
      <c r="C798" s="1" t="n">
        <v>45505</v>
      </c>
      <c r="D798" t="inlineStr">
        <is>
          <t>DALARNAS LÄN</t>
        </is>
      </c>
      <c r="E798" t="inlineStr">
        <is>
          <t>LUDVIKA</t>
        </is>
      </c>
      <c r="G798" t="n">
        <v>1.6</v>
      </c>
      <c r="H798" t="n">
        <v>0</v>
      </c>
      <c r="I798" t="n">
        <v>0</v>
      </c>
      <c r="J798" t="n">
        <v>0</v>
      </c>
      <c r="K798" t="n">
        <v>0</v>
      </c>
      <c r="L798" t="n">
        <v>0</v>
      </c>
      <c r="M798" t="n">
        <v>0</v>
      </c>
      <c r="N798" t="n">
        <v>0</v>
      </c>
      <c r="O798" t="n">
        <v>0</v>
      </c>
      <c r="P798" t="n">
        <v>0</v>
      </c>
      <c r="Q798" t="n">
        <v>0</v>
      </c>
      <c r="R798" s="2" t="inlineStr"/>
    </row>
    <row r="799" ht="15" customHeight="1">
      <c r="A799" t="inlineStr">
        <is>
          <t>A 5947-2024</t>
        </is>
      </c>
      <c r="B799" s="1" t="n">
        <v>45335</v>
      </c>
      <c r="C799" s="1" t="n">
        <v>45505</v>
      </c>
      <c r="D799" t="inlineStr">
        <is>
          <t>DALARNAS LÄN</t>
        </is>
      </c>
      <c r="E799" t="inlineStr">
        <is>
          <t>LUDVIKA</t>
        </is>
      </c>
      <c r="G799" t="n">
        <v>5</v>
      </c>
      <c r="H799" t="n">
        <v>0</v>
      </c>
      <c r="I799" t="n">
        <v>0</v>
      </c>
      <c r="J799" t="n">
        <v>0</v>
      </c>
      <c r="K799" t="n">
        <v>0</v>
      </c>
      <c r="L799" t="n">
        <v>0</v>
      </c>
      <c r="M799" t="n">
        <v>0</v>
      </c>
      <c r="N799" t="n">
        <v>0</v>
      </c>
      <c r="O799" t="n">
        <v>0</v>
      </c>
      <c r="P799" t="n">
        <v>0</v>
      </c>
      <c r="Q799" t="n">
        <v>0</v>
      </c>
      <c r="R799" s="2" t="inlineStr"/>
    </row>
    <row r="800" ht="15" customHeight="1">
      <c r="A800" t="inlineStr">
        <is>
          <t>A 6151-2024</t>
        </is>
      </c>
      <c r="B800" s="1" t="n">
        <v>45337</v>
      </c>
      <c r="C800" s="1" t="n">
        <v>45505</v>
      </c>
      <c r="D800" t="inlineStr">
        <is>
          <t>DALARNAS LÄN</t>
        </is>
      </c>
      <c r="E800" t="inlineStr">
        <is>
          <t>LUDVIKA</t>
        </is>
      </c>
      <c r="G800" t="n">
        <v>1.7</v>
      </c>
      <c r="H800" t="n">
        <v>0</v>
      </c>
      <c r="I800" t="n">
        <v>0</v>
      </c>
      <c r="J800" t="n">
        <v>0</v>
      </c>
      <c r="K800" t="n">
        <v>0</v>
      </c>
      <c r="L800" t="n">
        <v>0</v>
      </c>
      <c r="M800" t="n">
        <v>0</v>
      </c>
      <c r="N800" t="n">
        <v>0</v>
      </c>
      <c r="O800" t="n">
        <v>0</v>
      </c>
      <c r="P800" t="n">
        <v>0</v>
      </c>
      <c r="Q800" t="n">
        <v>0</v>
      </c>
      <c r="R800" s="2" t="inlineStr"/>
    </row>
    <row r="801" ht="15" customHeight="1">
      <c r="A801" t="inlineStr">
        <is>
          <t>A 7317-2024</t>
        </is>
      </c>
      <c r="B801" s="1" t="n">
        <v>45345</v>
      </c>
      <c r="C801" s="1" t="n">
        <v>45505</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8162-2024</t>
        </is>
      </c>
      <c r="B802" s="1" t="n">
        <v>45349</v>
      </c>
      <c r="C802" s="1" t="n">
        <v>45505</v>
      </c>
      <c r="D802" t="inlineStr">
        <is>
          <t>DALARNAS LÄN</t>
        </is>
      </c>
      <c r="E802" t="inlineStr">
        <is>
          <t>LUDVIKA</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c r="U802">
        <f>HYPERLINK("https://klasma.github.io/Logging_2085/knärot/A 8162-2024 karta knärot.png", "A 8162-2024")</f>
        <v/>
      </c>
      <c r="V802">
        <f>HYPERLINK("https://klasma.github.io/Logging_2085/klagomål/A 8162-2024 FSC-klagomål.docx", "A 8162-2024")</f>
        <v/>
      </c>
      <c r="W802">
        <f>HYPERLINK("https://klasma.github.io/Logging_2085/klagomålsmail/A 8162-2024 FSC-klagomål mail.docx", "A 8162-2024")</f>
        <v/>
      </c>
      <c r="X802">
        <f>HYPERLINK("https://klasma.github.io/Logging_2085/tillsyn/A 8162-2024 tillsynsbegäran.docx", "A 8162-2024")</f>
        <v/>
      </c>
      <c r="Y802">
        <f>HYPERLINK("https://klasma.github.io/Logging_2085/tillsynsmail/A 8162-2024 tillsynsbegäran mail.docx", "A 8162-2024")</f>
        <v/>
      </c>
    </row>
    <row r="803" ht="15" customHeight="1">
      <c r="A803" t="inlineStr">
        <is>
          <t>A 8172-2024</t>
        </is>
      </c>
      <c r="B803" s="1" t="n">
        <v>45349</v>
      </c>
      <c r="C803" s="1" t="n">
        <v>45505</v>
      </c>
      <c r="D803" t="inlineStr">
        <is>
          <t>DALARNAS LÄN</t>
        </is>
      </c>
      <c r="E803" t="inlineStr">
        <is>
          <t>LUDVIKA</t>
        </is>
      </c>
      <c r="F803" t="inlineStr">
        <is>
          <t>Allmännings- och besparingsskogar</t>
        </is>
      </c>
      <c r="G803" t="n">
        <v>2</v>
      </c>
      <c r="H803" t="n">
        <v>0</v>
      </c>
      <c r="I803" t="n">
        <v>0</v>
      </c>
      <c r="J803" t="n">
        <v>0</v>
      </c>
      <c r="K803" t="n">
        <v>0</v>
      </c>
      <c r="L803" t="n">
        <v>0</v>
      </c>
      <c r="M803" t="n">
        <v>0</v>
      </c>
      <c r="N803" t="n">
        <v>0</v>
      </c>
      <c r="O803" t="n">
        <v>0</v>
      </c>
      <c r="P803" t="n">
        <v>0</v>
      </c>
      <c r="Q803" t="n">
        <v>0</v>
      </c>
      <c r="R803" s="2" t="inlineStr"/>
    </row>
    <row r="804" ht="15" customHeight="1">
      <c r="A804" t="inlineStr">
        <is>
          <t>A 8170-2024</t>
        </is>
      </c>
      <c r="B804" s="1" t="n">
        <v>45349</v>
      </c>
      <c r="C804" s="1" t="n">
        <v>45505</v>
      </c>
      <c r="D804" t="inlineStr">
        <is>
          <t>DALARNAS LÄN</t>
        </is>
      </c>
      <c r="E804" t="inlineStr">
        <is>
          <t>LUDVIKA</t>
        </is>
      </c>
      <c r="F804" t="inlineStr">
        <is>
          <t>Allmännings- och besparingsskogar</t>
        </is>
      </c>
      <c r="G804" t="n">
        <v>5.7</v>
      </c>
      <c r="H804" t="n">
        <v>0</v>
      </c>
      <c r="I804" t="n">
        <v>0</v>
      </c>
      <c r="J804" t="n">
        <v>0</v>
      </c>
      <c r="K804" t="n">
        <v>0</v>
      </c>
      <c r="L804" t="n">
        <v>0</v>
      </c>
      <c r="M804" t="n">
        <v>0</v>
      </c>
      <c r="N804" t="n">
        <v>0</v>
      </c>
      <c r="O804" t="n">
        <v>0</v>
      </c>
      <c r="P804" t="n">
        <v>0</v>
      </c>
      <c r="Q804" t="n">
        <v>0</v>
      </c>
      <c r="R804" s="2" t="inlineStr"/>
    </row>
    <row r="805" ht="15" customHeight="1">
      <c r="A805" t="inlineStr">
        <is>
          <t>A 8175-2024</t>
        </is>
      </c>
      <c r="B805" s="1" t="n">
        <v>45349</v>
      </c>
      <c r="C805" s="1" t="n">
        <v>45505</v>
      </c>
      <c r="D805" t="inlineStr">
        <is>
          <t>DALARNAS LÄN</t>
        </is>
      </c>
      <c r="E805" t="inlineStr">
        <is>
          <t>LUDVIKA</t>
        </is>
      </c>
      <c r="F805" t="inlineStr">
        <is>
          <t>Allmännings- och besparingsskogar</t>
        </is>
      </c>
      <c r="G805" t="n">
        <v>3.8</v>
      </c>
      <c r="H805" t="n">
        <v>0</v>
      </c>
      <c r="I805" t="n">
        <v>0</v>
      </c>
      <c r="J805" t="n">
        <v>0</v>
      </c>
      <c r="K805" t="n">
        <v>0</v>
      </c>
      <c r="L805" t="n">
        <v>0</v>
      </c>
      <c r="M805" t="n">
        <v>0</v>
      </c>
      <c r="N805" t="n">
        <v>0</v>
      </c>
      <c r="O805" t="n">
        <v>0</v>
      </c>
      <c r="P805" t="n">
        <v>0</v>
      </c>
      <c r="Q805" t="n">
        <v>0</v>
      </c>
      <c r="R805" s="2" t="inlineStr"/>
    </row>
    <row r="806" ht="15" customHeight="1">
      <c r="A806" t="inlineStr">
        <is>
          <t>A 7996-2024</t>
        </is>
      </c>
      <c r="B806" s="1" t="n">
        <v>45350</v>
      </c>
      <c r="C806" s="1" t="n">
        <v>45505</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11237-2024</t>
        </is>
      </c>
      <c r="B807" s="1" t="n">
        <v>45371</v>
      </c>
      <c r="C807" s="1" t="n">
        <v>45505</v>
      </c>
      <c r="D807" t="inlineStr">
        <is>
          <t>DALARNAS LÄN</t>
        </is>
      </c>
      <c r="E807" t="inlineStr">
        <is>
          <t>LUDVIKA</t>
        </is>
      </c>
      <c r="G807" t="n">
        <v>20.8</v>
      </c>
      <c r="H807" t="n">
        <v>0</v>
      </c>
      <c r="I807" t="n">
        <v>0</v>
      </c>
      <c r="J807" t="n">
        <v>0</v>
      </c>
      <c r="K807" t="n">
        <v>0</v>
      </c>
      <c r="L807" t="n">
        <v>0</v>
      </c>
      <c r="M807" t="n">
        <v>0</v>
      </c>
      <c r="N807" t="n">
        <v>0</v>
      </c>
      <c r="O807" t="n">
        <v>0</v>
      </c>
      <c r="P807" t="n">
        <v>0</v>
      </c>
      <c r="Q807" t="n">
        <v>0</v>
      </c>
      <c r="R807" s="2" t="inlineStr"/>
    </row>
    <row r="808" ht="15" customHeight="1">
      <c r="A808" t="inlineStr">
        <is>
          <t>A 11436-2024</t>
        </is>
      </c>
      <c r="B808" s="1" t="n">
        <v>45372</v>
      </c>
      <c r="C808" s="1" t="n">
        <v>45505</v>
      </c>
      <c r="D808" t="inlineStr">
        <is>
          <t>DALARNAS LÄN</t>
        </is>
      </c>
      <c r="E808" t="inlineStr">
        <is>
          <t>LUDVIKA</t>
        </is>
      </c>
      <c r="G808" t="n">
        <v>0.5</v>
      </c>
      <c r="H808" t="n">
        <v>0</v>
      </c>
      <c r="I808" t="n">
        <v>0</v>
      </c>
      <c r="J808" t="n">
        <v>0</v>
      </c>
      <c r="K808" t="n">
        <v>0</v>
      </c>
      <c r="L808" t="n">
        <v>0</v>
      </c>
      <c r="M808" t="n">
        <v>0</v>
      </c>
      <c r="N808" t="n">
        <v>0</v>
      </c>
      <c r="O808" t="n">
        <v>0</v>
      </c>
      <c r="P808" t="n">
        <v>0</v>
      </c>
      <c r="Q808" t="n">
        <v>0</v>
      </c>
      <c r="R808" s="2" t="inlineStr"/>
    </row>
    <row r="809" ht="15" customHeight="1">
      <c r="A809" t="inlineStr">
        <is>
          <t>A 11491-2024</t>
        </is>
      </c>
      <c r="B809" s="1" t="n">
        <v>45372</v>
      </c>
      <c r="C809" s="1" t="n">
        <v>45505</v>
      </c>
      <c r="D809" t="inlineStr">
        <is>
          <t>DALARNAS LÄN</t>
        </is>
      </c>
      <c r="E809" t="inlineStr">
        <is>
          <t>LUDVIKA</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11632-2024</t>
        </is>
      </c>
      <c r="B810" s="1" t="n">
        <v>45373</v>
      </c>
      <c r="C810" s="1" t="n">
        <v>45505</v>
      </c>
      <c r="D810" t="inlineStr">
        <is>
          <t>DALARNAS LÄN</t>
        </is>
      </c>
      <c r="E810" t="inlineStr">
        <is>
          <t>LUDVIKA</t>
        </is>
      </c>
      <c r="G810" t="n">
        <v>5.1</v>
      </c>
      <c r="H810" t="n">
        <v>0</v>
      </c>
      <c r="I810" t="n">
        <v>0</v>
      </c>
      <c r="J810" t="n">
        <v>0</v>
      </c>
      <c r="K810" t="n">
        <v>0</v>
      </c>
      <c r="L810" t="n">
        <v>0</v>
      </c>
      <c r="M810" t="n">
        <v>0</v>
      </c>
      <c r="N810" t="n">
        <v>0</v>
      </c>
      <c r="O810" t="n">
        <v>0</v>
      </c>
      <c r="P810" t="n">
        <v>0</v>
      </c>
      <c r="Q810" t="n">
        <v>0</v>
      </c>
      <c r="R810" s="2" t="inlineStr"/>
    </row>
    <row r="811" ht="15" customHeight="1">
      <c r="A811" t="inlineStr">
        <is>
          <t>A 11829-2024</t>
        </is>
      </c>
      <c r="B811" s="1" t="n">
        <v>45376</v>
      </c>
      <c r="C811" s="1" t="n">
        <v>45505</v>
      </c>
      <c r="D811" t="inlineStr">
        <is>
          <t>DALARNAS LÄN</t>
        </is>
      </c>
      <c r="E811" t="inlineStr">
        <is>
          <t>LUDVIKA</t>
        </is>
      </c>
      <c r="G811" t="n">
        <v>0.6</v>
      </c>
      <c r="H811" t="n">
        <v>0</v>
      </c>
      <c r="I811" t="n">
        <v>0</v>
      </c>
      <c r="J811" t="n">
        <v>0</v>
      </c>
      <c r="K811" t="n">
        <v>0</v>
      </c>
      <c r="L811" t="n">
        <v>0</v>
      </c>
      <c r="M811" t="n">
        <v>0</v>
      </c>
      <c r="N811" t="n">
        <v>0</v>
      </c>
      <c r="O811" t="n">
        <v>0</v>
      </c>
      <c r="P811" t="n">
        <v>0</v>
      </c>
      <c r="Q811" t="n">
        <v>0</v>
      </c>
      <c r="R811" s="2" t="inlineStr"/>
    </row>
    <row r="812" ht="15" customHeight="1">
      <c r="A812" t="inlineStr">
        <is>
          <t>A 12497-2024</t>
        </is>
      </c>
      <c r="B812" s="1" t="n">
        <v>45379</v>
      </c>
      <c r="C812" s="1" t="n">
        <v>45505</v>
      </c>
      <c r="D812" t="inlineStr">
        <is>
          <t>DALARNAS LÄN</t>
        </is>
      </c>
      <c r="E812" t="inlineStr">
        <is>
          <t>LUDVIKA</t>
        </is>
      </c>
      <c r="F812" t="inlineStr">
        <is>
          <t>Naturvårdsverket</t>
        </is>
      </c>
      <c r="G812" t="n">
        <v>0.4</v>
      </c>
      <c r="H812" t="n">
        <v>0</v>
      </c>
      <c r="I812" t="n">
        <v>0</v>
      </c>
      <c r="J812" t="n">
        <v>0</v>
      </c>
      <c r="K812" t="n">
        <v>0</v>
      </c>
      <c r="L812" t="n">
        <v>0</v>
      </c>
      <c r="M812" t="n">
        <v>0</v>
      </c>
      <c r="N812" t="n">
        <v>0</v>
      </c>
      <c r="O812" t="n">
        <v>0</v>
      </c>
      <c r="P812" t="n">
        <v>0</v>
      </c>
      <c r="Q812" t="n">
        <v>0</v>
      </c>
      <c r="R812" s="2" t="inlineStr"/>
    </row>
    <row r="813" ht="15" customHeight="1">
      <c r="A813" t="inlineStr">
        <is>
          <t>A 13861-2024</t>
        </is>
      </c>
      <c r="B813" s="1" t="n">
        <v>45390</v>
      </c>
      <c r="C813" s="1" t="n">
        <v>45505</v>
      </c>
      <c r="D813" t="inlineStr">
        <is>
          <t>DALARNAS LÄN</t>
        </is>
      </c>
      <c r="E813" t="inlineStr">
        <is>
          <t>LUDVIKA</t>
        </is>
      </c>
      <c r="G813" t="n">
        <v>2.5</v>
      </c>
      <c r="H813" t="n">
        <v>0</v>
      </c>
      <c r="I813" t="n">
        <v>0</v>
      </c>
      <c r="J813" t="n">
        <v>0</v>
      </c>
      <c r="K813" t="n">
        <v>0</v>
      </c>
      <c r="L813" t="n">
        <v>0</v>
      </c>
      <c r="M813" t="n">
        <v>0</v>
      </c>
      <c r="N813" t="n">
        <v>0</v>
      </c>
      <c r="O813" t="n">
        <v>0</v>
      </c>
      <c r="P813" t="n">
        <v>0</v>
      </c>
      <c r="Q813" t="n">
        <v>0</v>
      </c>
      <c r="R813" s="2" t="inlineStr"/>
    </row>
    <row r="814" ht="15" customHeight="1">
      <c r="A814" t="inlineStr">
        <is>
          <t>A 14997-2024</t>
        </is>
      </c>
      <c r="B814" s="1" t="n">
        <v>45399</v>
      </c>
      <c r="C814" s="1" t="n">
        <v>45505</v>
      </c>
      <c r="D814" t="inlineStr">
        <is>
          <t>DALARNAS LÄN</t>
        </is>
      </c>
      <c r="E814" t="inlineStr">
        <is>
          <t>LUDVIKA</t>
        </is>
      </c>
      <c r="F814" t="inlineStr">
        <is>
          <t>Bergvik skog väst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15100-2024</t>
        </is>
      </c>
      <c r="B815" s="1" t="n">
        <v>45399</v>
      </c>
      <c r="C815" s="1" t="n">
        <v>45505</v>
      </c>
      <c r="D815" t="inlineStr">
        <is>
          <t>DALARNAS LÄN</t>
        </is>
      </c>
      <c r="E815" t="inlineStr">
        <is>
          <t>LUDVIKA</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14986-2024</t>
        </is>
      </c>
      <c r="B816" s="1" t="n">
        <v>45399</v>
      </c>
      <c r="C816" s="1" t="n">
        <v>45505</v>
      </c>
      <c r="D816" t="inlineStr">
        <is>
          <t>DALARNAS LÄN</t>
        </is>
      </c>
      <c r="E816" t="inlineStr">
        <is>
          <t>LUDVIKA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15014-2024</t>
        </is>
      </c>
      <c r="B817" s="1" t="n">
        <v>45399</v>
      </c>
      <c r="C817" s="1" t="n">
        <v>45505</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14996-2024</t>
        </is>
      </c>
      <c r="B818" s="1" t="n">
        <v>45399</v>
      </c>
      <c r="C818" s="1" t="n">
        <v>45505</v>
      </c>
      <c r="D818" t="inlineStr">
        <is>
          <t>DALARNAS LÄN</t>
        </is>
      </c>
      <c r="E818" t="inlineStr">
        <is>
          <t>LUDVIKA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15008-2024</t>
        </is>
      </c>
      <c r="B819" s="1" t="n">
        <v>45399</v>
      </c>
      <c r="C819" s="1" t="n">
        <v>45505</v>
      </c>
      <c r="D819" t="inlineStr">
        <is>
          <t>DALARNAS LÄN</t>
        </is>
      </c>
      <c r="E819" t="inlineStr">
        <is>
          <t>LUDVIKA</t>
        </is>
      </c>
      <c r="G819" t="n">
        <v>1.3</v>
      </c>
      <c r="H819" t="n">
        <v>0</v>
      </c>
      <c r="I819" t="n">
        <v>0</v>
      </c>
      <c r="J819" t="n">
        <v>0</v>
      </c>
      <c r="K819" t="n">
        <v>0</v>
      </c>
      <c r="L819" t="n">
        <v>0</v>
      </c>
      <c r="M819" t="n">
        <v>0</v>
      </c>
      <c r="N819" t="n">
        <v>0</v>
      </c>
      <c r="O819" t="n">
        <v>0</v>
      </c>
      <c r="P819" t="n">
        <v>0</v>
      </c>
      <c r="Q819" t="n">
        <v>0</v>
      </c>
      <c r="R819" s="2" t="inlineStr"/>
    </row>
    <row r="820" ht="15" customHeight="1">
      <c r="A820" t="inlineStr">
        <is>
          <t>A 15016-2024</t>
        </is>
      </c>
      <c r="B820" s="1" t="n">
        <v>45399</v>
      </c>
      <c r="C820" s="1" t="n">
        <v>45505</v>
      </c>
      <c r="D820" t="inlineStr">
        <is>
          <t>DALARNAS LÄN</t>
        </is>
      </c>
      <c r="E820" t="inlineStr">
        <is>
          <t>LUDVIKA</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15718-2024</t>
        </is>
      </c>
      <c r="B821" s="1" t="n">
        <v>45404</v>
      </c>
      <c r="C821" s="1" t="n">
        <v>45505</v>
      </c>
      <c r="D821" t="inlineStr">
        <is>
          <t>DALARNAS LÄN</t>
        </is>
      </c>
      <c r="E821" t="inlineStr">
        <is>
          <t>LUDVIKA</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15851-2024</t>
        </is>
      </c>
      <c r="B822" s="1" t="n">
        <v>45404</v>
      </c>
      <c r="C822" s="1" t="n">
        <v>45505</v>
      </c>
      <c r="D822" t="inlineStr">
        <is>
          <t>DALARNAS LÄN</t>
        </is>
      </c>
      <c r="E822" t="inlineStr">
        <is>
          <t>LUDVIKA</t>
        </is>
      </c>
      <c r="G822" t="n">
        <v>5.2</v>
      </c>
      <c r="H822" t="n">
        <v>0</v>
      </c>
      <c r="I822" t="n">
        <v>0</v>
      </c>
      <c r="J822" t="n">
        <v>0</v>
      </c>
      <c r="K822" t="n">
        <v>0</v>
      </c>
      <c r="L822" t="n">
        <v>0</v>
      </c>
      <c r="M822" t="n">
        <v>0</v>
      </c>
      <c r="N822" t="n">
        <v>0</v>
      </c>
      <c r="O822" t="n">
        <v>0</v>
      </c>
      <c r="P822" t="n">
        <v>0</v>
      </c>
      <c r="Q822" t="n">
        <v>0</v>
      </c>
      <c r="R822" s="2" t="inlineStr"/>
    </row>
    <row r="823" ht="15" customHeight="1">
      <c r="A823" t="inlineStr">
        <is>
          <t>A 15876-2024</t>
        </is>
      </c>
      <c r="B823" s="1" t="n">
        <v>45405</v>
      </c>
      <c r="C823" s="1" t="n">
        <v>45505</v>
      </c>
      <c r="D823" t="inlineStr">
        <is>
          <t>DALARNAS LÄN</t>
        </is>
      </c>
      <c r="E823" t="inlineStr">
        <is>
          <t>LUDVIKA</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15939-2024</t>
        </is>
      </c>
      <c r="B824" s="1" t="n">
        <v>45405</v>
      </c>
      <c r="C824" s="1" t="n">
        <v>45505</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c r="U824">
        <f>HYPERLINK("https://klasma.github.io/Logging_2085/knärot/A 15939-2024 karta knärot.png", "A 15939-2024")</f>
        <v/>
      </c>
      <c r="V824">
        <f>HYPERLINK("https://klasma.github.io/Logging_2085/klagomål/A 15939-2024 FSC-klagomål.docx", "A 15939-2024")</f>
        <v/>
      </c>
      <c r="W824">
        <f>HYPERLINK("https://klasma.github.io/Logging_2085/klagomålsmail/A 15939-2024 FSC-klagomål mail.docx", "A 15939-2024")</f>
        <v/>
      </c>
      <c r="X824">
        <f>HYPERLINK("https://klasma.github.io/Logging_2085/tillsyn/A 15939-2024 tillsynsbegäran.docx", "A 15939-2024")</f>
        <v/>
      </c>
      <c r="Y824">
        <f>HYPERLINK("https://klasma.github.io/Logging_2085/tillsynsmail/A 15939-2024 tillsynsbegäran mail.docx", "A 15939-2024")</f>
        <v/>
      </c>
    </row>
    <row r="825" ht="15" customHeight="1">
      <c r="A825" t="inlineStr">
        <is>
          <t>A 16494-2024</t>
        </is>
      </c>
      <c r="B825" s="1" t="n">
        <v>45408</v>
      </c>
      <c r="C825" s="1" t="n">
        <v>45505</v>
      </c>
      <c r="D825" t="inlineStr">
        <is>
          <t>DALARNAS LÄN</t>
        </is>
      </c>
      <c r="E825" t="inlineStr">
        <is>
          <t>LUDVIKA</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16926-2024</t>
        </is>
      </c>
      <c r="B826" s="1" t="n">
        <v>45411</v>
      </c>
      <c r="C826" s="1" t="n">
        <v>45505</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16814-2024</t>
        </is>
      </c>
      <c r="B827" s="1" t="n">
        <v>45411</v>
      </c>
      <c r="C827" s="1" t="n">
        <v>45505</v>
      </c>
      <c r="D827" t="inlineStr">
        <is>
          <t>DALARNAS LÄN</t>
        </is>
      </c>
      <c r="E827" t="inlineStr">
        <is>
          <t>LUDVIKA</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16928-2024</t>
        </is>
      </c>
      <c r="B828" s="1" t="n">
        <v>45411</v>
      </c>
      <c r="C828" s="1" t="n">
        <v>45505</v>
      </c>
      <c r="D828" t="inlineStr">
        <is>
          <t>DALARNAS LÄN</t>
        </is>
      </c>
      <c r="E828" t="inlineStr">
        <is>
          <t>LUDVIKA</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16924-2024</t>
        </is>
      </c>
      <c r="B829" s="1" t="n">
        <v>45411</v>
      </c>
      <c r="C829" s="1" t="n">
        <v>45505</v>
      </c>
      <c r="D829" t="inlineStr">
        <is>
          <t>DALARNAS LÄN</t>
        </is>
      </c>
      <c r="E829" t="inlineStr">
        <is>
          <t>LUDVIKA</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17054-2024</t>
        </is>
      </c>
      <c r="B830" s="1" t="n">
        <v>45412</v>
      </c>
      <c r="C830" s="1" t="n">
        <v>45505</v>
      </c>
      <c r="D830" t="inlineStr">
        <is>
          <t>DALARNAS LÄN</t>
        </is>
      </c>
      <c r="E830" t="inlineStr">
        <is>
          <t>LUDVIKA</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17638-2024</t>
        </is>
      </c>
      <c r="B831" s="1" t="n">
        <v>45418</v>
      </c>
      <c r="C831" s="1" t="n">
        <v>45505</v>
      </c>
      <c r="D831" t="inlineStr">
        <is>
          <t>DALARNAS LÄN</t>
        </is>
      </c>
      <c r="E831" t="inlineStr">
        <is>
          <t>LUDVIKA</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18102-2024</t>
        </is>
      </c>
      <c r="B832" s="1" t="n">
        <v>45420</v>
      </c>
      <c r="C832" s="1" t="n">
        <v>45505</v>
      </c>
      <c r="D832" t="inlineStr">
        <is>
          <t>DALARNAS LÄN</t>
        </is>
      </c>
      <c r="E832" t="inlineStr">
        <is>
          <t>LUDVIKA</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19030-2024</t>
        </is>
      </c>
      <c r="B833" s="1" t="n">
        <v>45427</v>
      </c>
      <c r="C833" s="1" t="n">
        <v>45505</v>
      </c>
      <c r="D833" t="inlineStr">
        <is>
          <t>DALARNAS LÄN</t>
        </is>
      </c>
      <c r="E833" t="inlineStr">
        <is>
          <t>LUDVIKA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19277-2024</t>
        </is>
      </c>
      <c r="B834" s="1" t="n">
        <v>45428</v>
      </c>
      <c r="C834" s="1" t="n">
        <v>45505</v>
      </c>
      <c r="D834" t="inlineStr">
        <is>
          <t>DALARNAS LÄN</t>
        </is>
      </c>
      <c r="E834" t="inlineStr">
        <is>
          <t>LUDVIKA</t>
        </is>
      </c>
      <c r="G834" t="n">
        <v>1.8</v>
      </c>
      <c r="H834" t="n">
        <v>0</v>
      </c>
      <c r="I834" t="n">
        <v>0</v>
      </c>
      <c r="J834" t="n">
        <v>0</v>
      </c>
      <c r="K834" t="n">
        <v>0</v>
      </c>
      <c r="L834" t="n">
        <v>0</v>
      </c>
      <c r="M834" t="n">
        <v>0</v>
      </c>
      <c r="N834" t="n">
        <v>0</v>
      </c>
      <c r="O834" t="n">
        <v>0</v>
      </c>
      <c r="P834" t="n">
        <v>0</v>
      </c>
      <c r="Q834" t="n">
        <v>0</v>
      </c>
      <c r="R834" s="2" t="inlineStr"/>
    </row>
    <row r="835" ht="15" customHeight="1">
      <c r="A835" t="inlineStr">
        <is>
          <t>A 19276-2024</t>
        </is>
      </c>
      <c r="B835" s="1" t="n">
        <v>45428</v>
      </c>
      <c r="C835" s="1" t="n">
        <v>45505</v>
      </c>
      <c r="D835" t="inlineStr">
        <is>
          <t>DALARNAS LÄN</t>
        </is>
      </c>
      <c r="E835" t="inlineStr">
        <is>
          <t>LUDVIKA</t>
        </is>
      </c>
      <c r="G835" t="n">
        <v>2.8</v>
      </c>
      <c r="H835" t="n">
        <v>0</v>
      </c>
      <c r="I835" t="n">
        <v>0</v>
      </c>
      <c r="J835" t="n">
        <v>0</v>
      </c>
      <c r="K835" t="n">
        <v>0</v>
      </c>
      <c r="L835" t="n">
        <v>0</v>
      </c>
      <c r="M835" t="n">
        <v>0</v>
      </c>
      <c r="N835" t="n">
        <v>0</v>
      </c>
      <c r="O835" t="n">
        <v>0</v>
      </c>
      <c r="P835" t="n">
        <v>0</v>
      </c>
      <c r="Q835" t="n">
        <v>0</v>
      </c>
      <c r="R835" s="2" t="inlineStr"/>
    </row>
    <row r="836" ht="15" customHeight="1">
      <c r="A836" t="inlineStr">
        <is>
          <t>A 19463-2024</t>
        </is>
      </c>
      <c r="B836" s="1" t="n">
        <v>45429</v>
      </c>
      <c r="C836" s="1" t="n">
        <v>45505</v>
      </c>
      <c r="D836" t="inlineStr">
        <is>
          <t>DALARNAS LÄN</t>
        </is>
      </c>
      <c r="E836" t="inlineStr">
        <is>
          <t>LUDVIKA</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19389-2024</t>
        </is>
      </c>
      <c r="B837" s="1" t="n">
        <v>45429</v>
      </c>
      <c r="C837" s="1" t="n">
        <v>45505</v>
      </c>
      <c r="D837" t="inlineStr">
        <is>
          <t>DALARNAS LÄN</t>
        </is>
      </c>
      <c r="E837" t="inlineStr">
        <is>
          <t>LUDVIKA</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19445-2024</t>
        </is>
      </c>
      <c r="B838" s="1" t="n">
        <v>45429</v>
      </c>
      <c r="C838" s="1" t="n">
        <v>45505</v>
      </c>
      <c r="D838" t="inlineStr">
        <is>
          <t>DALARNAS LÄN</t>
        </is>
      </c>
      <c r="E838" t="inlineStr">
        <is>
          <t>LUDVIKA</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19651-2024</t>
        </is>
      </c>
      <c r="B839" s="1" t="n">
        <v>45432</v>
      </c>
      <c r="C839" s="1" t="n">
        <v>45505</v>
      </c>
      <c r="D839" t="inlineStr">
        <is>
          <t>DALARNAS LÄN</t>
        </is>
      </c>
      <c r="E839" t="inlineStr">
        <is>
          <t>LUDVIKA</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19684-2024</t>
        </is>
      </c>
      <c r="B840" s="1" t="n">
        <v>45432</v>
      </c>
      <c r="C840" s="1" t="n">
        <v>45505</v>
      </c>
      <c r="D840" t="inlineStr">
        <is>
          <t>DALARNAS LÄN</t>
        </is>
      </c>
      <c r="E840" t="inlineStr">
        <is>
          <t>LUDVIKA</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19688-2024</t>
        </is>
      </c>
      <c r="B841" s="1" t="n">
        <v>45432</v>
      </c>
      <c r="C841" s="1" t="n">
        <v>45505</v>
      </c>
      <c r="D841" t="inlineStr">
        <is>
          <t>DALARNAS LÄN</t>
        </is>
      </c>
      <c r="E841" t="inlineStr">
        <is>
          <t>LUDVIKA</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20692-2024</t>
        </is>
      </c>
      <c r="B842" s="1" t="n">
        <v>45436</v>
      </c>
      <c r="C842" s="1" t="n">
        <v>45505</v>
      </c>
      <c r="D842" t="inlineStr">
        <is>
          <t>DALARNAS LÄN</t>
        </is>
      </c>
      <c r="E842" t="inlineStr">
        <is>
          <t>LUDVIKA</t>
        </is>
      </c>
      <c r="F842" t="inlineStr">
        <is>
          <t>Bergvik skog väst AB</t>
        </is>
      </c>
      <c r="G842" t="n">
        <v>12.8</v>
      </c>
      <c r="H842" t="n">
        <v>0</v>
      </c>
      <c r="I842" t="n">
        <v>0</v>
      </c>
      <c r="J842" t="n">
        <v>0</v>
      </c>
      <c r="K842" t="n">
        <v>0</v>
      </c>
      <c r="L842" t="n">
        <v>0</v>
      </c>
      <c r="M842" t="n">
        <v>0</v>
      </c>
      <c r="N842" t="n">
        <v>0</v>
      </c>
      <c r="O842" t="n">
        <v>0</v>
      </c>
      <c r="P842" t="n">
        <v>0</v>
      </c>
      <c r="Q842" t="n">
        <v>0</v>
      </c>
      <c r="R842" s="2" t="inlineStr"/>
    </row>
    <row r="843" ht="15" customHeight="1">
      <c r="A843" t="inlineStr">
        <is>
          <t>A 23103-2024</t>
        </is>
      </c>
      <c r="B843" s="1" t="n">
        <v>45450</v>
      </c>
      <c r="C843" s="1" t="n">
        <v>45505</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23443-2024</t>
        </is>
      </c>
      <c r="B844" s="1" t="n">
        <v>45453</v>
      </c>
      <c r="C844" s="1" t="n">
        <v>45505</v>
      </c>
      <c r="D844" t="inlineStr">
        <is>
          <t>DALARNAS LÄN</t>
        </is>
      </c>
      <c r="E844" t="inlineStr">
        <is>
          <t>LUDVIKA</t>
        </is>
      </c>
      <c r="F844" t="inlineStr">
        <is>
          <t>Bergvik skog väst AB</t>
        </is>
      </c>
      <c r="G844" t="n">
        <v>3.2</v>
      </c>
      <c r="H844" t="n">
        <v>0</v>
      </c>
      <c r="I844" t="n">
        <v>0</v>
      </c>
      <c r="J844" t="n">
        <v>0</v>
      </c>
      <c r="K844" t="n">
        <v>0</v>
      </c>
      <c r="L844" t="n">
        <v>0</v>
      </c>
      <c r="M844" t="n">
        <v>0</v>
      </c>
      <c r="N844" t="n">
        <v>0</v>
      </c>
      <c r="O844" t="n">
        <v>0</v>
      </c>
      <c r="P844" t="n">
        <v>0</v>
      </c>
      <c r="Q844" t="n">
        <v>0</v>
      </c>
      <c r="R844" s="2" t="inlineStr"/>
    </row>
    <row r="845" ht="15" customHeight="1">
      <c r="A845" t="inlineStr">
        <is>
          <t>A 23392-2024</t>
        </is>
      </c>
      <c r="B845" s="1" t="n">
        <v>45453</v>
      </c>
      <c r="C845" s="1" t="n">
        <v>45505</v>
      </c>
      <c r="D845" t="inlineStr">
        <is>
          <t>DALARNAS LÄN</t>
        </is>
      </c>
      <c r="E845" t="inlineStr">
        <is>
          <t>LUDVIKA</t>
        </is>
      </c>
      <c r="G845" t="n">
        <v>5.2</v>
      </c>
      <c r="H845" t="n">
        <v>0</v>
      </c>
      <c r="I845" t="n">
        <v>0</v>
      </c>
      <c r="J845" t="n">
        <v>0</v>
      </c>
      <c r="K845" t="n">
        <v>0</v>
      </c>
      <c r="L845" t="n">
        <v>0</v>
      </c>
      <c r="M845" t="n">
        <v>0</v>
      </c>
      <c r="N845" t="n">
        <v>0</v>
      </c>
      <c r="O845" t="n">
        <v>0</v>
      </c>
      <c r="P845" t="n">
        <v>0</v>
      </c>
      <c r="Q845" t="n">
        <v>0</v>
      </c>
      <c r="R845" s="2" t="inlineStr"/>
    </row>
    <row r="846" ht="15" customHeight="1">
      <c r="A846" t="inlineStr">
        <is>
          <t>A 23383-2024</t>
        </is>
      </c>
      <c r="B846" s="1" t="n">
        <v>45453</v>
      </c>
      <c r="C846" s="1" t="n">
        <v>45505</v>
      </c>
      <c r="D846" t="inlineStr">
        <is>
          <t>DALARNAS LÄN</t>
        </is>
      </c>
      <c r="E846" t="inlineStr">
        <is>
          <t>LUDVIKA</t>
        </is>
      </c>
      <c r="G846" t="n">
        <v>1.6</v>
      </c>
      <c r="H846" t="n">
        <v>0</v>
      </c>
      <c r="I846" t="n">
        <v>0</v>
      </c>
      <c r="J846" t="n">
        <v>0</v>
      </c>
      <c r="K846" t="n">
        <v>0</v>
      </c>
      <c r="L846" t="n">
        <v>0</v>
      </c>
      <c r="M846" t="n">
        <v>0</v>
      </c>
      <c r="N846" t="n">
        <v>0</v>
      </c>
      <c r="O846" t="n">
        <v>0</v>
      </c>
      <c r="P846" t="n">
        <v>0</v>
      </c>
      <c r="Q846" t="n">
        <v>0</v>
      </c>
      <c r="R846" s="2" t="inlineStr"/>
    </row>
    <row r="847" ht="15" customHeight="1">
      <c r="A847" t="inlineStr">
        <is>
          <t>A 23363-2024</t>
        </is>
      </c>
      <c r="B847" s="1" t="n">
        <v>45453</v>
      </c>
      <c r="C847" s="1" t="n">
        <v>45505</v>
      </c>
      <c r="D847" t="inlineStr">
        <is>
          <t>DALARNAS LÄN</t>
        </is>
      </c>
      <c r="E847" t="inlineStr">
        <is>
          <t>LUDVIKA</t>
        </is>
      </c>
      <c r="G847" t="n">
        <v>6.4</v>
      </c>
      <c r="H847" t="n">
        <v>0</v>
      </c>
      <c r="I847" t="n">
        <v>0</v>
      </c>
      <c r="J847" t="n">
        <v>0</v>
      </c>
      <c r="K847" t="n">
        <v>0</v>
      </c>
      <c r="L847" t="n">
        <v>0</v>
      </c>
      <c r="M847" t="n">
        <v>0</v>
      </c>
      <c r="N847" t="n">
        <v>0</v>
      </c>
      <c r="O847" t="n">
        <v>0</v>
      </c>
      <c r="P847" t="n">
        <v>0</v>
      </c>
      <c r="Q847" t="n">
        <v>0</v>
      </c>
      <c r="R847" s="2" t="inlineStr"/>
    </row>
    <row r="848" ht="15" customHeight="1">
      <c r="A848" t="inlineStr">
        <is>
          <t>A 23689-2024</t>
        </is>
      </c>
      <c r="B848" s="1" t="n">
        <v>45454</v>
      </c>
      <c r="C848" s="1" t="n">
        <v>45505</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23867-2024</t>
        </is>
      </c>
      <c r="B849" s="1" t="n">
        <v>45455</v>
      </c>
      <c r="C849" s="1" t="n">
        <v>45505</v>
      </c>
      <c r="D849" t="inlineStr">
        <is>
          <t>DALARNAS LÄN</t>
        </is>
      </c>
      <c r="E849" t="inlineStr">
        <is>
          <t>LUDVIKA</t>
        </is>
      </c>
      <c r="G849" t="n">
        <v>2.4</v>
      </c>
      <c r="H849" t="n">
        <v>0</v>
      </c>
      <c r="I849" t="n">
        <v>0</v>
      </c>
      <c r="J849" t="n">
        <v>0</v>
      </c>
      <c r="K849" t="n">
        <v>0</v>
      </c>
      <c r="L849" t="n">
        <v>0</v>
      </c>
      <c r="M849" t="n">
        <v>0</v>
      </c>
      <c r="N849" t="n">
        <v>0</v>
      </c>
      <c r="O849" t="n">
        <v>0</v>
      </c>
      <c r="P849" t="n">
        <v>0</v>
      </c>
      <c r="Q849" t="n">
        <v>0</v>
      </c>
      <c r="R849" s="2" t="inlineStr"/>
    </row>
    <row r="850" ht="15" customHeight="1">
      <c r="A850" t="inlineStr">
        <is>
          <t>A 24712-2024</t>
        </is>
      </c>
      <c r="B850" s="1" t="n">
        <v>45460</v>
      </c>
      <c r="C850" s="1" t="n">
        <v>45505</v>
      </c>
      <c r="D850" t="inlineStr">
        <is>
          <t>DALARNAS LÄN</t>
        </is>
      </c>
      <c r="E850" t="inlineStr">
        <is>
          <t>LUDVIKA</t>
        </is>
      </c>
      <c r="G850" t="n">
        <v>4.2</v>
      </c>
      <c r="H850" t="n">
        <v>0</v>
      </c>
      <c r="I850" t="n">
        <v>0</v>
      </c>
      <c r="J850" t="n">
        <v>0</v>
      </c>
      <c r="K850" t="n">
        <v>0</v>
      </c>
      <c r="L850" t="n">
        <v>0</v>
      </c>
      <c r="M850" t="n">
        <v>0</v>
      </c>
      <c r="N850" t="n">
        <v>0</v>
      </c>
      <c r="O850" t="n">
        <v>0</v>
      </c>
      <c r="P850" t="n">
        <v>0</v>
      </c>
      <c r="Q850" t="n">
        <v>0</v>
      </c>
      <c r="R850" s="2" t="inlineStr"/>
    </row>
    <row r="851" ht="15" customHeight="1">
      <c r="A851" t="inlineStr">
        <is>
          <t>A 24977-2024</t>
        </is>
      </c>
      <c r="B851" s="1" t="n">
        <v>45461</v>
      </c>
      <c r="C851" s="1" t="n">
        <v>45505</v>
      </c>
      <c r="D851" t="inlineStr">
        <is>
          <t>DALARNAS LÄN</t>
        </is>
      </c>
      <c r="E851" t="inlineStr">
        <is>
          <t>LUDVIKA</t>
        </is>
      </c>
      <c r="F851" t="inlineStr">
        <is>
          <t>Bergvik skog väst AB</t>
        </is>
      </c>
      <c r="G851" t="n">
        <v>15.4</v>
      </c>
      <c r="H851" t="n">
        <v>0</v>
      </c>
      <c r="I851" t="n">
        <v>0</v>
      </c>
      <c r="J851" t="n">
        <v>0</v>
      </c>
      <c r="K851" t="n">
        <v>0</v>
      </c>
      <c r="L851" t="n">
        <v>0</v>
      </c>
      <c r="M851" t="n">
        <v>0</v>
      </c>
      <c r="N851" t="n">
        <v>0</v>
      </c>
      <c r="O851" t="n">
        <v>0</v>
      </c>
      <c r="P851" t="n">
        <v>0</v>
      </c>
      <c r="Q851" t="n">
        <v>0</v>
      </c>
      <c r="R851" s="2" t="inlineStr"/>
    </row>
    <row r="852" ht="15" customHeight="1">
      <c r="A852" t="inlineStr">
        <is>
          <t>A 25281-2024</t>
        </is>
      </c>
      <c r="B852" s="1" t="n">
        <v>45462</v>
      </c>
      <c r="C852" s="1" t="n">
        <v>45505</v>
      </c>
      <c r="D852" t="inlineStr">
        <is>
          <t>DALARNAS LÄN</t>
        </is>
      </c>
      <c r="E852" t="inlineStr">
        <is>
          <t>LUDVIKA</t>
        </is>
      </c>
      <c r="F852" t="inlineStr">
        <is>
          <t>Bergvik skog väst AB</t>
        </is>
      </c>
      <c r="G852" t="n">
        <v>14.8</v>
      </c>
      <c r="H852" t="n">
        <v>0</v>
      </c>
      <c r="I852" t="n">
        <v>0</v>
      </c>
      <c r="J852" t="n">
        <v>0</v>
      </c>
      <c r="K852" t="n">
        <v>0</v>
      </c>
      <c r="L852" t="n">
        <v>0</v>
      </c>
      <c r="M852" t="n">
        <v>0</v>
      </c>
      <c r="N852" t="n">
        <v>0</v>
      </c>
      <c r="O852" t="n">
        <v>0</v>
      </c>
      <c r="P852" t="n">
        <v>0</v>
      </c>
      <c r="Q852" t="n">
        <v>0</v>
      </c>
      <c r="R852" s="2" t="inlineStr"/>
    </row>
    <row r="853" ht="15" customHeight="1">
      <c r="A853" t="inlineStr">
        <is>
          <t>A 26856-2024</t>
        </is>
      </c>
      <c r="B853" s="1" t="n">
        <v>45470</v>
      </c>
      <c r="C853" s="1" t="n">
        <v>45505</v>
      </c>
      <c r="D853" t="inlineStr">
        <is>
          <t>DALARNAS LÄN</t>
        </is>
      </c>
      <c r="E853" t="inlineStr">
        <is>
          <t>LUDVIKA</t>
        </is>
      </c>
      <c r="G853" t="n">
        <v>3.2</v>
      </c>
      <c r="H853" t="n">
        <v>0</v>
      </c>
      <c r="I853" t="n">
        <v>0</v>
      </c>
      <c r="J853" t="n">
        <v>0</v>
      </c>
      <c r="K853" t="n">
        <v>0</v>
      </c>
      <c r="L853" t="n">
        <v>0</v>
      </c>
      <c r="M853" t="n">
        <v>0</v>
      </c>
      <c r="N853" t="n">
        <v>0</v>
      </c>
      <c r="O853" t="n">
        <v>0</v>
      </c>
      <c r="P853" t="n">
        <v>0</v>
      </c>
      <c r="Q853" t="n">
        <v>0</v>
      </c>
      <c r="R853" s="2" t="inlineStr"/>
    </row>
    <row r="854" ht="15" customHeight="1">
      <c r="A854" t="inlineStr">
        <is>
          <t>A 27044-2024</t>
        </is>
      </c>
      <c r="B854" s="1" t="n">
        <v>45471</v>
      </c>
      <c r="C854" s="1" t="n">
        <v>45505</v>
      </c>
      <c r="D854" t="inlineStr">
        <is>
          <t>DALARNAS LÄN</t>
        </is>
      </c>
      <c r="E854" t="inlineStr">
        <is>
          <t>LUDVIKA</t>
        </is>
      </c>
      <c r="G854" t="n">
        <v>0.7</v>
      </c>
      <c r="H854" t="n">
        <v>0</v>
      </c>
      <c r="I854" t="n">
        <v>0</v>
      </c>
      <c r="J854" t="n">
        <v>0</v>
      </c>
      <c r="K854" t="n">
        <v>0</v>
      </c>
      <c r="L854" t="n">
        <v>0</v>
      </c>
      <c r="M854" t="n">
        <v>0</v>
      </c>
      <c r="N854" t="n">
        <v>0</v>
      </c>
      <c r="O854" t="n">
        <v>0</v>
      </c>
      <c r="P854" t="n">
        <v>0</v>
      </c>
      <c r="Q854" t="n">
        <v>0</v>
      </c>
      <c r="R854" s="2" t="inlineStr"/>
    </row>
    <row r="855" ht="15" customHeight="1">
      <c r="A855" t="inlineStr">
        <is>
          <t>A 27389-2024</t>
        </is>
      </c>
      <c r="B855" s="1" t="n">
        <v>45474</v>
      </c>
      <c r="C855" s="1" t="n">
        <v>45505</v>
      </c>
      <c r="D855" t="inlineStr">
        <is>
          <t>DALARNAS LÄN</t>
        </is>
      </c>
      <c r="E855" t="inlineStr">
        <is>
          <t>LUDVIKA</t>
        </is>
      </c>
      <c r="G855" t="n">
        <v>0.6</v>
      </c>
      <c r="H855" t="n">
        <v>0</v>
      </c>
      <c r="I855" t="n">
        <v>0</v>
      </c>
      <c r="J855" t="n">
        <v>0</v>
      </c>
      <c r="K855" t="n">
        <v>0</v>
      </c>
      <c r="L855" t="n">
        <v>0</v>
      </c>
      <c r="M855" t="n">
        <v>0</v>
      </c>
      <c r="N855" t="n">
        <v>0</v>
      </c>
      <c r="O855" t="n">
        <v>0</v>
      </c>
      <c r="P855" t="n">
        <v>0</v>
      </c>
      <c r="Q855" t="n">
        <v>0</v>
      </c>
      <c r="R855" s="2" t="inlineStr"/>
    </row>
    <row r="856" ht="15" customHeight="1">
      <c r="A856" t="inlineStr">
        <is>
          <t>A 27425-2024</t>
        </is>
      </c>
      <c r="B856" s="1" t="n">
        <v>45474</v>
      </c>
      <c r="C856" s="1" t="n">
        <v>45505</v>
      </c>
      <c r="D856" t="inlineStr">
        <is>
          <t>DALARNAS LÄN</t>
        </is>
      </c>
      <c r="E856" t="inlineStr">
        <is>
          <t>LUDVIKA</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27429-2024</t>
        </is>
      </c>
      <c r="B857" s="1" t="n">
        <v>45474</v>
      </c>
      <c r="C857" s="1" t="n">
        <v>45505</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28124-2024</t>
        </is>
      </c>
      <c r="B858" s="1" t="n">
        <v>45476</v>
      </c>
      <c r="C858" s="1" t="n">
        <v>45505</v>
      </c>
      <c r="D858" t="inlineStr">
        <is>
          <t>DALARNAS LÄN</t>
        </is>
      </c>
      <c r="E858" t="inlineStr">
        <is>
          <t>LUDVIKA</t>
        </is>
      </c>
      <c r="F858" t="inlineStr">
        <is>
          <t>Bergvik skog väst AB</t>
        </is>
      </c>
      <c r="G858" t="n">
        <v>2.9</v>
      </c>
      <c r="H858" t="n">
        <v>0</v>
      </c>
      <c r="I858" t="n">
        <v>0</v>
      </c>
      <c r="J858" t="n">
        <v>0</v>
      </c>
      <c r="K858" t="n">
        <v>0</v>
      </c>
      <c r="L858" t="n">
        <v>0</v>
      </c>
      <c r="M858" t="n">
        <v>0</v>
      </c>
      <c r="N858" t="n">
        <v>0</v>
      </c>
      <c r="O858" t="n">
        <v>0</v>
      </c>
      <c r="P858" t="n">
        <v>0</v>
      </c>
      <c r="Q858" t="n">
        <v>0</v>
      </c>
      <c r="R858" s="2" t="inlineStr"/>
    </row>
    <row r="859" ht="15" customHeight="1">
      <c r="A859" t="inlineStr">
        <is>
          <t>A 28085-2024</t>
        </is>
      </c>
      <c r="B859" s="1" t="n">
        <v>45476</v>
      </c>
      <c r="C859" s="1" t="n">
        <v>45505</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28698-2024</t>
        </is>
      </c>
      <c r="B860" s="1" t="n">
        <v>45478</v>
      </c>
      <c r="C860" s="1" t="n">
        <v>45505</v>
      </c>
      <c r="D860" t="inlineStr">
        <is>
          <t>DALARNAS LÄN</t>
        </is>
      </c>
      <c r="E860" t="inlineStr">
        <is>
          <t>LUDVIKA</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28921-2024</t>
        </is>
      </c>
      <c r="B861" s="1" t="n">
        <v>45481</v>
      </c>
      <c r="C861" s="1" t="n">
        <v>45505</v>
      </c>
      <c r="D861" t="inlineStr">
        <is>
          <t>DALARNAS LÄN</t>
        </is>
      </c>
      <c r="E861" t="inlineStr">
        <is>
          <t>LUDVIKA</t>
        </is>
      </c>
      <c r="G861" t="n">
        <v>4.2</v>
      </c>
      <c r="H861" t="n">
        <v>0</v>
      </c>
      <c r="I861" t="n">
        <v>0</v>
      </c>
      <c r="J861" t="n">
        <v>0</v>
      </c>
      <c r="K861" t="n">
        <v>0</v>
      </c>
      <c r="L861" t="n">
        <v>0</v>
      </c>
      <c r="M861" t="n">
        <v>0</v>
      </c>
      <c r="N861" t="n">
        <v>0</v>
      </c>
      <c r="O861" t="n">
        <v>0</v>
      </c>
      <c r="P861" t="n">
        <v>0</v>
      </c>
      <c r="Q861" t="n">
        <v>0</v>
      </c>
      <c r="R861" s="2" t="inlineStr"/>
    </row>
    <row r="862" ht="15" customHeight="1">
      <c r="A862" t="inlineStr">
        <is>
          <t>A 29007-2024</t>
        </is>
      </c>
      <c r="B862" s="1" t="n">
        <v>45481</v>
      </c>
      <c r="C862" s="1" t="n">
        <v>45505</v>
      </c>
      <c r="D862" t="inlineStr">
        <is>
          <t>DALARNAS LÄN</t>
        </is>
      </c>
      <c r="E862" t="inlineStr">
        <is>
          <t>LUDVIKA</t>
        </is>
      </c>
      <c r="G862" t="n">
        <v>2.4</v>
      </c>
      <c r="H862" t="n">
        <v>0</v>
      </c>
      <c r="I862" t="n">
        <v>0</v>
      </c>
      <c r="J862" t="n">
        <v>0</v>
      </c>
      <c r="K862" t="n">
        <v>0</v>
      </c>
      <c r="L862" t="n">
        <v>0</v>
      </c>
      <c r="M862" t="n">
        <v>0</v>
      </c>
      <c r="N862" t="n">
        <v>0</v>
      </c>
      <c r="O862" t="n">
        <v>0</v>
      </c>
      <c r="P862" t="n">
        <v>0</v>
      </c>
      <c r="Q862" t="n">
        <v>0</v>
      </c>
      <c r="R862" s="2" t="inlineStr"/>
    </row>
    <row r="863" ht="15" customHeight="1">
      <c r="A863" t="inlineStr">
        <is>
          <t>A 29114-2024</t>
        </is>
      </c>
      <c r="B863" s="1" t="n">
        <v>45482</v>
      </c>
      <c r="C863" s="1" t="n">
        <v>45505</v>
      </c>
      <c r="D863" t="inlineStr">
        <is>
          <t>DALARNAS LÄN</t>
        </is>
      </c>
      <c r="E863" t="inlineStr">
        <is>
          <t>LUDVIKA</t>
        </is>
      </c>
      <c r="G863" t="n">
        <v>1</v>
      </c>
      <c r="H863" t="n">
        <v>0</v>
      </c>
      <c r="I863" t="n">
        <v>0</v>
      </c>
      <c r="J863" t="n">
        <v>0</v>
      </c>
      <c r="K863" t="n">
        <v>0</v>
      </c>
      <c r="L863" t="n">
        <v>0</v>
      </c>
      <c r="M863" t="n">
        <v>0</v>
      </c>
      <c r="N863" t="n">
        <v>0</v>
      </c>
      <c r="O863" t="n">
        <v>0</v>
      </c>
      <c r="P863" t="n">
        <v>0</v>
      </c>
      <c r="Q863" t="n">
        <v>0</v>
      </c>
      <c r="R863" s="2" t="inlineStr"/>
    </row>
    <row r="864" ht="15" customHeight="1">
      <c r="A864" t="inlineStr">
        <is>
          <t>A 29320-2024</t>
        </is>
      </c>
      <c r="B864" s="1" t="n">
        <v>45483</v>
      </c>
      <c r="C864" s="1" t="n">
        <v>45505</v>
      </c>
      <c r="D864" t="inlineStr">
        <is>
          <t>DALARNAS LÄN</t>
        </is>
      </c>
      <c r="E864" t="inlineStr">
        <is>
          <t>LUDVIKA</t>
        </is>
      </c>
      <c r="G864" t="n">
        <v>4.6</v>
      </c>
      <c r="H864" t="n">
        <v>0</v>
      </c>
      <c r="I864" t="n">
        <v>0</v>
      </c>
      <c r="J864" t="n">
        <v>0</v>
      </c>
      <c r="K864" t="n">
        <v>0</v>
      </c>
      <c r="L864" t="n">
        <v>0</v>
      </c>
      <c r="M864" t="n">
        <v>0</v>
      </c>
      <c r="N864" t="n">
        <v>0</v>
      </c>
      <c r="O864" t="n">
        <v>0</v>
      </c>
      <c r="P864" t="n">
        <v>0</v>
      </c>
      <c r="Q864" t="n">
        <v>0</v>
      </c>
      <c r="R864" s="2" t="inlineStr"/>
    </row>
    <row r="865" ht="15" customHeight="1">
      <c r="A865" t="inlineStr">
        <is>
          <t>A 29453-2024</t>
        </is>
      </c>
      <c r="B865" s="1" t="n">
        <v>45484</v>
      </c>
      <c r="C865" s="1" t="n">
        <v>45505</v>
      </c>
      <c r="D865" t="inlineStr">
        <is>
          <t>DALARNAS LÄN</t>
        </is>
      </c>
      <c r="E865" t="inlineStr">
        <is>
          <t>LUDVIKA</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29780-2024</t>
        </is>
      </c>
      <c r="B866" s="1" t="n">
        <v>45485</v>
      </c>
      <c r="C866" s="1" t="n">
        <v>45505</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29965-2024</t>
        </is>
      </c>
      <c r="B867" s="1" t="n">
        <v>45485</v>
      </c>
      <c r="C867" s="1" t="n">
        <v>45505</v>
      </c>
      <c r="D867" t="inlineStr">
        <is>
          <t>DALARNAS LÄN</t>
        </is>
      </c>
      <c r="E867" t="inlineStr">
        <is>
          <t>LUDVIKA</t>
        </is>
      </c>
      <c r="G867" t="n">
        <v>11.4</v>
      </c>
      <c r="H867" t="n">
        <v>0</v>
      </c>
      <c r="I867" t="n">
        <v>0</v>
      </c>
      <c r="J867" t="n">
        <v>0</v>
      </c>
      <c r="K867" t="n">
        <v>0</v>
      </c>
      <c r="L867" t="n">
        <v>0</v>
      </c>
      <c r="M867" t="n">
        <v>0</v>
      </c>
      <c r="N867" t="n">
        <v>0</v>
      </c>
      <c r="O867" t="n">
        <v>0</v>
      </c>
      <c r="P867" t="n">
        <v>0</v>
      </c>
      <c r="Q867" t="n">
        <v>0</v>
      </c>
      <c r="R867" s="2" t="inlineStr"/>
    </row>
    <row r="868" ht="15" customHeight="1">
      <c r="A868" t="inlineStr">
        <is>
          <t>A 29743-2024</t>
        </is>
      </c>
      <c r="B868" s="1" t="n">
        <v>45485</v>
      </c>
      <c r="C868" s="1" t="n">
        <v>45505</v>
      </c>
      <c r="D868" t="inlineStr">
        <is>
          <t>DALARNAS LÄN</t>
        </is>
      </c>
      <c r="E868" t="inlineStr">
        <is>
          <t>LUDVIKA</t>
        </is>
      </c>
      <c r="G868" t="n">
        <v>0.7</v>
      </c>
      <c r="H868" t="n">
        <v>0</v>
      </c>
      <c r="I868" t="n">
        <v>0</v>
      </c>
      <c r="J868" t="n">
        <v>0</v>
      </c>
      <c r="K868" t="n">
        <v>0</v>
      </c>
      <c r="L868" t="n">
        <v>0</v>
      </c>
      <c r="M868" t="n">
        <v>0</v>
      </c>
      <c r="N868" t="n">
        <v>0</v>
      </c>
      <c r="O868" t="n">
        <v>0</v>
      </c>
      <c r="P868" t="n">
        <v>0</v>
      </c>
      <c r="Q868" t="n">
        <v>0</v>
      </c>
      <c r="R868" s="2" t="inlineStr"/>
    </row>
    <row r="869" ht="15" customHeight="1">
      <c r="A869" t="inlineStr">
        <is>
          <t>A 29757-2024</t>
        </is>
      </c>
      <c r="B869" s="1" t="n">
        <v>45485</v>
      </c>
      <c r="C869" s="1" t="n">
        <v>45505</v>
      </c>
      <c r="D869" t="inlineStr">
        <is>
          <t>DALARNAS LÄN</t>
        </is>
      </c>
      <c r="E869" t="inlineStr">
        <is>
          <t>LUDVIKA</t>
        </is>
      </c>
      <c r="F869" t="inlineStr">
        <is>
          <t>Bergvik skog väst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29709-2024</t>
        </is>
      </c>
      <c r="B870" s="1" t="n">
        <v>45485</v>
      </c>
      <c r="C870" s="1" t="n">
        <v>45505</v>
      </c>
      <c r="D870" t="inlineStr">
        <is>
          <t>DALARNAS LÄN</t>
        </is>
      </c>
      <c r="E870" t="inlineStr">
        <is>
          <t>LUDVIKA</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29882-2024</t>
        </is>
      </c>
      <c r="B871" s="1" t="n">
        <v>45486</v>
      </c>
      <c r="C871" s="1" t="n">
        <v>45505</v>
      </c>
      <c r="D871" t="inlineStr">
        <is>
          <t>DALARNAS LÄN</t>
        </is>
      </c>
      <c r="E871" t="inlineStr">
        <is>
          <t>LUDVIKA</t>
        </is>
      </c>
      <c r="G871" t="n">
        <v>1.3</v>
      </c>
      <c r="H871" t="n">
        <v>0</v>
      </c>
      <c r="I871" t="n">
        <v>0</v>
      </c>
      <c r="J871" t="n">
        <v>0</v>
      </c>
      <c r="K871" t="n">
        <v>0</v>
      </c>
      <c r="L871" t="n">
        <v>0</v>
      </c>
      <c r="M871" t="n">
        <v>0</v>
      </c>
      <c r="N871" t="n">
        <v>0</v>
      </c>
      <c r="O871" t="n">
        <v>0</v>
      </c>
      <c r="P871" t="n">
        <v>0</v>
      </c>
      <c r="Q871" t="n">
        <v>0</v>
      </c>
      <c r="R871" s="2" t="inlineStr"/>
    </row>
    <row r="872" ht="15" customHeight="1">
      <c r="A872" t="inlineStr">
        <is>
          <t>A 30039-2024</t>
        </is>
      </c>
      <c r="B872" s="1" t="n">
        <v>45488</v>
      </c>
      <c r="C872" s="1" t="n">
        <v>45505</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30977-2024</t>
        </is>
      </c>
      <c r="B873" s="1" t="n">
        <v>45499</v>
      </c>
      <c r="C873" s="1" t="n">
        <v>45505</v>
      </c>
      <c r="D873" t="inlineStr">
        <is>
          <t>DALARNAS LÄN</t>
        </is>
      </c>
      <c r="E873" t="inlineStr">
        <is>
          <t>LUDVIKA</t>
        </is>
      </c>
      <c r="G873" t="n">
        <v>3.3</v>
      </c>
      <c r="H873" t="n">
        <v>0</v>
      </c>
      <c r="I873" t="n">
        <v>0</v>
      </c>
      <c r="J873" t="n">
        <v>0</v>
      </c>
      <c r="K873" t="n">
        <v>0</v>
      </c>
      <c r="L873" t="n">
        <v>0</v>
      </c>
      <c r="M873" t="n">
        <v>0</v>
      </c>
      <c r="N873" t="n">
        <v>0</v>
      </c>
      <c r="O873" t="n">
        <v>0</v>
      </c>
      <c r="P873" t="n">
        <v>0</v>
      </c>
      <c r="Q873" t="n">
        <v>0</v>
      </c>
      <c r="R873" s="2" t="inlineStr"/>
    </row>
    <row r="874" ht="15" customHeight="1">
      <c r="A874" t="inlineStr">
        <is>
          <t>A 31041-2024</t>
        </is>
      </c>
      <c r="B874" s="1" t="n">
        <v>45502</v>
      </c>
      <c r="C874" s="1" t="n">
        <v>45505</v>
      </c>
      <c r="D874" t="inlineStr">
        <is>
          <t>DALARNAS LÄN</t>
        </is>
      </c>
      <c r="E874" t="inlineStr">
        <is>
          <t>LUDVIKA</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45505</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31100-2024</t>
        </is>
      </c>
      <c r="B876" s="1" t="n">
        <v>45502</v>
      </c>
      <c r="C876" s="1" t="n">
        <v>45505</v>
      </c>
      <c r="D876" t="inlineStr">
        <is>
          <t>DALARNAS LÄN</t>
        </is>
      </c>
      <c r="E876" t="inlineStr">
        <is>
          <t>LUDVIKA</t>
        </is>
      </c>
      <c r="G876" t="n">
        <v>1.7</v>
      </c>
      <c r="H876" t="n">
        <v>0</v>
      </c>
      <c r="I876" t="n">
        <v>0</v>
      </c>
      <c r="J876" t="n">
        <v>0</v>
      </c>
      <c r="K876" t="n">
        <v>0</v>
      </c>
      <c r="L876" t="n">
        <v>0</v>
      </c>
      <c r="M876" t="n">
        <v>0</v>
      </c>
      <c r="N876" t="n">
        <v>0</v>
      </c>
      <c r="O876" t="n">
        <v>0</v>
      </c>
      <c r="P876" t="n">
        <v>0</v>
      </c>
      <c r="Q876" t="n">
        <v>0</v>
      </c>
      <c r="R876" s="2" t="inlineStr"/>
    </row>
    <row r="877" ht="15" customHeight="1">
      <c r="A877" t="inlineStr">
        <is>
          <t>A 31219-2024</t>
        </is>
      </c>
      <c r="B877" s="1" t="n">
        <v>45503</v>
      </c>
      <c r="C877" s="1" t="n">
        <v>45505</v>
      </c>
      <c r="D877" t="inlineStr">
        <is>
          <t>DALARNAS LÄN</t>
        </is>
      </c>
      <c r="E877" t="inlineStr">
        <is>
          <t>LUDVIKA</t>
        </is>
      </c>
      <c r="F877" t="inlineStr">
        <is>
          <t>Bergvik skog väst AB</t>
        </is>
      </c>
      <c r="G877" t="n">
        <v>1.3</v>
      </c>
      <c r="H877" t="n">
        <v>0</v>
      </c>
      <c r="I877" t="n">
        <v>0</v>
      </c>
      <c r="J877" t="n">
        <v>0</v>
      </c>
      <c r="K877" t="n">
        <v>0</v>
      </c>
      <c r="L877" t="n">
        <v>0</v>
      </c>
      <c r="M877" t="n">
        <v>0</v>
      </c>
      <c r="N877" t="n">
        <v>0</v>
      </c>
      <c r="O877" t="n">
        <v>0</v>
      </c>
      <c r="P877" t="n">
        <v>0</v>
      </c>
      <c r="Q877" t="n">
        <v>0</v>
      </c>
      <c r="R877" s="2" t="inlineStr"/>
    </row>
    <row r="878" ht="15" customHeight="1">
      <c r="A878" t="inlineStr">
        <is>
          <t>A 31181-2024</t>
        </is>
      </c>
      <c r="B878" s="1" t="n">
        <v>45503</v>
      </c>
      <c r="C878" s="1" t="n">
        <v>45505</v>
      </c>
      <c r="D878" t="inlineStr">
        <is>
          <t>DALARNAS LÄN</t>
        </is>
      </c>
      <c r="E878" t="inlineStr">
        <is>
          <t>LUDVIKA</t>
        </is>
      </c>
      <c r="F878" t="inlineStr">
        <is>
          <t>Bergvik skog väst AB</t>
        </is>
      </c>
      <c r="G878" t="n">
        <v>1</v>
      </c>
      <c r="H878" t="n">
        <v>0</v>
      </c>
      <c r="I878" t="n">
        <v>0</v>
      </c>
      <c r="J878" t="n">
        <v>0</v>
      </c>
      <c r="K878" t="n">
        <v>0</v>
      </c>
      <c r="L878" t="n">
        <v>0</v>
      </c>
      <c r="M878" t="n">
        <v>0</v>
      </c>
      <c r="N878" t="n">
        <v>0</v>
      </c>
      <c r="O878" t="n">
        <v>0</v>
      </c>
      <c r="P878" t="n">
        <v>0</v>
      </c>
      <c r="Q878" t="n">
        <v>0</v>
      </c>
      <c r="R878" s="2" t="inlineStr"/>
    </row>
    <row r="879" ht="15" customHeight="1">
      <c r="A879" t="inlineStr">
        <is>
          <t>A 31214-2024</t>
        </is>
      </c>
      <c r="B879" s="1" t="n">
        <v>45503</v>
      </c>
      <c r="C879" s="1" t="n">
        <v>45505</v>
      </c>
      <c r="D879" t="inlineStr">
        <is>
          <t>DALARNAS LÄN</t>
        </is>
      </c>
      <c r="E879" t="inlineStr">
        <is>
          <t>LUDVIKA</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31222-2024</t>
        </is>
      </c>
      <c r="B880" s="1" t="n">
        <v>45503</v>
      </c>
      <c r="C880" s="1" t="n">
        <v>45505</v>
      </c>
      <c r="D880" t="inlineStr">
        <is>
          <t>DALARNAS LÄN</t>
        </is>
      </c>
      <c r="E880" t="inlineStr">
        <is>
          <t>LUDVIKA</t>
        </is>
      </c>
      <c r="F880" t="inlineStr">
        <is>
          <t>Bergvik skog väst AB</t>
        </is>
      </c>
      <c r="G880" t="n">
        <v>1.8</v>
      </c>
      <c r="H880" t="n">
        <v>0</v>
      </c>
      <c r="I880" t="n">
        <v>0</v>
      </c>
      <c r="J880" t="n">
        <v>0</v>
      </c>
      <c r="K880" t="n">
        <v>0</v>
      </c>
      <c r="L880" t="n">
        <v>0</v>
      </c>
      <c r="M880" t="n">
        <v>0</v>
      </c>
      <c r="N880" t="n">
        <v>0</v>
      </c>
      <c r="O880" t="n">
        <v>0</v>
      </c>
      <c r="P880" t="n">
        <v>0</v>
      </c>
      <c r="Q880" t="n">
        <v>0</v>
      </c>
      <c r="R880" s="2" t="inlineStr"/>
    </row>
    <row r="881" ht="15" customHeight="1">
      <c r="A881" t="inlineStr">
        <is>
          <t>A 31188-2024</t>
        </is>
      </c>
      <c r="B881" s="1" t="n">
        <v>45503</v>
      </c>
      <c r="C881" s="1" t="n">
        <v>45505</v>
      </c>
      <c r="D881" t="inlineStr">
        <is>
          <t>DALARNAS LÄN</t>
        </is>
      </c>
      <c r="E881" t="inlineStr">
        <is>
          <t>LUDVIKA</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31208-2024</t>
        </is>
      </c>
      <c r="B882" s="1" t="n">
        <v>45503</v>
      </c>
      <c r="C882" s="1" t="n">
        <v>45505</v>
      </c>
      <c r="D882" t="inlineStr">
        <is>
          <t>DALARNAS LÄN</t>
        </is>
      </c>
      <c r="E882" t="inlineStr">
        <is>
          <t>LUDVIKA</t>
        </is>
      </c>
      <c r="F882" t="inlineStr">
        <is>
          <t>Bergvik skog väst AB</t>
        </is>
      </c>
      <c r="G882" t="n">
        <v>0.6</v>
      </c>
      <c r="H882" t="n">
        <v>0</v>
      </c>
      <c r="I882" t="n">
        <v>0</v>
      </c>
      <c r="J882" t="n">
        <v>0</v>
      </c>
      <c r="K882" t="n">
        <v>0</v>
      </c>
      <c r="L882" t="n">
        <v>0</v>
      </c>
      <c r="M882" t="n">
        <v>0</v>
      </c>
      <c r="N882" t="n">
        <v>0</v>
      </c>
      <c r="O882" t="n">
        <v>0</v>
      </c>
      <c r="P882" t="n">
        <v>0</v>
      </c>
      <c r="Q882" t="n">
        <v>0</v>
      </c>
      <c r="R882" s="2" t="inlineStr"/>
    </row>
    <row r="883" ht="15" customHeight="1">
      <c r="A883" t="inlineStr">
        <is>
          <t>A 31249-2024</t>
        </is>
      </c>
      <c r="B883" s="1" t="n">
        <v>45503</v>
      </c>
      <c r="C883" s="1" t="n">
        <v>45505</v>
      </c>
      <c r="D883" t="inlineStr">
        <is>
          <t>DALARNAS LÄN</t>
        </is>
      </c>
      <c r="E883" t="inlineStr">
        <is>
          <t>LUDVIKA</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31236-2024</t>
        </is>
      </c>
      <c r="B884" s="1" t="n">
        <v>45503</v>
      </c>
      <c r="C884" s="1" t="n">
        <v>45505</v>
      </c>
      <c r="D884" t="inlineStr">
        <is>
          <t>DALARNAS LÄN</t>
        </is>
      </c>
      <c r="E884" t="inlineStr">
        <is>
          <t>LUDVIKA</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31331-2024</t>
        </is>
      </c>
      <c r="B885" s="1" t="n">
        <v>45504</v>
      </c>
      <c r="C885" s="1" t="n">
        <v>45505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c r="A886" t="inlineStr">
        <is>
          <t>A 31328-2024</t>
        </is>
      </c>
      <c r="B886" s="1" t="n">
        <v>45504</v>
      </c>
      <c r="C886" s="1" t="n">
        <v>45505</v>
      </c>
      <c r="D886" t="inlineStr">
        <is>
          <t>DALARNAS LÄN</t>
        </is>
      </c>
      <c r="E886" t="inlineStr">
        <is>
          <t>LUDVIKA</t>
        </is>
      </c>
      <c r="F886" t="inlineStr">
        <is>
          <t>Bergvik skog väst AB</t>
        </is>
      </c>
      <c r="G886" t="n">
        <v>2.3</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2024-08-01T10:47:17Z</dcterms:created>
  <dcterms:modified xmlns:dcterms="http://purl.org/dc/terms/" xmlns:xsi="http://www.w3.org/2001/XMLSchema-instance" xsi:type="dcterms:W3CDTF">2024-08-01T10:47:24Z</dcterms:modified>
</cp:coreProperties>
</file>
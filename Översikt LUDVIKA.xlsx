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46286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46286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46286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46286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46286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46286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46286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46286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46286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46286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46286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46286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46286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46286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7214-2026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46286</v>
      </c>
      <c r="F16" t="inlineStr">
        <is>
          <t>DALARNAS LÄN</t>
        </is>
      </c>
      <c r="G16" t="inlineStr">
        <is>
          <t>LUDVIKA</t>
        </is>
      </c>
      <c r="I16" t="n">
        <v>4.2</v>
      </c>
      <c r="J16" t="n">
        <v>4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23</v>
      </c>
      <c r="U16" t="n">
        <v>23</v>
      </c>
      <c r="V16" s="2" t="inlineStr">
        <is>
          <t>Knärot
Dropptaggsvamp
Rynkskinn
Talltita
Tretåig hackspett
Vedtrappmossa
Jättesvampmal
Thomsons trägnagare
Spillkråka</t>
        </is>
      </c>
      <c r="W16">
        <f>HYPERLINK("https://klasma.github.io/Logging_2085/artfynd/A 7214-2026 artfynd.xlsx", "A 7214-2026")</f>
        <v/>
      </c>
      <c r="X16">
        <f>HYPERLINK("https://klasma.github.io/Logging_2085/kartor/A 7214-2026 karta.png", "A 7214-2026")</f>
        <v/>
      </c>
      <c r="Y16">
        <f>HYPERLINK("https://klasma.github.io/Logging_2085/kartor_geotiff/A 7214-2026 georefererad karta.tif", "A 7214-2026")</f>
        <v/>
      </c>
      <c r="Z16">
        <f>HYPERLINK("https://klasma.github.io/Logging_2085/knärot/A 7214-2026 karta knärot.png", "A 7214-2026")</f>
        <v/>
      </c>
      <c r="AA16">
        <f>HYPERLINK("https://klasma.github.io/Logging_2085/klagomål/A 7214-2026 FSC-klagomål.docx", "A 7214-2026")</f>
        <v/>
      </c>
      <c r="AB16">
        <f>HYPERLINK("https://klasma.github.io/Logging_2085/klagomålsmail/A 7214-2026 FSC-klagomål mail.docx", "A 7214-2026")</f>
        <v/>
      </c>
      <c r="AC16">
        <f>HYPERLINK("https://klasma.github.io/Logging_2085/tillsyn/A 7214-2026 tillsynsbegäran.docx", "A 7214-2026")</f>
        <v/>
      </c>
      <c r="AD16">
        <f>HYPERLINK("https://klasma.github.io/Logging_2085/tillsynsmail/A 7214-2026 tillsynsbegäran mail.docx", "A 7214-2026")</f>
        <v/>
      </c>
      <c r="AE16">
        <f>HYPERLINK("https://klasma.github.io/Logging_2085/fåglar/A 7214-2026 prioriterade fågelarter.docx", "A 7214-2026")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46286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46286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49783-2024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45597</v>
      </c>
      <c r="E19" s="1" t="n">
        <v>46286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20.9</v>
      </c>
      <c r="J19" t="n">
        <v>3</v>
      </c>
      <c r="K19" t="n">
        <v>0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28</v>
      </c>
      <c r="U19" t="n">
        <v>17</v>
      </c>
      <c r="V19" s="2" t="inlineStr">
        <is>
          <t>Garnlav
Mörk kådsvartspik
Dropptaggsvamp
Gammelgransskål
Stjärntagging
Tretåig hackspett
Järpe
Spillkråka</t>
        </is>
      </c>
      <c r="W19">
        <f>HYPERLINK("https://klasma.github.io/Logging_2085/artfynd/A 49783-2024 artfynd.xlsx", "A 49783-2024")</f>
        <v/>
      </c>
      <c r="X19">
        <f>HYPERLINK("https://klasma.github.io/Logging_2085/kartor/A 49783-2024 karta.png", "A 49783-2024")</f>
        <v/>
      </c>
      <c r="Y19">
        <f>HYPERLINK("https://klasma.github.io/Logging_2085/kartor_geotiff/A 49783-2024 georefererad karta.tif", "A 49783-2024")</f>
        <v/>
      </c>
      <c r="AA19">
        <f>HYPERLINK("https://klasma.github.io/Logging_2085/klagomål/A 49783-2024 FSC-klagomål.docx", "A 49783-2024")</f>
        <v/>
      </c>
      <c r="AB19">
        <f>HYPERLINK("https://klasma.github.io/Logging_2085/klagomålsmail/A 49783-2024 FSC-klagomål mail.docx", "A 49783-2024")</f>
        <v/>
      </c>
      <c r="AC19">
        <f>HYPERLINK("https://klasma.github.io/Logging_2085/tillsyn/A 49783-2024 tillsynsbegäran.docx", "A 49783-2024")</f>
        <v/>
      </c>
      <c r="AD19">
        <f>HYPERLINK("https://klasma.github.io/Logging_2085/tillsynsmail/A 49783-2024 tillsynsbegäran mail.docx", "A 49783-2024")</f>
        <v/>
      </c>
      <c r="AE19">
        <f>HYPERLINK("https://klasma.github.io/Logging_2085/fåglar/A 49783-2024 prioriterade fågelarter.docx", "A 49783-2024")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46286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31749-2024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45509</v>
      </c>
      <c r="E21" s="1" t="n">
        <v>46286</v>
      </c>
      <c r="F21" t="inlineStr">
        <is>
          <t>DALARNAS LÄN</t>
        </is>
      </c>
      <c r="G21" t="inlineStr">
        <is>
          <t>LUDVIKA</t>
        </is>
      </c>
      <c r="I21" t="n">
        <v>6.7</v>
      </c>
      <c r="J21" t="n">
        <v>1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8</v>
      </c>
      <c r="T21" t="n">
        <v>17</v>
      </c>
      <c r="U21" t="n">
        <v>17</v>
      </c>
      <c r="V21" s="2" t="inlineStr">
        <is>
          <t>Rynkskinn
Vårärt
Sotriska
Svart trolldruva
Svavelriska
Tibast
Underviol
Blåsippa</t>
        </is>
      </c>
      <c r="W21">
        <f>HYPERLINK("https://klasma.github.io/Logging_2085/artfynd/A 31749-2024 artfynd.xlsx", "A 31749-2024")</f>
        <v/>
      </c>
      <c r="X21">
        <f>HYPERLINK("https://klasma.github.io/Logging_2085/kartor/A 31749-2024 karta.png", "A 31749-2024")</f>
        <v/>
      </c>
      <c r="Y21">
        <f>HYPERLINK("https://klasma.github.io/Logging_2085/kartor_geotiff/A 31749-2024 georefererad karta.tif", "A 31749-2024")</f>
        <v/>
      </c>
      <c r="AA21">
        <f>HYPERLINK("https://klasma.github.io/Logging_2085/klagomål/A 31749-2024 FSC-klagomål.docx", "A 31749-2024")</f>
        <v/>
      </c>
      <c r="AB21">
        <f>HYPERLINK("https://klasma.github.io/Logging_2085/klagomålsmail/A 31749-2024 FSC-klagomål mail.docx", "A 31749-2024")</f>
        <v/>
      </c>
      <c r="AC21">
        <f>HYPERLINK("https://klasma.github.io/Logging_2085/tillsyn/A 31749-2024 tillsynsbegäran.docx", "A 31749-2024")</f>
        <v/>
      </c>
      <c r="AD21">
        <f>HYPERLINK("https://klasma.github.io/Logging_2085/tillsynsmail/A 31749-2024 tillsynsbegäran mail.docx", "A 31749-2024")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46286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57701-2025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46286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5.5</v>
      </c>
      <c r="J23" t="n">
        <v>6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8</v>
      </c>
      <c r="T23" t="n">
        <v>25</v>
      </c>
      <c r="U23" t="n">
        <v>24</v>
      </c>
      <c r="V23" s="2" t="inlineStr">
        <is>
          <t>Knärot
Kortskaftad ärgspik
Sparvuggla
Tretåig hackspett
Vedticka
Järpe
Spillkråka
Utter</t>
        </is>
      </c>
      <c r="W23">
        <f>HYPERLINK("https://klasma.github.io/Logging_2085/artfynd/A 57701-2025 artfynd.xlsx", "A 57701-2025")</f>
        <v/>
      </c>
      <c r="X23">
        <f>HYPERLINK("https://klasma.github.io/Logging_2085/kartor/A 57701-2025 karta.png", "A 57701-2025")</f>
        <v/>
      </c>
      <c r="Y23">
        <f>HYPERLINK("https://klasma.github.io/Logging_2085/kartor_geotiff/A 57701-2025 georefererad karta.tif", "A 57701-2025")</f>
        <v/>
      </c>
      <c r="Z23">
        <f>HYPERLINK("https://klasma.github.io/Logging_2085/knärot/A 57701-2025 karta knärot.png", "A 57701-2025")</f>
        <v/>
      </c>
      <c r="AA23">
        <f>HYPERLINK("https://klasma.github.io/Logging_2085/klagomål/A 57701-2025 FSC-klagomål.docx", "A 57701-2025")</f>
        <v/>
      </c>
      <c r="AB23">
        <f>HYPERLINK("https://klasma.github.io/Logging_2085/klagomålsmail/A 57701-2025 FSC-klagomål mail.docx", "A 57701-2025")</f>
        <v/>
      </c>
      <c r="AC23">
        <f>HYPERLINK("https://klasma.github.io/Logging_2085/tillsyn/A 57701-2025 tillsynsbegäran.docx", "A 57701-2025")</f>
        <v/>
      </c>
      <c r="AD23">
        <f>HYPERLINK("https://klasma.github.io/Logging_2085/tillsynsmail/A 57701-2025 tillsynsbegäran mail.docx", "A 57701-2025")</f>
        <v/>
      </c>
      <c r="AE23">
        <f>HYPERLINK("https://klasma.github.io/Logging_2085/fåglar/A 57701-2025 prioriterade fågelarter.docx", "A 57701-2025")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46286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46286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46286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22195-2025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45785</v>
      </c>
      <c r="E27" s="1" t="n">
        <v>46286</v>
      </c>
      <c r="F27" t="inlineStr">
        <is>
          <t>DALARNAS LÄN</t>
        </is>
      </c>
      <c r="G27" t="inlineStr">
        <is>
          <t>LUDVIKA</t>
        </is>
      </c>
      <c r="I27" t="n">
        <v>7.4</v>
      </c>
      <c r="J27" t="n">
        <v>5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Garnlav
Entita
Talltita
Tretåig hackspett
Spillkråka
Tjäder</t>
        </is>
      </c>
      <c r="W27">
        <f>HYPERLINK("https://klasma.github.io/Logging_2085/artfynd/A 22195-2025 artfynd.xlsx", "A 22195-2025")</f>
        <v/>
      </c>
      <c r="X27">
        <f>HYPERLINK("https://klasma.github.io/Logging_2085/kartor/A 22195-2025 karta.png", "A 22195-2025")</f>
        <v/>
      </c>
      <c r="Y27">
        <f>HYPERLINK("https://klasma.github.io/Logging_2085/kartor_geotiff/A 22195-2025 georefererad karta.tif", "A 22195-2025")</f>
        <v/>
      </c>
      <c r="AA27">
        <f>HYPERLINK("https://klasma.github.io/Logging_2085/klagomål/A 22195-2025 FSC-klagomål.docx", "A 22195-2025")</f>
        <v/>
      </c>
      <c r="AB27">
        <f>HYPERLINK("https://klasma.github.io/Logging_2085/klagomålsmail/A 22195-2025 FSC-klagomål mail.docx", "A 22195-2025")</f>
        <v/>
      </c>
      <c r="AC27">
        <f>HYPERLINK("https://klasma.github.io/Logging_2085/tillsyn/A 22195-2025 tillsynsbegäran.docx", "A 22195-2025")</f>
        <v/>
      </c>
      <c r="AD27">
        <f>HYPERLINK("https://klasma.github.io/Logging_2085/tillsynsmail/A 22195-2025 tillsynsbegäran mail.docx", "A 22195-2025")</f>
        <v/>
      </c>
      <c r="AE27">
        <f>HYPERLINK("https://klasma.github.io/Logging_2085/fåglar/A 22195-2025 prioriterade fågelarter.docx", "A 22195-2025")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46286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46286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46286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46286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46286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46286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46286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33885-2025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45842</v>
      </c>
      <c r="E35" s="1" t="n">
        <v>46286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2.6</v>
      </c>
      <c r="J35" t="n">
        <v>2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6</v>
      </c>
      <c r="T35" t="n">
        <v>10</v>
      </c>
      <c r="U35" t="n">
        <v>10</v>
      </c>
      <c r="V35" s="2" t="inlineStr">
        <is>
          <t>Garnlav
Knärot
Dropptaggsvamp
Ullticka
Nästlav
Tjäder</t>
        </is>
      </c>
      <c r="W35">
        <f>HYPERLINK("https://klasma.github.io/Logging_2085/artfynd/A 33885-2025 artfynd.xlsx", "A 33885-2025")</f>
        <v/>
      </c>
      <c r="X35">
        <f>HYPERLINK("https://klasma.github.io/Logging_2085/kartor/A 33885-2025 karta.png", "A 33885-2025")</f>
        <v/>
      </c>
      <c r="Y35">
        <f>HYPERLINK("https://klasma.github.io/Logging_2085/kartor_geotiff/A 33885-2025 georefererad karta.tif", "A 33885-2025")</f>
        <v/>
      </c>
      <c r="Z35">
        <f>HYPERLINK("https://klasma.github.io/Logging_2085/knärot/A 33885-2025 karta knärot.png", "A 33885-2025")</f>
        <v/>
      </c>
      <c r="AA35">
        <f>HYPERLINK("https://klasma.github.io/Logging_2085/klagomål/A 33885-2025 FSC-klagomål.docx", "A 33885-2025")</f>
        <v/>
      </c>
      <c r="AB35">
        <f>HYPERLINK("https://klasma.github.io/Logging_2085/klagomålsmail/A 33885-2025 FSC-klagomål mail.docx", "A 33885-2025")</f>
        <v/>
      </c>
      <c r="AC35">
        <f>HYPERLINK("https://klasma.github.io/Logging_2085/tillsyn/A 33885-2025 tillsynsbegäran.docx", "A 33885-2025")</f>
        <v/>
      </c>
      <c r="AD35">
        <f>HYPERLINK("https://klasma.github.io/Logging_2085/tillsynsmail/A 33885-2025 tillsynsbegäran mail.docx", "A 33885-2025")</f>
        <v/>
      </c>
      <c r="AE35">
        <f>HYPERLINK("https://klasma.github.io/Logging_2085/fåglar/A 33885-2025 prioriterade fågelarter.docx", "A 33885-2025")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46286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46286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46286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46286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46286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46286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46286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46286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46286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51928-2024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46286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27.9</v>
      </c>
      <c r="J45" t="n">
        <v>0</v>
      </c>
      <c r="K45" t="n">
        <v>3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Brunpudrad nållav
Gulnål
Kornig nållav
Vedticka</t>
        </is>
      </c>
      <c r="W45">
        <f>HYPERLINK("https://klasma.github.io/Logging_2085/artfynd/A 51928-2024 artfynd.xlsx", "A 51928-2024")</f>
        <v/>
      </c>
      <c r="X45">
        <f>HYPERLINK("https://klasma.github.io/Logging_2085/kartor/A 51928-2024 karta.png", "A 51928-2024")</f>
        <v/>
      </c>
      <c r="Y45">
        <f>HYPERLINK("https://klasma.github.io/Logging_2085/kartor_geotiff/A 51928-2024 georefererad karta.tif", "A 51928-2024")</f>
        <v/>
      </c>
      <c r="AA45">
        <f>HYPERLINK("https://klasma.github.io/Logging_2085/klagomål/A 51928-2024 FSC-klagomål.docx", "A 51928-2024")</f>
        <v/>
      </c>
      <c r="AB45">
        <f>HYPERLINK("https://klasma.github.io/Logging_2085/klagomålsmail/A 51928-2024 FSC-klagomål mail.docx", "A 51928-2024")</f>
        <v/>
      </c>
      <c r="AC45">
        <f>HYPERLINK("https://klasma.github.io/Logging_2085/tillsyn/A 51928-2024 tillsynsbegäran.docx", "A 51928-2024")</f>
        <v/>
      </c>
      <c r="AD45">
        <f>HYPERLINK("https://klasma.github.io/Logging_2085/tillsynsmail/A 51928-2024 tillsynsbegäran mail.docx", "A 51928-2024")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46286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46721-2025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46286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8.800000000000001</v>
      </c>
      <c r="J47" t="n">
        <v>3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4</v>
      </c>
      <c r="T47" t="n">
        <v>5</v>
      </c>
      <c r="U47" t="n">
        <v>4</v>
      </c>
      <c r="V47" s="2" t="inlineStr">
        <is>
          <t>Talltita
Tretåig hackspett
Vedskivlav
Järpe</t>
        </is>
      </c>
      <c r="W47">
        <f>HYPERLINK("https://klasma.github.io/Logging_2085/artfynd/A 46721-2025 artfynd.xlsx", "A 46721-2025")</f>
        <v/>
      </c>
      <c r="X47">
        <f>HYPERLINK("https://klasma.github.io/Logging_2085/kartor/A 46721-2025 karta.png", "A 46721-2025")</f>
        <v/>
      </c>
      <c r="Y47">
        <f>HYPERLINK("https://klasma.github.io/Logging_2085/kartor_geotiff/A 46721-2025 georefererad karta.tif", "A 46721-2025")</f>
        <v/>
      </c>
      <c r="AA47">
        <f>HYPERLINK("https://klasma.github.io/Logging_2085/klagomål/A 46721-2025 FSC-klagomål.docx", "A 46721-2025")</f>
        <v/>
      </c>
      <c r="AB47">
        <f>HYPERLINK("https://klasma.github.io/Logging_2085/klagomålsmail/A 46721-2025 FSC-klagomål mail.docx", "A 46721-2025")</f>
        <v/>
      </c>
      <c r="AC47">
        <f>HYPERLINK("https://klasma.github.io/Logging_2085/tillsyn/A 46721-2025 tillsynsbegäran.docx", "A 46721-2025")</f>
        <v/>
      </c>
      <c r="AD47">
        <f>HYPERLINK("https://klasma.github.io/Logging_2085/tillsynsmail/A 46721-2025 tillsynsbegäran mail.docx", "A 46721-2025")</f>
        <v/>
      </c>
      <c r="AE47">
        <f>HYPERLINK("https://klasma.github.io/Logging_2085/fåglar/A 46721-2025 prioriterade fågelarter.docx", "A 46721-2025")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46286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58513-2025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45985</v>
      </c>
      <c r="E49" s="1" t="n">
        <v>46286</v>
      </c>
      <c r="F49" t="inlineStr">
        <is>
          <t>DALARNAS LÄN</t>
        </is>
      </c>
      <c r="G49" t="inlineStr">
        <is>
          <t>LUDVIKA</t>
        </is>
      </c>
      <c r="H49" t="inlineStr">
        <is>
          <t>Övriga Aktiebolag</t>
        </is>
      </c>
      <c r="I49" t="n">
        <v>7.2</v>
      </c>
      <c r="J49" t="n">
        <v>2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23</v>
      </c>
      <c r="U49" t="n">
        <v>23</v>
      </c>
      <c r="V49" s="2" t="inlineStr">
        <is>
          <t>Garnlav
Tretåig hackspett
Gullgröppa
Spillkråka</t>
        </is>
      </c>
      <c r="W49">
        <f>HYPERLINK("https://klasma.github.io/Logging_2085/artfynd/A 58513-2025 artfynd.xlsx", "A 58513-2025")</f>
        <v/>
      </c>
      <c r="X49">
        <f>HYPERLINK("https://klasma.github.io/Logging_2085/kartor/A 58513-2025 karta.png", "A 58513-2025")</f>
        <v/>
      </c>
      <c r="Y49">
        <f>HYPERLINK("https://klasma.github.io/Logging_2085/kartor_geotiff/A 58513-2025 georefererad karta.tif", "A 58513-2025")</f>
        <v/>
      </c>
      <c r="AA49">
        <f>HYPERLINK("https://klasma.github.io/Logging_2085/klagomål/A 58513-2025 FSC-klagomål.docx", "A 58513-2025")</f>
        <v/>
      </c>
      <c r="AB49">
        <f>HYPERLINK("https://klasma.github.io/Logging_2085/klagomålsmail/A 58513-2025 FSC-klagomål mail.docx", "A 58513-2025")</f>
        <v/>
      </c>
      <c r="AC49">
        <f>HYPERLINK("https://klasma.github.io/Logging_2085/tillsyn/A 58513-2025 tillsynsbegäran.docx", "A 58513-2025")</f>
        <v/>
      </c>
      <c r="AD49">
        <f>HYPERLINK("https://klasma.github.io/Logging_2085/tillsynsmail/A 58513-2025 tillsynsbegäran mail.docx", "A 58513-2025")</f>
        <v/>
      </c>
      <c r="AE49">
        <f>HYPERLINK("https://klasma.github.io/Logging_2085/fåglar/A 58513-2025 prioriterade fågelarter.docx", "A 58513-2025")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46286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46286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46286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46286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46286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A 38635-2026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46283</v>
      </c>
      <c r="E55" s="1" t="n">
        <v>46286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3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Lunglav
Mörk husmossa
Vedticka
Vågbandad barkbock</t>
        </is>
      </c>
      <c r="W55">
        <f>HYPERLINK("https://klasma.github.io/Logging_2085/artfynd/A 38635-2026 artfynd.xlsx", "A 38635-2026")</f>
        <v/>
      </c>
      <c r="X55">
        <f>HYPERLINK("https://klasma.github.io/Logging_2085/kartor/A 38635-2026 karta.png", "A 38635-2026")</f>
        <v/>
      </c>
      <c r="Y55">
        <f>HYPERLINK("https://klasma.github.io/Logging_2085/kartor_geotiff/A 38635-2026 georefererad karta.tif", "A 38635-2026")</f>
        <v/>
      </c>
      <c r="AA55">
        <f>HYPERLINK("https://klasma.github.io/Logging_2085/klagomål/A 38635-2026 FSC-klagomål.docx", "A 38635-2026")</f>
        <v/>
      </c>
      <c r="AB55">
        <f>HYPERLINK("https://klasma.github.io/Logging_2085/klagomålsmail/A 38635-2026 FSC-klagomål mail.docx", "A 38635-2026")</f>
        <v/>
      </c>
      <c r="AC55">
        <f>HYPERLINK("https://klasma.github.io/Logging_2085/tillsyn/A 38635-2026 tillsynsbegäran.docx", "A 38635-2026")</f>
        <v/>
      </c>
      <c r="AD55">
        <f>HYPERLINK("https://klasma.github.io/Logging_2085/tillsynsmail/A 38635-2026 tillsynsbegäran mail.docx", "A 38635-2026")</f>
        <v/>
      </c>
    </row>
    <row r="56" ht="15" customHeight="1">
      <c r="A56" t="inlineStr">
        <is>
          <t>A 22589-2026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46155</v>
      </c>
      <c r="E56" s="1" t="n">
        <v>46286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3.7</v>
      </c>
      <c r="J56" t="n">
        <v>3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4</v>
      </c>
      <c r="T56" t="n">
        <v>5</v>
      </c>
      <c r="U56" t="n">
        <v>5</v>
      </c>
      <c r="V56" s="2" t="inlineStr">
        <is>
          <t>Garnlav
Järpe
Spillkråka
Tjäder</t>
        </is>
      </c>
      <c r="W56">
        <f>HYPERLINK("https://klasma.github.io/Logging_2085/artfynd/A 22589-2026 artfynd.xlsx", "A 22589-2026")</f>
        <v/>
      </c>
      <c r="X56">
        <f>HYPERLINK("https://klasma.github.io/Logging_2085/kartor/A 22589-2026 karta.png", "A 22589-2026")</f>
        <v/>
      </c>
      <c r="Y56">
        <f>HYPERLINK("https://klasma.github.io/Logging_2085/kartor_geotiff/A 22589-2026 georefererad karta.tif", "A 22589-2026")</f>
        <v/>
      </c>
      <c r="AA56">
        <f>HYPERLINK("https://klasma.github.io/Logging_2085/klagomål/A 22589-2026 FSC-klagomål.docx", "A 22589-2026")</f>
        <v/>
      </c>
      <c r="AB56">
        <f>HYPERLINK("https://klasma.github.io/Logging_2085/klagomålsmail/A 22589-2026 FSC-klagomål mail.docx", "A 22589-2026")</f>
        <v/>
      </c>
      <c r="AC56">
        <f>HYPERLINK("https://klasma.github.io/Logging_2085/tillsyn/A 22589-2026 tillsynsbegäran.docx", "A 22589-2026")</f>
        <v/>
      </c>
      <c r="AD56">
        <f>HYPERLINK("https://klasma.github.io/Logging_2085/tillsynsmail/A 22589-2026 tillsynsbegäran mail.docx", "A 22589-2026")</f>
        <v/>
      </c>
      <c r="AE56">
        <f>HYPERLINK("https://klasma.github.io/Logging_2085/fåglar/A 22589-2026 prioriterade fågelarter.docx", "A 22589-2026")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46286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46286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41456-2025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46286</v>
      </c>
      <c r="F59" t="inlineStr">
        <is>
          <t>DALARNAS LÄN</t>
        </is>
      </c>
      <c r="G59" t="inlineStr">
        <is>
          <t>LUDVIKA</t>
        </is>
      </c>
      <c r="I59" t="n">
        <v>1.9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Aspgelélav
Lunglav
Järpe</t>
        </is>
      </c>
      <c r="W59">
        <f>HYPERLINK("https://klasma.github.io/Logging_2085/artfynd/A 41456-2025 artfynd.xlsx", "A 41456-2025")</f>
        <v/>
      </c>
      <c r="X59">
        <f>HYPERLINK("https://klasma.github.io/Logging_2085/kartor/A 41456-2025 karta.png", "A 41456-2025")</f>
        <v/>
      </c>
      <c r="Y59">
        <f>HYPERLINK("https://klasma.github.io/Logging_2085/kartor_geotiff/A 41456-2025 georefererad karta.tif", "A 41456-2025")</f>
        <v/>
      </c>
      <c r="AA59">
        <f>HYPERLINK("https://klasma.github.io/Logging_2085/klagomål/A 41456-2025 FSC-klagomål.docx", "A 41456-2025")</f>
        <v/>
      </c>
      <c r="AB59">
        <f>HYPERLINK("https://klasma.github.io/Logging_2085/klagomålsmail/A 41456-2025 FSC-klagomål mail.docx", "A 41456-2025")</f>
        <v/>
      </c>
      <c r="AC59">
        <f>HYPERLINK("https://klasma.github.io/Logging_2085/tillsyn/A 41456-2025 tillsynsbegäran.docx", "A 41456-2025")</f>
        <v/>
      </c>
      <c r="AD59">
        <f>HYPERLINK("https://klasma.github.io/Logging_2085/tillsynsmail/A 41456-2025 tillsynsbegäran mail.docx", "A 41456-2025")</f>
        <v/>
      </c>
      <c r="AE59">
        <f>HYPERLINK("https://klasma.github.io/Logging_2085/fåglar/A 41456-2025 prioriterade fågelarter.docx", "A 41456-2025")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46286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t="n">
        <v>0</v>
      </c>
      <c r="V60" s="2" t="inlineStr">
        <is>
          <t>Garnlav
Knärot
Brunklöver</t>
        </is>
      </c>
      <c r="W60">
        <f>HYPERLINK("https://klasma.github.io/Logging_2085/artfynd/A 29144-2023 artfynd.xlsx", "A 29144-2023")</f>
        <v/>
      </c>
      <c r="X60">
        <f>HYPERLINK("https://klasma.github.io/Logging_2085/kartor/A 29144-2023 karta.png", "A 29144-2023")</f>
        <v/>
      </c>
      <c r="Y60">
        <f>HYPERLINK("https://klasma.github.io/Logging_2085/kartor_geotiff/A 29144-2023 georefererad karta.tif", "A 29144-2023")</f>
        <v/>
      </c>
      <c r="Z60">
        <f>HYPERLINK("https://klasma.github.io/Logging_2085/knärot/A 29144-2023 karta knärot.png", "A 29144-2023")</f>
        <v/>
      </c>
      <c r="AA60">
        <f>HYPERLINK("https://klasma.github.io/Logging_2085/klagomål/A 29144-2023 FSC-klagomål.docx", "A 29144-2023")</f>
        <v/>
      </c>
      <c r="AB60">
        <f>HYPERLINK("https://klasma.github.io/Logging_2085/klagomålsmail/A 29144-2023 FSC-klagomål mail.docx", "A 29144-2023")</f>
        <v/>
      </c>
      <c r="AC60">
        <f>HYPERLINK("https://klasma.github.io/Logging_2085/tillsyn/A 29144-2023 tillsynsbegäran.docx", "A 29144-2023")</f>
        <v/>
      </c>
      <c r="AD60">
        <f>HYPERLINK("https://klasma.github.io/Logging_2085/tillsynsmail/A 29144-2023 tillsynsbegäran mail.docx", "A 29144-2023")</f>
        <v/>
      </c>
    </row>
    <row r="61" ht="15" customHeight="1">
      <c r="A61" t="inlineStr">
        <is>
          <t>A 18759-2026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46286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3.5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11</v>
      </c>
      <c r="U61" t="n">
        <v>0</v>
      </c>
      <c r="V61" s="2" t="inlineStr">
        <is>
          <t>Knärot
Dropptaggsvamp
Nattviol</t>
        </is>
      </c>
      <c r="W61">
        <f>HYPERLINK("https://klasma.github.io/Logging_2085/artfynd/A 18759-2026 artfynd.xlsx", "A 18759-2026")</f>
        <v/>
      </c>
      <c r="X61">
        <f>HYPERLINK("https://klasma.github.io/Logging_2085/kartor/A 18759-2026 karta.png", "A 18759-2026")</f>
        <v/>
      </c>
      <c r="Y61">
        <f>HYPERLINK("https://klasma.github.io/Logging_2085/kartor_geotiff/A 18759-2026 georefererad karta.tif", "A 18759-2026")</f>
        <v/>
      </c>
      <c r="Z61">
        <f>HYPERLINK("https://klasma.github.io/Logging_2085/knärot/A 18759-2026 karta knärot.png", "A 18759-2026")</f>
        <v/>
      </c>
      <c r="AA61">
        <f>HYPERLINK("https://klasma.github.io/Logging_2085/klagomål/A 18759-2026 FSC-klagomål.docx", "A 18759-2026")</f>
        <v/>
      </c>
      <c r="AB61">
        <f>HYPERLINK("https://klasma.github.io/Logging_2085/klagomålsmail/A 18759-2026 FSC-klagomål mail.docx", "A 18759-2026")</f>
        <v/>
      </c>
      <c r="AC61">
        <f>HYPERLINK("https://klasma.github.io/Logging_2085/tillsyn/A 18759-2026 tillsynsbegäran.docx", "A 18759-2026")</f>
        <v/>
      </c>
      <c r="AD61">
        <f>HYPERLINK("https://klasma.github.io/Logging_2085/tillsynsmail/A 18759-2026 tillsynsbegäran mail.docx", "A 18759-2026")</f>
        <v/>
      </c>
    </row>
    <row r="62" ht="15" customHeight="1">
      <c r="A62" t="inlineStr">
        <is>
          <t>A 24425-2026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46168</v>
      </c>
      <c r="E62" s="1" t="n">
        <v>46286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5.6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6</v>
      </c>
      <c r="U62" t="n">
        <v>0</v>
      </c>
      <c r="V62" s="2" t="inlineStr">
        <is>
          <t>Tretåig hackspett
Spillkråka
Sälg</t>
        </is>
      </c>
      <c r="W62">
        <f>HYPERLINK("https://klasma.github.io/Logging_2085/artfynd/A 24425-2026 artfynd.xlsx", "A 24425-2026")</f>
        <v/>
      </c>
      <c r="X62">
        <f>HYPERLINK("https://klasma.github.io/Logging_2085/kartor/A 24425-2026 karta.png", "A 24425-2026")</f>
        <v/>
      </c>
      <c r="Y62">
        <f>HYPERLINK("https://klasma.github.io/Logging_2085/kartor_geotiff/A 24425-2026 georefererad karta.tif", "A 24425-2026")</f>
        <v/>
      </c>
      <c r="AA62">
        <f>HYPERLINK("https://klasma.github.io/Logging_2085/klagomål/A 24425-2026 FSC-klagomål.docx", "A 24425-2026")</f>
        <v/>
      </c>
      <c r="AB62">
        <f>HYPERLINK("https://klasma.github.io/Logging_2085/klagomålsmail/A 24425-2026 FSC-klagomål mail.docx", "A 24425-2026")</f>
        <v/>
      </c>
      <c r="AC62">
        <f>HYPERLINK("https://klasma.github.io/Logging_2085/tillsyn/A 24425-2026 tillsynsbegäran.docx", "A 24425-2026")</f>
        <v/>
      </c>
      <c r="AD62">
        <f>HYPERLINK("https://klasma.github.io/Logging_2085/tillsynsmail/A 24425-2026 tillsynsbegäran mail.docx", "A 24425-2026")</f>
        <v/>
      </c>
      <c r="AE62">
        <f>HYPERLINK("https://klasma.github.io/Logging_2085/fåglar/A 24425-2026 prioriterade fågelarter.docx", "A 24425-2026")</f>
        <v/>
      </c>
    </row>
    <row r="63" ht="15" customHeight="1">
      <c r="A63" t="inlineStr">
        <is>
          <t>A 43226-2025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45910</v>
      </c>
      <c r="E63" s="1" t="n">
        <v>46286</v>
      </c>
      <c r="F63" t="inlineStr">
        <is>
          <t>DALARNAS LÄN</t>
        </is>
      </c>
      <c r="G63" t="inlineStr">
        <is>
          <t>LUDVIKA</t>
        </is>
      </c>
      <c r="I63" t="n">
        <v>1.1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4</v>
      </c>
      <c r="V63" s="2" t="inlineStr">
        <is>
          <t>Tretåig hackspett
Rävticka
Rödgul trumpetsvamp</t>
        </is>
      </c>
      <c r="W63">
        <f>HYPERLINK("https://klasma.github.io/Logging_2085/artfynd/A 43226-2025 artfynd.xlsx", "A 43226-2025")</f>
        <v/>
      </c>
      <c r="X63">
        <f>HYPERLINK("https://klasma.github.io/Logging_2085/kartor/A 43226-2025 karta.png", "A 43226-2025")</f>
        <v/>
      </c>
      <c r="Y63">
        <f>HYPERLINK("https://klasma.github.io/Logging_2085/kartor_geotiff/A 43226-2025 georefererad karta.tif", "A 43226-2025")</f>
        <v/>
      </c>
      <c r="AA63">
        <f>HYPERLINK("https://klasma.github.io/Logging_2085/klagomål/A 43226-2025 FSC-klagomål.docx", "A 43226-2025")</f>
        <v/>
      </c>
      <c r="AB63">
        <f>HYPERLINK("https://klasma.github.io/Logging_2085/klagomålsmail/A 43226-2025 FSC-klagomål mail.docx", "A 43226-2025")</f>
        <v/>
      </c>
      <c r="AC63">
        <f>HYPERLINK("https://klasma.github.io/Logging_2085/tillsyn/A 43226-2025 tillsynsbegäran.docx", "A 43226-2025")</f>
        <v/>
      </c>
      <c r="AD63">
        <f>HYPERLINK("https://klasma.github.io/Logging_2085/tillsynsmail/A 43226-2025 tillsynsbegäran mail.docx", "A 43226-2025")</f>
        <v/>
      </c>
      <c r="AE63">
        <f>HYPERLINK("https://klasma.github.io/Logging_2085/fåglar/A 43226-2025 prioriterade fågelarter.docx", "A 43226-2025")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46286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46286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49051-2024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46286</v>
      </c>
      <c r="F66" t="inlineStr">
        <is>
          <t>DALARNAS LÄN</t>
        </is>
      </c>
      <c r="G66" t="inlineStr">
        <is>
          <t>LUDVIKA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2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Ladparasitspik
Vedkastanjelav</t>
        </is>
      </c>
      <c r="W66">
        <f>HYPERLINK("https://klasma.github.io/Logging_2085/artfynd/A 49051-2024 artfynd.xlsx", "A 49051-2024")</f>
        <v/>
      </c>
      <c r="X66">
        <f>HYPERLINK("https://klasma.github.io/Logging_2085/kartor/A 49051-2024 karta.png", "A 49051-2024")</f>
        <v/>
      </c>
      <c r="Y66">
        <f>HYPERLINK("https://klasma.github.io/Logging_2085/kartor_geotiff/A 49051-2024 georefererad karta.tif", "A 49051-2024")</f>
        <v/>
      </c>
      <c r="AA66">
        <f>HYPERLINK("https://klasma.github.io/Logging_2085/klagomål/A 49051-2024 FSC-klagomål.docx", "A 49051-2024")</f>
        <v/>
      </c>
      <c r="AB66">
        <f>HYPERLINK("https://klasma.github.io/Logging_2085/klagomålsmail/A 49051-2024 FSC-klagomål mail.docx", "A 49051-2024")</f>
        <v/>
      </c>
      <c r="AC66">
        <f>HYPERLINK("https://klasma.github.io/Logging_2085/tillsyn/A 49051-2024 tillsynsbegäran.docx", "A 49051-2024")</f>
        <v/>
      </c>
      <c r="AD66">
        <f>HYPERLINK("https://klasma.github.io/Logging_2085/tillsynsmail/A 49051-2024 tillsynsbegäran mail.docx", "A 49051-2024")</f>
        <v/>
      </c>
    </row>
    <row r="67" ht="15" customHeight="1">
      <c r="A67" t="inlineStr">
        <is>
          <t>A 33155-2024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45518</v>
      </c>
      <c r="E67" s="1" t="n">
        <v>46286</v>
      </c>
      <c r="F67" t="inlineStr">
        <is>
          <t>DALARNAS LÄN</t>
        </is>
      </c>
      <c r="G67" t="inlineStr">
        <is>
          <t>LUDVIKA</t>
        </is>
      </c>
      <c r="I67" t="n">
        <v>2.9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Brunpudrad nållav
Tretåig hackspett</t>
        </is>
      </c>
      <c r="W67">
        <f>HYPERLINK("https://klasma.github.io/Logging_2085/artfynd/A 33155-2024 artfynd.xlsx", "A 33155-2024")</f>
        <v/>
      </c>
      <c r="X67">
        <f>HYPERLINK("https://klasma.github.io/Logging_2085/kartor/A 33155-2024 karta.png", "A 33155-2024")</f>
        <v/>
      </c>
      <c r="Y67">
        <f>HYPERLINK("https://klasma.github.io/Logging_2085/kartor_geotiff/A 33155-2024 georefererad karta.tif", "A 33155-2024")</f>
        <v/>
      </c>
      <c r="AA67">
        <f>HYPERLINK("https://klasma.github.io/Logging_2085/klagomål/A 33155-2024 FSC-klagomål.docx", "A 33155-2024")</f>
        <v/>
      </c>
      <c r="AB67">
        <f>HYPERLINK("https://klasma.github.io/Logging_2085/klagomålsmail/A 33155-2024 FSC-klagomål mail.docx", "A 33155-2024")</f>
        <v/>
      </c>
      <c r="AC67">
        <f>HYPERLINK("https://klasma.github.io/Logging_2085/tillsyn/A 33155-2024 tillsynsbegäran.docx", "A 33155-2024")</f>
        <v/>
      </c>
      <c r="AD67">
        <f>HYPERLINK("https://klasma.github.io/Logging_2085/tillsynsmail/A 33155-2024 tillsynsbegäran mail.docx", "A 33155-2024")</f>
        <v/>
      </c>
      <c r="AE67">
        <f>HYPERLINK("https://klasma.github.io/Logging_2085/fåglar/A 33155-2024 prioriterade fågelarter.docx", "A 33155-2024")</f>
        <v/>
      </c>
    </row>
    <row r="68" ht="15" customHeight="1">
      <c r="A68" t="inlineStr">
        <is>
          <t>A 21369-2023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46286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0.4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Skogsalm
Tibast</t>
        </is>
      </c>
      <c r="W68">
        <f>HYPERLINK("https://klasma.github.io/Logging_2085/artfynd/A 21369-2023 artfynd.xlsx", "A 21369-2023")</f>
        <v/>
      </c>
      <c r="X68">
        <f>HYPERLINK("https://klasma.github.io/Logging_2085/kartor/A 21369-2023 karta.png", "A 21369-2023")</f>
        <v/>
      </c>
      <c r="Y68">
        <f>HYPERLINK("https://klasma.github.io/Logging_2085/kartor_geotiff/A 21369-2023 georefererad karta.tif", "A 21369-2023")</f>
        <v/>
      </c>
      <c r="AA68">
        <f>HYPERLINK("https://klasma.github.io/Logging_2085/klagomål/A 21369-2023 FSC-klagomål.docx", "A 21369-2023")</f>
        <v/>
      </c>
      <c r="AB68">
        <f>HYPERLINK("https://klasma.github.io/Logging_2085/klagomålsmail/A 21369-2023 FSC-klagomål mail.docx", "A 21369-2023")</f>
        <v/>
      </c>
      <c r="AC68">
        <f>HYPERLINK("https://klasma.github.io/Logging_2085/tillsyn/A 21369-2023 tillsynsbegäran.docx", "A 21369-2023")</f>
        <v/>
      </c>
      <c r="AD68">
        <f>HYPERLINK("https://klasma.github.io/Logging_2085/tillsynsmail/A 21369-2023 tillsynsbegäran mail.docx", "A 21369-2023")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46286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44262-2025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46286</v>
      </c>
      <c r="F70" t="inlineStr">
        <is>
          <t>DALARNAS LÄN</t>
        </is>
      </c>
      <c r="G70" t="inlineStr">
        <is>
          <t>LUDVIKA</t>
        </is>
      </c>
      <c r="I70" t="n">
        <v>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6</v>
      </c>
      <c r="U70" t="n">
        <v>0</v>
      </c>
      <c r="V70" s="2" t="inlineStr">
        <is>
          <t>Nordfladdermus
Fläcknycklar</t>
        </is>
      </c>
      <c r="W70">
        <f>HYPERLINK("https://klasma.github.io/Logging_2085/artfynd/A 44262-2025 artfynd.xlsx", "A 44262-2025")</f>
        <v/>
      </c>
      <c r="X70">
        <f>HYPERLINK("https://klasma.github.io/Logging_2085/kartor/A 44262-2025 karta.png", "A 44262-2025")</f>
        <v/>
      </c>
      <c r="Y70">
        <f>HYPERLINK("https://klasma.github.io/Logging_2085/kartor_geotiff/A 44262-2025 georefererad karta.tif", "A 44262-2025")</f>
        <v/>
      </c>
      <c r="AA70">
        <f>HYPERLINK("https://klasma.github.io/Logging_2085/klagomål/A 44262-2025 FSC-klagomål.docx", "A 44262-2025")</f>
        <v/>
      </c>
      <c r="AB70">
        <f>HYPERLINK("https://klasma.github.io/Logging_2085/klagomålsmail/A 44262-2025 FSC-klagomål mail.docx", "A 44262-2025")</f>
        <v/>
      </c>
      <c r="AC70">
        <f>HYPERLINK("https://klasma.github.io/Logging_2085/tillsyn/A 44262-2025 tillsynsbegäran.docx", "A 44262-2025")</f>
        <v/>
      </c>
      <c r="AD70">
        <f>HYPERLINK("https://klasma.github.io/Logging_2085/tillsynsmail/A 44262-2025 tillsynsbegäran mail.docx", "A 44262-2025")</f>
        <v/>
      </c>
    </row>
    <row r="71" ht="15" customHeight="1">
      <c r="A71" t="inlineStr">
        <is>
          <t>A 11755-2023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44994</v>
      </c>
      <c r="E71" s="1" t="n">
        <v>46286</v>
      </c>
      <c r="F71" t="inlineStr">
        <is>
          <t>DALARNAS LÄN</t>
        </is>
      </c>
      <c r="G71" t="inlineStr">
        <is>
          <t>LUDVIKA</t>
        </is>
      </c>
      <c r="H71" t="inlineStr">
        <is>
          <t>Övriga Aktiebolag</t>
        </is>
      </c>
      <c r="I71" t="n">
        <v>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Garnlav
Spillkråka</t>
        </is>
      </c>
      <c r="W71">
        <f>HYPERLINK("https://klasma.github.io/Logging_2085/artfynd/A 11755-2023 artfynd.xlsx", "A 11755-2023")</f>
        <v/>
      </c>
      <c r="X71">
        <f>HYPERLINK("https://klasma.github.io/Logging_2085/kartor/A 11755-2023 karta.png", "A 11755-2023")</f>
        <v/>
      </c>
      <c r="Y71">
        <f>HYPERLINK("https://klasma.github.io/Logging_2085/kartor_geotiff/A 11755-2023 georefererad karta.tif", "A 11755-2023")</f>
        <v/>
      </c>
      <c r="AA71">
        <f>HYPERLINK("https://klasma.github.io/Logging_2085/klagomål/A 11755-2023 FSC-klagomål.docx", "A 11755-2023")</f>
        <v/>
      </c>
      <c r="AB71">
        <f>HYPERLINK("https://klasma.github.io/Logging_2085/klagomålsmail/A 11755-2023 FSC-klagomål mail.docx", "A 11755-2023")</f>
        <v/>
      </c>
      <c r="AC71">
        <f>HYPERLINK("https://klasma.github.io/Logging_2085/tillsyn/A 11755-2023 tillsynsbegäran.docx", "A 11755-2023")</f>
        <v/>
      </c>
      <c r="AD71">
        <f>HYPERLINK("https://klasma.github.io/Logging_2085/tillsynsmail/A 11755-2023 tillsynsbegäran mail.docx", "A 11755-2023")</f>
        <v/>
      </c>
      <c r="AE71">
        <f>HYPERLINK("https://klasma.github.io/Logging_2085/fåglar/A 11755-2023 prioriterade fågelarter.docx", "A 11755-2023")</f>
        <v/>
      </c>
    </row>
    <row r="72" ht="15" customHeight="1">
      <c r="A72" t="inlineStr">
        <is>
          <t>A 49767-2025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46286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4</v>
      </c>
      <c r="V72" s="2" t="inlineStr">
        <is>
          <t>Garnlav
Tretåig hackspett</t>
        </is>
      </c>
      <c r="W72">
        <f>HYPERLINK("https://klasma.github.io/Logging_2085/artfynd/A 49767-2025 artfynd.xlsx", "A 49767-2025")</f>
        <v/>
      </c>
      <c r="X72">
        <f>HYPERLINK("https://klasma.github.io/Logging_2085/kartor/A 49767-2025 karta.png", "A 49767-2025")</f>
        <v/>
      </c>
      <c r="Y72">
        <f>HYPERLINK("https://klasma.github.io/Logging_2085/kartor_geotiff/A 49767-2025 georefererad karta.tif", "A 49767-2025")</f>
        <v/>
      </c>
      <c r="AA72">
        <f>HYPERLINK("https://klasma.github.io/Logging_2085/klagomål/A 49767-2025 FSC-klagomål.docx", "A 49767-2025")</f>
        <v/>
      </c>
      <c r="AB72">
        <f>HYPERLINK("https://klasma.github.io/Logging_2085/klagomålsmail/A 49767-2025 FSC-klagomål mail.docx", "A 49767-2025")</f>
        <v/>
      </c>
      <c r="AC72">
        <f>HYPERLINK("https://klasma.github.io/Logging_2085/tillsyn/A 49767-2025 tillsynsbegäran.docx", "A 49767-2025")</f>
        <v/>
      </c>
      <c r="AD72">
        <f>HYPERLINK("https://klasma.github.io/Logging_2085/tillsynsmail/A 49767-2025 tillsynsbegäran mail.docx", "A 49767-2025")</f>
        <v/>
      </c>
      <c r="AE72">
        <f>HYPERLINK("https://klasma.github.io/Logging_2085/fåglar/A 49767-2025 prioriterade fågelarter.docx", "A 49767-2025")</f>
        <v/>
      </c>
    </row>
    <row r="73" ht="15" customHeight="1">
      <c r="A73" t="inlineStr">
        <is>
          <t>A 21876-2026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46286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Tretåig hackspett</t>
        </is>
      </c>
      <c r="W73">
        <f>HYPERLINK("https://klasma.github.io/Logging_2085/artfynd/A 21876-2026 artfynd.xlsx", "A 21876-2026")</f>
        <v/>
      </c>
      <c r="X73">
        <f>HYPERLINK("https://klasma.github.io/Logging_2085/kartor/A 21876-2026 karta.png", "A 21876-2026")</f>
        <v/>
      </c>
      <c r="Y73">
        <f>HYPERLINK("https://klasma.github.io/Logging_2085/kartor_geotiff/A 21876-2026 georefererad karta.tif", "A 21876-2026")</f>
        <v/>
      </c>
      <c r="AA73">
        <f>HYPERLINK("https://klasma.github.io/Logging_2085/klagomål/A 21876-2026 FSC-klagomål.docx", "A 21876-2026")</f>
        <v/>
      </c>
      <c r="AB73">
        <f>HYPERLINK("https://klasma.github.io/Logging_2085/klagomålsmail/A 21876-2026 FSC-klagomål mail.docx", "A 21876-2026")</f>
        <v/>
      </c>
      <c r="AC73">
        <f>HYPERLINK("https://klasma.github.io/Logging_2085/tillsyn/A 21876-2026 tillsynsbegäran.docx", "A 21876-2026")</f>
        <v/>
      </c>
      <c r="AD73">
        <f>HYPERLINK("https://klasma.github.io/Logging_2085/tillsynsmail/A 21876-2026 tillsynsbegäran mail.docx", "A 21876-2026")</f>
        <v/>
      </c>
      <c r="AE73">
        <f>HYPERLINK("https://klasma.github.io/Logging_2085/fåglar/A 21876-2026 prioriterade fågelarter.docx", "A 21876-2026")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46286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46286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56179-2025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46286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Gultoppig fingersvamp
Kortskaftad ärgspik</t>
        </is>
      </c>
      <c r="W76">
        <f>HYPERLINK("https://klasma.github.io/Logging_2085/artfynd/A 56179-2025 artfynd.xlsx", "A 56179-2025")</f>
        <v/>
      </c>
      <c r="X76">
        <f>HYPERLINK("https://klasma.github.io/Logging_2085/kartor/A 56179-2025 karta.png", "A 56179-2025")</f>
        <v/>
      </c>
      <c r="Y76">
        <f>HYPERLINK("https://klasma.github.io/Logging_2085/kartor_geotiff/A 56179-2025 georefererad karta.tif", "A 56179-2025")</f>
        <v/>
      </c>
      <c r="Z76">
        <f>HYPERLINK("https://klasma.github.io/Logging_2085/knärot/A 56179-2025 karta knärot.png", "A 56179-2025")</f>
        <v/>
      </c>
      <c r="AA76">
        <f>HYPERLINK("https://klasma.github.io/Logging_2085/klagomål/A 56179-2025 FSC-klagomål.docx", "A 56179-2025")</f>
        <v/>
      </c>
      <c r="AB76">
        <f>HYPERLINK("https://klasma.github.io/Logging_2085/klagomålsmail/A 56179-2025 FSC-klagomål mail.docx", "A 56179-2025")</f>
        <v/>
      </c>
      <c r="AC76">
        <f>HYPERLINK("https://klasma.github.io/Logging_2085/tillsyn/A 56179-2025 tillsynsbegäran.docx", "A 56179-2025")</f>
        <v/>
      </c>
      <c r="AD76">
        <f>HYPERLINK("https://klasma.github.io/Logging_2085/tillsynsmail/A 56179-2025 tillsynsbegäran mail.docx", "A 56179-2025")</f>
        <v/>
      </c>
    </row>
    <row r="77" ht="15" customHeight="1">
      <c r="A77" t="inlineStr">
        <is>
          <t>A 19512-2022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46286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Tretåig hackspett
Nästlav</t>
        </is>
      </c>
      <c r="W77">
        <f>HYPERLINK("https://klasma.github.io/Logging_2085/artfynd/A 19512-2022 artfynd.xlsx", "A 19512-2022")</f>
        <v/>
      </c>
      <c r="X77">
        <f>HYPERLINK("https://klasma.github.io/Logging_2085/kartor/A 19512-2022 karta.png", "A 19512-2022")</f>
        <v/>
      </c>
      <c r="Y77">
        <f>HYPERLINK("https://klasma.github.io/Logging_2085/kartor_geotiff/A 19512-2022 georefererad karta.tif", "A 19512-2022")</f>
        <v/>
      </c>
      <c r="AA77">
        <f>HYPERLINK("https://klasma.github.io/Logging_2085/klagomål/A 19512-2022 FSC-klagomål.docx", "A 19512-2022")</f>
        <v/>
      </c>
      <c r="AB77">
        <f>HYPERLINK("https://klasma.github.io/Logging_2085/klagomålsmail/A 19512-2022 FSC-klagomål mail.docx", "A 19512-2022")</f>
        <v/>
      </c>
      <c r="AC77">
        <f>HYPERLINK("https://klasma.github.io/Logging_2085/tillsyn/A 19512-2022 tillsynsbegäran.docx", "A 19512-2022")</f>
        <v/>
      </c>
      <c r="AD77">
        <f>HYPERLINK("https://klasma.github.io/Logging_2085/tillsynsmail/A 19512-2022 tillsynsbegäran mail.docx", "A 19512-2022")</f>
        <v/>
      </c>
      <c r="AE77">
        <f>HYPERLINK("https://klasma.github.io/Logging_2085/fåglar/A 19512-2022 prioriterade fågelarter.docx", "A 19512-2022")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46286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46286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56826-2025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46286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4.5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8</v>
      </c>
      <c r="U80" t="n">
        <v>8</v>
      </c>
      <c r="V80" s="2" t="inlineStr">
        <is>
          <t>Garnlav
Tretåig hackspett</t>
        </is>
      </c>
      <c r="W80">
        <f>HYPERLINK("https://klasma.github.io/Logging_2085/artfynd/A 56826-2025 artfynd.xlsx", "A 56826-2025")</f>
        <v/>
      </c>
      <c r="X80">
        <f>HYPERLINK("https://klasma.github.io/Logging_2085/kartor/A 56826-2025 karta.png", "A 56826-2025")</f>
        <v/>
      </c>
      <c r="Y80">
        <f>HYPERLINK("https://klasma.github.io/Logging_2085/kartor_geotiff/A 56826-2025 georefererad karta.tif", "A 56826-2025")</f>
        <v/>
      </c>
      <c r="AA80">
        <f>HYPERLINK("https://klasma.github.io/Logging_2085/klagomål/A 56826-2025 FSC-klagomål.docx", "A 56826-2025")</f>
        <v/>
      </c>
      <c r="AB80">
        <f>HYPERLINK("https://klasma.github.io/Logging_2085/klagomålsmail/A 56826-2025 FSC-klagomål mail.docx", "A 56826-2025")</f>
        <v/>
      </c>
      <c r="AC80">
        <f>HYPERLINK("https://klasma.github.io/Logging_2085/tillsyn/A 56826-2025 tillsynsbegäran.docx", "A 56826-2025")</f>
        <v/>
      </c>
      <c r="AD80">
        <f>HYPERLINK("https://klasma.github.io/Logging_2085/tillsynsmail/A 56826-2025 tillsynsbegäran mail.docx", "A 56826-2025")</f>
        <v/>
      </c>
      <c r="AE80">
        <f>HYPERLINK("https://klasma.github.io/Logging_2085/fåglar/A 56826-2025 prioriterade fågelarter.docx", "A 56826-2025")</f>
        <v/>
      </c>
    </row>
    <row r="81" ht="15" customHeight="1">
      <c r="A81" t="inlineStr">
        <is>
          <t>A 56879-2025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46286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Tjäder</t>
        </is>
      </c>
      <c r="W81">
        <f>HYPERLINK("https://klasma.github.io/Logging_2085/artfynd/A 56879-2025 artfynd.xlsx", "A 56879-2025")</f>
        <v/>
      </c>
      <c r="X81">
        <f>HYPERLINK("https://klasma.github.io/Logging_2085/kartor/A 56879-2025 karta.png", "A 56879-2025")</f>
        <v/>
      </c>
      <c r="Y81">
        <f>HYPERLINK("https://klasma.github.io/Logging_2085/kartor_geotiff/A 56879-2025 georefererad karta.tif", "A 56879-2025")</f>
        <v/>
      </c>
      <c r="AA81">
        <f>HYPERLINK("https://klasma.github.io/Logging_2085/klagomål/A 56879-2025 FSC-klagomål.docx", "A 56879-2025")</f>
        <v/>
      </c>
      <c r="AB81">
        <f>HYPERLINK("https://klasma.github.io/Logging_2085/klagomålsmail/A 56879-2025 FSC-klagomål mail.docx", "A 56879-2025")</f>
        <v/>
      </c>
      <c r="AC81">
        <f>HYPERLINK("https://klasma.github.io/Logging_2085/tillsyn/A 56879-2025 tillsynsbegäran.docx", "A 56879-2025")</f>
        <v/>
      </c>
      <c r="AD81">
        <f>HYPERLINK("https://klasma.github.io/Logging_2085/tillsynsmail/A 56879-2025 tillsynsbegäran mail.docx", "A 56879-2025")</f>
        <v/>
      </c>
      <c r="AE81">
        <f>HYPERLINK("https://klasma.github.io/Logging_2085/fåglar/A 56879-2025 prioriterade fågelarter.docx", "A 56879-2025")</f>
        <v/>
      </c>
    </row>
    <row r="82" ht="15" customHeight="1">
      <c r="A82" t="inlineStr">
        <is>
          <t>A 28727-2026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46286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14</v>
      </c>
      <c r="J82" t="n">
        <v>0</v>
      </c>
      <c r="K82" t="n">
        <v>1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Mindre märgborre</t>
        </is>
      </c>
      <c r="W82">
        <f>HYPERLINK("https://klasma.github.io/Logging_2085/artfynd/A 28727-2026 artfynd.xlsx", "A 28727-2026")</f>
        <v/>
      </c>
      <c r="X82">
        <f>HYPERLINK("https://klasma.github.io/Logging_2085/kartor/A 28727-2026 karta.png", "A 28727-2026")</f>
        <v/>
      </c>
      <c r="Y82">
        <f>HYPERLINK("https://klasma.github.io/Logging_2085/kartor_geotiff/A 28727-2026 georefererad karta.tif", "A 28727-2026")</f>
        <v/>
      </c>
      <c r="AA82">
        <f>HYPERLINK("https://klasma.github.io/Logging_2085/klagomål/A 28727-2026 FSC-klagomål.docx", "A 28727-2026")</f>
        <v/>
      </c>
      <c r="AB82">
        <f>HYPERLINK("https://klasma.github.io/Logging_2085/klagomålsmail/A 28727-2026 FSC-klagomål mail.docx", "A 28727-2026")</f>
        <v/>
      </c>
      <c r="AC82">
        <f>HYPERLINK("https://klasma.github.io/Logging_2085/tillsyn/A 28727-2026 tillsynsbegäran.docx", "A 28727-2026")</f>
        <v/>
      </c>
      <c r="AD82">
        <f>HYPERLINK("https://klasma.github.io/Logging_2085/tillsynsmail/A 28727-2026 tillsynsbegäran mail.docx", "A 28727-2026")</f>
        <v/>
      </c>
    </row>
    <row r="83" ht="15" customHeight="1">
      <c r="A83" t="inlineStr">
        <is>
          <t>A 55399-2025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45971</v>
      </c>
      <c r="E83" s="1" t="n">
        <v>46286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11.5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HYPERLINK("https://klasma.github.io/Logging_2085/artfynd/A 55399-2025 artfynd.xlsx", "A 55399-2025")</f>
        <v/>
      </c>
      <c r="X83">
        <f>HYPERLINK("https://klasma.github.io/Logging_2085/kartor/A 55399-2025 karta.png", "A 55399-2025")</f>
        <v/>
      </c>
      <c r="Y83">
        <f>HYPERLINK("https://klasma.github.io/Logging_2085/kartor_geotiff/A 55399-2025 georefererad karta.tif", "A 55399-2025")</f>
        <v/>
      </c>
      <c r="AA83">
        <f>HYPERLINK("https://klasma.github.io/Logging_2085/klagomål/A 55399-2025 FSC-klagomål.docx", "A 55399-2025")</f>
        <v/>
      </c>
      <c r="AB83">
        <f>HYPERLINK("https://klasma.github.io/Logging_2085/klagomålsmail/A 55399-2025 FSC-klagomål mail.docx", "A 55399-2025")</f>
        <v/>
      </c>
      <c r="AC83">
        <f>HYPERLINK("https://klasma.github.io/Logging_2085/tillsyn/A 55399-2025 tillsynsbegäran.docx", "A 55399-2025")</f>
        <v/>
      </c>
      <c r="AD83">
        <f>HYPERLINK("https://klasma.github.io/Logging_2085/tillsynsmail/A 55399-2025 tillsynsbegäran mail.docx", "A 55399-2025")</f>
        <v/>
      </c>
      <c r="AE83">
        <f>HYPERLINK("https://klasma.github.io/Logging_2085/fåglar/A 55399-2025 prioriterade fågelarter.docx", "A 55399-2025")</f>
        <v/>
      </c>
    </row>
    <row r="84" ht="15" customHeight="1">
      <c r="A84" t="inlineStr">
        <is>
          <t>A 24426-2026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46168</v>
      </c>
      <c r="E84" s="1" t="n">
        <v>46286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12.4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Spillkråka
Sälg</t>
        </is>
      </c>
      <c r="W84">
        <f>HYPERLINK("https://klasma.github.io/Logging_2085/artfynd/A 24426-2026 artfynd.xlsx", "A 24426-2026")</f>
        <v/>
      </c>
      <c r="X84">
        <f>HYPERLINK("https://klasma.github.io/Logging_2085/kartor/A 24426-2026 karta.png", "A 24426-2026")</f>
        <v/>
      </c>
      <c r="Y84">
        <f>HYPERLINK("https://klasma.github.io/Logging_2085/kartor_geotiff/A 24426-2026 georefererad karta.tif", "A 24426-2026")</f>
        <v/>
      </c>
      <c r="AA84">
        <f>HYPERLINK("https://klasma.github.io/Logging_2085/klagomål/A 24426-2026 FSC-klagomål.docx", "A 24426-2026")</f>
        <v/>
      </c>
      <c r="AB84">
        <f>HYPERLINK("https://klasma.github.io/Logging_2085/klagomålsmail/A 24426-2026 FSC-klagomål mail.docx", "A 24426-2026")</f>
        <v/>
      </c>
      <c r="AC84">
        <f>HYPERLINK("https://klasma.github.io/Logging_2085/tillsyn/A 24426-2026 tillsynsbegäran.docx", "A 24426-2026")</f>
        <v/>
      </c>
      <c r="AD84">
        <f>HYPERLINK("https://klasma.github.io/Logging_2085/tillsynsmail/A 24426-2026 tillsynsbegäran mail.docx", "A 24426-2026")</f>
        <v/>
      </c>
      <c r="AE84">
        <f>HYPERLINK("https://klasma.github.io/Logging_2085/fåglar/A 24426-2026 prioriterade fågelarter.docx", "A 24426-2026")</f>
        <v/>
      </c>
    </row>
    <row r="85" ht="15" customHeight="1">
      <c r="A85" t="inlineStr">
        <is>
          <t>A 8202-2025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46286</v>
      </c>
      <c r="F85" t="inlineStr">
        <is>
          <t>DALARNAS LÄN</t>
        </is>
      </c>
      <c r="G85" t="inlineStr">
        <is>
          <t>LUDVIKA</t>
        </is>
      </c>
      <c r="I85" t="n">
        <v>6.4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7</v>
      </c>
      <c r="U85" t="n">
        <v>7</v>
      </c>
      <c r="V85" s="2" t="inlineStr">
        <is>
          <t>Tretåig hackspett
Spillkråka</t>
        </is>
      </c>
      <c r="W85">
        <f>HYPERLINK("https://klasma.github.io/Logging_2085/artfynd/A 8202-2025 artfynd.xlsx", "A 8202-2025")</f>
        <v/>
      </c>
      <c r="X85">
        <f>HYPERLINK("https://klasma.github.io/Logging_2085/kartor/A 8202-2025 karta.png", "A 8202-2025")</f>
        <v/>
      </c>
      <c r="Y85">
        <f>HYPERLINK("https://klasma.github.io/Logging_2085/kartor_geotiff/A 8202-2025 georefererad karta.tif", "A 8202-2025")</f>
        <v/>
      </c>
      <c r="AA85">
        <f>HYPERLINK("https://klasma.github.io/Logging_2085/klagomål/A 8202-2025 FSC-klagomål.docx", "A 8202-2025")</f>
        <v/>
      </c>
      <c r="AB85">
        <f>HYPERLINK("https://klasma.github.io/Logging_2085/klagomålsmail/A 8202-2025 FSC-klagomål mail.docx", "A 8202-2025")</f>
        <v/>
      </c>
      <c r="AC85">
        <f>HYPERLINK("https://klasma.github.io/Logging_2085/tillsyn/A 8202-2025 tillsynsbegäran.docx", "A 8202-2025")</f>
        <v/>
      </c>
      <c r="AD85">
        <f>HYPERLINK("https://klasma.github.io/Logging_2085/tillsynsmail/A 8202-2025 tillsynsbegäran mail.docx", "A 8202-2025")</f>
        <v/>
      </c>
      <c r="AE85">
        <f>HYPERLINK("https://klasma.github.io/Logging_2085/fåglar/A 8202-2025 prioriterade fågelarter.docx", "A 8202-2025")</f>
        <v/>
      </c>
    </row>
    <row r="86" ht="15" customHeight="1">
      <c r="A86" t="inlineStr">
        <is>
          <t>A 28639-2026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46286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Blå taggsvamp
Motaggsvamp</t>
        </is>
      </c>
      <c r="W86">
        <f>HYPERLINK("https://klasma.github.io/Logging_2085/artfynd/A 28639-2026 artfynd.xlsx", "A 28639-2026")</f>
        <v/>
      </c>
      <c r="X86">
        <f>HYPERLINK("https://klasma.github.io/Logging_2085/kartor/A 28639-2026 karta.png", "A 28639-2026")</f>
        <v/>
      </c>
      <c r="Y86">
        <f>HYPERLINK("https://klasma.github.io/Logging_2085/kartor_geotiff/A 28639-2026 georefererad karta.tif", "A 28639-2026")</f>
        <v/>
      </c>
      <c r="AA86">
        <f>HYPERLINK("https://klasma.github.io/Logging_2085/klagomål/A 28639-2026 FSC-klagomål.docx", "A 28639-2026")</f>
        <v/>
      </c>
      <c r="AB86">
        <f>HYPERLINK("https://klasma.github.io/Logging_2085/klagomålsmail/A 28639-2026 FSC-klagomål mail.docx", "A 28639-2026")</f>
        <v/>
      </c>
      <c r="AC86">
        <f>HYPERLINK("https://klasma.github.io/Logging_2085/tillsyn/A 28639-2026 tillsynsbegäran.docx", "A 28639-2026")</f>
        <v/>
      </c>
      <c r="AD86">
        <f>HYPERLINK("https://klasma.github.io/Logging_2085/tillsynsmail/A 28639-2026 tillsynsbegäran mail.docx", "A 28639-2026")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46286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A 42558-2022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46286</v>
      </c>
      <c r="F88" t="inlineStr">
        <is>
          <t>DALARNAS LÄN</t>
        </is>
      </c>
      <c r="G88" t="inlineStr">
        <is>
          <t>LUDVIKA</t>
        </is>
      </c>
      <c r="H88" t="inlineStr">
        <is>
          <t>Naturvårdsverket</t>
        </is>
      </c>
      <c r="I88" t="n">
        <v>4.9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Gräddporing
Lopplummer (aggregat)</t>
        </is>
      </c>
      <c r="W88">
        <f>HYPERLINK("https://klasma.github.io/Logging_2085/artfynd/A 42558-2022 artfynd.xlsx", "A 42558-2022")</f>
        <v/>
      </c>
      <c r="X88">
        <f>HYPERLINK("https://klasma.github.io/Logging_2085/kartor/A 42558-2022 karta.png", "A 42558-2022")</f>
        <v/>
      </c>
      <c r="Y88">
        <f>HYPERLINK("https://klasma.github.io/Logging_2085/kartor_geotiff/A 42558-2022 georefererad karta.tif", "A 42558-2022")</f>
        <v/>
      </c>
      <c r="AA88">
        <f>HYPERLINK("https://klasma.github.io/Logging_2085/klagomål/A 42558-2022 FSC-klagomål.docx", "A 42558-2022")</f>
        <v/>
      </c>
      <c r="AB88">
        <f>HYPERLINK("https://klasma.github.io/Logging_2085/klagomålsmail/A 42558-2022 FSC-klagomål mail.docx", "A 42558-2022")</f>
        <v/>
      </c>
      <c r="AC88">
        <f>HYPERLINK("https://klasma.github.io/Logging_2085/tillsyn/A 42558-2022 tillsynsbegäran.docx", "A 42558-2022")</f>
        <v/>
      </c>
      <c r="AD88">
        <f>HYPERLINK("https://klasma.github.io/Logging_2085/tillsynsmail/A 42558-2022 tillsynsbegäran mail.docx", "A 42558-2022")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46286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Brunpudrad nållav
Rödgul trumpetsvamp</t>
        </is>
      </c>
      <c r="W89">
        <f>HYPERLINK("https://klasma.github.io/Logging_2085/artfynd/S 296-2025 artfynd.xlsx", "S 296-2025")</f>
        <v/>
      </c>
      <c r="X89">
        <f>HYPERLINK("https://klasma.github.io/Logging_2085/kartor/S 296-2025 karta.png", "S 296-2025")</f>
        <v/>
      </c>
      <c r="Y89">
        <f>HYPERLINK("https://klasma.github.io/Logging_2085/kartor_geotiff/S 296-2025 georefererad karta.tif", "S 296-2025")</f>
        <v/>
      </c>
      <c r="AA89">
        <f>HYPERLINK("https://klasma.github.io/Logging_2085/klagomål/S 296-2025 FSC-klagomål.docx", "S 296-2025")</f>
        <v/>
      </c>
      <c r="AB89">
        <f>HYPERLINK("https://klasma.github.io/Logging_2085/klagomålsmail/S 296-2025 FSC-klagomål mail.docx", "S 296-2025")</f>
        <v/>
      </c>
      <c r="AC89">
        <f>HYPERLINK("https://klasma.github.io/Logging_2085/tillsyn/S 296-2025 tillsynsbegäran.docx", "S 296-2025")</f>
        <v/>
      </c>
      <c r="AD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46286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1</v>
      </c>
      <c r="V90" s="2" t="inlineStr">
        <is>
          <t>Garnlav
Järpe</t>
        </is>
      </c>
      <c r="W90">
        <f>HYPERLINK("https://klasma.github.io/Logging_2085/artfynd/S 3586-2025 artfynd.xlsx", "S 3586-2025")</f>
        <v/>
      </c>
      <c r="X90">
        <f>HYPERLINK("https://klasma.github.io/Logging_2085/kartor/S 3586-2025 karta.png", "S 3586-2025")</f>
        <v/>
      </c>
      <c r="Y90">
        <f>HYPERLINK("https://klasma.github.io/Logging_2085/kartor_geotiff/S 3586-2025 georefererad karta.tif", "S 3586-2025")</f>
        <v/>
      </c>
      <c r="AA90">
        <f>HYPERLINK("https://klasma.github.io/Logging_2085/klagomål/S 3586-2025 FSC-klagomål.docx", "S 3586-2025")</f>
        <v/>
      </c>
      <c r="AB90">
        <f>HYPERLINK("https://klasma.github.io/Logging_2085/klagomålsmail/S 3586-2025 FSC-klagomål mail.docx", "S 3586-2025")</f>
        <v/>
      </c>
      <c r="AC90">
        <f>HYPERLINK("https://klasma.github.io/Logging_2085/tillsyn/S 3586-2025 tillsynsbegäran.docx", "S 3586-2025")</f>
        <v/>
      </c>
      <c r="AD90">
        <f>HYPERLINK("https://klasma.github.io/Logging_2085/tillsynsmail/S 3586-2025 tillsynsbegäran mail.docx", "S 3586-2025")</f>
        <v/>
      </c>
      <c r="AE90">
        <f>HYPERLINK("https://klasma.github.io/Logging_2085/fåglar/S 3586-2025 prioriterade fågelarter.docx", "S 3586-2025")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46286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46286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46286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51886-2022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46286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Brun gräsfjäril</t>
        </is>
      </c>
      <c r="W94">
        <f>HYPERLINK("https://klasma.github.io/Logging_2085/artfynd/A 51886-2022 artfynd.xlsx", "A 51886-2022")</f>
        <v/>
      </c>
      <c r="X94">
        <f>HYPERLINK("https://klasma.github.io/Logging_2085/kartor/A 51886-2022 karta.png", "A 51886-2022")</f>
        <v/>
      </c>
      <c r="Y94">
        <f>HYPERLINK("https://klasma.github.io/Logging_2085/kartor_geotiff/A 51886-2022 georefererad karta.tif", "A 51886-2022")</f>
        <v/>
      </c>
      <c r="AA94">
        <f>HYPERLINK("https://klasma.github.io/Logging_2085/klagomål/A 51886-2022 FSC-klagomål.docx", "A 51886-2022")</f>
        <v/>
      </c>
      <c r="AB94">
        <f>HYPERLINK("https://klasma.github.io/Logging_2085/klagomålsmail/A 51886-2022 FSC-klagomål mail.docx", "A 51886-2022")</f>
        <v/>
      </c>
      <c r="AC94">
        <f>HYPERLINK("https://klasma.github.io/Logging_2085/tillsyn/A 51886-2022 tillsynsbegäran.docx", "A 51886-2022")</f>
        <v/>
      </c>
      <c r="AD94">
        <f>HYPERLINK("https://klasma.github.io/Logging_2085/tillsynsmail/A 51886-2022 tillsynsbegäran mail.docx", "A 51886-2022")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46286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56119-2021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44477</v>
      </c>
      <c r="E96" s="1" t="n">
        <v>46286</v>
      </c>
      <c r="F96" t="inlineStr">
        <is>
          <t>DALARNAS LÄN</t>
        </is>
      </c>
      <c r="G96" t="inlineStr">
        <is>
          <t>LUDVIKA</t>
        </is>
      </c>
      <c r="I96" t="n">
        <v>1.3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Garnlav</t>
        </is>
      </c>
      <c r="W96">
        <f>HYPERLINK("https://klasma.github.io/Logging_2085/artfynd/A 56119-2021 artfynd.xlsx", "A 56119-2021")</f>
        <v/>
      </c>
      <c r="X96">
        <f>HYPERLINK("https://klasma.github.io/Logging_2085/kartor/A 56119-2021 karta.png", "A 56119-2021")</f>
        <v/>
      </c>
      <c r="Y96">
        <f>HYPERLINK("https://klasma.github.io/Logging_2085/kartor_geotiff/A 56119-2021 georefererad karta.tif", "A 56119-2021")</f>
        <v/>
      </c>
      <c r="AA96">
        <f>HYPERLINK("https://klasma.github.io/Logging_2085/klagomål/A 56119-2021 FSC-klagomål.docx", "A 56119-2021")</f>
        <v/>
      </c>
      <c r="AB96">
        <f>HYPERLINK("https://klasma.github.io/Logging_2085/klagomålsmail/A 56119-2021 FSC-klagomål mail.docx", "A 56119-2021")</f>
        <v/>
      </c>
      <c r="AC96">
        <f>HYPERLINK("https://klasma.github.io/Logging_2085/tillsyn/A 56119-2021 tillsynsbegäran.docx", "A 56119-2021")</f>
        <v/>
      </c>
      <c r="AD96">
        <f>HYPERLINK("https://klasma.github.io/Logging_2085/tillsynsmail/A 56119-2021 tillsynsbegäran mail.docx", "A 56119-2021")</f>
        <v/>
      </c>
    </row>
    <row r="97" ht="15" customHeight="1">
      <c r="A97" t="inlineStr">
        <is>
          <t>A 44578-2023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46286</v>
      </c>
      <c r="F97" t="inlineStr">
        <is>
          <t>DALARNAS LÄN</t>
        </is>
      </c>
      <c r="G97" t="inlineStr">
        <is>
          <t>LUDVIKA</t>
        </is>
      </c>
      <c r="H97" t="inlineStr">
        <is>
          <t>Övriga Aktiebolag</t>
        </is>
      </c>
      <c r="I97" t="n">
        <v>12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Dofttaggsvamp</t>
        </is>
      </c>
      <c r="W97">
        <f>HYPERLINK("https://klasma.github.io/Logging_2085/artfynd/A 44578-2023 artfynd.xlsx", "A 44578-2023")</f>
        <v/>
      </c>
      <c r="X97">
        <f>HYPERLINK("https://klasma.github.io/Logging_2085/kartor/A 44578-2023 karta.png", "A 44578-2023")</f>
        <v/>
      </c>
      <c r="Y97">
        <f>HYPERLINK("https://klasma.github.io/Logging_2085/kartor_geotiff/A 44578-2023 georefererad karta.tif", "A 44578-2023")</f>
        <v/>
      </c>
      <c r="AA97">
        <f>HYPERLINK("https://klasma.github.io/Logging_2085/klagomål/A 44578-2023 FSC-klagomål.docx", "A 44578-2023")</f>
        <v/>
      </c>
      <c r="AB97">
        <f>HYPERLINK("https://klasma.github.io/Logging_2085/klagomålsmail/A 44578-2023 FSC-klagomål mail.docx", "A 44578-2023")</f>
        <v/>
      </c>
      <c r="AC97">
        <f>HYPERLINK("https://klasma.github.io/Logging_2085/tillsyn/A 44578-2023 tillsynsbegäran.docx", "A 44578-2023")</f>
        <v/>
      </c>
      <c r="AD97">
        <f>HYPERLINK("https://klasma.github.io/Logging_2085/tillsynsmail/A 44578-2023 tillsynsbegäran mail.docx", "A 44578-2023")</f>
        <v/>
      </c>
    </row>
    <row r="98" ht="15" customHeight="1">
      <c r="A98" t="inlineStr">
        <is>
          <t>A 6579-2023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44960</v>
      </c>
      <c r="E98" s="1" t="n">
        <v>46286</v>
      </c>
      <c r="F98" t="inlineStr">
        <is>
          <t>DALARNAS LÄN</t>
        </is>
      </c>
      <c r="G98" t="inlineStr">
        <is>
          <t>LUDVIKA</t>
        </is>
      </c>
      <c r="I98" t="n">
        <v>3.4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HYPERLINK("https://klasma.github.io/Logging_2085/artfynd/A 6579-2023 artfynd.xlsx", "A 6579-2023")</f>
        <v/>
      </c>
      <c r="X98">
        <f>HYPERLINK("https://klasma.github.io/Logging_2085/kartor/A 6579-2023 karta.png", "A 6579-2023")</f>
        <v/>
      </c>
      <c r="Y98">
        <f>HYPERLINK("https://klasma.github.io/Logging_2085/kartor_geotiff/A 6579-2023 georefererad karta.tif", "A 6579-2023")</f>
        <v/>
      </c>
      <c r="AA98">
        <f>HYPERLINK("https://klasma.github.io/Logging_2085/klagomål/A 6579-2023 FSC-klagomål.docx", "A 6579-2023")</f>
        <v/>
      </c>
      <c r="AB98">
        <f>HYPERLINK("https://klasma.github.io/Logging_2085/klagomålsmail/A 6579-2023 FSC-klagomål mail.docx", "A 6579-2023")</f>
        <v/>
      </c>
      <c r="AC98">
        <f>HYPERLINK("https://klasma.github.io/Logging_2085/tillsyn/A 6579-2023 tillsynsbegäran.docx", "A 6579-2023")</f>
        <v/>
      </c>
      <c r="AD98">
        <f>HYPERLINK("https://klasma.github.io/Logging_2085/tillsynsmail/A 6579-2023 tillsynsbegäran mail.docx", "A 6579-2023")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46286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Ögonpyrola</t>
        </is>
      </c>
      <c r="W99">
        <f>HYPERLINK("https://klasma.github.io/Logging_2085/artfynd/A 55550-2022 artfynd.xlsx", "A 55550-2022")</f>
        <v/>
      </c>
      <c r="X99">
        <f>HYPERLINK("https://klasma.github.io/Logging_2085/kartor/A 55550-2022 karta.png", "A 55550-2022")</f>
        <v/>
      </c>
      <c r="Y99">
        <f>HYPERLINK("https://klasma.github.io/Logging_2085/kartor_geotiff/A 55550-2022 georefererad karta.tif", "A 55550-2022")</f>
        <v/>
      </c>
      <c r="AA99">
        <f>HYPERLINK("https://klasma.github.io/Logging_2085/klagomål/A 55550-2022 FSC-klagomål.docx", "A 55550-2022")</f>
        <v/>
      </c>
      <c r="AB99">
        <f>HYPERLINK("https://klasma.github.io/Logging_2085/klagomålsmail/A 55550-2022 FSC-klagomål mail.docx", "A 55550-2022")</f>
        <v/>
      </c>
      <c r="AC99">
        <f>HYPERLINK("https://klasma.github.io/Logging_2085/tillsyn/A 55550-2022 tillsynsbegäran.docx", "A 55550-2022")</f>
        <v/>
      </c>
      <c r="AD99">
        <f>HYPERLINK("https://klasma.github.io/Logging_2085/tillsynsmail/A 55550-2022 tillsynsbegäran mail.docx", "A 55550-2022")</f>
        <v/>
      </c>
    </row>
    <row r="100" ht="15" customHeight="1">
      <c r="A100" t="inlineStr">
        <is>
          <t>A 1047-2023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46286</v>
      </c>
      <c r="F100" t="inlineStr">
        <is>
          <t>DALARNAS LÄN</t>
        </is>
      </c>
      <c r="G100" t="inlineStr">
        <is>
          <t>LUDVIKA</t>
        </is>
      </c>
      <c r="H100" t="inlineStr">
        <is>
          <t>Kommuner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HYPERLINK("https://klasma.github.io/Logging_2085/artfynd/A 1047-2023 artfynd.xlsx", "A 1047-2023")</f>
        <v/>
      </c>
      <c r="X100">
        <f>HYPERLINK("https://klasma.github.io/Logging_2085/kartor/A 1047-2023 karta.png", "A 1047-2023")</f>
        <v/>
      </c>
      <c r="Y100">
        <f>HYPERLINK("https://klasma.github.io/Logging_2085/kartor_geotiff/A 1047-2023 georefererad karta.tif", "A 1047-2023")</f>
        <v/>
      </c>
      <c r="AA100">
        <f>HYPERLINK("https://klasma.github.io/Logging_2085/klagomål/A 1047-2023 FSC-klagomål.docx", "A 1047-2023")</f>
        <v/>
      </c>
      <c r="AB100">
        <f>HYPERLINK("https://klasma.github.io/Logging_2085/klagomålsmail/A 1047-2023 FSC-klagomål mail.docx", "A 1047-2023")</f>
        <v/>
      </c>
      <c r="AC100">
        <f>HYPERLINK("https://klasma.github.io/Logging_2085/tillsyn/A 1047-2023 tillsynsbegäran.docx", "A 1047-2023")</f>
        <v/>
      </c>
      <c r="AD100">
        <f>HYPERLINK("https://klasma.github.io/Logging_2085/tillsynsmail/A 1047-2023 tillsynsbegäran mail.docx", "A 1047-2023")</f>
        <v/>
      </c>
    </row>
    <row r="101" ht="15" customHeight="1">
      <c r="A101" t="inlineStr">
        <is>
          <t>A 3687-2024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46286</v>
      </c>
      <c r="F101" t="inlineStr">
        <is>
          <t>DALARNAS LÄN</t>
        </is>
      </c>
      <c r="G101" t="inlineStr">
        <is>
          <t>LUDVIKA</t>
        </is>
      </c>
      <c r="I101" t="n">
        <v>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Nordfladdermus</t>
        </is>
      </c>
      <c r="W101">
        <f>HYPERLINK("https://klasma.github.io/Logging_2085/artfynd/A 3687-2024 artfynd.xlsx", "A 3687-2024")</f>
        <v/>
      </c>
      <c r="X101">
        <f>HYPERLINK("https://klasma.github.io/Logging_2085/kartor/A 3687-2024 karta.png", "A 3687-2024")</f>
        <v/>
      </c>
      <c r="Y101">
        <f>HYPERLINK("https://klasma.github.io/Logging_2085/kartor_geotiff/A 3687-2024 georefererad karta.tif", "A 3687-2024")</f>
        <v/>
      </c>
      <c r="AA101">
        <f>HYPERLINK("https://klasma.github.io/Logging_2085/klagomål/A 3687-2024 FSC-klagomål.docx", "A 3687-2024")</f>
        <v/>
      </c>
      <c r="AB101">
        <f>HYPERLINK("https://klasma.github.io/Logging_2085/klagomålsmail/A 3687-2024 FSC-klagomål mail.docx", "A 3687-2024")</f>
        <v/>
      </c>
      <c r="AC101">
        <f>HYPERLINK("https://klasma.github.io/Logging_2085/tillsyn/A 3687-2024 tillsynsbegäran.docx", "A 3687-2024")</f>
        <v/>
      </c>
      <c r="AD101">
        <f>HYPERLINK("https://klasma.github.io/Logging_2085/tillsynsmail/A 3687-2024 tillsynsbegäran mail.docx", "A 3687-2024")</f>
        <v/>
      </c>
    </row>
    <row r="102" ht="15" customHeight="1">
      <c r="A102" t="inlineStr">
        <is>
          <t>A 33560-2023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45131</v>
      </c>
      <c r="E102" s="1" t="n">
        <v>46286</v>
      </c>
      <c r="F102" t="inlineStr">
        <is>
          <t>DALARNAS LÄN</t>
        </is>
      </c>
      <c r="G102" t="inlineStr">
        <is>
          <t>LUDVIKA</t>
        </is>
      </c>
      <c r="I102" t="n">
        <v>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Mindre vattensalamander</t>
        </is>
      </c>
      <c r="W102">
        <f>HYPERLINK("https://klasma.github.io/Logging_2085/artfynd/A 33560-2023 artfynd.xlsx", "A 33560-2023")</f>
        <v/>
      </c>
      <c r="X102">
        <f>HYPERLINK("https://klasma.github.io/Logging_2085/kartor/A 33560-2023 karta.png", "A 33560-2023")</f>
        <v/>
      </c>
      <c r="Y102">
        <f>HYPERLINK("https://klasma.github.io/Logging_2085/kartor_geotiff/A 33560-2023 georefererad karta.tif", "A 33560-2023")</f>
        <v/>
      </c>
      <c r="AA102">
        <f>HYPERLINK("https://klasma.github.io/Logging_2085/klagomål/A 33560-2023 FSC-klagomål.docx", "A 33560-2023")</f>
        <v/>
      </c>
      <c r="AB102">
        <f>HYPERLINK("https://klasma.github.io/Logging_2085/klagomålsmail/A 33560-2023 FSC-klagomål mail.docx", "A 33560-2023")</f>
        <v/>
      </c>
      <c r="AC102">
        <f>HYPERLINK("https://klasma.github.io/Logging_2085/tillsyn/A 33560-2023 tillsynsbegäran.docx", "A 33560-2023")</f>
        <v/>
      </c>
      <c r="AD102">
        <f>HYPERLINK("https://klasma.github.io/Logging_2085/tillsynsmail/A 33560-2023 tillsynsbegäran mail.docx", "A 33560-2023")</f>
        <v/>
      </c>
    </row>
    <row r="103" ht="15" customHeight="1">
      <c r="A103" t="inlineStr">
        <is>
          <t>A 26850-2023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46286</v>
      </c>
      <c r="F103" t="inlineStr">
        <is>
          <t>DALARNAS LÄN</t>
        </is>
      </c>
      <c r="G103" t="inlineStr">
        <is>
          <t>LUDVIKA</t>
        </is>
      </c>
      <c r="H103" t="inlineStr">
        <is>
          <t>Naturvårdsverket</t>
        </is>
      </c>
      <c r="I103" t="n">
        <v>2.7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HYPERLINK("https://klasma.github.io/Logging_2085/artfynd/A 26850-2023 artfynd.xlsx", "A 26850-2023")</f>
        <v/>
      </c>
      <c r="X103">
        <f>HYPERLINK("https://klasma.github.io/Logging_2085/kartor/A 26850-2023 karta.png", "A 26850-2023")</f>
        <v/>
      </c>
      <c r="Y103">
        <f>HYPERLINK("https://klasma.github.io/Logging_2085/kartor_geotiff/A 26850-2023 georefererad karta.tif", "A 26850-2023")</f>
        <v/>
      </c>
      <c r="AA103">
        <f>HYPERLINK("https://klasma.github.io/Logging_2085/klagomål/A 26850-2023 FSC-klagomål.docx", "A 26850-2023")</f>
        <v/>
      </c>
      <c r="AB103">
        <f>HYPERLINK("https://klasma.github.io/Logging_2085/klagomålsmail/A 26850-2023 FSC-klagomål mail.docx", "A 26850-2023")</f>
        <v/>
      </c>
      <c r="AC103">
        <f>HYPERLINK("https://klasma.github.io/Logging_2085/tillsyn/A 26850-2023 tillsynsbegäran.docx", "A 26850-2023")</f>
        <v/>
      </c>
      <c r="AD103">
        <f>HYPERLINK("https://klasma.github.io/Logging_2085/tillsynsmail/A 26850-2023 tillsynsbegäran mail.docx", "A 26850-2023")</f>
        <v/>
      </c>
    </row>
    <row r="104" ht="15" customHeight="1">
      <c r="A104" t="inlineStr">
        <is>
          <t>A 62275-2022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44923</v>
      </c>
      <c r="E104" s="1" t="n">
        <v>46286</v>
      </c>
      <c r="F104" t="inlineStr">
        <is>
          <t>DALARNAS LÄN</t>
        </is>
      </c>
      <c r="G104" t="inlineStr">
        <is>
          <t>LUDVIKA</t>
        </is>
      </c>
      <c r="I104" t="n">
        <v>4.6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Knärot</t>
        </is>
      </c>
      <c r="W104">
        <f>HYPERLINK("https://klasma.github.io/Logging_2085/artfynd/A 62275-2022 artfynd.xlsx", "A 62275-2022")</f>
        <v/>
      </c>
      <c r="X104">
        <f>HYPERLINK("https://klasma.github.io/Logging_2085/kartor/A 62275-2022 karta.png", "A 62275-2022")</f>
        <v/>
      </c>
      <c r="Y104">
        <f>HYPERLINK("https://klasma.github.io/Logging_2085/kartor_geotiff/A 62275-2022 georefererad karta.tif", "A 62275-2022")</f>
        <v/>
      </c>
      <c r="Z104">
        <f>HYPERLINK("https://klasma.github.io/Logging_2085/knärot/A 62275-2022 karta knärot.png", "A 62275-2022")</f>
        <v/>
      </c>
      <c r="AA104">
        <f>HYPERLINK("https://klasma.github.io/Logging_2085/klagomål/A 62275-2022 FSC-klagomål.docx", "A 62275-2022")</f>
        <v/>
      </c>
      <c r="AB104">
        <f>HYPERLINK("https://klasma.github.io/Logging_2085/klagomålsmail/A 62275-2022 FSC-klagomål mail.docx", "A 62275-2022")</f>
        <v/>
      </c>
      <c r="AC104">
        <f>HYPERLINK("https://klasma.github.io/Logging_2085/tillsyn/A 62275-2022 tillsynsbegäran.docx", "A 62275-2022")</f>
        <v/>
      </c>
      <c r="AD104">
        <f>HYPERLINK("https://klasma.github.io/Logging_2085/tillsynsmail/A 62275-2022 tillsynsbegäran mail.docx", "A 62275-2022")</f>
        <v/>
      </c>
    </row>
    <row r="105" ht="15" customHeight="1">
      <c r="A105" t="inlineStr">
        <is>
          <t>A 25588-2023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45089</v>
      </c>
      <c r="E105" s="1" t="n">
        <v>46286</v>
      </c>
      <c r="F105" t="inlineStr">
        <is>
          <t>DALARNAS LÄN</t>
        </is>
      </c>
      <c r="G105" t="inlineStr">
        <is>
          <t>LUDVIKA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Garnlav</t>
        </is>
      </c>
      <c r="W105">
        <f>HYPERLINK("https://klasma.github.io/Logging_2085/artfynd/A 25588-2023 artfynd.xlsx", "A 25588-2023")</f>
        <v/>
      </c>
      <c r="X105">
        <f>HYPERLINK("https://klasma.github.io/Logging_2085/kartor/A 25588-2023 karta.png", "A 25588-2023")</f>
        <v/>
      </c>
      <c r="Y105">
        <f>HYPERLINK("https://klasma.github.io/Logging_2085/kartor_geotiff/A 25588-2023 georefererad karta.tif", "A 25588-2023")</f>
        <v/>
      </c>
      <c r="AA105">
        <f>HYPERLINK("https://klasma.github.io/Logging_2085/klagomål/A 25588-2023 FSC-klagomål.docx", "A 25588-2023")</f>
        <v/>
      </c>
      <c r="AB105">
        <f>HYPERLINK("https://klasma.github.io/Logging_2085/klagomålsmail/A 25588-2023 FSC-klagomål mail.docx", "A 25588-2023")</f>
        <v/>
      </c>
      <c r="AC105">
        <f>HYPERLINK("https://klasma.github.io/Logging_2085/tillsyn/A 25588-2023 tillsynsbegäran.docx", "A 25588-2023")</f>
        <v/>
      </c>
      <c r="AD105">
        <f>HYPERLINK("https://klasma.github.io/Logging_2085/tillsynsmail/A 25588-2023 tillsynsbegäran mail.docx", "A 25588-2023")</f>
        <v/>
      </c>
    </row>
    <row r="106" ht="15" customHeight="1">
      <c r="A106" t="inlineStr">
        <is>
          <t>A 45791-2025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46286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3.2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Vitfläckig guldvinge</t>
        </is>
      </c>
      <c r="W106">
        <f>HYPERLINK("https://klasma.github.io/Logging_2085/artfynd/A 45791-2025 artfynd.xlsx", "A 45791-2025")</f>
        <v/>
      </c>
      <c r="X106">
        <f>HYPERLINK("https://klasma.github.io/Logging_2085/kartor/A 45791-2025 karta.png", "A 45791-2025")</f>
        <v/>
      </c>
      <c r="Y106">
        <f>HYPERLINK("https://klasma.github.io/Logging_2085/kartor_geotiff/A 45791-2025 georefererad karta.tif", "A 45791-2025")</f>
        <v/>
      </c>
      <c r="AA106">
        <f>HYPERLINK("https://klasma.github.io/Logging_2085/klagomål/A 45791-2025 FSC-klagomål.docx", "A 45791-2025")</f>
        <v/>
      </c>
      <c r="AB106">
        <f>HYPERLINK("https://klasma.github.io/Logging_2085/klagomålsmail/A 45791-2025 FSC-klagomål mail.docx", "A 45791-2025")</f>
        <v/>
      </c>
      <c r="AC106">
        <f>HYPERLINK("https://klasma.github.io/Logging_2085/tillsyn/A 45791-2025 tillsynsbegäran.docx", "A 45791-2025")</f>
        <v/>
      </c>
      <c r="AD106">
        <f>HYPERLINK("https://klasma.github.io/Logging_2085/tillsynsmail/A 45791-2025 tillsynsbegäran mail.docx", "A 45791-2025")</f>
        <v/>
      </c>
    </row>
    <row r="107" ht="15" customHeight="1">
      <c r="A107" t="inlineStr">
        <is>
          <t>A 45858-2025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46286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1.3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Granbarkgnagare</t>
        </is>
      </c>
      <c r="W107">
        <f>HYPERLINK("https://klasma.github.io/Logging_2085/artfynd/A 45858-2025 artfynd.xlsx", "A 45858-2025")</f>
        <v/>
      </c>
      <c r="X107">
        <f>HYPERLINK("https://klasma.github.io/Logging_2085/kartor/A 45858-2025 karta.png", "A 45858-2025")</f>
        <v/>
      </c>
      <c r="Y107">
        <f>HYPERLINK("https://klasma.github.io/Logging_2085/kartor_geotiff/A 45858-2025 georefererad karta.tif", "A 45858-2025")</f>
        <v/>
      </c>
      <c r="AA107">
        <f>HYPERLINK("https://klasma.github.io/Logging_2085/klagomål/A 45858-2025 FSC-klagomål.docx", "A 45858-2025")</f>
        <v/>
      </c>
      <c r="AB107">
        <f>HYPERLINK("https://klasma.github.io/Logging_2085/klagomålsmail/A 45858-2025 FSC-klagomål mail.docx", "A 45858-2025")</f>
        <v/>
      </c>
      <c r="AC107">
        <f>HYPERLINK("https://klasma.github.io/Logging_2085/tillsyn/A 45858-2025 tillsynsbegäran.docx", "A 45858-2025")</f>
        <v/>
      </c>
      <c r="AD107">
        <f>HYPERLINK("https://klasma.github.io/Logging_2085/tillsynsmail/A 45858-2025 tillsynsbegäran mail.docx", "A 45858-2025")</f>
        <v/>
      </c>
    </row>
    <row r="108" ht="15" customHeight="1">
      <c r="A108" t="inlineStr">
        <is>
          <t>A 21880-2026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46286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3.2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21880-2026 artfynd.xlsx", "A 21880-2026")</f>
        <v/>
      </c>
      <c r="X108">
        <f>HYPERLINK("https://klasma.github.io/Logging_2085/kartor/A 21880-2026 karta.png", "A 21880-2026")</f>
        <v/>
      </c>
      <c r="Y108">
        <f>HYPERLINK("https://klasma.github.io/Logging_2085/kartor_geotiff/A 21880-2026 georefererad karta.tif", "A 21880-2026")</f>
        <v/>
      </c>
      <c r="AA108">
        <f>HYPERLINK("https://klasma.github.io/Logging_2085/klagomål/A 21880-2026 FSC-klagomål.docx", "A 21880-2026")</f>
        <v/>
      </c>
      <c r="AB108">
        <f>HYPERLINK("https://klasma.github.io/Logging_2085/klagomålsmail/A 21880-2026 FSC-klagomål mail.docx", "A 21880-2026")</f>
        <v/>
      </c>
      <c r="AC108">
        <f>HYPERLINK("https://klasma.github.io/Logging_2085/tillsyn/A 21880-2026 tillsynsbegäran.docx", "A 21880-2026")</f>
        <v/>
      </c>
      <c r="AD108">
        <f>HYPERLINK("https://klasma.github.io/Logging_2085/tillsynsmail/A 21880-2026 tillsynsbegäran mail.docx", "A 21880-2026")</f>
        <v/>
      </c>
      <c r="AE108">
        <f>HYPERLINK("https://klasma.github.io/Logging_2085/fåglar/A 21880-2026 prioriterade fågelarter.docx", "A 21880-2026")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46286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17987-2025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45761</v>
      </c>
      <c r="E110" s="1" t="n">
        <v>46286</v>
      </c>
      <c r="F110" t="inlineStr">
        <is>
          <t>DALARNAS LÄN</t>
        </is>
      </c>
      <c r="G110" t="inlineStr">
        <is>
          <t>LUDVIKA</t>
        </is>
      </c>
      <c r="I110" t="n">
        <v>0.5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HYPERLINK("https://klasma.github.io/Logging_2085/artfynd/A 17987-2025 artfynd.xlsx", "A 17987-2025")</f>
        <v/>
      </c>
      <c r="X110">
        <f>HYPERLINK("https://klasma.github.io/Logging_2085/kartor/A 17987-2025 karta.png", "A 17987-2025")</f>
        <v/>
      </c>
      <c r="Y110">
        <f>HYPERLINK("https://klasma.github.io/Logging_2085/kartor_geotiff/A 17987-2025 georefererad karta.tif", "A 17987-2025")</f>
        <v/>
      </c>
      <c r="AA110">
        <f>HYPERLINK("https://klasma.github.io/Logging_2085/klagomål/A 17987-2025 FSC-klagomål.docx", "A 17987-2025")</f>
        <v/>
      </c>
      <c r="AB110">
        <f>HYPERLINK("https://klasma.github.io/Logging_2085/klagomålsmail/A 17987-2025 FSC-klagomål mail.docx", "A 17987-2025")</f>
        <v/>
      </c>
      <c r="AC110">
        <f>HYPERLINK("https://klasma.github.io/Logging_2085/tillsyn/A 17987-2025 tillsynsbegäran.docx", "A 17987-2025")</f>
        <v/>
      </c>
      <c r="AD110">
        <f>HYPERLINK("https://klasma.github.io/Logging_2085/tillsynsmail/A 17987-2025 tillsynsbegäran mail.docx", "A 17987-2025")</f>
        <v/>
      </c>
      <c r="AE110">
        <f>HYPERLINK("https://klasma.github.io/Logging_2085/fåglar/A 17987-2025 prioriterade fågelarter.docx", "A 17987-2025")</f>
        <v/>
      </c>
    </row>
    <row r="111" ht="15" customHeight="1">
      <c r="A111" t="inlineStr">
        <is>
          <t>A 21499-2022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46286</v>
      </c>
      <c r="F111" t="inlineStr">
        <is>
          <t>DALARNAS LÄN</t>
        </is>
      </c>
      <c r="G111" t="inlineStr">
        <is>
          <t>LUDVIKA</t>
        </is>
      </c>
      <c r="I111" t="n">
        <v>4.3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Strimspindling</t>
        </is>
      </c>
      <c r="W111">
        <f>HYPERLINK("https://klasma.github.io/Logging_2085/artfynd/A 21499-2022 artfynd.xlsx", "A 21499-2022")</f>
        <v/>
      </c>
      <c r="X111">
        <f>HYPERLINK("https://klasma.github.io/Logging_2085/kartor/A 21499-2022 karta.png", "A 21499-2022")</f>
        <v/>
      </c>
      <c r="Y111">
        <f>HYPERLINK("https://klasma.github.io/Logging_2085/kartor_geotiff/A 21499-2022 georefererad karta.tif", "A 21499-2022")</f>
        <v/>
      </c>
      <c r="AA111">
        <f>HYPERLINK("https://klasma.github.io/Logging_2085/klagomål/A 21499-2022 FSC-klagomål.docx", "A 21499-2022")</f>
        <v/>
      </c>
      <c r="AB111">
        <f>HYPERLINK("https://klasma.github.io/Logging_2085/klagomålsmail/A 21499-2022 FSC-klagomål mail.docx", "A 21499-2022")</f>
        <v/>
      </c>
      <c r="AC111">
        <f>HYPERLINK("https://klasma.github.io/Logging_2085/tillsyn/A 21499-2022 tillsynsbegäran.docx", "A 21499-2022")</f>
        <v/>
      </c>
      <c r="AD111">
        <f>HYPERLINK("https://klasma.github.io/Logging_2085/tillsynsmail/A 21499-2022 tillsynsbegäran mail.docx", "A 21499-2022")</f>
        <v/>
      </c>
    </row>
    <row r="112" ht="15" customHeight="1">
      <c r="A112" t="inlineStr">
        <is>
          <t>A 23720-2026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46163</v>
      </c>
      <c r="E112" s="1" t="n">
        <v>46286</v>
      </c>
      <c r="F112" t="inlineStr">
        <is>
          <t>DALARNAS LÄN</t>
        </is>
      </c>
      <c r="G112" t="inlineStr">
        <is>
          <t>LUDVIKA</t>
        </is>
      </c>
      <c r="I112" t="n">
        <v>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HYPERLINK("https://klasma.github.io/Logging_2085/artfynd/A 23720-2026 artfynd.xlsx", "A 23720-2026")</f>
        <v/>
      </c>
      <c r="X112">
        <f>HYPERLINK("https://klasma.github.io/Logging_2085/kartor/A 23720-2026 karta.png", "A 23720-2026")</f>
        <v/>
      </c>
      <c r="Y112">
        <f>HYPERLINK("https://klasma.github.io/Logging_2085/kartor_geotiff/A 23720-2026 georefererad karta.tif", "A 23720-2026")</f>
        <v/>
      </c>
      <c r="AA112">
        <f>HYPERLINK("https://klasma.github.io/Logging_2085/klagomål/A 23720-2026 FSC-klagomål.docx", "A 23720-2026")</f>
        <v/>
      </c>
      <c r="AB112">
        <f>HYPERLINK("https://klasma.github.io/Logging_2085/klagomålsmail/A 23720-2026 FSC-klagomål mail.docx", "A 23720-2026")</f>
        <v/>
      </c>
      <c r="AC112">
        <f>HYPERLINK("https://klasma.github.io/Logging_2085/tillsyn/A 23720-2026 tillsynsbegäran.docx", "A 23720-2026")</f>
        <v/>
      </c>
      <c r="AD112">
        <f>HYPERLINK("https://klasma.github.io/Logging_2085/tillsynsmail/A 23720-2026 tillsynsbegäran mail.docx", "A 23720-2026")</f>
        <v/>
      </c>
      <c r="AE112">
        <f>HYPERLINK("https://klasma.github.io/Logging_2085/fåglar/A 23720-2026 prioriterade fågelarter.docx", "A 23720-2026")</f>
        <v/>
      </c>
    </row>
    <row r="113" ht="15" customHeight="1">
      <c r="A113" t="inlineStr">
        <is>
          <t>A 59873-2025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46286</v>
      </c>
      <c r="F113" t="inlineStr">
        <is>
          <t>DALARNAS LÄN</t>
        </is>
      </c>
      <c r="G113" t="inlineStr">
        <is>
          <t>LUDVIKA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Lateritticka</t>
        </is>
      </c>
      <c r="W113">
        <f>HYPERLINK("https://klasma.github.io/Logging_2085/artfynd/A 59873-2025 artfynd.xlsx", "A 59873-2025")</f>
        <v/>
      </c>
      <c r="X113">
        <f>HYPERLINK("https://klasma.github.io/Logging_2085/kartor/A 59873-2025 karta.png", "A 59873-2025")</f>
        <v/>
      </c>
      <c r="Y113">
        <f>HYPERLINK("https://klasma.github.io/Logging_2085/kartor_geotiff/A 59873-2025 georefererad karta.tif", "A 59873-2025")</f>
        <v/>
      </c>
      <c r="AA113">
        <f>HYPERLINK("https://klasma.github.io/Logging_2085/klagomål/A 59873-2025 FSC-klagomål.docx", "A 59873-2025")</f>
        <v/>
      </c>
      <c r="AB113">
        <f>HYPERLINK("https://klasma.github.io/Logging_2085/klagomålsmail/A 59873-2025 FSC-klagomål mail.docx", "A 59873-2025")</f>
        <v/>
      </c>
      <c r="AC113">
        <f>HYPERLINK("https://klasma.github.io/Logging_2085/tillsyn/A 59873-2025 tillsynsbegäran.docx", "A 59873-2025")</f>
        <v/>
      </c>
      <c r="AD113">
        <f>HYPERLINK("https://klasma.github.io/Logging_2085/tillsynsmail/A 59873-2025 tillsynsbegäran mail.docx", "A 59873-2025")</f>
        <v/>
      </c>
    </row>
    <row r="114" ht="15" customHeight="1">
      <c r="A114" t="inlineStr">
        <is>
          <t>A 23778-2026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46164</v>
      </c>
      <c r="E114" s="1" t="n">
        <v>46286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HYPERLINK("https://klasma.github.io/Logging_2085/artfynd/A 23778-2026 artfynd.xlsx", "A 23778-2026")</f>
        <v/>
      </c>
      <c r="X114">
        <f>HYPERLINK("https://klasma.github.io/Logging_2085/kartor/A 23778-2026 karta.png", "A 23778-2026")</f>
        <v/>
      </c>
      <c r="Y114">
        <f>HYPERLINK("https://klasma.github.io/Logging_2085/kartor_geotiff/A 23778-2026 georefererad karta.tif", "A 23778-2026")</f>
        <v/>
      </c>
      <c r="AA114">
        <f>HYPERLINK("https://klasma.github.io/Logging_2085/klagomål/A 23778-2026 FSC-klagomål.docx", "A 23778-2026")</f>
        <v/>
      </c>
      <c r="AB114">
        <f>HYPERLINK("https://klasma.github.io/Logging_2085/klagomålsmail/A 23778-2026 FSC-klagomål mail.docx", "A 23778-2026")</f>
        <v/>
      </c>
      <c r="AC114">
        <f>HYPERLINK("https://klasma.github.io/Logging_2085/tillsyn/A 23778-2026 tillsynsbegäran.docx", "A 23778-2026")</f>
        <v/>
      </c>
      <c r="AD114">
        <f>HYPERLINK("https://klasma.github.io/Logging_2085/tillsynsmail/A 23778-2026 tillsynsbegäran mail.docx", "A 23778-2026")</f>
        <v/>
      </c>
      <c r="AE114">
        <f>HYPERLINK("https://klasma.github.io/Logging_2085/fåglar/A 23778-2026 prioriterade fågelarter.docx", "A 23778-2026")</f>
        <v/>
      </c>
    </row>
    <row r="115" ht="15" customHeight="1">
      <c r="A115" t="inlineStr">
        <is>
          <t>A 62676-2025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46286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4.2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HYPERLINK("https://klasma.github.io/Logging_2085/artfynd/A 62676-2025 artfynd.xlsx", "A 62676-2025")</f>
        <v/>
      </c>
      <c r="X115">
        <f>HYPERLINK("https://klasma.github.io/Logging_2085/kartor/A 62676-2025 karta.png", "A 62676-2025")</f>
        <v/>
      </c>
      <c r="Y115">
        <f>HYPERLINK("https://klasma.github.io/Logging_2085/kartor_geotiff/A 62676-2025 georefererad karta.tif", "A 62676-2025")</f>
        <v/>
      </c>
      <c r="AA115">
        <f>HYPERLINK("https://klasma.github.io/Logging_2085/klagomål/A 62676-2025 FSC-klagomål.docx", "A 62676-2025")</f>
        <v/>
      </c>
      <c r="AB115">
        <f>HYPERLINK("https://klasma.github.io/Logging_2085/klagomålsmail/A 62676-2025 FSC-klagomål mail.docx", "A 62676-2025")</f>
        <v/>
      </c>
      <c r="AC115">
        <f>HYPERLINK("https://klasma.github.io/Logging_2085/tillsyn/A 62676-2025 tillsynsbegäran.docx", "A 62676-2025")</f>
        <v/>
      </c>
      <c r="AD115">
        <f>HYPERLINK("https://klasma.github.io/Logging_2085/tillsynsmail/A 62676-2025 tillsynsbegäran mail.docx", "A 62676-2025")</f>
        <v/>
      </c>
    </row>
    <row r="116" ht="15" customHeight="1">
      <c r="A116" t="inlineStr">
        <is>
          <t>A 400-2023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44929</v>
      </c>
      <c r="E116" s="1" t="n">
        <v>46286</v>
      </c>
      <c r="F116" t="inlineStr">
        <is>
          <t>DALARNAS LÄN</t>
        </is>
      </c>
      <c r="G116" t="inlineStr">
        <is>
          <t>LUDVIKA</t>
        </is>
      </c>
      <c r="I116" t="n">
        <v>3.6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HYPERLINK("https://klasma.github.io/Logging_2085/artfynd/A 400-2023 artfynd.xlsx", "A 400-2023")</f>
        <v/>
      </c>
      <c r="X116">
        <f>HYPERLINK("https://klasma.github.io/Logging_2085/kartor/A 400-2023 karta.png", "A 400-2023")</f>
        <v/>
      </c>
      <c r="Y116">
        <f>HYPERLINK("https://klasma.github.io/Logging_2085/kartor_geotiff/A 400-2023 georefererad karta.tif", "A 400-2023")</f>
        <v/>
      </c>
      <c r="AA116">
        <f>HYPERLINK("https://klasma.github.io/Logging_2085/klagomål/A 400-2023 FSC-klagomål.docx", "A 400-2023")</f>
        <v/>
      </c>
      <c r="AB116">
        <f>HYPERLINK("https://klasma.github.io/Logging_2085/klagomålsmail/A 400-2023 FSC-klagomål mail.docx", "A 400-2023")</f>
        <v/>
      </c>
      <c r="AC116">
        <f>HYPERLINK("https://klasma.github.io/Logging_2085/tillsyn/A 400-2023 tillsynsbegäran.docx", "A 400-2023")</f>
        <v/>
      </c>
      <c r="AD116">
        <f>HYPERLINK("https://klasma.github.io/Logging_2085/tillsynsmail/A 400-2023 tillsynsbegäran mail.docx", "A 400-2023")</f>
        <v/>
      </c>
    </row>
    <row r="117" ht="15" customHeight="1">
      <c r="A117" t="inlineStr">
        <is>
          <t>A 31478-2023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45114</v>
      </c>
      <c r="E117" s="1" t="n">
        <v>46286</v>
      </c>
      <c r="F117" t="inlineStr">
        <is>
          <t>DALARNAS LÄN</t>
        </is>
      </c>
      <c r="G117" t="inlineStr">
        <is>
          <t>LUDVIKA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HYPERLINK("https://klasma.github.io/Logging_2085/artfynd/A 31478-2023 artfynd.xlsx", "A 31478-2023")</f>
        <v/>
      </c>
      <c r="X117">
        <f>HYPERLINK("https://klasma.github.io/Logging_2085/kartor/A 31478-2023 karta.png", "A 31478-2023")</f>
        <v/>
      </c>
      <c r="Y117">
        <f>HYPERLINK("https://klasma.github.io/Logging_2085/kartor_geotiff/A 31478-2023 georefererad karta.tif", "A 31478-2023")</f>
        <v/>
      </c>
      <c r="AA117">
        <f>HYPERLINK("https://klasma.github.io/Logging_2085/klagomål/A 31478-2023 FSC-klagomål.docx", "A 31478-2023")</f>
        <v/>
      </c>
      <c r="AB117">
        <f>HYPERLINK("https://klasma.github.io/Logging_2085/klagomålsmail/A 31478-2023 FSC-klagomål mail.docx", "A 31478-2023")</f>
        <v/>
      </c>
      <c r="AC117">
        <f>HYPERLINK("https://klasma.github.io/Logging_2085/tillsyn/A 31478-2023 tillsynsbegäran.docx", "A 31478-2023")</f>
        <v/>
      </c>
      <c r="AD117">
        <f>HYPERLINK("https://klasma.github.io/Logging_2085/tillsynsmail/A 31478-2023 tillsynsbegäran mail.docx", "A 31478-2023")</f>
        <v/>
      </c>
    </row>
    <row r="118" ht="15" customHeight="1">
      <c r="A118" t="inlineStr">
        <is>
          <t>A 25448-2024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45463</v>
      </c>
      <c r="E118" s="1" t="n">
        <v>46286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24.7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Blåsippa</t>
        </is>
      </c>
      <c r="W118">
        <f>HYPERLINK("https://klasma.github.io/Logging_2085/artfynd/A 25448-2024 artfynd.xlsx", "A 25448-2024")</f>
        <v/>
      </c>
      <c r="X118">
        <f>HYPERLINK("https://klasma.github.io/Logging_2085/kartor/A 25448-2024 karta.png", "A 25448-2024")</f>
        <v/>
      </c>
      <c r="Y118">
        <f>HYPERLINK("https://klasma.github.io/Logging_2085/kartor_geotiff/A 25448-2024 georefererad karta.tif", "A 25448-2024")</f>
        <v/>
      </c>
      <c r="AA118">
        <f>HYPERLINK("https://klasma.github.io/Logging_2085/klagomål/A 25448-2024 FSC-klagomål.docx", "A 25448-2024")</f>
        <v/>
      </c>
      <c r="AB118">
        <f>HYPERLINK("https://klasma.github.io/Logging_2085/klagomålsmail/A 25448-2024 FSC-klagomål mail.docx", "A 25448-2024")</f>
        <v/>
      </c>
      <c r="AC118">
        <f>HYPERLINK("https://klasma.github.io/Logging_2085/tillsyn/A 25448-2024 tillsynsbegäran.docx", "A 25448-2024")</f>
        <v/>
      </c>
      <c r="AD118">
        <f>HYPERLINK("https://klasma.github.io/Logging_2085/tillsynsmail/A 25448-2024 tillsynsbegäran mail.docx", "A 25448-2024")</f>
        <v/>
      </c>
    </row>
    <row r="119" ht="15" customHeight="1">
      <c r="A119" t="inlineStr">
        <is>
          <t>A 63005-2025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46286</v>
      </c>
      <c r="F119" t="inlineStr">
        <is>
          <t>DALARNAS LÄN</t>
        </is>
      </c>
      <c r="G119" t="inlineStr">
        <is>
          <t>LUDVIKA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63005-2025 artfynd.xlsx", "A 63005-2025")</f>
        <v/>
      </c>
      <c r="X119">
        <f>HYPERLINK("https://klasma.github.io/Logging_2085/kartor/A 63005-2025 karta.png", "A 63005-2025")</f>
        <v/>
      </c>
      <c r="Y119">
        <f>HYPERLINK("https://klasma.github.io/Logging_2085/kartor_geotiff/A 63005-2025 georefererad karta.tif", "A 63005-2025")</f>
        <v/>
      </c>
      <c r="AA119">
        <f>HYPERLINK("https://klasma.github.io/Logging_2085/klagomål/A 63005-2025 FSC-klagomål.docx", "A 63005-2025")</f>
        <v/>
      </c>
      <c r="AB119">
        <f>HYPERLINK("https://klasma.github.io/Logging_2085/klagomålsmail/A 63005-2025 FSC-klagomål mail.docx", "A 63005-2025")</f>
        <v/>
      </c>
      <c r="AC119">
        <f>HYPERLINK("https://klasma.github.io/Logging_2085/tillsyn/A 63005-2025 tillsynsbegäran.docx", "A 63005-2025")</f>
        <v/>
      </c>
      <c r="AD119">
        <f>HYPERLINK("https://klasma.github.io/Logging_2085/tillsynsmail/A 63005-2025 tillsynsbegäran mail.docx", "A 63005-2025")</f>
        <v/>
      </c>
      <c r="AE119">
        <f>HYPERLINK("https://klasma.github.io/Logging_2085/fåglar/A 63005-2025 prioriterade fågelarter.docx", "A 63005-2025")</f>
        <v/>
      </c>
    </row>
    <row r="120" ht="15" customHeight="1">
      <c r="A120" t="inlineStr">
        <is>
          <t>A 25159-2026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46175</v>
      </c>
      <c r="E120" s="1" t="n">
        <v>46286</v>
      </c>
      <c r="F120" t="inlineStr">
        <is>
          <t>DALARNAS LÄN</t>
        </is>
      </c>
      <c r="G120" t="inlineStr">
        <is>
          <t>LUDVIKA</t>
        </is>
      </c>
      <c r="I120" t="n">
        <v>2.3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Tibast</t>
        </is>
      </c>
      <c r="W120">
        <f>HYPERLINK("https://klasma.github.io/Logging_2085/artfynd/A 25159-2026 artfynd.xlsx", "A 25159-2026")</f>
        <v/>
      </c>
      <c r="X120">
        <f>HYPERLINK("https://klasma.github.io/Logging_2085/kartor/A 25159-2026 karta.png", "A 25159-2026")</f>
        <v/>
      </c>
      <c r="Y120">
        <f>HYPERLINK("https://klasma.github.io/Logging_2085/kartor_geotiff/A 25159-2026 georefererad karta.tif", "A 25159-2026")</f>
        <v/>
      </c>
      <c r="AA120">
        <f>HYPERLINK("https://klasma.github.io/Logging_2085/klagomål/A 25159-2026 FSC-klagomål.docx", "A 25159-2026")</f>
        <v/>
      </c>
      <c r="AB120">
        <f>HYPERLINK("https://klasma.github.io/Logging_2085/klagomålsmail/A 25159-2026 FSC-klagomål mail.docx", "A 25159-2026")</f>
        <v/>
      </c>
      <c r="AC120">
        <f>HYPERLINK("https://klasma.github.io/Logging_2085/tillsyn/A 25159-2026 tillsynsbegäran.docx", "A 25159-2026")</f>
        <v/>
      </c>
      <c r="AD120">
        <f>HYPERLINK("https://klasma.github.io/Logging_2085/tillsynsmail/A 25159-2026 tillsynsbegäran mail.docx", "A 25159-2026")</f>
        <v/>
      </c>
    </row>
    <row r="121" ht="15" customHeight="1">
      <c r="A121" t="inlineStr">
        <is>
          <t>A 59947-2025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46286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0.5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Tjäder</t>
        </is>
      </c>
      <c r="W121">
        <f>HYPERLINK("https://klasma.github.io/Logging_2085/artfynd/A 59947-2025 artfynd.xlsx", "A 59947-2025")</f>
        <v/>
      </c>
      <c r="X121">
        <f>HYPERLINK("https://klasma.github.io/Logging_2085/kartor/A 59947-2025 karta.png", "A 59947-2025")</f>
        <v/>
      </c>
      <c r="Y121">
        <f>HYPERLINK("https://klasma.github.io/Logging_2085/kartor_geotiff/A 59947-2025 georefererad karta.tif", "A 59947-2025")</f>
        <v/>
      </c>
      <c r="AA121">
        <f>HYPERLINK("https://klasma.github.io/Logging_2085/klagomål/A 59947-2025 FSC-klagomål.docx", "A 59947-2025")</f>
        <v/>
      </c>
      <c r="AB121">
        <f>HYPERLINK("https://klasma.github.io/Logging_2085/klagomålsmail/A 59947-2025 FSC-klagomål mail.docx", "A 59947-2025")</f>
        <v/>
      </c>
      <c r="AC121">
        <f>HYPERLINK("https://klasma.github.io/Logging_2085/tillsyn/A 59947-2025 tillsynsbegäran.docx", "A 59947-2025")</f>
        <v/>
      </c>
      <c r="AD121">
        <f>HYPERLINK("https://klasma.github.io/Logging_2085/tillsynsmail/A 59947-2025 tillsynsbegäran mail.docx", "A 59947-2025")</f>
        <v/>
      </c>
      <c r="AE121">
        <f>HYPERLINK("https://klasma.github.io/Logging_2085/fåglar/A 59947-2025 prioriterade fågelarter.docx", "A 59947-2025")</f>
        <v/>
      </c>
    </row>
    <row r="122" ht="15" customHeight="1">
      <c r="A122" t="inlineStr">
        <is>
          <t>A 56655-2025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45975</v>
      </c>
      <c r="E122" s="1" t="n">
        <v>46286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8.5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56655-2025 artfynd.xlsx", "A 56655-2025")</f>
        <v/>
      </c>
      <c r="X122">
        <f>HYPERLINK("https://klasma.github.io/Logging_2085/kartor/A 56655-2025 karta.png", "A 56655-2025")</f>
        <v/>
      </c>
      <c r="Y122">
        <f>HYPERLINK("https://klasma.github.io/Logging_2085/kartor_geotiff/A 56655-2025 georefererad karta.tif", "A 56655-2025")</f>
        <v/>
      </c>
      <c r="AA122">
        <f>HYPERLINK("https://klasma.github.io/Logging_2085/klagomål/A 56655-2025 FSC-klagomål.docx", "A 56655-2025")</f>
        <v/>
      </c>
      <c r="AB122">
        <f>HYPERLINK("https://klasma.github.io/Logging_2085/klagomålsmail/A 56655-2025 FSC-klagomål mail.docx", "A 56655-2025")</f>
        <v/>
      </c>
      <c r="AC122">
        <f>HYPERLINK("https://klasma.github.io/Logging_2085/tillsyn/A 56655-2025 tillsynsbegäran.docx", "A 56655-2025")</f>
        <v/>
      </c>
      <c r="AD122">
        <f>HYPERLINK("https://klasma.github.io/Logging_2085/tillsynsmail/A 56655-2025 tillsynsbegäran mail.docx", "A 56655-2025")</f>
        <v/>
      </c>
      <c r="AE122">
        <f>HYPERLINK("https://klasma.github.io/Logging_2085/fåglar/A 56655-2025 prioriterade fågelarter.docx", "A 56655-2025")</f>
        <v/>
      </c>
    </row>
    <row r="123" ht="15" customHeight="1">
      <c r="A123" t="inlineStr">
        <is>
          <t>A 12093-2023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46286</v>
      </c>
      <c r="F123" t="inlineStr">
        <is>
          <t>DALARNAS LÄN</t>
        </is>
      </c>
      <c r="G123" t="inlineStr">
        <is>
          <t>LUDVIKA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Bitter taggsvamp</t>
        </is>
      </c>
      <c r="W123">
        <f>HYPERLINK("https://klasma.github.io/Logging_2085/artfynd/A 12093-2023 artfynd.xlsx", "A 12093-2023")</f>
        <v/>
      </c>
      <c r="X123">
        <f>HYPERLINK("https://klasma.github.io/Logging_2085/kartor/A 12093-2023 karta.png", "A 12093-2023")</f>
        <v/>
      </c>
      <c r="Y123">
        <f>HYPERLINK("https://klasma.github.io/Logging_2085/kartor_geotiff/A 12093-2023 georefererad karta.tif", "A 12093-2023")</f>
        <v/>
      </c>
      <c r="AA123">
        <f>HYPERLINK("https://klasma.github.io/Logging_2085/klagomål/A 12093-2023 FSC-klagomål.docx", "A 12093-2023")</f>
        <v/>
      </c>
      <c r="AB123">
        <f>HYPERLINK("https://klasma.github.io/Logging_2085/klagomålsmail/A 12093-2023 FSC-klagomål mail.docx", "A 12093-2023")</f>
        <v/>
      </c>
      <c r="AC123">
        <f>HYPERLINK("https://klasma.github.io/Logging_2085/tillsyn/A 12093-2023 tillsynsbegäran.docx", "A 12093-2023")</f>
        <v/>
      </c>
      <c r="AD123">
        <f>HYPERLINK("https://klasma.github.io/Logging_2085/tillsynsmail/A 12093-2023 tillsynsbegäran mail.docx", "A 12093-2023")</f>
        <v/>
      </c>
    </row>
    <row r="124" ht="15" customHeight="1">
      <c r="A124" t="inlineStr">
        <is>
          <t>A 49660-2024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45596</v>
      </c>
      <c r="E124" s="1" t="n">
        <v>46286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Mörk husmossa</t>
        </is>
      </c>
      <c r="W124">
        <f>HYPERLINK("https://klasma.github.io/Logging_2085/artfynd/A 49660-2024 artfynd.xlsx", "A 49660-2024")</f>
        <v/>
      </c>
      <c r="X124">
        <f>HYPERLINK("https://klasma.github.io/Logging_2085/kartor/A 49660-2024 karta.png", "A 49660-2024")</f>
        <v/>
      </c>
      <c r="Y124">
        <f>HYPERLINK("https://klasma.github.io/Logging_2085/kartor_geotiff/A 49660-2024 georefererad karta.tif", "A 49660-2024")</f>
        <v/>
      </c>
      <c r="AA124">
        <f>HYPERLINK("https://klasma.github.io/Logging_2085/klagomål/A 49660-2024 FSC-klagomål.docx", "A 49660-2024")</f>
        <v/>
      </c>
      <c r="AB124">
        <f>HYPERLINK("https://klasma.github.io/Logging_2085/klagomålsmail/A 49660-2024 FSC-klagomål mail.docx", "A 49660-2024")</f>
        <v/>
      </c>
      <c r="AC124">
        <f>HYPERLINK("https://klasma.github.io/Logging_2085/tillsyn/A 49660-2024 tillsynsbegäran.docx", "A 49660-2024")</f>
        <v/>
      </c>
      <c r="AD124">
        <f>HYPERLINK("https://klasma.github.io/Logging_2085/tillsynsmail/A 49660-2024 tillsynsbegäran mail.docx", "A 49660-2024")</f>
        <v/>
      </c>
    </row>
    <row r="125" ht="15" customHeight="1">
      <c r="A125" t="inlineStr">
        <is>
          <t>A 60787-2024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45644</v>
      </c>
      <c r="E125" s="1" t="n">
        <v>46286</v>
      </c>
      <c r="F125" t="inlineStr">
        <is>
          <t>DALARNAS LÄN</t>
        </is>
      </c>
      <c r="G125" t="inlineStr">
        <is>
          <t>LUDVIKA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HYPERLINK("https://klasma.github.io/Logging_2085/artfynd/A 60787-2024 artfynd.xlsx", "A 60787-2024")</f>
        <v/>
      </c>
      <c r="X125">
        <f>HYPERLINK("https://klasma.github.io/Logging_2085/kartor/A 60787-2024 karta.png", "A 60787-2024")</f>
        <v/>
      </c>
      <c r="Y125">
        <f>HYPERLINK("https://klasma.github.io/Logging_2085/kartor_geotiff/A 60787-2024 georefererad karta.tif", "A 60787-2024")</f>
        <v/>
      </c>
      <c r="AA125">
        <f>HYPERLINK("https://klasma.github.io/Logging_2085/klagomål/A 60787-2024 FSC-klagomål.docx", "A 60787-2024")</f>
        <v/>
      </c>
      <c r="AB125">
        <f>HYPERLINK("https://klasma.github.io/Logging_2085/klagomålsmail/A 60787-2024 FSC-klagomål mail.docx", "A 60787-2024")</f>
        <v/>
      </c>
      <c r="AC125">
        <f>HYPERLINK("https://klasma.github.io/Logging_2085/tillsyn/A 60787-2024 tillsynsbegäran.docx", "A 60787-2024")</f>
        <v/>
      </c>
      <c r="AD125">
        <f>HYPERLINK("https://klasma.github.io/Logging_2085/tillsynsmail/A 60787-2024 tillsynsbegäran mail.docx", "A 60787-2024")</f>
        <v/>
      </c>
      <c r="AE125">
        <f>HYPERLINK("https://klasma.github.io/Logging_2085/fåglar/A 60787-2024 prioriterade fågelarter.docx", "A 60787-2024")</f>
        <v/>
      </c>
    </row>
    <row r="126" ht="15" customHeight="1">
      <c r="A126" t="inlineStr">
        <is>
          <t>A 33399-2026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46247</v>
      </c>
      <c r="E126" s="1" t="n">
        <v>46286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Järpe</t>
        </is>
      </c>
      <c r="W126">
        <f>HYPERLINK("https://klasma.github.io/Logging_2085/artfynd/A 33399-2026 artfynd.xlsx", "A 33399-2026")</f>
        <v/>
      </c>
      <c r="X126">
        <f>HYPERLINK("https://klasma.github.io/Logging_2085/kartor/A 33399-2026 karta.png", "A 33399-2026")</f>
        <v/>
      </c>
      <c r="Y126">
        <f>HYPERLINK("https://klasma.github.io/Logging_2085/kartor_geotiff/A 33399-2026 georefererad karta.tif", "A 33399-2026")</f>
        <v/>
      </c>
      <c r="AA126">
        <f>HYPERLINK("https://klasma.github.io/Logging_2085/klagomål/A 33399-2026 FSC-klagomål.docx", "A 33399-2026")</f>
        <v/>
      </c>
      <c r="AB126">
        <f>HYPERLINK("https://klasma.github.io/Logging_2085/klagomålsmail/A 33399-2026 FSC-klagomål mail.docx", "A 33399-2026")</f>
        <v/>
      </c>
      <c r="AC126">
        <f>HYPERLINK("https://klasma.github.io/Logging_2085/tillsyn/A 33399-2026 tillsynsbegäran.docx", "A 33399-2026")</f>
        <v/>
      </c>
      <c r="AD126">
        <f>HYPERLINK("https://klasma.github.io/Logging_2085/tillsynsmail/A 33399-2026 tillsynsbegäran mail.docx", "A 33399-2026")</f>
        <v/>
      </c>
      <c r="AE126">
        <f>HYPERLINK("https://klasma.github.io/Logging_2085/fåglar/A 33399-2026 prioriterade fågelarter.docx", "A 33399-2026")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46286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35652-2026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46265</v>
      </c>
      <c r="E128" s="1" t="n">
        <v>46286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Garnlav</t>
        </is>
      </c>
      <c r="W128">
        <f>HYPERLINK("https://klasma.github.io/Logging_2085/artfynd/A 35652-2026 artfynd.xlsx", "A 35652-2026")</f>
        <v/>
      </c>
      <c r="X128">
        <f>HYPERLINK("https://klasma.github.io/Logging_2085/kartor/A 35652-2026 karta.png", "A 35652-2026")</f>
        <v/>
      </c>
      <c r="Y128">
        <f>HYPERLINK("https://klasma.github.io/Logging_2085/kartor_geotiff/A 35652-2026 georefererad karta.tif", "A 35652-2026")</f>
        <v/>
      </c>
      <c r="AA128">
        <f>HYPERLINK("https://klasma.github.io/Logging_2085/klagomål/A 35652-2026 FSC-klagomål.docx", "A 35652-2026")</f>
        <v/>
      </c>
      <c r="AB128">
        <f>HYPERLINK("https://klasma.github.io/Logging_2085/klagomålsmail/A 35652-2026 FSC-klagomål mail.docx", "A 35652-2026")</f>
        <v/>
      </c>
      <c r="AC128">
        <f>HYPERLINK("https://klasma.github.io/Logging_2085/tillsyn/A 35652-2026 tillsynsbegäran.docx", "A 35652-2026")</f>
        <v/>
      </c>
      <c r="AD128">
        <f>HYPERLINK("https://klasma.github.io/Logging_2085/tillsynsmail/A 35652-2026 tillsynsbegäran mail.docx", "A 35652-2026")</f>
        <v/>
      </c>
    </row>
    <row r="129" ht="15" customHeight="1">
      <c r="A129" t="inlineStr">
        <is>
          <t>A 36478-2026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46269</v>
      </c>
      <c r="E129" s="1" t="n">
        <v>46286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Skogsalm</t>
        </is>
      </c>
      <c r="W129">
        <f>HYPERLINK("https://klasma.github.io/Logging_2085/artfynd/A 36478-2026 artfynd.xlsx", "A 36478-2026")</f>
        <v/>
      </c>
      <c r="X129">
        <f>HYPERLINK("https://klasma.github.io/Logging_2085/kartor/A 36478-2026 karta.png", "A 36478-2026")</f>
        <v/>
      </c>
      <c r="Y129">
        <f>HYPERLINK("https://klasma.github.io/Logging_2085/kartor_geotiff/A 36478-2026 georefererad karta.tif", "A 36478-2026")</f>
        <v/>
      </c>
      <c r="AA129">
        <f>HYPERLINK("https://klasma.github.io/Logging_2085/klagomål/A 36478-2026 FSC-klagomål.docx", "A 36478-2026")</f>
        <v/>
      </c>
      <c r="AB129">
        <f>HYPERLINK("https://klasma.github.io/Logging_2085/klagomålsmail/A 36478-2026 FSC-klagomål mail.docx", "A 36478-2026")</f>
        <v/>
      </c>
      <c r="AC129">
        <f>HYPERLINK("https://klasma.github.io/Logging_2085/tillsyn/A 36478-2026 tillsynsbegäran.docx", "A 36478-2026")</f>
        <v/>
      </c>
      <c r="AD129">
        <f>HYPERLINK("https://klasma.github.io/Logging_2085/tillsynsmail/A 36478-2026 tillsynsbegäran mail.docx", "A 36478-2026")</f>
        <v/>
      </c>
    </row>
    <row r="130" ht="15" customHeight="1">
      <c r="A130" t="inlineStr">
        <is>
          <t>A 37560-2026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46276</v>
      </c>
      <c r="E130" s="1" t="n">
        <v>46286</v>
      </c>
      <c r="F130" t="inlineStr">
        <is>
          <t>DALARNAS LÄN</t>
        </is>
      </c>
      <c r="G130" t="inlineStr">
        <is>
          <t>LUDVIKA</t>
        </is>
      </c>
      <c r="H130" t="inlineStr">
        <is>
          <t>Naturvårdsverket</t>
        </is>
      </c>
      <c r="I130" t="n">
        <v>0.9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Motaggsvamp</t>
        </is>
      </c>
      <c r="W130">
        <f>HYPERLINK("https://klasma.github.io/Logging_2085/artfynd/A 37560-2026 artfynd.xlsx", "A 37560-2026")</f>
        <v/>
      </c>
      <c r="X130">
        <f>HYPERLINK("https://klasma.github.io/Logging_2085/kartor/A 37560-2026 karta.png", "A 37560-2026")</f>
        <v/>
      </c>
      <c r="Y130">
        <f>HYPERLINK("https://klasma.github.io/Logging_2085/kartor_geotiff/A 37560-2026 georefererad karta.tif", "A 37560-2026")</f>
        <v/>
      </c>
      <c r="AA130">
        <f>HYPERLINK("https://klasma.github.io/Logging_2085/klagomål/A 37560-2026 FSC-klagomål.docx", "A 37560-2026")</f>
        <v/>
      </c>
      <c r="AB130">
        <f>HYPERLINK("https://klasma.github.io/Logging_2085/klagomålsmail/A 37560-2026 FSC-klagomål mail.docx", "A 37560-2026")</f>
        <v/>
      </c>
      <c r="AC130">
        <f>HYPERLINK("https://klasma.github.io/Logging_2085/tillsyn/A 37560-2026 tillsynsbegäran.docx", "A 37560-2026")</f>
        <v/>
      </c>
      <c r="AD130">
        <f>HYPERLINK("https://klasma.github.io/Logging_2085/tillsynsmail/A 37560-2026 tillsynsbegäran mail.docx", "A 37560-2026")</f>
        <v/>
      </c>
    </row>
    <row r="131" ht="15" customHeight="1">
      <c r="A131" t="inlineStr">
        <is>
          <t>A 29882-2024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45486</v>
      </c>
      <c r="E131" s="1" t="n">
        <v>46286</v>
      </c>
      <c r="F131" t="inlineStr">
        <is>
          <t>DALARNAS LÄN</t>
        </is>
      </c>
      <c r="G131" t="inlineStr">
        <is>
          <t>LUDVIKA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Spillkråka</t>
        </is>
      </c>
      <c r="W131">
        <f>HYPERLINK("https://klasma.github.io/Logging_2085/artfynd/A 29882-2024 artfynd.xlsx", "A 29882-2024")</f>
        <v/>
      </c>
      <c r="X131">
        <f>HYPERLINK("https://klasma.github.io/Logging_2085/kartor/A 29882-2024 karta.png", "A 29882-2024")</f>
        <v/>
      </c>
      <c r="Y131">
        <f>HYPERLINK("https://klasma.github.io/Logging_2085/kartor_geotiff/A 29882-2024 georefererad karta.tif", "A 29882-2024")</f>
        <v/>
      </c>
      <c r="AA131">
        <f>HYPERLINK("https://klasma.github.io/Logging_2085/klagomål/A 29882-2024 FSC-klagomål.docx", "A 29882-2024")</f>
        <v/>
      </c>
      <c r="AB131">
        <f>HYPERLINK("https://klasma.github.io/Logging_2085/klagomålsmail/A 29882-2024 FSC-klagomål mail.docx", "A 29882-2024")</f>
        <v/>
      </c>
      <c r="AC131">
        <f>HYPERLINK("https://klasma.github.io/Logging_2085/tillsyn/A 29882-2024 tillsynsbegäran.docx", "A 29882-2024")</f>
        <v/>
      </c>
      <c r="AD131">
        <f>HYPERLINK("https://klasma.github.io/Logging_2085/tillsynsmail/A 29882-2024 tillsynsbegäran mail.docx", "A 29882-2024")</f>
        <v/>
      </c>
      <c r="AE131">
        <f>HYPERLINK("https://klasma.github.io/Logging_2085/fåglar/A 29882-2024 prioriterade fågelarter.docx", "A 29882-2024")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46286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groda</t>
        </is>
      </c>
      <c r="W132">
        <f>HYPERLINK("https://klasma.github.io/Logging_2085/artfynd/A 23102-2025 artfynd.xlsx", "A 23102-2025")</f>
        <v/>
      </c>
      <c r="X132">
        <f>HYPERLINK("https://klasma.github.io/Logging_2085/kartor/A 23102-2025 karta.png", "A 23102-2025")</f>
        <v/>
      </c>
      <c r="Y132">
        <f>HYPERLINK("https://klasma.github.io/Logging_2085/kartor_geotiff/A 23102-2025 georefererad karta.tif", "A 23102-2025")</f>
        <v/>
      </c>
      <c r="AA132">
        <f>HYPERLINK("https://klasma.github.io/Logging_2085/klagomål/A 23102-2025 FSC-klagomål.docx", "A 23102-2025")</f>
        <v/>
      </c>
      <c r="AB132">
        <f>HYPERLINK("https://klasma.github.io/Logging_2085/klagomålsmail/A 23102-2025 FSC-klagomål mail.docx", "A 23102-2025")</f>
        <v/>
      </c>
      <c r="AC132">
        <f>HYPERLINK("https://klasma.github.io/Logging_2085/tillsyn/A 23102-2025 tillsynsbegäran.docx", "A 23102-2025")</f>
        <v/>
      </c>
      <c r="AD132">
        <f>HYPERLINK("https://klasma.github.io/Logging_2085/tillsynsmail/A 23102-2025 tillsynsbegäran mail.docx", "A 23102-2025")</f>
        <v/>
      </c>
    </row>
    <row r="133" ht="15" customHeight="1">
      <c r="A133" t="inlineStr">
        <is>
          <t>A 29733-2025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46286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10.4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Stuplav</t>
        </is>
      </c>
      <c r="W133">
        <f>HYPERLINK("https://klasma.github.io/Logging_2085/artfynd/A 29733-2025 artfynd.xlsx", "A 29733-2025")</f>
        <v/>
      </c>
      <c r="X133">
        <f>HYPERLINK("https://klasma.github.io/Logging_2085/kartor/A 29733-2025 karta.png", "A 29733-2025")</f>
        <v/>
      </c>
      <c r="Y133">
        <f>HYPERLINK("https://klasma.github.io/Logging_2085/kartor_geotiff/A 29733-2025 georefererad karta.tif", "A 29733-2025")</f>
        <v/>
      </c>
      <c r="AA133">
        <f>HYPERLINK("https://klasma.github.io/Logging_2085/klagomål/A 29733-2025 FSC-klagomål.docx", "A 29733-2025")</f>
        <v/>
      </c>
      <c r="AB133">
        <f>HYPERLINK("https://klasma.github.io/Logging_2085/klagomålsmail/A 29733-2025 FSC-klagomål mail.docx", "A 29733-2025")</f>
        <v/>
      </c>
      <c r="AC133">
        <f>HYPERLINK("https://klasma.github.io/Logging_2085/tillsyn/A 29733-2025 tillsynsbegäran.docx", "A 29733-2025")</f>
        <v/>
      </c>
      <c r="AD133">
        <f>HYPERLINK("https://klasma.github.io/Logging_2085/tillsynsmail/A 29733-2025 tillsynsbegäran mail.docx", "A 29733-2025")</f>
        <v/>
      </c>
    </row>
    <row r="134" ht="15" customHeight="1">
      <c r="A134" t="inlineStr">
        <is>
          <t>A 74401-2021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44560</v>
      </c>
      <c r="E134" s="1" t="n">
        <v>46286</v>
      </c>
      <c r="F134" t="inlineStr">
        <is>
          <t>DALARNAS LÄN</t>
        </is>
      </c>
      <c r="G134" t="inlineStr">
        <is>
          <t>LUDVIKA</t>
        </is>
      </c>
      <c r="H134" t="inlineStr">
        <is>
          <t>Kommuner</t>
        </is>
      </c>
      <c r="I134" t="n">
        <v>0.6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Gullgröppa</t>
        </is>
      </c>
      <c r="W134">
        <f>HYPERLINK("https://klasma.github.io/Logging_2085/artfynd/A 74401-2021 artfynd.xlsx", "A 74401-2021")</f>
        <v/>
      </c>
      <c r="X134">
        <f>HYPERLINK("https://klasma.github.io/Logging_2085/kartor/A 74401-2021 karta.png", "A 74401-2021")</f>
        <v/>
      </c>
      <c r="Y134">
        <f>HYPERLINK("https://klasma.github.io/Logging_2085/kartor_geotiff/A 74401-2021 georefererad karta.tif", "A 74401-2021")</f>
        <v/>
      </c>
      <c r="AA134">
        <f>HYPERLINK("https://klasma.github.io/Logging_2085/klagomål/A 74401-2021 FSC-klagomål.docx", "A 74401-2021")</f>
        <v/>
      </c>
      <c r="AB134">
        <f>HYPERLINK("https://klasma.github.io/Logging_2085/klagomålsmail/A 74401-2021 FSC-klagomål mail.docx", "A 74401-2021")</f>
        <v/>
      </c>
      <c r="AC134">
        <f>HYPERLINK("https://klasma.github.io/Logging_2085/tillsyn/A 74401-2021 tillsynsbegäran.docx", "A 74401-2021")</f>
        <v/>
      </c>
      <c r="AD134">
        <f>HYPERLINK("https://klasma.github.io/Logging_2085/tillsynsmail/A 74401-2021 tillsynsbegäran mail.docx", "A 74401-2021")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46286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46286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46286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46286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46286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46286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46286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46286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46286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46286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46286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46286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46286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46286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46286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46286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46286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46286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46286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46286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46286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46286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46286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56996-2021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46286</v>
      </c>
      <c r="F158" t="inlineStr">
        <is>
          <t>DALARNAS LÄN</t>
        </is>
      </c>
      <c r="G158" t="inlineStr">
        <is>
          <t>LUDVIKA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44893</v>
      </c>
      <c r="E159" s="1" t="n">
        <v>46286</v>
      </c>
      <c r="F159" t="inlineStr">
        <is>
          <t>DALARNAS LÄN</t>
        </is>
      </c>
      <c r="G159" t="inlineStr">
        <is>
          <t>LUDVIKA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45569</v>
      </c>
      <c r="E160" s="1" t="n">
        <v>46286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46286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45611</v>
      </c>
      <c r="E162" s="1" t="n">
        <v>46286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46286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3277-2024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45317</v>
      </c>
      <c r="E164" s="1" t="n">
        <v>46286</v>
      </c>
      <c r="F164" t="inlineStr">
        <is>
          <t>DALARNAS LÄN</t>
        </is>
      </c>
      <c r="G164" t="inlineStr">
        <is>
          <t>LUDVIKA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43981-2024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45572</v>
      </c>
      <c r="E165" s="1" t="n">
        <v>46286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46286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46286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46286</v>
      </c>
      <c r="F168" t="inlineStr">
        <is>
          <t>DALARNAS LÄN</t>
        </is>
      </c>
      <c r="G168" t="inlineStr">
        <is>
          <t>LUDVIKA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44841</v>
      </c>
      <c r="E169" s="1" t="n">
        <v>46286</v>
      </c>
      <c r="F169" t="inlineStr">
        <is>
          <t>DALARNAS LÄN</t>
        </is>
      </c>
      <c r="G169" t="inlineStr">
        <is>
          <t>LUDVIKA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49805-2023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46286</v>
      </c>
      <c r="F170" t="inlineStr">
        <is>
          <t>DALARNAS LÄN</t>
        </is>
      </c>
      <c r="G170" t="inlineStr">
        <is>
          <t>LUDVIKA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46286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46286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46286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44960</v>
      </c>
      <c r="E174" s="1" t="n">
        <v>46286</v>
      </c>
      <c r="F174" t="inlineStr">
        <is>
          <t>DALARNAS LÄN</t>
        </is>
      </c>
      <c r="G174" t="inlineStr">
        <is>
          <t>LUDVIKA</t>
        </is>
      </c>
      <c r="H174" t="inlineStr">
        <is>
          <t>Naturvårdsverket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46286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46286</v>
      </c>
      <c r="F176" t="inlineStr">
        <is>
          <t>DALARNAS LÄN</t>
        </is>
      </c>
      <c r="G176" t="inlineStr">
        <is>
          <t>LUDVIKA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45519</v>
      </c>
      <c r="E177" s="1" t="n">
        <v>46286</v>
      </c>
      <c r="F177" t="inlineStr">
        <is>
          <t>DALARNAS LÄN</t>
        </is>
      </c>
      <c r="G177" t="inlineStr">
        <is>
          <t>LUDVIKA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44730</v>
      </c>
      <c r="E178" s="1" t="n">
        <v>46286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45450</v>
      </c>
      <c r="E179" s="1" t="n">
        <v>46286</v>
      </c>
      <c r="F179" t="inlineStr">
        <is>
          <t>DALARNAS LÄN</t>
        </is>
      </c>
      <c r="G179" t="inlineStr">
        <is>
          <t>LUDVIKA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31702-2023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45105</v>
      </c>
      <c r="E180" s="1" t="n">
        <v>46286</v>
      </c>
      <c r="F180" t="inlineStr">
        <is>
          <t>DALARNAS LÄN</t>
        </is>
      </c>
      <c r="G180" t="inlineStr">
        <is>
          <t>LUDVIKA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48740-2022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44859</v>
      </c>
      <c r="E181" s="1" t="n">
        <v>46286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46286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45371</v>
      </c>
      <c r="E183" s="1" t="n">
        <v>46286</v>
      </c>
      <c r="F183" t="inlineStr">
        <is>
          <t>DALARNAS LÄN</t>
        </is>
      </c>
      <c r="G183" t="inlineStr">
        <is>
          <t>LUDVIKA</t>
        </is>
      </c>
      <c r="I183" t="n">
        <v>20.8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45106</v>
      </c>
      <c r="E184" s="1" t="n">
        <v>46286</v>
      </c>
      <c r="F184" t="inlineStr">
        <is>
          <t>DALARNAS LÄN</t>
        </is>
      </c>
      <c r="G184" t="inlineStr">
        <is>
          <t>LUDVIKA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46286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45161</v>
      </c>
      <c r="E186" s="1" t="n">
        <v>46286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46286</v>
      </c>
      <c r="F187" t="inlineStr">
        <is>
          <t>DALARNAS LÄN</t>
        </is>
      </c>
      <c r="G187" t="inlineStr">
        <is>
          <t>LUDVIKA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46286</v>
      </c>
      <c r="F188" t="inlineStr">
        <is>
          <t>DALARNAS LÄN</t>
        </is>
      </c>
      <c r="G188" t="inlineStr">
        <is>
          <t>LUDVIKA</t>
        </is>
      </c>
      <c r="H188" t="inlineStr">
        <is>
          <t>Naturvårdsverket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46286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46286</v>
      </c>
      <c r="F190" t="inlineStr">
        <is>
          <t>DALARNAS LÄN</t>
        </is>
      </c>
      <c r="G190" t="inlineStr">
        <is>
          <t>LUDVIKA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48715-2022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44859</v>
      </c>
      <c r="E191" s="1" t="n">
        <v>46286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45208</v>
      </c>
      <c r="E192" s="1" t="n">
        <v>46286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46286</v>
      </c>
      <c r="F193" t="inlineStr">
        <is>
          <t>DALARNAS LÄN</t>
        </is>
      </c>
      <c r="G193" t="inlineStr">
        <is>
          <t>LUDVIKA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46286</v>
      </c>
      <c r="F194" t="inlineStr">
        <is>
          <t>DALARNAS LÄN</t>
        </is>
      </c>
      <c r="G194" t="inlineStr">
        <is>
          <t>LUDVIKA</t>
        </is>
      </c>
      <c r="H194" t="inlineStr">
        <is>
          <t>Naturvårdsverket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44890</v>
      </c>
      <c r="E195" s="1" t="n">
        <v>46286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46286</v>
      </c>
      <c r="F196" t="inlineStr">
        <is>
          <t>DALARNAS LÄN</t>
        </is>
      </c>
      <c r="G196" t="inlineStr">
        <is>
          <t>LUDVIKA</t>
        </is>
      </c>
      <c r="H196" t="inlineStr">
        <is>
          <t>Sveaskog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46286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45623</v>
      </c>
      <c r="E198" s="1" t="n">
        <v>46286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65195-2021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46286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56685-2022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46286</v>
      </c>
      <c r="F200" t="inlineStr">
        <is>
          <t>DALARNAS LÄN</t>
        </is>
      </c>
      <c r="G200" t="inlineStr">
        <is>
          <t>LUDVIKA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45502</v>
      </c>
      <c r="E201" s="1" t="n">
        <v>46286</v>
      </c>
      <c r="F201" t="inlineStr">
        <is>
          <t>DALARNAS LÄN</t>
        </is>
      </c>
      <c r="G201" t="inlineStr">
        <is>
          <t>LUDVIKA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46286</v>
      </c>
      <c r="F202" t="inlineStr">
        <is>
          <t>DALARNAS LÄN</t>
        </is>
      </c>
      <c r="G202" t="inlineStr">
        <is>
          <t>LUDVIKA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46286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48683-2023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45208</v>
      </c>
      <c r="E204" s="1" t="n">
        <v>46286</v>
      </c>
      <c r="F204" t="inlineStr">
        <is>
          <t>DALARNAS LÄN</t>
        </is>
      </c>
      <c r="G204" t="inlineStr">
        <is>
          <t>LUDVIKA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45246</v>
      </c>
      <c r="E205" s="1" t="n">
        <v>46286</v>
      </c>
      <c r="F205" t="inlineStr">
        <is>
          <t>DALARNAS LÄN</t>
        </is>
      </c>
      <c r="G205" t="inlineStr">
        <is>
          <t>LUDVIKA</t>
        </is>
      </c>
      <c r="I205" t="n">
        <v>12.7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45562</v>
      </c>
      <c r="E206" s="1" t="n">
        <v>46286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49035-2024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45594</v>
      </c>
      <c r="E207" s="1" t="n">
        <v>46286</v>
      </c>
      <c r="F207" t="inlineStr">
        <is>
          <t>DALARNAS LÄN</t>
        </is>
      </c>
      <c r="G207" t="inlineStr">
        <is>
          <t>LUDVIKA</t>
        </is>
      </c>
      <c r="H207" t="inlineStr">
        <is>
          <t>Naturvårdsverket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44916</v>
      </c>
      <c r="E208" s="1" t="n">
        <v>46286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46286</v>
      </c>
      <c r="F209" t="inlineStr">
        <is>
          <t>DALARNAS LÄN</t>
        </is>
      </c>
      <c r="G209" t="inlineStr">
        <is>
          <t>LUDVIKA</t>
        </is>
      </c>
      <c r="H209" t="inlineStr">
        <is>
          <t>Naturvårdsverket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46286</v>
      </c>
      <c r="F210" t="inlineStr">
        <is>
          <t>DALARNAS LÄN</t>
        </is>
      </c>
      <c r="G210" t="inlineStr">
        <is>
          <t>LUDVIKA</t>
        </is>
      </c>
      <c r="H210" t="inlineStr">
        <is>
          <t>Naturvårdsverket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46286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59351-2023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46286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55151-2025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45968</v>
      </c>
      <c r="E213" s="1" t="n">
        <v>46286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10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46286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45849</v>
      </c>
      <c r="E215" s="1" t="n">
        <v>46286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45644</v>
      </c>
      <c r="E216" s="1" t="n">
        <v>46286</v>
      </c>
      <c r="F216" t="inlineStr">
        <is>
          <t>DALARNAS LÄN</t>
        </is>
      </c>
      <c r="G216" t="inlineStr">
        <is>
          <t>LUDVIKA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46286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46286</v>
      </c>
      <c r="F218" t="inlineStr">
        <is>
          <t>DALARNAS LÄN</t>
        </is>
      </c>
      <c r="G218" t="inlineStr">
        <is>
          <t>LUDVIKA</t>
        </is>
      </c>
      <c r="I218" t="n">
        <v>9.800000000000001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46286</v>
      </c>
      <c r="F219" t="inlineStr">
        <is>
          <t>DALARNAS LÄN</t>
        </is>
      </c>
      <c r="G219" t="inlineStr">
        <is>
          <t>LUDVIKA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46286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48642-2022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44859</v>
      </c>
      <c r="E221" s="1" t="n">
        <v>46286</v>
      </c>
      <c r="F221" t="inlineStr">
        <is>
          <t>DALARNAS LÄN</t>
        </is>
      </c>
      <c r="G221" t="inlineStr">
        <is>
          <t>LUDVIKA</t>
        </is>
      </c>
      <c r="H221" t="inlineStr">
        <is>
          <t>Naturvårdsverket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18724-2022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44687</v>
      </c>
      <c r="E222" s="1" t="n">
        <v>46286</v>
      </c>
      <c r="F222" t="inlineStr">
        <is>
          <t>DALARNAS LÄN</t>
        </is>
      </c>
      <c r="G222" t="inlineStr">
        <is>
          <t>LUDVIKA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46136</v>
      </c>
      <c r="E223" s="1" t="n">
        <v>46286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45827</v>
      </c>
      <c r="E224" s="1" t="n">
        <v>46286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45537</v>
      </c>
      <c r="E225" s="1" t="n">
        <v>46286</v>
      </c>
      <c r="F225" t="inlineStr">
        <is>
          <t>DALARNAS LÄN</t>
        </is>
      </c>
      <c r="G225" t="inlineStr">
        <is>
          <t>LUDVIKA</t>
        </is>
      </c>
      <c r="H225" t="inlineStr">
        <is>
          <t>Övriga Aktiebolag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46286</v>
      </c>
      <c r="F226" t="inlineStr">
        <is>
          <t>DALARNAS LÄN</t>
        </is>
      </c>
      <c r="G226" t="inlineStr">
        <is>
          <t>LUDVIKA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45813</v>
      </c>
      <c r="E227" s="1" t="n">
        <v>46286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46286</v>
      </c>
      <c r="F228" t="inlineStr">
        <is>
          <t>DALARNAS LÄN</t>
        </is>
      </c>
      <c r="G228" t="inlineStr">
        <is>
          <t>LUDVIKA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35708-2025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45860</v>
      </c>
      <c r="E229" s="1" t="n">
        <v>46286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44789</v>
      </c>
      <c r="E230" s="1" t="n">
        <v>46286</v>
      </c>
      <c r="F230" t="inlineStr">
        <is>
          <t>DALARNAS LÄN</t>
        </is>
      </c>
      <c r="G230" t="inlineStr">
        <is>
          <t>LUDVIKA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44893</v>
      </c>
      <c r="E231" s="1" t="n">
        <v>46286</v>
      </c>
      <c r="F231" t="inlineStr">
        <is>
          <t>DALARNAS LÄN</t>
        </is>
      </c>
      <c r="G231" t="inlineStr">
        <is>
          <t>LUDVIKA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39754-2025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46286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40246-2025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46286</v>
      </c>
      <c r="F233" t="inlineStr">
        <is>
          <t>DALARNAS LÄN</t>
        </is>
      </c>
      <c r="G233" t="inlineStr">
        <is>
          <t>LUDVIKA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73703-2021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44552</v>
      </c>
      <c r="E234" s="1" t="n">
        <v>46286</v>
      </c>
      <c r="F234" t="inlineStr">
        <is>
          <t>DALARNAS LÄN</t>
        </is>
      </c>
      <c r="G234" t="inlineStr">
        <is>
          <t>LUDVIKA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46286</v>
      </c>
      <c r="F235" t="inlineStr">
        <is>
          <t>DALARNAS LÄN</t>
        </is>
      </c>
      <c r="G235" t="inlineStr">
        <is>
          <t>LUDVIKA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45189</v>
      </c>
      <c r="E236" s="1" t="n">
        <v>46286</v>
      </c>
      <c r="F236" t="inlineStr">
        <is>
          <t>DALARNAS LÄN</t>
        </is>
      </c>
      <c r="G236" t="inlineStr">
        <is>
          <t>LUDVIKA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45629</v>
      </c>
      <c r="E237" s="1" t="n">
        <v>46286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46286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46286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8703-2023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44978</v>
      </c>
      <c r="E240" s="1" t="n">
        <v>46286</v>
      </c>
      <c r="F240" t="inlineStr">
        <is>
          <t>DALARNAS LÄN</t>
        </is>
      </c>
      <c r="G240" t="inlineStr">
        <is>
          <t>LUDVIKA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46286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46286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46286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46286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46286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41090-2022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46286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45799</v>
      </c>
      <c r="E247" s="1" t="n">
        <v>46286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46286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41866-2025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46286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42005-2025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46286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45588</v>
      </c>
      <c r="E251" s="1" t="n">
        <v>46286</v>
      </c>
      <c r="F251" t="inlineStr">
        <is>
          <t>DALARNAS LÄN</t>
        </is>
      </c>
      <c r="G251" t="inlineStr">
        <is>
          <t>LUDVIKA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46286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46037</v>
      </c>
      <c r="E253" s="1" t="n">
        <v>46286</v>
      </c>
      <c r="F253" t="inlineStr">
        <is>
          <t>DALARNAS LÄN</t>
        </is>
      </c>
      <c r="G253" t="inlineStr">
        <is>
          <t>LUDVIKA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36338-2025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45868</v>
      </c>
      <c r="E254" s="1" t="n">
        <v>46286</v>
      </c>
      <c r="F254" t="inlineStr">
        <is>
          <t>DALARNAS LÄN</t>
        </is>
      </c>
      <c r="G254" t="inlineStr">
        <is>
          <t>LUDVIKA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46286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50347-2021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44459</v>
      </c>
      <c r="E256" s="1" t="n">
        <v>46286</v>
      </c>
      <c r="F256" t="inlineStr">
        <is>
          <t>DALARNAS LÄN</t>
        </is>
      </c>
      <c r="G256" t="inlineStr">
        <is>
          <t>LUDVIKA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44537-2024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46286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46286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45301</v>
      </c>
      <c r="E259" s="1" t="n">
        <v>46286</v>
      </c>
      <c r="F259" t="inlineStr">
        <is>
          <t>DALARNAS LÄN</t>
        </is>
      </c>
      <c r="G259" t="inlineStr">
        <is>
          <t>LUDVIKA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923-2024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45301</v>
      </c>
      <c r="E260" s="1" t="n">
        <v>46286</v>
      </c>
      <c r="F260" t="inlineStr">
        <is>
          <t>DALARNAS LÄN</t>
        </is>
      </c>
      <c r="G260" t="inlineStr">
        <is>
          <t>LUDVIKA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45297</v>
      </c>
      <c r="E261" s="1" t="n">
        <v>46286</v>
      </c>
      <c r="F261" t="inlineStr">
        <is>
          <t>DALARNAS LÄN</t>
        </is>
      </c>
      <c r="G261" t="inlineStr">
        <is>
          <t>LUDVIKA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46286</v>
      </c>
      <c r="F262" t="inlineStr">
        <is>
          <t>DALARNAS LÄN</t>
        </is>
      </c>
      <c r="G262" t="inlineStr">
        <is>
          <t>LUDVIKA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46286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46286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45911</v>
      </c>
      <c r="E265" s="1" t="n">
        <v>46286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43348-2025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45910</v>
      </c>
      <c r="E266" s="1" t="n">
        <v>46286</v>
      </c>
      <c r="F266" t="inlineStr">
        <is>
          <t>DALARNAS LÄN</t>
        </is>
      </c>
      <c r="G266" t="inlineStr">
        <is>
          <t>LUDVIKA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43145-2025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45910</v>
      </c>
      <c r="E267" s="1" t="n">
        <v>46286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43345-2025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45910</v>
      </c>
      <c r="E268" s="1" t="n">
        <v>46286</v>
      </c>
      <c r="F268" t="inlineStr">
        <is>
          <t>DALARNAS LÄN</t>
        </is>
      </c>
      <c r="G268" t="inlineStr">
        <is>
          <t>LUDVIKA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46141</v>
      </c>
      <c r="E269" s="1" t="n">
        <v>46286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43449-2025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46286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46185-2024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45581</v>
      </c>
      <c r="E271" s="1" t="n">
        <v>46286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20778-2026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46286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45335</v>
      </c>
      <c r="E273" s="1" t="n">
        <v>46286</v>
      </c>
      <c r="F273" t="inlineStr">
        <is>
          <t>DALARNAS LÄN</t>
        </is>
      </c>
      <c r="G273" t="inlineStr">
        <is>
          <t>LUDVIKA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46286</v>
      </c>
      <c r="F274" t="inlineStr">
        <is>
          <t>DALARNAS LÄN</t>
        </is>
      </c>
      <c r="G274" t="inlineStr">
        <is>
          <t>LUDVIKA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45639</v>
      </c>
      <c r="E275" s="1" t="n">
        <v>46286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44261-2025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46286</v>
      </c>
      <c r="F276" t="inlineStr">
        <is>
          <t>DALARNAS LÄN</t>
        </is>
      </c>
      <c r="G276" t="inlineStr">
        <is>
          <t>LUDVIKA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45512</v>
      </c>
      <c r="E277" s="1" t="n">
        <v>46286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46286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41737-2025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45902</v>
      </c>
      <c r="E279" s="1" t="n">
        <v>46286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43762-2025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46286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46286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46286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46317-2025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45925</v>
      </c>
      <c r="E283" s="1" t="n">
        <v>46286</v>
      </c>
      <c r="F283" t="inlineStr">
        <is>
          <t>DALARNAS LÄN</t>
        </is>
      </c>
      <c r="G283" t="inlineStr">
        <is>
          <t>LUDVIKA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51208-2023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45219</v>
      </c>
      <c r="E284" s="1" t="n">
        <v>46286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45924</v>
      </c>
      <c r="E285" s="1" t="n">
        <v>46286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46286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46286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46286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46066</v>
      </c>
      <c r="E289" s="1" t="n">
        <v>46286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46286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46286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12497-2024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45379</v>
      </c>
      <c r="E292" s="1" t="n">
        <v>46286</v>
      </c>
      <c r="F292" t="inlineStr">
        <is>
          <t>DALARNAS LÄN</t>
        </is>
      </c>
      <c r="G292" t="inlineStr">
        <is>
          <t>LUDVIKA</t>
        </is>
      </c>
      <c r="H292" t="inlineStr">
        <is>
          <t>Naturvårdsverket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46517-2025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46286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46286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46142</v>
      </c>
      <c r="E295" s="1" t="n">
        <v>46286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46286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32995-2023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45113</v>
      </c>
      <c r="E297" s="1" t="n">
        <v>46286</v>
      </c>
      <c r="F297" t="inlineStr">
        <is>
          <t>DALARNAS LÄN</t>
        </is>
      </c>
      <c r="G297" t="inlineStr">
        <is>
          <t>LUDVIKA</t>
        </is>
      </c>
      <c r="H297" t="inlineStr">
        <is>
          <t>Kommuner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21345-2026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46147</v>
      </c>
      <c r="E298" s="1" t="n">
        <v>46286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45488</v>
      </c>
      <c r="E299" s="1" t="n">
        <v>46286</v>
      </c>
      <c r="F299" t="inlineStr">
        <is>
          <t>DALARNAS LÄN</t>
        </is>
      </c>
      <c r="G299" t="inlineStr">
        <is>
          <t>LUDVIKA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46286</v>
      </c>
      <c r="F300" t="inlineStr">
        <is>
          <t>DALARNAS LÄN</t>
        </is>
      </c>
      <c r="G300" t="inlineStr">
        <is>
          <t>LUDVIKA</t>
        </is>
      </c>
      <c r="H300" t="inlineStr">
        <is>
          <t>Övriga Aktiebolag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44970</v>
      </c>
      <c r="E301" s="1" t="n">
        <v>46286</v>
      </c>
      <c r="F301" t="inlineStr">
        <is>
          <t>DALARNAS LÄN</t>
        </is>
      </c>
      <c r="G301" t="inlineStr">
        <is>
          <t>LUDVIKA</t>
        </is>
      </c>
      <c r="H301" t="inlineStr">
        <is>
          <t>Övriga Aktiebolag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46286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46286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46286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45551</v>
      </c>
      <c r="E305" s="1" t="n">
        <v>46286</v>
      </c>
      <c r="F305" t="inlineStr">
        <is>
          <t>DALARNAS LÄN</t>
        </is>
      </c>
      <c r="G305" t="inlineStr">
        <is>
          <t>LUDVIKA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45944</v>
      </c>
      <c r="E306" s="1" t="n">
        <v>46286</v>
      </c>
      <c r="F306" t="inlineStr">
        <is>
          <t>DALARNAS LÄN</t>
        </is>
      </c>
      <c r="G306" t="inlineStr">
        <is>
          <t>LUDVIKA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47496-2022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44853</v>
      </c>
      <c r="E307" s="1" t="n">
        <v>46286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46286</v>
      </c>
      <c r="F308" t="inlineStr">
        <is>
          <t>DALARNAS LÄN</t>
        </is>
      </c>
      <c r="G308" t="inlineStr">
        <is>
          <t>LUDVIKA</t>
        </is>
      </c>
      <c r="I308" t="n">
        <v>8.6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21472-2026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46286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45099</v>
      </c>
      <c r="E310" s="1" t="n">
        <v>46286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45883</v>
      </c>
      <c r="E311" s="1" t="n">
        <v>46286</v>
      </c>
      <c r="F311" t="inlineStr">
        <is>
          <t>DALARNAS LÄN</t>
        </is>
      </c>
      <c r="G311" t="inlineStr">
        <is>
          <t>LUDVIKA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46286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21872-2026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46286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45568</v>
      </c>
      <c r="E314" s="1" t="n">
        <v>46286</v>
      </c>
      <c r="F314" t="inlineStr">
        <is>
          <t>DALARNAS LÄN</t>
        </is>
      </c>
      <c r="G314" t="inlineStr">
        <is>
          <t>LUDVIKA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46286</v>
      </c>
      <c r="F315" t="inlineStr">
        <is>
          <t>DALARNAS LÄN</t>
        </is>
      </c>
      <c r="G315" t="inlineStr">
        <is>
          <t>LUDVIKA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46286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46286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45957</v>
      </c>
      <c r="E318" s="1" t="n">
        <v>46286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52552-2025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45954</v>
      </c>
      <c r="E319" s="1" t="n">
        <v>46286</v>
      </c>
      <c r="F319" t="inlineStr">
        <is>
          <t>DALARNAS LÄN</t>
        </is>
      </c>
      <c r="G319" t="inlineStr">
        <is>
          <t>LUDVIKA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41158-2022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44825</v>
      </c>
      <c r="E320" s="1" t="n">
        <v>46286</v>
      </c>
      <c r="F320" t="inlineStr">
        <is>
          <t>DALARNAS LÄN</t>
        </is>
      </c>
      <c r="G320" t="inlineStr">
        <is>
          <t>LUDVIKA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46286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46286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52556-2025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45954</v>
      </c>
      <c r="E323" s="1" t="n">
        <v>46286</v>
      </c>
      <c r="F323" t="inlineStr">
        <is>
          <t>DALARNAS LÄN</t>
        </is>
      </c>
      <c r="G323" t="inlineStr">
        <is>
          <t>LUDVIKA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52459-2025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45954</v>
      </c>
      <c r="E324" s="1" t="n">
        <v>46286</v>
      </c>
      <c r="F324" t="inlineStr">
        <is>
          <t>DALARNAS LÄN</t>
        </is>
      </c>
      <c r="G324" t="inlineStr">
        <is>
          <t>LUDVIKA</t>
        </is>
      </c>
      <c r="H324" t="inlineStr">
        <is>
          <t>Övriga Aktiebolag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46286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9.300000000000001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52427-2025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45954</v>
      </c>
      <c r="E326" s="1" t="n">
        <v>46286</v>
      </c>
      <c r="F326" t="inlineStr">
        <is>
          <t>DALARNAS LÄN</t>
        </is>
      </c>
      <c r="G326" t="inlineStr">
        <is>
          <t>LUDVIKA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45957</v>
      </c>
      <c r="E327" s="1" t="n">
        <v>46286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52900-2025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46286</v>
      </c>
      <c r="F328" t="inlineStr">
        <is>
          <t>DALARNAS LÄN</t>
        </is>
      </c>
      <c r="G328" t="inlineStr">
        <is>
          <t>LUDVIKA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46150</v>
      </c>
      <c r="E329" s="1" t="n">
        <v>46286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45043</v>
      </c>
      <c r="E330" s="1" t="n">
        <v>46286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14986-2024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45399</v>
      </c>
      <c r="E331" s="1" t="n">
        <v>46286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46286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46029-2025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46286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54341-2025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45965</v>
      </c>
      <c r="E334" s="1" t="n">
        <v>46286</v>
      </c>
      <c r="F334" t="inlineStr">
        <is>
          <t>DALARNAS LÄN</t>
        </is>
      </c>
      <c r="G334" t="inlineStr">
        <is>
          <t>LUDVIKA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46286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45891</v>
      </c>
      <c r="E336" s="1" t="n">
        <v>46286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54035-2025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45963</v>
      </c>
      <c r="E337" s="1" t="n">
        <v>46286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45891</v>
      </c>
      <c r="E338" s="1" t="n">
        <v>46286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65104-2023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45288</v>
      </c>
      <c r="E339" s="1" t="n">
        <v>46286</v>
      </c>
      <c r="F339" t="inlineStr">
        <is>
          <t>DALARNAS LÄN</t>
        </is>
      </c>
      <c r="G339" t="inlineStr">
        <is>
          <t>LUDVIKA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46286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45904</v>
      </c>
      <c r="E341" s="1" t="n">
        <v>46286</v>
      </c>
      <c r="F341" t="inlineStr">
        <is>
          <t>DALARNAS LÄN</t>
        </is>
      </c>
      <c r="G341" t="inlineStr">
        <is>
          <t>LUDVIKA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45743</v>
      </c>
      <c r="E342" s="1" t="n">
        <v>46286</v>
      </c>
      <c r="F342" t="inlineStr">
        <is>
          <t>DALARNAS LÄN</t>
        </is>
      </c>
      <c r="G342" t="inlineStr">
        <is>
          <t>LUDVIKA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46286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46286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46286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9.4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45968</v>
      </c>
      <c r="E346" s="1" t="n">
        <v>46286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46286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59050-2022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44903</v>
      </c>
      <c r="E348" s="1" t="n">
        <v>46286</v>
      </c>
      <c r="F348" t="inlineStr">
        <is>
          <t>DALARNAS LÄN</t>
        </is>
      </c>
      <c r="G348" t="inlineStr">
        <is>
          <t>LUDVIKA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45544-2024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45579</v>
      </c>
      <c r="E349" s="1" t="n">
        <v>46286</v>
      </c>
      <c r="F349" t="inlineStr">
        <is>
          <t>DALARNAS LÄN</t>
        </is>
      </c>
      <c r="G349" t="inlineStr">
        <is>
          <t>LUDVIKA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45579</v>
      </c>
      <c r="E350" s="1" t="n">
        <v>46286</v>
      </c>
      <c r="F350" t="inlineStr">
        <is>
          <t>DALARNAS LÄN</t>
        </is>
      </c>
      <c r="G350" t="inlineStr">
        <is>
          <t>LUDVIKA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22558-2026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46155</v>
      </c>
      <c r="E351" s="1" t="n">
        <v>46286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46286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55944-2025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45973</v>
      </c>
      <c r="E353" s="1" t="n">
        <v>46286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56002-2025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46286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46286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46286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46286</v>
      </c>
      <c r="F357" t="inlineStr">
        <is>
          <t>DALARNAS LÄN</t>
        </is>
      </c>
      <c r="G357" t="inlineStr">
        <is>
          <t>LUDVIKA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56030-2025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46286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46286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56178-2025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46286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46286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46286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46286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46286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46286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22464-2026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46155</v>
      </c>
      <c r="E366" s="1" t="n">
        <v>46286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9.800000000000001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46142</v>
      </c>
      <c r="E367" s="1" t="n">
        <v>46286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8.9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45679</v>
      </c>
      <c r="E368" s="1" t="n">
        <v>46286</v>
      </c>
      <c r="F368" t="inlineStr">
        <is>
          <t>DALARNAS LÄN</t>
        </is>
      </c>
      <c r="G368" t="inlineStr">
        <is>
          <t>LUDVIKA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46113</v>
      </c>
      <c r="E369" s="1" t="n">
        <v>46286</v>
      </c>
      <c r="F369" t="inlineStr">
        <is>
          <t>DALARNAS LÄN</t>
        </is>
      </c>
      <c r="G369" t="inlineStr">
        <is>
          <t>LUDVIKA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46155</v>
      </c>
      <c r="E370" s="1" t="n">
        <v>46286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46286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7526-2025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45705</v>
      </c>
      <c r="E372" s="1" t="n">
        <v>46286</v>
      </c>
      <c r="F372" t="inlineStr">
        <is>
          <t>DALARNAS LÄN</t>
        </is>
      </c>
      <c r="G372" t="inlineStr">
        <is>
          <t>LUDVIKA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32854-2023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45112</v>
      </c>
      <c r="E373" s="1" t="n">
        <v>46286</v>
      </c>
      <c r="F373" t="inlineStr">
        <is>
          <t>DALARNAS LÄN</t>
        </is>
      </c>
      <c r="G373" t="inlineStr">
        <is>
          <t>LUDVIKA</t>
        </is>
      </c>
      <c r="H373" t="inlineStr">
        <is>
          <t>Kommuner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46620-2023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46286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61507-2023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45265</v>
      </c>
      <c r="E375" s="1" t="n">
        <v>46286</v>
      </c>
      <c r="F375" t="inlineStr">
        <is>
          <t>DALARNAS LÄN</t>
        </is>
      </c>
      <c r="G375" t="inlineStr">
        <is>
          <t>LUDVIKA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49951-2022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44865</v>
      </c>
      <c r="E376" s="1" t="n">
        <v>46286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22830-2026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46286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42985-2025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45909</v>
      </c>
      <c r="E378" s="1" t="n">
        <v>46286</v>
      </c>
      <c r="F378" t="inlineStr">
        <is>
          <t>DALARNAS LÄN</t>
        </is>
      </c>
      <c r="G378" t="inlineStr">
        <is>
          <t>LUDVIKA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46286</v>
      </c>
      <c r="F379" t="inlineStr">
        <is>
          <t>DALARNAS LÄN</t>
        </is>
      </c>
      <c r="G379" t="inlineStr">
        <is>
          <t>LUDVIKA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23082-2026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46286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46286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46286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46286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45887</v>
      </c>
      <c r="E384" s="1" t="n">
        <v>46286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45891</v>
      </c>
      <c r="E385" s="1" t="n">
        <v>46286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46286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59444-2025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46286</v>
      </c>
      <c r="F387" t="inlineStr">
        <is>
          <t>DALARNAS LÄN</t>
        </is>
      </c>
      <c r="G387" t="inlineStr">
        <is>
          <t>LUDVIKA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46286</v>
      </c>
      <c r="F388" t="inlineStr">
        <is>
          <t>DALARNAS LÄN</t>
        </is>
      </c>
      <c r="G388" t="inlineStr">
        <is>
          <t>LUDVIKA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59530-2025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46286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22813-2026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46160</v>
      </c>
      <c r="E390" s="1" t="n">
        <v>46286</v>
      </c>
      <c r="F390" t="inlineStr">
        <is>
          <t>DALARNAS LÄN</t>
        </is>
      </c>
      <c r="G390" t="inlineStr">
        <is>
          <t>LUDVIKA</t>
        </is>
      </c>
      <c r="H390" t="inlineStr">
        <is>
          <t>Naturvårdsverket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29114-2024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45481</v>
      </c>
      <c r="E391" s="1" t="n">
        <v>46286</v>
      </c>
      <c r="F391" t="inlineStr">
        <is>
          <t>DALARNAS LÄN</t>
        </is>
      </c>
      <c r="G391" t="inlineStr">
        <is>
          <t>LUDVIKA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45411</v>
      </c>
      <c r="E392" s="1" t="n">
        <v>46286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31270-2022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44771</v>
      </c>
      <c r="E393" s="1" t="n">
        <v>46286</v>
      </c>
      <c r="F393" t="inlineStr">
        <is>
          <t>DALARNAS LÄN</t>
        </is>
      </c>
      <c r="G393" t="inlineStr">
        <is>
          <t>LUDVIKA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45624</v>
      </c>
      <c r="E394" s="1" t="n">
        <v>46286</v>
      </c>
      <c r="F394" t="inlineStr">
        <is>
          <t>DALARNAS LÄN</t>
        </is>
      </c>
      <c r="G394" t="inlineStr">
        <is>
          <t>LUDVIKA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28507-2023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46286</v>
      </c>
      <c r="F395" t="inlineStr">
        <is>
          <t>DALARNAS LÄN</t>
        </is>
      </c>
      <c r="G395" t="inlineStr">
        <is>
          <t>LUDVIKA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45775</v>
      </c>
      <c r="E396" s="1" t="n">
        <v>46286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39437-2023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46286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46286</v>
      </c>
      <c r="F398" t="inlineStr">
        <is>
          <t>DALARNAS LÄN</t>
        </is>
      </c>
      <c r="G398" t="inlineStr">
        <is>
          <t>LUDVIKA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46286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45995</v>
      </c>
      <c r="E400" s="1" t="n">
        <v>46286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61502-2025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46001</v>
      </c>
      <c r="E401" s="1" t="n">
        <v>46286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33839-2024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45520</v>
      </c>
      <c r="E402" s="1" t="n">
        <v>46286</v>
      </c>
      <c r="F402" t="inlineStr">
        <is>
          <t>DALARNAS LÄN</t>
        </is>
      </c>
      <c r="G402" t="inlineStr">
        <is>
          <t>LUDVIKA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46001</v>
      </c>
      <c r="E403" s="1" t="n">
        <v>46286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44883</v>
      </c>
      <c r="E404" s="1" t="n">
        <v>46286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46286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46286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62561-2025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46007</v>
      </c>
      <c r="E407" s="1" t="n">
        <v>46286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23097-2025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46286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46008</v>
      </c>
      <c r="E409" s="1" t="n">
        <v>46286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21152-2023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46286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62706-2025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46286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39849-2023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45168</v>
      </c>
      <c r="E412" s="1" t="n">
        <v>46286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46286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62945-2025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46009</v>
      </c>
      <c r="E414" s="1" t="n">
        <v>46286</v>
      </c>
      <c r="F414" t="inlineStr">
        <is>
          <t>DALARNAS LÄN</t>
        </is>
      </c>
      <c r="G414" t="inlineStr">
        <is>
          <t>LUDVIKA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62845-2025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46286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46286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62838-2025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46286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62824-2025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46286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62842-2025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46008</v>
      </c>
      <c r="E419" s="1" t="n">
        <v>46286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62704-2025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46286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46286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45765</v>
      </c>
      <c r="E422" s="1" t="n">
        <v>46286</v>
      </c>
      <c r="F422" t="inlineStr">
        <is>
          <t>DALARNAS LÄN</t>
        </is>
      </c>
      <c r="G422" t="inlineStr">
        <is>
          <t>LUDVIKA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49045-2024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45594</v>
      </c>
      <c r="E423" s="1" t="n">
        <v>46286</v>
      </c>
      <c r="F423" t="inlineStr">
        <is>
          <t>DALARNAS LÄN</t>
        </is>
      </c>
      <c r="G423" t="inlineStr">
        <is>
          <t>LUDVIKA</t>
        </is>
      </c>
      <c r="H423" t="inlineStr">
        <is>
          <t>Naturvårdsverket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45740</v>
      </c>
      <c r="E424" s="1" t="n">
        <v>46286</v>
      </c>
      <c r="F424" t="inlineStr">
        <is>
          <t>DALARNAS LÄN</t>
        </is>
      </c>
      <c r="G424" t="inlineStr">
        <is>
          <t>LUDVIKA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46286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63222-2025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46010</v>
      </c>
      <c r="E426" s="1" t="n">
        <v>46286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55633-2021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44476</v>
      </c>
      <c r="E427" s="1" t="n">
        <v>46286</v>
      </c>
      <c r="F427" t="inlineStr">
        <is>
          <t>DALARNAS LÄN</t>
        </is>
      </c>
      <c r="G427" t="inlineStr">
        <is>
          <t>LUDVIKA</t>
        </is>
      </c>
      <c r="H427" t="inlineStr">
        <is>
          <t>Övriga Aktiebolag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70046-2021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44533</v>
      </c>
      <c r="E428" s="1" t="n">
        <v>46286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43704-2024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45569</v>
      </c>
      <c r="E429" s="1" t="n">
        <v>46286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17998-2025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46286</v>
      </c>
      <c r="F430" t="inlineStr">
        <is>
          <t>DALARNAS LÄN</t>
        </is>
      </c>
      <c r="G430" t="inlineStr">
        <is>
          <t>LUDVIKA</t>
        </is>
      </c>
      <c r="H430" t="inlineStr">
        <is>
          <t>Naturvårdsverket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48003-2024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45589</v>
      </c>
      <c r="E431" s="1" t="n">
        <v>46286</v>
      </c>
      <c r="F431" t="inlineStr">
        <is>
          <t>DALARNAS LÄN</t>
        </is>
      </c>
      <c r="G431" t="inlineStr">
        <is>
          <t>LUDVIKA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46286</v>
      </c>
      <c r="F432" t="inlineStr">
        <is>
          <t>DALARNAS LÄN</t>
        </is>
      </c>
      <c r="G432" t="inlineStr">
        <is>
          <t>LUDVIKA</t>
        </is>
      </c>
      <c r="H432" t="inlineStr">
        <is>
          <t>Övriga Aktiebolag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30123-2023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45110</v>
      </c>
      <c r="E433" s="1" t="n">
        <v>46286</v>
      </c>
      <c r="F433" t="inlineStr">
        <is>
          <t>DALARNAS LÄN</t>
        </is>
      </c>
      <c r="G433" t="inlineStr">
        <is>
          <t>LUDVIKA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46286</v>
      </c>
      <c r="F434" t="inlineStr">
        <is>
          <t>DALARNAS LÄN</t>
        </is>
      </c>
      <c r="G434" t="inlineStr">
        <is>
          <t>LUDVIKA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31380-2025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45833</v>
      </c>
      <c r="E435" s="1" t="n">
        <v>46286</v>
      </c>
      <c r="F435" t="inlineStr">
        <is>
          <t>DALARNAS LÄN</t>
        </is>
      </c>
      <c r="G435" t="inlineStr">
        <is>
          <t>LUDVIKA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39400-2023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45166</v>
      </c>
      <c r="E436" s="1" t="n">
        <v>46286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31818-2025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46286</v>
      </c>
      <c r="F437" t="inlineStr">
        <is>
          <t>DALARNAS LÄN</t>
        </is>
      </c>
      <c r="G437" t="inlineStr">
        <is>
          <t>LUDVIKA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24682-2026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46286</v>
      </c>
      <c r="F438" t="inlineStr">
        <is>
          <t>DALARNAS LÄN</t>
        </is>
      </c>
      <c r="G438" t="inlineStr">
        <is>
          <t>LUDVIKA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32119-2023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45119</v>
      </c>
      <c r="E439" s="1" t="n">
        <v>46286</v>
      </c>
      <c r="F439" t="inlineStr">
        <is>
          <t>DALARNAS LÄN</t>
        </is>
      </c>
      <c r="G439" t="inlineStr">
        <is>
          <t>LUDVIKA</t>
        </is>
      </c>
      <c r="H439" t="inlineStr">
        <is>
          <t>Naturvårdsverket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34845-2024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45526</v>
      </c>
      <c r="E440" s="1" t="n">
        <v>46286</v>
      </c>
      <c r="F440" t="inlineStr">
        <is>
          <t>DALARNAS LÄN</t>
        </is>
      </c>
      <c r="G440" t="inlineStr">
        <is>
          <t>LUDVIKA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25299-2022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44730</v>
      </c>
      <c r="E441" s="1" t="n">
        <v>46286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46002</v>
      </c>
      <c r="E442" s="1" t="n">
        <v>46286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45373</v>
      </c>
      <c r="E443" s="1" t="n">
        <v>46286</v>
      </c>
      <c r="F443" t="inlineStr">
        <is>
          <t>DALARNAS LÄN</t>
        </is>
      </c>
      <c r="G443" t="inlineStr">
        <is>
          <t>LUDVIKA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46286</v>
      </c>
      <c r="F444" t="inlineStr">
        <is>
          <t>DALARNAS LÄN</t>
        </is>
      </c>
      <c r="G444" t="inlineStr">
        <is>
          <t>LUDVIKA</t>
        </is>
      </c>
      <c r="H444" t="inlineStr">
        <is>
          <t>Naturvårdsverket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46286</v>
      </c>
      <c r="F445" t="inlineStr">
        <is>
          <t>DALARNAS LÄN</t>
        </is>
      </c>
      <c r="G445" t="inlineStr">
        <is>
          <t>LUDVIKA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32305-2024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45512</v>
      </c>
      <c r="E446" s="1" t="n">
        <v>46286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24776-2026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46171</v>
      </c>
      <c r="E447" s="1" t="n">
        <v>46286</v>
      </c>
      <c r="F447" t="inlineStr">
        <is>
          <t>DALARNAS LÄN</t>
        </is>
      </c>
      <c r="G447" t="inlineStr">
        <is>
          <t>LUDVIKA</t>
        </is>
      </c>
      <c r="H447" t="inlineStr">
        <is>
          <t>Naturvårdsverket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45961</v>
      </c>
      <c r="E448" s="1" t="n">
        <v>46286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46171</v>
      </c>
      <c r="E449" s="1" t="n">
        <v>46286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23515-2026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46286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46171</v>
      </c>
      <c r="E451" s="1" t="n">
        <v>46286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53979-2025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45961</v>
      </c>
      <c r="E452" s="1" t="n">
        <v>46286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46176</v>
      </c>
      <c r="E453" s="1" t="n">
        <v>46286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61309-2022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44915</v>
      </c>
      <c r="E454" s="1" t="n">
        <v>46286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46171</v>
      </c>
      <c r="E455" s="1" t="n">
        <v>46286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46286</v>
      </c>
      <c r="F456" t="inlineStr">
        <is>
          <t>DALARNAS LÄN</t>
        </is>
      </c>
      <c r="G456" t="inlineStr">
        <is>
          <t>LUDVIKA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46286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24687-2026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46171</v>
      </c>
      <c r="E458" s="1" t="n">
        <v>46286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45485</v>
      </c>
      <c r="E459" s="1" t="n">
        <v>46286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46286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60788-2024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45644</v>
      </c>
      <c r="E461" s="1" t="n">
        <v>46286</v>
      </c>
      <c r="F461" t="inlineStr">
        <is>
          <t>DALARNAS LÄN</t>
        </is>
      </c>
      <c r="G461" t="inlineStr">
        <is>
          <t>LUDVIKA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46136</v>
      </c>
      <c r="E462" s="1" t="n">
        <v>46286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51043-2024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45603</v>
      </c>
      <c r="E463" s="1" t="n">
        <v>46286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55034-2024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45621</v>
      </c>
      <c r="E464" s="1" t="n">
        <v>46286</v>
      </c>
      <c r="F464" t="inlineStr">
        <is>
          <t>DALARNAS LÄN</t>
        </is>
      </c>
      <c r="G464" t="inlineStr">
        <is>
          <t>LUDVIKA</t>
        </is>
      </c>
      <c r="H464" t="inlineStr">
        <is>
          <t>Naturvårdsverket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44942</v>
      </c>
      <c r="E465" s="1" t="n">
        <v>46286</v>
      </c>
      <c r="F465" t="inlineStr">
        <is>
          <t>DALARNAS LÄN</t>
        </is>
      </c>
      <c r="G465" t="inlineStr">
        <is>
          <t>LUDVIKA</t>
        </is>
      </c>
      <c r="I465" t="n">
        <v>13.1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20969-2026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46142</v>
      </c>
      <c r="E466" s="1" t="n">
        <v>46286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56615-2025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45975</v>
      </c>
      <c r="E467" s="1" t="n">
        <v>46286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49166-2025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45938</v>
      </c>
      <c r="E468" s="1" t="n">
        <v>46286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46163</v>
      </c>
      <c r="E469" s="1" t="n">
        <v>46286</v>
      </c>
      <c r="F469" t="inlineStr">
        <is>
          <t>DALARNAS LÄN</t>
        </is>
      </c>
      <c r="G469" t="inlineStr">
        <is>
          <t>LUDVIKA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52230-2023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45224</v>
      </c>
      <c r="E470" s="1" t="n">
        <v>46286</v>
      </c>
      <c r="F470" t="inlineStr">
        <is>
          <t>DALARNAS LÄN</t>
        </is>
      </c>
      <c r="G470" t="inlineStr">
        <is>
          <t>LUDVIKA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30813-2025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46286</v>
      </c>
      <c r="F471" t="inlineStr">
        <is>
          <t>DALARNAS LÄN</t>
        </is>
      </c>
      <c r="G471" t="inlineStr">
        <is>
          <t>LUDVIKA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62368-2025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46007</v>
      </c>
      <c r="E472" s="1" t="n">
        <v>46286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46183</v>
      </c>
      <c r="E473" s="1" t="n">
        <v>46286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16768-2025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45754</v>
      </c>
      <c r="E474" s="1" t="n">
        <v>46286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44599</v>
      </c>
      <c r="E475" s="1" t="n">
        <v>46286</v>
      </c>
      <c r="F475" t="inlineStr">
        <is>
          <t>DALARNAS LÄN</t>
        </is>
      </c>
      <c r="G475" t="inlineStr">
        <is>
          <t>LUDVIKA</t>
        </is>
      </c>
      <c r="I475" t="n">
        <v>8.4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46286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17.5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26902-2026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46286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45244</v>
      </c>
      <c r="E478" s="1" t="n">
        <v>46286</v>
      </c>
      <c r="F478" t="inlineStr">
        <is>
          <t>DALARNAS LÄN</t>
        </is>
      </c>
      <c r="G478" t="inlineStr">
        <is>
          <t>LUDVIKA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44970</v>
      </c>
      <c r="E479" s="1" t="n">
        <v>46286</v>
      </c>
      <c r="F479" t="inlineStr">
        <is>
          <t>DALARNAS LÄN</t>
        </is>
      </c>
      <c r="G479" t="inlineStr">
        <is>
          <t>LUDVIKA</t>
        </is>
      </c>
      <c r="H479" t="inlineStr">
        <is>
          <t>Övriga Aktiebolag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46656-2023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45198</v>
      </c>
      <c r="E480" s="1" t="n">
        <v>46286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27554-2026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46286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49669-2024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45596</v>
      </c>
      <c r="E482" s="1" t="n">
        <v>46286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46286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27853-2026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46191</v>
      </c>
      <c r="E484" s="1" t="n">
        <v>46286</v>
      </c>
      <c r="F484" t="inlineStr">
        <is>
          <t>DALARNAS LÄN</t>
        </is>
      </c>
      <c r="G484" t="inlineStr">
        <is>
          <t>LUDVIKA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26727-2026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46184</v>
      </c>
      <c r="E485" s="1" t="n">
        <v>46286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27613-2026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46286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27609-2026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46190</v>
      </c>
      <c r="E487" s="1" t="n">
        <v>46286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46286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53620-2022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44879</v>
      </c>
      <c r="E489" s="1" t="n">
        <v>46286</v>
      </c>
      <c r="F489" t="inlineStr">
        <is>
          <t>DALARNAS LÄN</t>
        </is>
      </c>
      <c r="G489" t="inlineStr">
        <is>
          <t>LUDVIKA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46286</v>
      </c>
      <c r="F490" t="inlineStr">
        <is>
          <t>DALARNAS LÄN</t>
        </is>
      </c>
      <c r="G490" t="inlineStr">
        <is>
          <t>LUDVIKA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46160</v>
      </c>
      <c r="E491" s="1" t="n">
        <v>46286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46286</v>
      </c>
      <c r="F492" t="inlineStr">
        <is>
          <t>DALARNAS LÄN</t>
        </is>
      </c>
      <c r="G492" t="inlineStr">
        <is>
          <t>LUDVIKA</t>
        </is>
      </c>
      <c r="H492" t="inlineStr">
        <is>
          <t>Naturvårdsverket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46286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57969-2024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45631</v>
      </c>
      <c r="E494" s="1" t="n">
        <v>46286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22817-2026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46160</v>
      </c>
      <c r="E495" s="1" t="n">
        <v>46286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22824-2026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46160</v>
      </c>
      <c r="E496" s="1" t="n">
        <v>46286</v>
      </c>
      <c r="F496" t="inlineStr">
        <is>
          <t>DALARNAS LÄN</t>
        </is>
      </c>
      <c r="G496" t="inlineStr">
        <is>
          <t>LUDVIKA</t>
        </is>
      </c>
      <c r="H496" t="inlineStr">
        <is>
          <t>Naturvårdsverket</t>
        </is>
      </c>
      <c r="I496" t="n">
        <v>9.9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39761-2022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44819</v>
      </c>
      <c r="E497" s="1" t="n">
        <v>46286</v>
      </c>
      <c r="F497" t="inlineStr">
        <is>
          <t>DALARNAS LÄN</t>
        </is>
      </c>
      <c r="G497" t="inlineStr">
        <is>
          <t>LUDVIKA</t>
        </is>
      </c>
      <c r="H497" t="inlineStr">
        <is>
          <t>Naturvårdsverket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21034-2026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46146</v>
      </c>
      <c r="E498" s="1" t="n">
        <v>46286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21032-2026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46286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17054-2026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46114</v>
      </c>
      <c r="E500" s="1" t="n">
        <v>46286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21145-2023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45062</v>
      </c>
      <c r="E501" s="1" t="n">
        <v>46286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15851-2024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45404</v>
      </c>
      <c r="E502" s="1" t="n">
        <v>46286</v>
      </c>
      <c r="F502" t="inlineStr">
        <is>
          <t>DALARNAS LÄN</t>
        </is>
      </c>
      <c r="G502" t="inlineStr">
        <is>
          <t>LUDVIKA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41400-2022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44826</v>
      </c>
      <c r="E503" s="1" t="n">
        <v>46286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46119</v>
      </c>
      <c r="E504" s="1" t="n">
        <v>46286</v>
      </c>
      <c r="F504" t="inlineStr">
        <is>
          <t>DALARNAS LÄN</t>
        </is>
      </c>
      <c r="G504" t="inlineStr">
        <is>
          <t>LUDVIKA</t>
        </is>
      </c>
      <c r="H504" t="inlineStr">
        <is>
          <t>Naturvårdsverket</t>
        </is>
      </c>
      <c r="I504" t="n">
        <v>19.8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17787-2026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46286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46286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17913-2026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46122</v>
      </c>
      <c r="E507" s="1" t="n">
        <v>46286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46122</v>
      </c>
      <c r="E508" s="1" t="n">
        <v>46286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17915-2026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46286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46286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18355-2026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46126</v>
      </c>
      <c r="E511" s="1" t="n">
        <v>46286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46286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48774-2024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45593</v>
      </c>
      <c r="E513" s="1" t="n">
        <v>46286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37392-2023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45156</v>
      </c>
      <c r="E514" s="1" t="n">
        <v>46286</v>
      </c>
      <c r="F514" t="inlineStr">
        <is>
          <t>DALARNAS LÄN</t>
        </is>
      </c>
      <c r="G514" t="inlineStr">
        <is>
          <t>LUDVIKA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46286</v>
      </c>
      <c r="F515" t="inlineStr">
        <is>
          <t>DALARNAS LÄN</t>
        </is>
      </c>
      <c r="G515" t="inlineStr">
        <is>
          <t>LUDVIKA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46286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46286</v>
      </c>
      <c r="F517" t="inlineStr">
        <is>
          <t>DALARNAS LÄN</t>
        </is>
      </c>
      <c r="G517" t="inlineStr">
        <is>
          <t>LUDVIKA</t>
        </is>
      </c>
      <c r="H517" t="inlineStr">
        <is>
          <t>Naturvårdsverket</t>
        </is>
      </c>
      <c r="I517" t="n">
        <v>10.4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46286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11436-2024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45372</v>
      </c>
      <c r="E519" s="1" t="n">
        <v>46286</v>
      </c>
      <c r="F519" t="inlineStr">
        <is>
          <t>DALARNAS LÄN</t>
        </is>
      </c>
      <c r="G519" t="inlineStr">
        <is>
          <t>LUDVIKA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46286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46135</v>
      </c>
      <c r="E521" s="1" t="n">
        <v>46286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50273-2021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44459</v>
      </c>
      <c r="E522" s="1" t="n">
        <v>46286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40142-2022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44820</v>
      </c>
      <c r="E523" s="1" t="n">
        <v>46286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40151-2022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44820</v>
      </c>
      <c r="E524" s="1" t="n">
        <v>46286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53554-2025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45960</v>
      </c>
      <c r="E525" s="1" t="n">
        <v>46286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21741-2022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44708</v>
      </c>
      <c r="E526" s="1" t="n">
        <v>46286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46247</v>
      </c>
      <c r="E527" s="1" t="n">
        <v>46286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59186-2025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45988</v>
      </c>
      <c r="E528" s="1" t="n">
        <v>46286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7714-2026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46062</v>
      </c>
      <c r="E529" s="1" t="n">
        <v>46286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32224-2025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45835</v>
      </c>
      <c r="E530" s="1" t="n">
        <v>46286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33397-2026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46247</v>
      </c>
      <c r="E531" s="1" t="n">
        <v>46286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51015-2023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45218</v>
      </c>
      <c r="E532" s="1" t="n">
        <v>46286</v>
      </c>
      <c r="F532" t="inlineStr">
        <is>
          <t>DALARNAS LÄN</t>
        </is>
      </c>
      <c r="G532" t="inlineStr">
        <is>
          <t>LUDVIKA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20096-2026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46136</v>
      </c>
      <c r="E533" s="1" t="n">
        <v>46286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46247</v>
      </c>
      <c r="E534" s="1" t="n">
        <v>46286</v>
      </c>
      <c r="F534" t="inlineStr">
        <is>
          <t>DALARNAS LÄN</t>
        </is>
      </c>
      <c r="G534" t="inlineStr">
        <is>
          <t>LUDVIKA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46286</v>
      </c>
      <c r="F535" t="inlineStr">
        <is>
          <t>DALARNAS LÄN</t>
        </is>
      </c>
      <c r="G535" t="inlineStr">
        <is>
          <t>LUDVIKA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33689-2026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46248</v>
      </c>
      <c r="E536" s="1" t="n">
        <v>46286</v>
      </c>
      <c r="F536" t="inlineStr">
        <is>
          <t>DALARNAS LÄN</t>
        </is>
      </c>
      <c r="G536" t="inlineStr">
        <is>
          <t>LUDVIKA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41616-2024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46286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45519</v>
      </c>
      <c r="E538" s="1" t="n">
        <v>46286</v>
      </c>
      <c r="F538" t="inlineStr">
        <is>
          <t>DALARNAS LÄN</t>
        </is>
      </c>
      <c r="G538" t="inlineStr">
        <is>
          <t>LUDVIKA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46205</v>
      </c>
      <c r="E539" s="1" t="n">
        <v>46286</v>
      </c>
      <c r="F539" t="inlineStr">
        <is>
          <t>DALARNAS LÄN</t>
        </is>
      </c>
      <c r="G539" t="inlineStr">
        <is>
          <t>LUDVIKA</t>
        </is>
      </c>
      <c r="H539" t="inlineStr">
        <is>
          <t>Naturvårdsverket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46286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45071</v>
      </c>
      <c r="E541" s="1" t="n">
        <v>46286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46286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46286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3280-2024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45317</v>
      </c>
      <c r="E544" s="1" t="n">
        <v>46286</v>
      </c>
      <c r="F544" t="inlineStr">
        <is>
          <t>DALARNAS LÄN</t>
        </is>
      </c>
      <c r="G544" t="inlineStr">
        <is>
          <t>LUDVIKA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3470-2025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45680</v>
      </c>
      <c r="E545" s="1" t="n">
        <v>46286</v>
      </c>
      <c r="F545" t="inlineStr">
        <is>
          <t>DALARNAS LÄN</t>
        </is>
      </c>
      <c r="G545" t="inlineStr">
        <is>
          <t>LUDVIKA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48288-2023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45205</v>
      </c>
      <c r="E546" s="1" t="n">
        <v>46286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2838-2022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44581</v>
      </c>
      <c r="E547" s="1" t="n">
        <v>46286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51029-2024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45603</v>
      </c>
      <c r="E548" s="1" t="n">
        <v>46286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40125-2024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45554</v>
      </c>
      <c r="E549" s="1" t="n">
        <v>46286</v>
      </c>
      <c r="F549" t="inlineStr">
        <is>
          <t>DALARNAS LÄN</t>
        </is>
      </c>
      <c r="G549" t="inlineStr">
        <is>
          <t>LUDVIKA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45253</v>
      </c>
      <c r="E550" s="1" t="n">
        <v>46286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43839-2023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45187</v>
      </c>
      <c r="E551" s="1" t="n">
        <v>46286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46286</v>
      </c>
      <c r="F552" t="inlineStr">
        <is>
          <t>DALARNAS LÄN</t>
        </is>
      </c>
      <c r="G552" t="inlineStr">
        <is>
          <t>LUDVIKA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25273-2022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44729</v>
      </c>
      <c r="E553" s="1" t="n">
        <v>46286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46167</v>
      </c>
      <c r="E554" s="1" t="n">
        <v>46286</v>
      </c>
      <c r="F554" t="inlineStr">
        <is>
          <t>DALARNAS LÄN</t>
        </is>
      </c>
      <c r="G554" t="inlineStr">
        <is>
          <t>LUDVIKA</t>
        </is>
      </c>
      <c r="H554" t="inlineStr">
        <is>
          <t>Kommuner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28062-2026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46195</v>
      </c>
      <c r="E555" s="1" t="n">
        <v>46286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20974-2026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46142</v>
      </c>
      <c r="E556" s="1" t="n">
        <v>46286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46286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44960</v>
      </c>
      <c r="E558" s="1" t="n">
        <v>46286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46286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46286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6975-2023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44967</v>
      </c>
      <c r="E561" s="1" t="n">
        <v>46286</v>
      </c>
      <c r="F561" t="inlineStr">
        <is>
          <t>DALARNAS LÄN</t>
        </is>
      </c>
      <c r="G561" t="inlineStr">
        <is>
          <t>LUDVIKA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46286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46142</v>
      </c>
      <c r="E563" s="1" t="n">
        <v>46286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34631-2026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46286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46286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34638-2026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46286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60138-2023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45258</v>
      </c>
      <c r="E567" s="1" t="n">
        <v>46286</v>
      </c>
      <c r="F567" t="inlineStr">
        <is>
          <t>DALARNAS LÄN</t>
        </is>
      </c>
      <c r="G567" t="inlineStr">
        <is>
          <t>LUDVIKA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46286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46286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45685</v>
      </c>
      <c r="E570" s="1" t="n">
        <v>46286</v>
      </c>
      <c r="F570" t="inlineStr">
        <is>
          <t>DALARNAS LÄN</t>
        </is>
      </c>
      <c r="G570" t="inlineStr">
        <is>
          <t>LUDVIKA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34796-2026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46286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34780-2026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46258</v>
      </c>
      <c r="E572" s="1" t="n">
        <v>46286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37586-2024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45541</v>
      </c>
      <c r="E573" s="1" t="n">
        <v>46286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46286</v>
      </c>
      <c r="F574" t="inlineStr">
        <is>
          <t>DALARNAS LÄN</t>
        </is>
      </c>
      <c r="G574" t="inlineStr">
        <is>
          <t>LUDVIKA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35104-2026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46286</v>
      </c>
      <c r="F575" t="inlineStr">
        <is>
          <t>DALARNAS LÄN</t>
        </is>
      </c>
      <c r="G575" t="inlineStr">
        <is>
          <t>LUDVIKA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55551-2024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45622</v>
      </c>
      <c r="E576" s="1" t="n">
        <v>46286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35099-2026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46260</v>
      </c>
      <c r="E577" s="1" t="n">
        <v>46286</v>
      </c>
      <c r="F577" t="inlineStr">
        <is>
          <t>DALARNAS LÄN</t>
        </is>
      </c>
      <c r="G577" t="inlineStr">
        <is>
          <t>LUDVIKA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46286</v>
      </c>
      <c r="F578" t="inlineStr">
        <is>
          <t>DALARNAS LÄN</t>
        </is>
      </c>
      <c r="G578" t="inlineStr">
        <is>
          <t>LUDVIKA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27989-2026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46286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28132-2026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46286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46286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28116-2026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46286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28158-2026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46286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28801-2026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46286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46286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46286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28061-2026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46286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46286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46286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46286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30844-2024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45497</v>
      </c>
      <c r="E591" s="1" t="n">
        <v>46286</v>
      </c>
      <c r="F591" t="inlineStr">
        <is>
          <t>DALARNAS LÄN</t>
        </is>
      </c>
      <c r="G591" t="inlineStr">
        <is>
          <t>LUDVIKA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46218</v>
      </c>
      <c r="E592" s="1" t="n">
        <v>46286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31227-2026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46217</v>
      </c>
      <c r="E593" s="1" t="n">
        <v>46286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20411-2023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45056</v>
      </c>
      <c r="E594" s="1" t="n">
        <v>46286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59347-2024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45638</v>
      </c>
      <c r="E595" s="1" t="n">
        <v>46286</v>
      </c>
      <c r="F595" t="inlineStr">
        <is>
          <t>DALARNAS LÄN</t>
        </is>
      </c>
      <c r="G595" t="inlineStr">
        <is>
          <t>LUDVIKA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46286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46260</v>
      </c>
      <c r="E597" s="1" t="n">
        <v>46286</v>
      </c>
      <c r="F597" t="inlineStr">
        <is>
          <t>DALARNAS LÄN</t>
        </is>
      </c>
      <c r="G597" t="inlineStr">
        <is>
          <t>LUDVIKA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46260</v>
      </c>
      <c r="E598" s="1" t="n">
        <v>46286</v>
      </c>
      <c r="F598" t="inlineStr">
        <is>
          <t>DALARNAS LÄN</t>
        </is>
      </c>
      <c r="G598" t="inlineStr">
        <is>
          <t>LUDVIKA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46260</v>
      </c>
      <c r="E599" s="1" t="n">
        <v>46286</v>
      </c>
      <c r="F599" t="inlineStr">
        <is>
          <t>DALARNAS LÄN</t>
        </is>
      </c>
      <c r="G599" t="inlineStr">
        <is>
          <t>LUDVIKA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46219</v>
      </c>
      <c r="E600" s="1" t="n">
        <v>46286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35837-2026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46286</v>
      </c>
      <c r="F601" t="inlineStr">
        <is>
          <t>DALARNAS LÄN</t>
        </is>
      </c>
      <c r="G601" t="inlineStr">
        <is>
          <t>LUDVIKA</t>
        </is>
      </c>
      <c r="H601" t="inlineStr">
        <is>
          <t>Kyrkan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46262</v>
      </c>
      <c r="E602" s="1" t="n">
        <v>46286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50777-2024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45602</v>
      </c>
      <c r="E603" s="1" t="n">
        <v>46286</v>
      </c>
      <c r="F603" t="inlineStr">
        <is>
          <t>DALARNAS LÄN</t>
        </is>
      </c>
      <c r="G603" t="inlineStr">
        <is>
          <t>LUDVIKA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35648-2026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46265</v>
      </c>
      <c r="E604" s="1" t="n">
        <v>46286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41668-2023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45176</v>
      </c>
      <c r="E605" s="1" t="n">
        <v>46286</v>
      </c>
      <c r="F605" t="inlineStr">
        <is>
          <t>DALARNAS LÄN</t>
        </is>
      </c>
      <c r="G605" t="inlineStr">
        <is>
          <t>LUDVIKA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46220</v>
      </c>
      <c r="E606" s="1" t="n">
        <v>46286</v>
      </c>
      <c r="F606" t="inlineStr">
        <is>
          <t>DALARNAS LÄN</t>
        </is>
      </c>
      <c r="G606" t="inlineStr">
        <is>
          <t>LUDVIKA</t>
        </is>
      </c>
      <c r="H606" t="inlineStr">
        <is>
          <t>Naturvårdsverket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55462-2024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45622</v>
      </c>
      <c r="E607" s="1" t="n">
        <v>46286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55474-2024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45622</v>
      </c>
      <c r="E608" s="1" t="n">
        <v>46286</v>
      </c>
      <c r="F608" t="inlineStr">
        <is>
          <t>DALARNAS LÄN</t>
        </is>
      </c>
      <c r="G608" t="inlineStr">
        <is>
          <t>LUDVIKA</t>
        </is>
      </c>
      <c r="H608" t="inlineStr">
        <is>
          <t>Naturvårdsverket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55510-2024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45622</v>
      </c>
      <c r="E609" s="1" t="n">
        <v>46286</v>
      </c>
      <c r="F609" t="inlineStr">
        <is>
          <t>DALARNAS LÄN</t>
        </is>
      </c>
      <c r="G609" t="inlineStr">
        <is>
          <t>LUDVIKA</t>
        </is>
      </c>
      <c r="H609" t="inlineStr">
        <is>
          <t>Naturvårdsverket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45687</v>
      </c>
      <c r="E610" s="1" t="n">
        <v>46286</v>
      </c>
      <c r="F610" t="inlineStr">
        <is>
          <t>DALARNAS LÄN</t>
        </is>
      </c>
      <c r="G610" t="inlineStr">
        <is>
          <t>LUDVIKA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18421-2025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46286</v>
      </c>
      <c r="F611" t="inlineStr">
        <is>
          <t>DALARNAS LÄN</t>
        </is>
      </c>
      <c r="G611" t="inlineStr">
        <is>
          <t>LUDVIKA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50714-2024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45602</v>
      </c>
      <c r="E612" s="1" t="n">
        <v>46286</v>
      </c>
      <c r="F612" t="inlineStr">
        <is>
          <t>DALARNAS LÄN</t>
        </is>
      </c>
      <c r="G612" t="inlineStr">
        <is>
          <t>LUDVIKA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36065-2026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46286</v>
      </c>
      <c r="F613" t="inlineStr">
        <is>
          <t>DALARNAS LÄN</t>
        </is>
      </c>
      <c r="G613" t="inlineStr">
        <is>
          <t>LUDVIKA</t>
        </is>
      </c>
      <c r="I613" t="n">
        <v>8.5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31646-2026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46225</v>
      </c>
      <c r="E614" s="1" t="n">
        <v>46286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38359-2024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45545</v>
      </c>
      <c r="E615" s="1" t="n">
        <v>46286</v>
      </c>
      <c r="F615" t="inlineStr">
        <is>
          <t>DALARNAS LÄN</t>
        </is>
      </c>
      <c r="G615" t="inlineStr">
        <is>
          <t>LUDVIKA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46273</v>
      </c>
      <c r="E616" s="1" t="n">
        <v>46286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36820-2026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46286</v>
      </c>
      <c r="F617" t="inlineStr">
        <is>
          <t>DALARNAS LÄN</t>
        </is>
      </c>
      <c r="G617" t="inlineStr">
        <is>
          <t>LUDVIKA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37033-2026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46273</v>
      </c>
      <c r="E618" s="1" t="n">
        <v>46286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37052-2026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46273</v>
      </c>
      <c r="E619" s="1" t="n">
        <v>46286</v>
      </c>
      <c r="F619" t="inlineStr">
        <is>
          <t>DALARNAS LÄN</t>
        </is>
      </c>
      <c r="G619" t="inlineStr">
        <is>
          <t>LUDVIKA</t>
        </is>
      </c>
      <c r="I619" t="n">
        <v>8.5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37000-2026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46273</v>
      </c>
      <c r="E620" s="1" t="n">
        <v>46286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31778-2026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46230</v>
      </c>
      <c r="E621" s="1" t="n">
        <v>46286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31776-2026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46230</v>
      </c>
      <c r="E622" s="1" t="n">
        <v>46286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21893-2025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45784</v>
      </c>
      <c r="E623" s="1" t="n">
        <v>46286</v>
      </c>
      <c r="F623" t="inlineStr">
        <is>
          <t>DALARNAS LÄN</t>
        </is>
      </c>
      <c r="G623" t="inlineStr">
        <is>
          <t>LUDVIKA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30210-2026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46286</v>
      </c>
      <c r="F624" t="inlineStr">
        <is>
          <t>DALARNAS LÄN</t>
        </is>
      </c>
      <c r="G624" t="inlineStr">
        <is>
          <t>LUDVIKA</t>
        </is>
      </c>
      <c r="H624" t="inlineStr">
        <is>
          <t>Naturvårdsverket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46275</v>
      </c>
      <c r="E625" s="1" t="n">
        <v>46286</v>
      </c>
      <c r="F625" t="inlineStr">
        <is>
          <t>DALARNAS LÄN</t>
        </is>
      </c>
      <c r="G625" t="inlineStr">
        <is>
          <t>LUDVIKA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42421-2024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45565</v>
      </c>
      <c r="E626" s="1" t="n">
        <v>46286</v>
      </c>
      <c r="F626" t="inlineStr">
        <is>
          <t>DALARNAS LÄN</t>
        </is>
      </c>
      <c r="G626" t="inlineStr">
        <is>
          <t>LUDVIKA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53602-2023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45230</v>
      </c>
      <c r="E627" s="1" t="n">
        <v>46286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37359-2026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46275</v>
      </c>
      <c r="E628" s="1" t="n">
        <v>46286</v>
      </c>
      <c r="F628" t="inlineStr">
        <is>
          <t>DALARNAS LÄN</t>
        </is>
      </c>
      <c r="G628" t="inlineStr">
        <is>
          <t>LUDVIKA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37719-2026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46279</v>
      </c>
      <c r="E629" s="1" t="n">
        <v>46286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52359-2024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45609</v>
      </c>
      <c r="E630" s="1" t="n">
        <v>46286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21891-2025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45784</v>
      </c>
      <c r="E631" s="1" t="n">
        <v>46286</v>
      </c>
      <c r="F631" t="inlineStr">
        <is>
          <t>DALARNAS LÄN</t>
        </is>
      </c>
      <c r="G631" t="inlineStr">
        <is>
          <t>LUDVIKA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33914-2023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45134</v>
      </c>
      <c r="E632" s="1" t="n">
        <v>46286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32016-2026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46233</v>
      </c>
      <c r="E633" s="1" t="n">
        <v>46286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37702-2026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46279</v>
      </c>
      <c r="E634" s="1" t="n">
        <v>46286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37626-2026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46276</v>
      </c>
      <c r="E635" s="1" t="n">
        <v>46286</v>
      </c>
      <c r="F635" t="inlineStr">
        <is>
          <t>DALARNAS LÄN</t>
        </is>
      </c>
      <c r="G635" t="inlineStr">
        <is>
          <t>LUDVIKA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46279</v>
      </c>
      <c r="E636" s="1" t="n">
        <v>46286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46095-2024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45581</v>
      </c>
      <c r="E637" s="1" t="n">
        <v>46286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41539-2024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45560</v>
      </c>
      <c r="E638" s="1" t="n">
        <v>46286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36073-2026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46267</v>
      </c>
      <c r="E639" s="1" t="n">
        <v>46286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22594-2025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45789</v>
      </c>
      <c r="E640" s="1" t="n">
        <v>46286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22606-2025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45789</v>
      </c>
      <c r="E641" s="1" t="n">
        <v>46286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45789</v>
      </c>
      <c r="E642" s="1" t="n">
        <v>46286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36126-2026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46267</v>
      </c>
      <c r="E643" s="1" t="n">
        <v>46286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46093-2024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45581</v>
      </c>
      <c r="E644" s="1" t="n">
        <v>46286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46107-2024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45581</v>
      </c>
      <c r="E645" s="1" t="n">
        <v>46286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50240-2024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45600</v>
      </c>
      <c r="E646" s="1" t="n">
        <v>46286</v>
      </c>
      <c r="F646" t="inlineStr">
        <is>
          <t>DALARNAS LÄN</t>
        </is>
      </c>
      <c r="G646" t="inlineStr">
        <is>
          <t>LUDVIKA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43702-2024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45569</v>
      </c>
      <c r="E647" s="1" t="n">
        <v>46286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24712-2024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45460</v>
      </c>
      <c r="E648" s="1" t="n">
        <v>46286</v>
      </c>
      <c r="F648" t="inlineStr">
        <is>
          <t>DALARNAS LÄN</t>
        </is>
      </c>
      <c r="G648" t="inlineStr">
        <is>
          <t>LUDVIKA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22599-2025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45789</v>
      </c>
      <c r="E649" s="1" t="n">
        <v>46286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37957-2026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46280</v>
      </c>
      <c r="E650" s="1" t="n">
        <v>46286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46281</v>
      </c>
      <c r="E651" s="1" t="n">
        <v>46286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23088-2025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45791</v>
      </c>
      <c r="E652" s="1" t="n">
        <v>46286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23105-2025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45791</v>
      </c>
      <c r="E653" s="1" t="n">
        <v>46286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34280-2024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45524</v>
      </c>
      <c r="E654" s="1" t="n">
        <v>46286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36066-2024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45533</v>
      </c>
      <c r="E655" s="1" t="n">
        <v>46286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37955-2026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46280</v>
      </c>
      <c r="E656" s="1" t="n">
        <v>46286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7.7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47233-2024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45586</v>
      </c>
      <c r="E657" s="1" t="n">
        <v>46286</v>
      </c>
      <c r="F657" t="inlineStr">
        <is>
          <t>DALARNAS LÄN</t>
        </is>
      </c>
      <c r="G657" t="inlineStr">
        <is>
          <t>LUDVIKA</t>
        </is>
      </c>
      <c r="I657" t="n">
        <v>9.5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22686-2025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45786</v>
      </c>
      <c r="E658" s="1" t="n">
        <v>46286</v>
      </c>
      <c r="F658" t="inlineStr">
        <is>
          <t>DALARNAS LÄN</t>
        </is>
      </c>
      <c r="G658" t="inlineStr">
        <is>
          <t>LUDVIKA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61278-2022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44915</v>
      </c>
      <c r="E659" s="1" t="n">
        <v>46286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19677-2025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45770</v>
      </c>
      <c r="E660" s="1" t="n">
        <v>46286</v>
      </c>
      <c r="F660" t="inlineStr">
        <is>
          <t>DALARNAS LÄN</t>
        </is>
      </c>
      <c r="G660" t="inlineStr">
        <is>
          <t>LUDVIKA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23137-2025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45791</v>
      </c>
      <c r="E661" s="1" t="n">
        <v>46286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32755-2026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46241</v>
      </c>
      <c r="E662" s="1" t="n">
        <v>46286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46241</v>
      </c>
      <c r="E663" s="1" t="n">
        <v>46286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23443-2024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45453</v>
      </c>
      <c r="E664" s="1" t="n">
        <v>46286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37549-2024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45541</v>
      </c>
      <c r="E665" s="1" t="n">
        <v>46286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20642-2025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45776</v>
      </c>
      <c r="E666" s="1" t="n">
        <v>46286</v>
      </c>
      <c r="F666" t="inlineStr">
        <is>
          <t>DALARNAS LÄN</t>
        </is>
      </c>
      <c r="G666" t="inlineStr">
        <is>
          <t>LUDVIKA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24027-2025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45796</v>
      </c>
      <c r="E667" s="1" t="n">
        <v>46286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38661-2026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46283</v>
      </c>
      <c r="E668" s="1" t="n">
        <v>46286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23117-2025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45791</v>
      </c>
      <c r="E669" s="1" t="n">
        <v>46286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23139-2025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45791</v>
      </c>
      <c r="E670" s="1" t="n">
        <v>46286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38638-2026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46283</v>
      </c>
      <c r="E671" s="1" t="n">
        <v>46286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46241</v>
      </c>
      <c r="E672" s="1" t="n">
        <v>46286</v>
      </c>
      <c r="F672" t="inlineStr">
        <is>
          <t>DALARNAS LÄN</t>
        </is>
      </c>
      <c r="G672" t="inlineStr">
        <is>
          <t>LUDVIKA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46241</v>
      </c>
      <c r="E673" s="1" t="n">
        <v>46286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30977-2024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45499</v>
      </c>
      <c r="E674" s="1" t="n">
        <v>46286</v>
      </c>
      <c r="F674" t="inlineStr">
        <is>
          <t>DALARNAS LÄN</t>
        </is>
      </c>
      <c r="G674" t="inlineStr">
        <is>
          <t>LUDVIKA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46286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25004-2025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45799</v>
      </c>
      <c r="E676" s="1" t="n">
        <v>46286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46283</v>
      </c>
      <c r="E677" s="1" t="n">
        <v>46286</v>
      </c>
      <c r="F677" t="inlineStr">
        <is>
          <t>DALARNAS LÄN</t>
        </is>
      </c>
      <c r="G677" t="inlineStr">
        <is>
          <t>LUDVIKA</t>
        </is>
      </c>
      <c r="H677" t="inlineStr">
        <is>
          <t>Naturvårdsverket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38656-2026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46283</v>
      </c>
      <c r="E678" s="1" t="n">
        <v>46286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25113-2025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45800</v>
      </c>
      <c r="E679" s="1" t="n">
        <v>46286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38357-2026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46282</v>
      </c>
      <c r="E680" s="1" t="n">
        <v>46286</v>
      </c>
      <c r="F680" t="inlineStr">
        <is>
          <t>DALARNAS LÄN</t>
        </is>
      </c>
      <c r="G680" t="inlineStr">
        <is>
          <t>LUDVIKA</t>
        </is>
      </c>
      <c r="H680" t="inlineStr">
        <is>
          <t>Naturvårdsverket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25235-2025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45800</v>
      </c>
      <c r="E681" s="1" t="n">
        <v>46286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26320-2025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45805</v>
      </c>
      <c r="E682" s="1" t="n">
        <v>46286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26698-2025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45810</v>
      </c>
      <c r="E683" s="1" t="n">
        <v>46286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26794-2025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45810</v>
      </c>
      <c r="E684" s="1" t="n">
        <v>46286</v>
      </c>
      <c r="F684" t="inlineStr">
        <is>
          <t>DALARNAS LÄN</t>
        </is>
      </c>
      <c r="G684" t="inlineStr">
        <is>
          <t>LUDVIKA</t>
        </is>
      </c>
      <c r="H684" t="inlineStr">
        <is>
          <t>Kommuner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26628-2025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45810</v>
      </c>
      <c r="E685" s="1" t="n">
        <v>46286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43700-2024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45569</v>
      </c>
      <c r="E686" s="1" t="n">
        <v>46286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27506-2025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45813</v>
      </c>
      <c r="E687" s="1" t="n">
        <v>46286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27448-2025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45813</v>
      </c>
      <c r="E688" s="1" t="n">
        <v>46286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27525-2025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45813</v>
      </c>
      <c r="E689" s="1" t="n">
        <v>46286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27532-2025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45813</v>
      </c>
      <c r="E690" s="1" t="n">
        <v>46286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29443-2025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45824</v>
      </c>
      <c r="E691" s="1" t="n">
        <v>46286</v>
      </c>
      <c r="F691" t="inlineStr">
        <is>
          <t>DALARNAS LÄN</t>
        </is>
      </c>
      <c r="G691" t="inlineStr">
        <is>
          <t>LUDVIKA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30288-2025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45827</v>
      </c>
      <c r="E692" s="1" t="n">
        <v>46286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29966-2025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45826</v>
      </c>
      <c r="E693" s="1" t="n">
        <v>46286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45826</v>
      </c>
      <c r="E694" s="1" t="n">
        <v>46286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30760-2025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46286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30748-2025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45831</v>
      </c>
      <c r="E696" s="1" t="n">
        <v>46286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31001-2025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45832</v>
      </c>
      <c r="E697" s="1" t="n">
        <v>46286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32019-2025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45835</v>
      </c>
      <c r="E698" s="1" t="n">
        <v>46286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33063-2025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45840</v>
      </c>
      <c r="E699" s="1" t="n">
        <v>46286</v>
      </c>
      <c r="F699" t="inlineStr">
        <is>
          <t>DALARNAS LÄN</t>
        </is>
      </c>
      <c r="G699" t="inlineStr">
        <is>
          <t>LUDVIKA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33244-2025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45840</v>
      </c>
      <c r="E700" s="1" t="n">
        <v>46286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34067-2025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45845</v>
      </c>
      <c r="E701" s="1" t="n">
        <v>46286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31043-2024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45502</v>
      </c>
      <c r="E702" s="1" t="n">
        <v>46286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34861-2025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45849</v>
      </c>
      <c r="E703" s="1" t="n">
        <v>46286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34455-2024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45525</v>
      </c>
      <c r="E704" s="1" t="n">
        <v>46286</v>
      </c>
      <c r="F704" t="inlineStr">
        <is>
          <t>DALARNAS LÄN</t>
        </is>
      </c>
      <c r="G704" t="inlineStr">
        <is>
          <t>LUDVIKA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29654-2025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45825</v>
      </c>
      <c r="E705" s="1" t="n">
        <v>46286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32329-2024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45512</v>
      </c>
      <c r="E706" s="1" t="n">
        <v>46286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31010-2025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45832</v>
      </c>
      <c r="E707" s="1" t="n">
        <v>46286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31057-2025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45832</v>
      </c>
      <c r="E708" s="1" t="n">
        <v>46286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6.2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31050-2025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45832</v>
      </c>
      <c r="E709" s="1" t="n">
        <v>46286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33001-2025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45840</v>
      </c>
      <c r="E710" s="1" t="n">
        <v>46286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17677-2022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44680</v>
      </c>
      <c r="E711" s="1" t="n">
        <v>46286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36437-2025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45869</v>
      </c>
      <c r="E712" s="1" t="n">
        <v>46286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43055-2024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45567</v>
      </c>
      <c r="E713" s="1" t="n">
        <v>46286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6151-2024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45337</v>
      </c>
      <c r="E714" s="1" t="n">
        <v>46286</v>
      </c>
      <c r="F714" t="inlineStr">
        <is>
          <t>DALARNAS LÄN</t>
        </is>
      </c>
      <c r="G714" t="inlineStr">
        <is>
          <t>LUDVIKA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45761</v>
      </c>
      <c r="E715" s="1" t="n">
        <v>46286</v>
      </c>
      <c r="F715" t="inlineStr">
        <is>
          <t>DALARNAS LÄN</t>
        </is>
      </c>
      <c r="G715" t="inlineStr">
        <is>
          <t>LUDVIKA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37129-2025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45875</v>
      </c>
      <c r="E716" s="1" t="n">
        <v>46286</v>
      </c>
      <c r="F716" t="inlineStr">
        <is>
          <t>DALARNAS LÄN</t>
        </is>
      </c>
      <c r="G716" t="inlineStr">
        <is>
          <t>LUDVIKA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2837-2023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45167</v>
      </c>
      <c r="E717" s="1" t="n">
        <v>46286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1122-2023</t>
        </is>
      </c>
      <c r="B718" t="inlineStr">
        <is>
          <t>samrådsanmälan</t>
        </is>
      </c>
      <c r="C718" t="inlineStr">
        <is>
          <t>Skogsgödsling</t>
        </is>
      </c>
      <c r="D718" s="1" t="n">
        <v>45015</v>
      </c>
      <c r="E718" s="1" t="n">
        <v>46286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3660-2023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45216</v>
      </c>
      <c r="E719" s="1" t="n">
        <v>46286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1246-2024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45400</v>
      </c>
      <c r="E720" s="1" t="n">
        <v>46286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35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1096-2024</t>
        </is>
      </c>
      <c r="B721" t="inlineStr">
        <is>
          <t>samrådsanmälan</t>
        </is>
      </c>
      <c r="C721" t="inlineStr">
        <is>
          <t>Skogsgödsling</t>
        </is>
      </c>
      <c r="D721" s="1" t="n">
        <v>45391</v>
      </c>
      <c r="E721" s="1" t="n">
        <v>46286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26.7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4863-2022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44805</v>
      </c>
      <c r="E722" s="1" t="n">
        <v>46286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1113-2023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46286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37.9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>
      <c r="A724" t="inlineStr">
        <is>
          <t>S 1815-2026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46190</v>
      </c>
      <c r="E724" s="1" t="n">
        <v>46286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2026-09-21T02:06:21Z</dcterms:created>
  <dcterms:modified xmlns:dcterms="http://purl.org/dc/terms/" xmlns:xsi="http://www.w3.org/2001/XMLSchema-instance" xsi:type="dcterms:W3CDTF">2026-09-21T02:06:22Z</dcterms:modified>
</cp:coreProperties>
</file>
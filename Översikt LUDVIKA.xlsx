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46318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46318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46318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46318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46318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46318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46318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46318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46318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46318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46318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23658-2025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45786</v>
      </c>
      <c r="E24" s="1" t="n">
        <v>46318</v>
      </c>
      <c r="F24" t="inlineStr">
        <is>
          <t>DALARNAS LÄN</t>
        </is>
      </c>
      <c r="G24" t="inlineStr">
        <is>
          <t>LUDVIKA</t>
        </is>
      </c>
      <c r="I24" t="n">
        <v>7.1</v>
      </c>
      <c r="J24" t="n">
        <v>7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8</v>
      </c>
      <c r="T24" t="n">
        <v>15</v>
      </c>
      <c r="U24" t="n">
        <v>14</v>
      </c>
      <c r="V24" s="2" t="inlineStr">
        <is>
          <t>Tornseglare
Entita
Fjällig taggsvamp s.str.
Grönsångare
Nordfladdermus
Talltita
Tjäder
Vattenfladdermus</t>
        </is>
      </c>
      <c r="W24">
        <f>HYPERLINK("https://klasma.github.io/Logging_2085/artfynd/A 23658-2025 artfynd.xlsx", "A 23658-2025")</f>
        <v/>
      </c>
      <c r="X24">
        <f>HYPERLINK("https://klasma.github.io/Logging_2085/kartor/A 23658-2025 karta.png", "A 23658-2025")</f>
        <v/>
      </c>
      <c r="Y24">
        <f>HYPERLINK("https://klasma.github.io/Logging_2085/kartor_geotiff/A 23658-2025 georefererad karta.tif", "A 23658-2025")</f>
        <v/>
      </c>
      <c r="AA24">
        <f>HYPERLINK("https://klasma.github.io/Logging_2085/klagomål/A 23658-2025 FSC-klagomål.docx", "A 23658-2025")</f>
        <v/>
      </c>
      <c r="AB24">
        <f>HYPERLINK("https://klasma.github.io/Logging_2085/klagomålsmail/A 23658-2025 FSC-klagomål mail.docx", "A 23658-2025")</f>
        <v/>
      </c>
      <c r="AC24">
        <f>HYPERLINK("https://klasma.github.io/Logging_2085/tillsyn/A 23658-2025 tillsynsbegäran.docx", "A 23658-2025")</f>
        <v/>
      </c>
      <c r="AD24">
        <f>HYPERLINK("https://klasma.github.io/Logging_2085/tillsynsmail/A 23658-2025 tillsynsbegäran mail.docx", "A 23658-2025")</f>
        <v/>
      </c>
      <c r="AE24">
        <f>HYPERLINK("https://klasma.github.io/Logging_2085/fåglar/A 23658-2025 prioriterade fågelarter.docx", "A 23658-2025")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46318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46318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46318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46318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46318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52779-2025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46318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0.5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6</v>
      </c>
      <c r="U30" t="n">
        <v>0</v>
      </c>
      <c r="V30" s="2" t="inlineStr">
        <is>
          <t>Sexfläckig bastardsvärmare
Ängsblåvinge
Mindre tåtelsmygare
Motaggsvamp
Skogsklocka
Huggorm</t>
        </is>
      </c>
      <c r="W30">
        <f>HYPERLINK("https://klasma.github.io/Logging_2085/artfynd/A 52779-2025 artfynd.xlsx", "A 52779-2025")</f>
        <v/>
      </c>
      <c r="X30">
        <f>HYPERLINK("https://klasma.github.io/Logging_2085/kartor/A 52779-2025 karta.png", "A 52779-2025")</f>
        <v/>
      </c>
      <c r="Y30">
        <f>HYPERLINK("https://klasma.github.io/Logging_2085/kartor_geotiff/A 52779-2025 georefererad karta.tif", "A 52779-2025")</f>
        <v/>
      </c>
      <c r="AA30">
        <f>HYPERLINK("https://klasma.github.io/Logging_2085/klagomål/A 52779-2025 FSC-klagomål.docx", "A 52779-2025")</f>
        <v/>
      </c>
      <c r="AB30">
        <f>HYPERLINK("https://klasma.github.io/Logging_2085/klagomålsmail/A 52779-2025 FSC-klagomål mail.docx", "A 52779-2025")</f>
        <v/>
      </c>
      <c r="AC30">
        <f>HYPERLINK("https://klasma.github.io/Logging_2085/tillsyn/A 52779-2025 tillsynsbegäran.docx", "A 52779-2025")</f>
        <v/>
      </c>
      <c r="AD30">
        <f>HYPERLINK("https://klasma.github.io/Logging_2085/tillsynsmail/A 52779-2025 tillsynsbegäran mail.docx", "A 52779-2025")</f>
        <v/>
      </c>
    </row>
    <row r="31" ht="15" customHeight="1">
      <c r="A31" t="inlineStr">
        <is>
          <t>A 55406-2025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45971</v>
      </c>
      <c r="E31" s="1" t="n">
        <v>46318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25</v>
      </c>
      <c r="J31" t="n">
        <v>5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6</v>
      </c>
      <c r="T31" t="n">
        <v>7</v>
      </c>
      <c r="U31" t="n">
        <v>3</v>
      </c>
      <c r="V31" s="2" t="inlineStr">
        <is>
          <t>Knärot
Gullgröppa
Plattlummer
Blåsippa
Nattviol
Revlummer</t>
        </is>
      </c>
      <c r="W31">
        <f>HYPERLINK("https://klasma.github.io/Logging_2085/artfynd/A 55406-2025 artfynd.xlsx", "A 55406-2025")</f>
        <v/>
      </c>
      <c r="X31">
        <f>HYPERLINK("https://klasma.github.io/Logging_2085/kartor/A 55406-2025 karta.png", "A 55406-2025")</f>
        <v/>
      </c>
      <c r="Y31">
        <f>HYPERLINK("https://klasma.github.io/Logging_2085/kartor_geotiff/A 55406-2025 georefererad karta.tif", "A 55406-2025")</f>
        <v/>
      </c>
      <c r="Z31">
        <f>HYPERLINK("https://klasma.github.io/Logging_2085/knärot/A 55406-2025 karta knärot.png", "A 55406-2025")</f>
        <v/>
      </c>
      <c r="AA31">
        <f>HYPERLINK("https://klasma.github.io/Logging_2085/klagomål/A 55406-2025 FSC-klagomål.docx", "A 55406-2025")</f>
        <v/>
      </c>
      <c r="AB31">
        <f>HYPERLINK("https://klasma.github.io/Logging_2085/klagomålsmail/A 55406-2025 FSC-klagomål mail.docx", "A 55406-2025")</f>
        <v/>
      </c>
      <c r="AC31">
        <f>HYPERLINK("https://klasma.github.io/Logging_2085/tillsyn/A 55406-2025 tillsynsbegäran.docx", "A 55406-2025")</f>
        <v/>
      </c>
      <c r="AD31">
        <f>HYPERLINK("https://klasma.github.io/Logging_2085/tillsynsmail/A 55406-2025 tillsynsbegäran mail.docx", "A 55406-2025")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46318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46318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46318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23681-2026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46318</v>
      </c>
      <c r="F36" t="inlineStr">
        <is>
          <t>DALARNAS LÄN</t>
        </is>
      </c>
      <c r="G36" t="inlineStr">
        <is>
          <t>LUDVIKA</t>
        </is>
      </c>
      <c r="I36" t="n">
        <v>6.2</v>
      </c>
      <c r="J36" t="n">
        <v>3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6</v>
      </c>
      <c r="T36" t="n">
        <v>26</v>
      </c>
      <c r="U36" t="n">
        <v>26</v>
      </c>
      <c r="V36" s="2" t="inlineStr">
        <is>
          <t>Dropptaggsvamp
Tretåig hackspett
Blodticka
Mindre märgborre
Järpe
Spillkråka</t>
        </is>
      </c>
      <c r="W36">
        <f>HYPERLINK("https://klasma.github.io/Logging_2085/artfynd/A 23681-2026 artfynd.xlsx", "A 23681-2026")</f>
        <v/>
      </c>
      <c r="X36">
        <f>HYPERLINK("https://klasma.github.io/Logging_2085/kartor/A 23681-2026 karta.png", "A 23681-2026")</f>
        <v/>
      </c>
      <c r="Y36">
        <f>HYPERLINK("https://klasma.github.io/Logging_2085/kartor_geotiff/A 23681-2026 georefererad karta.tif", "A 23681-2026")</f>
        <v/>
      </c>
      <c r="AA36">
        <f>HYPERLINK("https://klasma.github.io/Logging_2085/klagomål/A 23681-2026 FSC-klagomål.docx", "A 23681-2026")</f>
        <v/>
      </c>
      <c r="AB36">
        <f>HYPERLINK("https://klasma.github.io/Logging_2085/klagomålsmail/A 23681-2026 FSC-klagomål mail.docx", "A 23681-2026")</f>
        <v/>
      </c>
      <c r="AC36">
        <f>HYPERLINK("https://klasma.github.io/Logging_2085/tillsyn/A 23681-2026 tillsynsbegäran.docx", "A 23681-2026")</f>
        <v/>
      </c>
      <c r="AD36">
        <f>HYPERLINK("https://klasma.github.io/Logging_2085/tillsynsmail/A 23681-2026 tillsynsbegäran mail.docx", "A 23681-2026")</f>
        <v/>
      </c>
      <c r="AE36">
        <f>HYPERLINK("https://klasma.github.io/Logging_2085/fåglar/A 23681-2026 prioriterade fågelarter.docx", "A 23681-2026")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46318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46318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46318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46318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46318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46318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46318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46318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46318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46318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35101-2026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46260</v>
      </c>
      <c r="E49" s="1" t="n">
        <v>46318</v>
      </c>
      <c r="F49" t="inlineStr">
        <is>
          <t>DALARNAS LÄN</t>
        </is>
      </c>
      <c r="G49" t="inlineStr">
        <is>
          <t>LUDVIKA</t>
        </is>
      </c>
      <c r="I49" t="n">
        <v>2.3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7</v>
      </c>
      <c r="U49" t="n">
        <v>7</v>
      </c>
      <c r="V49" s="2" t="inlineStr">
        <is>
          <t>Tretåig hackspett
Rödgul trumpetsvamp
Järpe
Spillkråka</t>
        </is>
      </c>
      <c r="W49">
        <f>HYPERLINK("https://klasma.github.io/Logging_2085/artfynd/A 35101-2026 artfynd.xlsx", "A 35101-2026")</f>
        <v/>
      </c>
      <c r="X49">
        <f>HYPERLINK("https://klasma.github.io/Logging_2085/kartor/A 35101-2026 karta.png", "A 35101-2026")</f>
        <v/>
      </c>
      <c r="Y49">
        <f>HYPERLINK("https://klasma.github.io/Logging_2085/kartor_geotiff/A 35101-2026 georefererad karta.tif", "A 35101-2026")</f>
        <v/>
      </c>
      <c r="AA49">
        <f>HYPERLINK("https://klasma.github.io/Logging_2085/klagomål/A 35101-2026 FSC-klagomål.docx", "A 35101-2026")</f>
        <v/>
      </c>
      <c r="AB49">
        <f>HYPERLINK("https://klasma.github.io/Logging_2085/klagomålsmail/A 35101-2026 FSC-klagomål mail.docx", "A 35101-2026")</f>
        <v/>
      </c>
      <c r="AC49">
        <f>HYPERLINK("https://klasma.github.io/Logging_2085/tillsyn/A 35101-2026 tillsynsbegäran.docx", "A 35101-2026")</f>
        <v/>
      </c>
      <c r="AD49">
        <f>HYPERLINK("https://klasma.github.io/Logging_2085/tillsynsmail/A 35101-2026 tillsynsbegäran mail.docx", "A 35101-2026")</f>
        <v/>
      </c>
      <c r="AE49">
        <f>HYPERLINK("https://klasma.github.io/Logging_2085/fåglar/A 35101-2026 prioriterade fågelarter.docx", "A 35101-2026")</f>
        <v/>
      </c>
    </row>
    <row r="50" ht="15" customHeight="1">
      <c r="A50" t="inlineStr">
        <is>
          <t>A 23682-2026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46163</v>
      </c>
      <c r="E50" s="1" t="n">
        <v>46318</v>
      </c>
      <c r="F50" t="inlineStr">
        <is>
          <t>DALARNAS LÄN</t>
        </is>
      </c>
      <c r="G50" t="inlineStr">
        <is>
          <t>LUDVIKA</t>
        </is>
      </c>
      <c r="I50" t="n">
        <v>3.9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Vårärt
Järpe
Spillkråka
Tjäder</t>
        </is>
      </c>
      <c r="W50">
        <f>HYPERLINK("https://klasma.github.io/Logging_2085/artfynd/A 23682-2026 artfynd.xlsx", "A 23682-2026")</f>
        <v/>
      </c>
      <c r="X50">
        <f>HYPERLINK("https://klasma.github.io/Logging_2085/kartor/A 23682-2026 karta.png", "A 23682-2026")</f>
        <v/>
      </c>
      <c r="Y50">
        <f>HYPERLINK("https://klasma.github.io/Logging_2085/kartor_geotiff/A 23682-2026 georefererad karta.tif", "A 23682-2026")</f>
        <v/>
      </c>
      <c r="AA50">
        <f>HYPERLINK("https://klasma.github.io/Logging_2085/klagomål/A 23682-2026 FSC-klagomål.docx", "A 23682-2026")</f>
        <v/>
      </c>
      <c r="AB50">
        <f>HYPERLINK("https://klasma.github.io/Logging_2085/klagomålsmail/A 23682-2026 FSC-klagomål mail.docx", "A 23682-2026")</f>
        <v/>
      </c>
      <c r="AC50">
        <f>HYPERLINK("https://klasma.github.io/Logging_2085/tillsyn/A 23682-2026 tillsynsbegäran.docx", "A 23682-2026")</f>
        <v/>
      </c>
      <c r="AD50">
        <f>HYPERLINK("https://klasma.github.io/Logging_2085/tillsynsmail/A 23682-2026 tillsynsbegäran mail.docx", "A 23682-2026")</f>
        <v/>
      </c>
      <c r="AE50">
        <f>HYPERLINK("https://klasma.github.io/Logging_2085/fåglar/A 23682-2026 prioriterade fågelarter.docx", "A 23682-2026")</f>
        <v/>
      </c>
    </row>
    <row r="51" ht="15" customHeight="1">
      <c r="A51" t="inlineStr">
        <is>
          <t>A 11705-2024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46318</v>
      </c>
      <c r="F51" t="inlineStr">
        <is>
          <t>DALARNAS LÄN</t>
        </is>
      </c>
      <c r="G51" t="inlineStr">
        <is>
          <t>LUDVIKA</t>
        </is>
      </c>
      <c r="I51" t="n">
        <v>35.4</v>
      </c>
      <c r="J51" t="n">
        <v>2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45</v>
      </c>
      <c r="U51" t="n">
        <v>45</v>
      </c>
      <c r="V51" s="2" t="inlineStr">
        <is>
          <t>Garnlav
Kortskaftad ärgspik
Tretåig hackspett
Spillkråka</t>
        </is>
      </c>
      <c r="W51">
        <f>HYPERLINK("https://klasma.github.io/Logging_2085/artfynd/A 11705-2024 artfynd.xlsx", "A 11705-2024")</f>
        <v/>
      </c>
      <c r="X51">
        <f>HYPERLINK("https://klasma.github.io/Logging_2085/kartor/A 11705-2024 karta.png", "A 11705-2024")</f>
        <v/>
      </c>
      <c r="Y51">
        <f>HYPERLINK("https://klasma.github.io/Logging_2085/kartor_geotiff/A 11705-2024 georefererad karta.tif", "A 11705-2024")</f>
        <v/>
      </c>
      <c r="AA51">
        <f>HYPERLINK("https://klasma.github.io/Logging_2085/klagomål/A 11705-2024 FSC-klagomål.docx", "A 11705-2024")</f>
        <v/>
      </c>
      <c r="AB51">
        <f>HYPERLINK("https://klasma.github.io/Logging_2085/klagomålsmail/A 11705-2024 FSC-klagomål mail.docx", "A 11705-2024")</f>
        <v/>
      </c>
      <c r="AC51">
        <f>HYPERLINK("https://klasma.github.io/Logging_2085/tillsyn/A 11705-2024 tillsynsbegäran.docx", "A 11705-2024")</f>
        <v/>
      </c>
      <c r="AD51">
        <f>HYPERLINK("https://klasma.github.io/Logging_2085/tillsynsmail/A 11705-2024 tillsynsbegäran mail.docx", "A 11705-2024")</f>
        <v/>
      </c>
      <c r="AE51">
        <f>HYPERLINK("https://klasma.github.io/Logging_2085/fåglar/A 11705-2024 prioriterade fågelarter.docx", "A 11705-2024")</f>
        <v/>
      </c>
    </row>
    <row r="52" ht="15" customHeight="1">
      <c r="A52" t="inlineStr">
        <is>
          <t>A 22589-2026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46155</v>
      </c>
      <c r="E52" s="1" t="n">
        <v>46318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3.7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Järpe
Spillkråka
Tjäder</t>
        </is>
      </c>
      <c r="W52">
        <f>HYPERLINK("https://klasma.github.io/Logging_2085/artfynd/A 22589-2026 artfynd.xlsx", "A 22589-2026")</f>
        <v/>
      </c>
      <c r="X52">
        <f>HYPERLINK("https://klasma.github.io/Logging_2085/kartor/A 22589-2026 karta.png", "A 22589-2026")</f>
        <v/>
      </c>
      <c r="Y52">
        <f>HYPERLINK("https://klasma.github.io/Logging_2085/kartor_geotiff/A 22589-2026 georefererad karta.tif", "A 22589-2026")</f>
        <v/>
      </c>
      <c r="AA52">
        <f>HYPERLINK("https://klasma.github.io/Logging_2085/klagomål/A 22589-2026 FSC-klagomål.docx", "A 22589-2026")</f>
        <v/>
      </c>
      <c r="AB52">
        <f>HYPERLINK("https://klasma.github.io/Logging_2085/klagomålsmail/A 22589-2026 FSC-klagomål mail.docx", "A 22589-2026")</f>
        <v/>
      </c>
      <c r="AC52">
        <f>HYPERLINK("https://klasma.github.io/Logging_2085/tillsyn/A 22589-2026 tillsynsbegäran.docx", "A 22589-2026")</f>
        <v/>
      </c>
      <c r="AD52">
        <f>HYPERLINK("https://klasma.github.io/Logging_2085/tillsynsmail/A 22589-2026 tillsynsbegäran mail.docx", "A 22589-2026")</f>
        <v/>
      </c>
      <c r="AE52">
        <f>HYPERLINK("https://klasma.github.io/Logging_2085/fåglar/A 22589-2026 prioriterade fågelarter.docx", "A 22589-2026")</f>
        <v/>
      </c>
    </row>
    <row r="53" ht="15" customHeight="1">
      <c r="A53" t="inlineStr">
        <is>
          <t>A 35100-2026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46260</v>
      </c>
      <c r="E53" s="1" t="n">
        <v>46318</v>
      </c>
      <c r="F53" t="inlineStr">
        <is>
          <t>DALARNAS LÄN</t>
        </is>
      </c>
      <c r="G53" t="inlineStr">
        <is>
          <t>LUDVIKA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8</v>
      </c>
      <c r="U53" t="n">
        <v>8</v>
      </c>
      <c r="V53" s="2" t="inlineStr">
        <is>
          <t>Knärot
Trådticka
Spillkråka
Sälg</t>
        </is>
      </c>
      <c r="W53">
        <f>HYPERLINK("https://klasma.github.io/Logging_2085/artfynd/A 35100-2026 artfynd.xlsx", "A 35100-2026")</f>
        <v/>
      </c>
      <c r="X53">
        <f>HYPERLINK("https://klasma.github.io/Logging_2085/kartor/A 35100-2026 karta.png", "A 35100-2026")</f>
        <v/>
      </c>
      <c r="Y53">
        <f>HYPERLINK("https://klasma.github.io/Logging_2085/kartor_geotiff/A 35100-2026 georefererad karta.tif", "A 35100-2026")</f>
        <v/>
      </c>
      <c r="Z53">
        <f>HYPERLINK("https://klasma.github.io/Logging_2085/knärot/A 35100-2026 karta knärot.png", "A 35100-2026")</f>
        <v/>
      </c>
      <c r="AA53">
        <f>HYPERLINK("https://klasma.github.io/Logging_2085/klagomål/A 35100-2026 FSC-klagomål.docx", "A 35100-2026")</f>
        <v/>
      </c>
      <c r="AB53">
        <f>HYPERLINK("https://klasma.github.io/Logging_2085/klagomålsmail/A 35100-2026 FSC-klagomål mail.docx", "A 35100-2026")</f>
        <v/>
      </c>
      <c r="AC53">
        <f>HYPERLINK("https://klasma.github.io/Logging_2085/tillsyn/A 35100-2026 tillsynsbegäran.docx", "A 35100-2026")</f>
        <v/>
      </c>
      <c r="AD53">
        <f>HYPERLINK("https://klasma.github.io/Logging_2085/tillsynsmail/A 35100-2026 tillsynsbegäran mail.docx", "A 35100-2026")</f>
        <v/>
      </c>
      <c r="AE53">
        <f>HYPERLINK("https://klasma.github.io/Logging_2085/fåglar/A 35100-2026 prioriterade fågelarter.docx", "A 35100-2026")</f>
        <v/>
      </c>
    </row>
    <row r="54" ht="15" customHeight="1">
      <c r="A54" t="inlineStr">
        <is>
          <t>A 28738-2026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46318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12</v>
      </c>
      <c r="U54" t="n">
        <v>12</v>
      </c>
      <c r="V54" s="2" t="inlineStr">
        <is>
          <t>Garnlav
Violettgrå tagellav
Mindre märgborre
Spillkråka</t>
        </is>
      </c>
      <c r="W54">
        <f>HYPERLINK("https://klasma.github.io/Logging_2085/artfynd/A 28738-2026 artfynd.xlsx", "A 28738-2026")</f>
        <v/>
      </c>
      <c r="X54">
        <f>HYPERLINK("https://klasma.github.io/Logging_2085/kartor/A 28738-2026 karta.png", "A 28738-2026")</f>
        <v/>
      </c>
      <c r="Y54">
        <f>HYPERLINK("https://klasma.github.io/Logging_2085/kartor_geotiff/A 28738-2026 georefererad karta.tif", "A 28738-2026")</f>
        <v/>
      </c>
      <c r="AA54">
        <f>HYPERLINK("https://klasma.github.io/Logging_2085/klagomål/A 28738-2026 FSC-klagomål.docx", "A 28738-2026")</f>
        <v/>
      </c>
      <c r="AB54">
        <f>HYPERLINK("https://klasma.github.io/Logging_2085/klagomålsmail/A 28738-2026 FSC-klagomål mail.docx", "A 28738-2026")</f>
        <v/>
      </c>
      <c r="AC54">
        <f>HYPERLINK("https://klasma.github.io/Logging_2085/tillsyn/A 28738-2026 tillsynsbegäran.docx", "A 28738-2026")</f>
        <v/>
      </c>
      <c r="AD54">
        <f>HYPERLINK("https://klasma.github.io/Logging_2085/tillsynsmail/A 28738-2026 tillsynsbegäran mail.docx", "A 28738-2026")</f>
        <v/>
      </c>
      <c r="AE54">
        <f>HYPERLINK("https://klasma.github.io/Logging_2085/fåglar/A 28738-2026 prioriterade fågelarter.docx", "A 28738-2026")</f>
        <v/>
      </c>
    </row>
    <row r="55" ht="15" customHeight="1">
      <c r="A55" t="inlineStr">
        <is>
          <t>A 38635-2026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46283</v>
      </c>
      <c r="E55" s="1" t="n">
        <v>46318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Lunglav
Mörk husmossa
Vedticka
Vågbandad barkbock</t>
        </is>
      </c>
      <c r="W55">
        <f>HYPERLINK("https://klasma.github.io/Logging_2085/artfynd/A 38635-2026 artfynd.xlsx", "A 38635-2026")</f>
        <v/>
      </c>
      <c r="X55">
        <f>HYPERLINK("https://klasma.github.io/Logging_2085/kartor/A 38635-2026 karta.png", "A 38635-2026")</f>
        <v/>
      </c>
      <c r="Y55">
        <f>HYPERLINK("https://klasma.github.io/Logging_2085/kartor_geotiff/A 38635-2026 georefererad karta.tif", "A 38635-2026")</f>
        <v/>
      </c>
      <c r="AA55">
        <f>HYPERLINK("https://klasma.github.io/Logging_2085/klagomål/A 38635-2026 FSC-klagomål.docx", "A 38635-2026")</f>
        <v/>
      </c>
      <c r="AB55">
        <f>HYPERLINK("https://klasma.github.io/Logging_2085/klagomålsmail/A 38635-2026 FSC-klagomål mail.docx", "A 38635-2026")</f>
        <v/>
      </c>
      <c r="AC55">
        <f>HYPERLINK("https://klasma.github.io/Logging_2085/tillsyn/A 38635-2026 tillsynsbegäran.docx", "A 38635-2026")</f>
        <v/>
      </c>
      <c r="AD55">
        <f>HYPERLINK("https://klasma.github.io/Logging_2085/tillsynsmail/A 38635-2026 tillsynsbegäran mail.docx", "A 38635-2026")</f>
        <v/>
      </c>
    </row>
    <row r="56" ht="15" customHeight="1">
      <c r="A56" t="inlineStr">
        <is>
          <t>A 49676-2024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45596</v>
      </c>
      <c r="E56" s="1" t="n">
        <v>46318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3.5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4</v>
      </c>
      <c r="T56" t="n">
        <v>8</v>
      </c>
      <c r="U56" t="n">
        <v>8</v>
      </c>
      <c r="V56" s="2" t="inlineStr">
        <is>
          <t>Garnlav
Dropptaggsvamp
Järpe
Spillkråka</t>
        </is>
      </c>
      <c r="W56">
        <f>HYPERLINK("https://klasma.github.io/Logging_2085/artfynd/A 49676-2024 artfynd.xlsx", "A 49676-2024")</f>
        <v/>
      </c>
      <c r="X56">
        <f>HYPERLINK("https://klasma.github.io/Logging_2085/kartor/A 49676-2024 karta.png", "A 49676-2024")</f>
        <v/>
      </c>
      <c r="Y56">
        <f>HYPERLINK("https://klasma.github.io/Logging_2085/kartor_geotiff/A 49676-2024 georefererad karta.tif", "A 49676-2024")</f>
        <v/>
      </c>
      <c r="AA56">
        <f>HYPERLINK("https://klasma.github.io/Logging_2085/klagomål/A 49676-2024 FSC-klagomål.docx", "A 49676-2024")</f>
        <v/>
      </c>
      <c r="AB56">
        <f>HYPERLINK("https://klasma.github.io/Logging_2085/klagomålsmail/A 49676-2024 FSC-klagomål mail.docx", "A 49676-2024")</f>
        <v/>
      </c>
      <c r="AC56">
        <f>HYPERLINK("https://klasma.github.io/Logging_2085/tillsyn/A 49676-2024 tillsynsbegäran.docx", "A 49676-2024")</f>
        <v/>
      </c>
      <c r="AD56">
        <f>HYPERLINK("https://klasma.github.io/Logging_2085/tillsynsmail/A 49676-2024 tillsynsbegäran mail.docx", "A 49676-2024")</f>
        <v/>
      </c>
      <c r="AE56">
        <f>HYPERLINK("https://klasma.github.io/Logging_2085/fåglar/A 49676-2024 prioriterade fågelarter.docx", "A 49676-2024")</f>
        <v/>
      </c>
    </row>
    <row r="57" ht="15" customHeight="1">
      <c r="A57" t="inlineStr">
        <is>
          <t>A 57803-2023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45246</v>
      </c>
      <c r="E57" s="1" t="n">
        <v>46318</v>
      </c>
      <c r="F57" t="inlineStr">
        <is>
          <t>DALARNAS LÄN</t>
        </is>
      </c>
      <c r="G57" t="inlineStr">
        <is>
          <t>LUDVIKA</t>
        </is>
      </c>
      <c r="I57" t="n">
        <v>3.3</v>
      </c>
      <c r="J57" t="n">
        <v>3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5</v>
      </c>
      <c r="U57" t="n">
        <v>5</v>
      </c>
      <c r="V57" s="2" t="inlineStr">
        <is>
          <t>Garnlav
Spillkråka
Tjäder
Gröngöling</t>
        </is>
      </c>
      <c r="W57">
        <f>HYPERLINK("https://klasma.github.io/Logging_2085/artfynd/A 57803-2023 artfynd.xlsx", "A 57803-2023")</f>
        <v/>
      </c>
      <c r="X57">
        <f>HYPERLINK("https://klasma.github.io/Logging_2085/kartor/A 57803-2023 karta.png", "A 57803-2023")</f>
        <v/>
      </c>
      <c r="Y57">
        <f>HYPERLINK("https://klasma.github.io/Logging_2085/kartor_geotiff/A 57803-2023 georefererad karta.tif", "A 57803-2023")</f>
        <v/>
      </c>
      <c r="AA57">
        <f>HYPERLINK("https://klasma.github.io/Logging_2085/klagomål/A 57803-2023 FSC-klagomål.docx", "A 57803-2023")</f>
        <v/>
      </c>
      <c r="AB57">
        <f>HYPERLINK("https://klasma.github.io/Logging_2085/klagomålsmail/A 57803-2023 FSC-klagomål mail.docx", "A 57803-2023")</f>
        <v/>
      </c>
      <c r="AC57">
        <f>HYPERLINK("https://klasma.github.io/Logging_2085/tillsyn/A 57803-2023 tillsynsbegäran.docx", "A 57803-2023")</f>
        <v/>
      </c>
      <c r="AD57">
        <f>HYPERLINK("https://klasma.github.io/Logging_2085/tillsynsmail/A 57803-2023 tillsynsbegäran mail.docx", "A 57803-2023")</f>
        <v/>
      </c>
      <c r="AE57">
        <f>HYPERLINK("https://klasma.github.io/Logging_2085/fåglar/A 57803-2023 prioriterade fågelarter.docx", "A 57803-2023")</f>
        <v/>
      </c>
    </row>
    <row r="58" ht="15" customHeight="1">
      <c r="A58" t="inlineStr">
        <is>
          <t>A 35820-2026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46265</v>
      </c>
      <c r="E58" s="1" t="n">
        <v>46318</v>
      </c>
      <c r="F58" t="inlineStr">
        <is>
          <t>DALARNAS LÄN</t>
        </is>
      </c>
      <c r="G58" t="inlineStr">
        <is>
          <t>LUDVIKA</t>
        </is>
      </c>
      <c r="H58" t="inlineStr">
        <is>
          <t>Naturvårdsverket</t>
        </is>
      </c>
      <c r="I58" t="n">
        <v>4.3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4</v>
      </c>
      <c r="T58" t="n">
        <v>4</v>
      </c>
      <c r="U58" t="n">
        <v>0</v>
      </c>
      <c r="V58" s="2" t="inlineStr">
        <is>
          <t>Garnlav
Kortskaftad ärgspik
Vedtrappmossa
Spillkråka</t>
        </is>
      </c>
      <c r="W58">
        <f>HYPERLINK("https://klasma.github.io/Logging_2085/artfynd/A 35820-2026 artfynd.xlsx", "A 35820-2026")</f>
        <v/>
      </c>
      <c r="X58">
        <f>HYPERLINK("https://klasma.github.io/Logging_2085/kartor/A 35820-2026 karta.png", "A 35820-2026")</f>
        <v/>
      </c>
      <c r="Y58">
        <f>HYPERLINK("https://klasma.github.io/Logging_2085/kartor_geotiff/A 35820-2026 georefererad karta.tif", "A 35820-2026")</f>
        <v/>
      </c>
      <c r="AA58">
        <f>HYPERLINK("https://klasma.github.io/Logging_2085/klagomål/A 35820-2026 FSC-klagomål.docx", "A 35820-2026")</f>
        <v/>
      </c>
      <c r="AB58">
        <f>HYPERLINK("https://klasma.github.io/Logging_2085/klagomålsmail/A 35820-2026 FSC-klagomål mail.docx", "A 35820-2026")</f>
        <v/>
      </c>
      <c r="AC58">
        <f>HYPERLINK("https://klasma.github.io/Logging_2085/tillsyn/A 35820-2026 tillsynsbegäran.docx", "A 35820-2026")</f>
        <v/>
      </c>
      <c r="AD58">
        <f>HYPERLINK("https://klasma.github.io/Logging_2085/tillsynsmail/A 35820-2026 tillsynsbegäran mail.docx", "A 35820-2026")</f>
        <v/>
      </c>
      <c r="AE58">
        <f>HYPERLINK("https://klasma.github.io/Logging_2085/fåglar/A 35820-2026 prioriterade fågelarter.docx", "A 35820-2026")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46318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46318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46318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46318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46318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43226-2025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46318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4</v>
      </c>
      <c r="V64" s="2" t="inlineStr">
        <is>
          <t>Tretåig hackspett
Rävticka
Rödgul trumpetsvamp</t>
        </is>
      </c>
      <c r="W64">
        <f>HYPERLINK("https://klasma.github.io/Logging_2085/artfynd/A 43226-2025 artfynd.xlsx", "A 43226-2025")</f>
        <v/>
      </c>
      <c r="X64">
        <f>HYPERLINK("https://klasma.github.io/Logging_2085/kartor/A 43226-2025 karta.png", "A 43226-2025")</f>
        <v/>
      </c>
      <c r="Y64">
        <f>HYPERLINK("https://klasma.github.io/Logging_2085/kartor_geotiff/A 43226-2025 georefererad karta.tif", "A 43226-2025")</f>
        <v/>
      </c>
      <c r="AA64">
        <f>HYPERLINK("https://klasma.github.io/Logging_2085/klagomål/A 43226-2025 FSC-klagomål.docx", "A 43226-2025")</f>
        <v/>
      </c>
      <c r="AB64">
        <f>HYPERLINK("https://klasma.github.io/Logging_2085/klagomålsmail/A 43226-2025 FSC-klagomål mail.docx", "A 43226-2025")</f>
        <v/>
      </c>
      <c r="AC64">
        <f>HYPERLINK("https://klasma.github.io/Logging_2085/tillsyn/A 43226-2025 tillsynsbegäran.docx", "A 43226-2025")</f>
        <v/>
      </c>
      <c r="AD64">
        <f>HYPERLINK("https://klasma.github.io/Logging_2085/tillsynsmail/A 43226-2025 tillsynsbegäran mail.docx", "A 43226-2025")</f>
        <v/>
      </c>
      <c r="AE64">
        <f>HYPERLINK("https://klasma.github.io/Logging_2085/fåglar/A 43226-2025 prioriterade fågelarter.docx", "A 43226-2025")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46318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24425-2026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46168</v>
      </c>
      <c r="E66" s="1" t="n">
        <v>46318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5.6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Tretåig hackspett
Spillkråka
Sälg</t>
        </is>
      </c>
      <c r="W66">
        <f>HYPERLINK("https://klasma.github.io/Logging_2085/artfynd/A 24425-2026 artfynd.xlsx", "A 24425-2026")</f>
        <v/>
      </c>
      <c r="X66">
        <f>HYPERLINK("https://klasma.github.io/Logging_2085/kartor/A 24425-2026 karta.png", "A 24425-2026")</f>
        <v/>
      </c>
      <c r="Y66">
        <f>HYPERLINK("https://klasma.github.io/Logging_2085/kartor_geotiff/A 24425-2026 georefererad karta.tif", "A 24425-2026")</f>
        <v/>
      </c>
      <c r="AA66">
        <f>HYPERLINK("https://klasma.github.io/Logging_2085/klagomål/A 24425-2026 FSC-klagomål.docx", "A 24425-2026")</f>
        <v/>
      </c>
      <c r="AB66">
        <f>HYPERLINK("https://klasma.github.io/Logging_2085/klagomålsmail/A 24425-2026 FSC-klagomål mail.docx", "A 24425-2026")</f>
        <v/>
      </c>
      <c r="AC66">
        <f>HYPERLINK("https://klasma.github.io/Logging_2085/tillsyn/A 24425-2026 tillsynsbegäran.docx", "A 24425-2026")</f>
        <v/>
      </c>
      <c r="AD66">
        <f>HYPERLINK("https://klasma.github.io/Logging_2085/tillsynsmail/A 24425-2026 tillsynsbegäran mail.docx", "A 24425-2026")</f>
        <v/>
      </c>
      <c r="AE66">
        <f>HYPERLINK("https://klasma.github.io/Logging_2085/fåglar/A 24425-2026 prioriterade fågelarter.docx", "A 24425-2026")</f>
        <v/>
      </c>
    </row>
    <row r="67" ht="15" customHeight="1">
      <c r="A67" t="inlineStr">
        <is>
          <t>A 74432-2021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44560</v>
      </c>
      <c r="E67" s="1" t="n">
        <v>46318</v>
      </c>
      <c r="F67" t="inlineStr">
        <is>
          <t>DALARNAS LÄN</t>
        </is>
      </c>
      <c r="G67" t="inlineStr">
        <is>
          <t>LUDVIKA</t>
        </is>
      </c>
      <c r="H67" t="inlineStr">
        <is>
          <t>Kommuner</t>
        </is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Spillkråka
Gröngöling
Kungsfågel</t>
        </is>
      </c>
      <c r="W67">
        <f>HYPERLINK("https://klasma.github.io/Logging_2085/artfynd/A 74432-2021 artfynd.xlsx", "A 74432-2021")</f>
        <v/>
      </c>
      <c r="X67">
        <f>HYPERLINK("https://klasma.github.io/Logging_2085/kartor/A 74432-2021 karta.png", "A 74432-2021")</f>
        <v/>
      </c>
      <c r="Y67">
        <f>HYPERLINK("https://klasma.github.io/Logging_2085/kartor_geotiff/A 74432-2021 georefererad karta.tif", "A 74432-2021")</f>
        <v/>
      </c>
      <c r="AA67">
        <f>HYPERLINK("https://klasma.github.io/Logging_2085/klagomål/A 74432-2021 FSC-klagomål.docx", "A 74432-2021")</f>
        <v/>
      </c>
      <c r="AB67">
        <f>HYPERLINK("https://klasma.github.io/Logging_2085/klagomålsmail/A 74432-2021 FSC-klagomål mail.docx", "A 74432-2021")</f>
        <v/>
      </c>
      <c r="AC67">
        <f>HYPERLINK("https://klasma.github.io/Logging_2085/tillsyn/A 74432-2021 tillsynsbegäran.docx", "A 74432-2021")</f>
        <v/>
      </c>
      <c r="AD67">
        <f>HYPERLINK("https://klasma.github.io/Logging_2085/tillsynsmail/A 74432-2021 tillsynsbegäran mail.docx", "A 74432-2021")</f>
        <v/>
      </c>
      <c r="AE67">
        <f>HYPERLINK("https://klasma.github.io/Logging_2085/fåglar/A 74432-2021 prioriterade fågelarter.docx", "A 74432-2021")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46318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46318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46318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44262-2025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46318</v>
      </c>
      <c r="F71" t="inlineStr">
        <is>
          <t>DALARNAS LÄN</t>
        </is>
      </c>
      <c r="G71" t="inlineStr">
        <is>
          <t>LUDVIKA</t>
        </is>
      </c>
      <c r="I71" t="n">
        <v>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6</v>
      </c>
      <c r="U71" t="n">
        <v>0</v>
      </c>
      <c r="V71" s="2" t="inlineStr">
        <is>
          <t>Nordfladdermus
Fläcknycklar</t>
        </is>
      </c>
      <c r="W71">
        <f>HYPERLINK("https://klasma.github.io/Logging_2085/artfynd/A 44262-2025 artfynd.xlsx", "A 44262-2025")</f>
        <v/>
      </c>
      <c r="X71">
        <f>HYPERLINK("https://klasma.github.io/Logging_2085/kartor/A 44262-2025 karta.png", "A 44262-2025")</f>
        <v/>
      </c>
      <c r="Y71">
        <f>HYPERLINK("https://klasma.github.io/Logging_2085/kartor_geotiff/A 44262-2025 georefererad karta.tif", "A 44262-2025")</f>
        <v/>
      </c>
      <c r="AA71">
        <f>HYPERLINK("https://klasma.github.io/Logging_2085/klagomål/A 44262-2025 FSC-klagomål.docx", "A 44262-2025")</f>
        <v/>
      </c>
      <c r="AB71">
        <f>HYPERLINK("https://klasma.github.io/Logging_2085/klagomålsmail/A 44262-2025 FSC-klagomål mail.docx", "A 44262-2025")</f>
        <v/>
      </c>
      <c r="AC71">
        <f>HYPERLINK("https://klasma.github.io/Logging_2085/tillsyn/A 44262-2025 tillsynsbegäran.docx", "A 44262-2025")</f>
        <v/>
      </c>
      <c r="AD71">
        <f>HYPERLINK("https://klasma.github.io/Logging_2085/tillsynsmail/A 44262-2025 tillsynsbegäran mail.docx", "A 44262-2025")</f>
        <v/>
      </c>
    </row>
    <row r="72" ht="15" customHeight="1">
      <c r="A72" t="inlineStr">
        <is>
          <t>A 45791-2025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46318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Vitfläckig guldvinge
Fläcknycklar</t>
        </is>
      </c>
      <c r="W72">
        <f>HYPERLINK("https://klasma.github.io/Logging_2085/artfynd/A 45791-2025 artfynd.xlsx", "A 45791-2025")</f>
        <v/>
      </c>
      <c r="X72">
        <f>HYPERLINK("https://klasma.github.io/Logging_2085/kartor/A 45791-2025 karta.png", "A 45791-2025")</f>
        <v/>
      </c>
      <c r="Y72">
        <f>HYPERLINK("https://klasma.github.io/Logging_2085/kartor_geotiff/A 45791-2025 georefererad karta.tif", "A 45791-2025")</f>
        <v/>
      </c>
      <c r="AA72">
        <f>HYPERLINK("https://klasma.github.io/Logging_2085/klagomål/A 45791-2025 FSC-klagomål.docx", "A 45791-2025")</f>
        <v/>
      </c>
      <c r="AB72">
        <f>HYPERLINK("https://klasma.github.io/Logging_2085/klagomålsmail/A 45791-2025 FSC-klagomål mail.docx", "A 45791-2025")</f>
        <v/>
      </c>
      <c r="AC72">
        <f>HYPERLINK("https://klasma.github.io/Logging_2085/tillsyn/A 45791-2025 tillsynsbegäran.docx", "A 45791-2025")</f>
        <v/>
      </c>
      <c r="AD72">
        <f>HYPERLINK("https://klasma.github.io/Logging_2085/tillsynsmail/A 45791-2025 tillsynsbegäran mail.docx", "A 45791-2025")</f>
        <v/>
      </c>
    </row>
    <row r="73" ht="15" customHeight="1">
      <c r="A73" t="inlineStr">
        <is>
          <t>A 49767-2025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45940</v>
      </c>
      <c r="E73" s="1" t="n">
        <v>46318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2.5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4</v>
      </c>
      <c r="U73" t="n">
        <v>4</v>
      </c>
      <c r="V73" s="2" t="inlineStr">
        <is>
          <t>Garnlav
Tretåig hackspett</t>
        </is>
      </c>
      <c r="W73">
        <f>HYPERLINK("https://klasma.github.io/Logging_2085/artfynd/A 49767-2025 artfynd.xlsx", "A 49767-2025")</f>
        <v/>
      </c>
      <c r="X73">
        <f>HYPERLINK("https://klasma.github.io/Logging_2085/kartor/A 49767-2025 karta.png", "A 49767-2025")</f>
        <v/>
      </c>
      <c r="Y73">
        <f>HYPERLINK("https://klasma.github.io/Logging_2085/kartor_geotiff/A 49767-2025 georefererad karta.tif", "A 49767-2025")</f>
        <v/>
      </c>
      <c r="AA73">
        <f>HYPERLINK("https://klasma.github.io/Logging_2085/klagomål/A 49767-2025 FSC-klagomål.docx", "A 49767-2025")</f>
        <v/>
      </c>
      <c r="AB73">
        <f>HYPERLINK("https://klasma.github.io/Logging_2085/klagomålsmail/A 49767-2025 FSC-klagomål mail.docx", "A 49767-2025")</f>
        <v/>
      </c>
      <c r="AC73">
        <f>HYPERLINK("https://klasma.github.io/Logging_2085/tillsyn/A 49767-2025 tillsynsbegäran.docx", "A 49767-2025")</f>
        <v/>
      </c>
      <c r="AD73">
        <f>HYPERLINK("https://klasma.github.io/Logging_2085/tillsynsmail/A 49767-2025 tillsynsbegäran mail.docx", "A 49767-2025")</f>
        <v/>
      </c>
      <c r="AE73">
        <f>HYPERLINK("https://klasma.github.io/Logging_2085/fåglar/A 49767-2025 prioriterade fågelarter.docx", "A 49767-2025")</f>
        <v/>
      </c>
    </row>
    <row r="74" ht="15" customHeight="1">
      <c r="A74" t="inlineStr">
        <is>
          <t>A 50170-2025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46318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Labyrintlav
Gulnål</t>
        </is>
      </c>
      <c r="W74">
        <f>HYPERLINK("https://klasma.github.io/Logging_2085/artfynd/A 50170-2025 artfynd.xlsx", "A 50170-2025")</f>
        <v/>
      </c>
      <c r="X74">
        <f>HYPERLINK("https://klasma.github.io/Logging_2085/kartor/A 50170-2025 karta.png", "A 50170-2025")</f>
        <v/>
      </c>
      <c r="Y74">
        <f>HYPERLINK("https://klasma.github.io/Logging_2085/kartor_geotiff/A 50170-2025 georefererad karta.tif", "A 50170-2025")</f>
        <v/>
      </c>
      <c r="AA74">
        <f>HYPERLINK("https://klasma.github.io/Logging_2085/klagomål/A 50170-2025 FSC-klagomål.docx", "A 50170-2025")</f>
        <v/>
      </c>
      <c r="AB74">
        <f>HYPERLINK("https://klasma.github.io/Logging_2085/klagomålsmail/A 50170-2025 FSC-klagomål mail.docx", "A 50170-2025")</f>
        <v/>
      </c>
      <c r="AC74">
        <f>HYPERLINK("https://klasma.github.io/Logging_2085/tillsyn/A 50170-2025 tillsynsbegäran.docx", "A 50170-2025")</f>
        <v/>
      </c>
      <c r="AD74">
        <f>HYPERLINK("https://klasma.github.io/Logging_2085/tillsynsmail/A 50170-2025 tillsynsbegäran mail.docx", "A 50170-2025")</f>
        <v/>
      </c>
    </row>
    <row r="75" ht="15" customHeight="1">
      <c r="A75" t="inlineStr">
        <is>
          <t>A 56179-2025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46318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Gultoppig fingersvamp
Kortskaftad ärgspik</t>
        </is>
      </c>
      <c r="W75">
        <f>HYPERLINK("https://klasma.github.io/Logging_2085/artfynd/A 56179-2025 artfynd.xlsx", "A 56179-2025")</f>
        <v/>
      </c>
      <c r="X75">
        <f>HYPERLINK("https://klasma.github.io/Logging_2085/kartor/A 56179-2025 karta.png", "A 56179-2025")</f>
        <v/>
      </c>
      <c r="Y75">
        <f>HYPERLINK("https://klasma.github.io/Logging_2085/kartor_geotiff/A 56179-2025 georefererad karta.tif", "A 56179-2025")</f>
        <v/>
      </c>
      <c r="Z75">
        <f>HYPERLINK("https://klasma.github.io/Logging_2085/knärot/A 56179-2025 karta knärot.png", "A 56179-2025")</f>
        <v/>
      </c>
      <c r="AA75">
        <f>HYPERLINK("https://klasma.github.io/Logging_2085/klagomål/A 56179-2025 FSC-klagomål.docx", "A 56179-2025")</f>
        <v/>
      </c>
      <c r="AB75">
        <f>HYPERLINK("https://klasma.github.io/Logging_2085/klagomålsmail/A 56179-2025 FSC-klagomål mail.docx", "A 56179-2025")</f>
        <v/>
      </c>
      <c r="AC75">
        <f>HYPERLINK("https://klasma.github.io/Logging_2085/tillsyn/A 56179-2025 tillsynsbegäran.docx", "A 56179-2025")</f>
        <v/>
      </c>
      <c r="AD75">
        <f>HYPERLINK("https://klasma.github.io/Logging_2085/tillsynsmail/A 56179-2025 tillsynsbegäran mail.docx", "A 56179-2025")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46318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46318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Brunpudrad nållav
Tretåig hackspett</t>
        </is>
      </c>
      <c r="W77">
        <f>HYPERLINK("https://klasma.github.io/Logging_2085/artfynd/A 33155-2024 artfynd.xlsx", "A 33155-2024")</f>
        <v/>
      </c>
      <c r="X77">
        <f>HYPERLINK("https://klasma.github.io/Logging_2085/kartor/A 33155-2024 karta.png", "A 33155-2024")</f>
        <v/>
      </c>
      <c r="Y77">
        <f>HYPERLINK("https://klasma.github.io/Logging_2085/kartor_geotiff/A 33155-2024 georefererad karta.tif", "A 33155-2024")</f>
        <v/>
      </c>
      <c r="AA77">
        <f>HYPERLINK("https://klasma.github.io/Logging_2085/klagomål/A 33155-2024 FSC-klagomål.docx", "A 33155-2024")</f>
        <v/>
      </c>
      <c r="AB77">
        <f>HYPERLINK("https://klasma.github.io/Logging_2085/klagomålsmail/A 33155-2024 FSC-klagomål mail.docx", "A 33155-2024")</f>
        <v/>
      </c>
      <c r="AC77">
        <f>HYPERLINK("https://klasma.github.io/Logging_2085/tillsyn/A 33155-2024 tillsynsbegäran.docx", "A 33155-2024")</f>
        <v/>
      </c>
      <c r="AD77">
        <f>HYPERLINK("https://klasma.github.io/Logging_2085/tillsynsmail/A 33155-2024 tillsynsbegäran mail.docx", "A 33155-2024")</f>
        <v/>
      </c>
      <c r="AE77">
        <f>HYPERLINK("https://klasma.github.io/Logging_2085/fåglar/A 33155-2024 prioriterade fågelarter.docx", "A 33155-2024")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46318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46318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42558-2022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46318</v>
      </c>
      <c r="F80" t="inlineStr">
        <is>
          <t>DALARNAS LÄN</t>
        </is>
      </c>
      <c r="G80" t="inlineStr">
        <is>
          <t>LUDVIKA</t>
        </is>
      </c>
      <c r="H80" t="inlineStr">
        <is>
          <t>Naturvårdsverket</t>
        </is>
      </c>
      <c r="I80" t="n">
        <v>4.9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Gräddporing
Lopplummer (aggregat)</t>
        </is>
      </c>
      <c r="W80">
        <f>HYPERLINK("https://klasma.github.io/Logging_2085/artfynd/A 42558-2022 artfynd.xlsx", "A 42558-2022")</f>
        <v/>
      </c>
      <c r="X80">
        <f>HYPERLINK("https://klasma.github.io/Logging_2085/kartor/A 42558-2022 karta.png", "A 42558-2022")</f>
        <v/>
      </c>
      <c r="Y80">
        <f>HYPERLINK("https://klasma.github.io/Logging_2085/kartor_geotiff/A 42558-2022 georefererad karta.tif", "A 42558-2022")</f>
        <v/>
      </c>
      <c r="AA80">
        <f>HYPERLINK("https://klasma.github.io/Logging_2085/klagomål/A 42558-2022 FSC-klagomål.docx", "A 42558-2022")</f>
        <v/>
      </c>
      <c r="AB80">
        <f>HYPERLINK("https://klasma.github.io/Logging_2085/klagomålsmail/A 42558-2022 FSC-klagomål mail.docx", "A 42558-2022")</f>
        <v/>
      </c>
      <c r="AC80">
        <f>HYPERLINK("https://klasma.github.io/Logging_2085/tillsyn/A 42558-2022 tillsynsbegäran.docx", "A 42558-2022")</f>
        <v/>
      </c>
      <c r="AD80">
        <f>HYPERLINK("https://klasma.github.io/Logging_2085/tillsynsmail/A 42558-2022 tillsynsbegäran mail.docx", "A 42558-2022")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46318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46318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56879-2025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46318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Tjäder</t>
        </is>
      </c>
      <c r="W83">
        <f>HYPERLINK("https://klasma.github.io/Logging_2085/artfynd/A 56879-2025 artfynd.xlsx", "A 56879-2025")</f>
        <v/>
      </c>
      <c r="X83">
        <f>HYPERLINK("https://klasma.github.io/Logging_2085/kartor/A 56879-2025 karta.png", "A 56879-2025")</f>
        <v/>
      </c>
      <c r="Y83">
        <f>HYPERLINK("https://klasma.github.io/Logging_2085/kartor_geotiff/A 56879-2025 georefererad karta.tif", "A 56879-2025")</f>
        <v/>
      </c>
      <c r="AA83">
        <f>HYPERLINK("https://klasma.github.io/Logging_2085/klagomål/A 56879-2025 FSC-klagomål.docx", "A 56879-2025")</f>
        <v/>
      </c>
      <c r="AB83">
        <f>HYPERLINK("https://klasma.github.io/Logging_2085/klagomålsmail/A 56879-2025 FSC-klagomål mail.docx", "A 56879-2025")</f>
        <v/>
      </c>
      <c r="AC83">
        <f>HYPERLINK("https://klasma.github.io/Logging_2085/tillsyn/A 56879-2025 tillsynsbegäran.docx", "A 56879-2025")</f>
        <v/>
      </c>
      <c r="AD83">
        <f>HYPERLINK("https://klasma.github.io/Logging_2085/tillsynsmail/A 56879-2025 tillsynsbegäran mail.docx", "A 56879-2025")</f>
        <v/>
      </c>
      <c r="AE83">
        <f>HYPERLINK("https://klasma.github.io/Logging_2085/fåglar/A 56879-2025 prioriterade fågelarter.docx", "A 56879-2025")</f>
        <v/>
      </c>
    </row>
    <row r="84" ht="15" customHeight="1">
      <c r="A84" t="inlineStr">
        <is>
          <t>A 35099-2026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46260</v>
      </c>
      <c r="E84" s="1" t="n">
        <v>46318</v>
      </c>
      <c r="F84" t="inlineStr">
        <is>
          <t>DALARNAS LÄN</t>
        </is>
      </c>
      <c r="G84" t="inlineStr">
        <is>
          <t>LUDVIKA</t>
        </is>
      </c>
      <c r="I84" t="n">
        <v>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5</v>
      </c>
      <c r="U84" t="n">
        <v>5</v>
      </c>
      <c r="V84" s="2" t="inlineStr">
        <is>
          <t>Knärot
Sälg</t>
        </is>
      </c>
      <c r="W84">
        <f>HYPERLINK("https://klasma.github.io/Logging_2085/artfynd/A 35099-2026 artfynd.xlsx", "A 35099-2026")</f>
        <v/>
      </c>
      <c r="X84">
        <f>HYPERLINK("https://klasma.github.io/Logging_2085/kartor/A 35099-2026 karta.png", "A 35099-2026")</f>
        <v/>
      </c>
      <c r="Y84">
        <f>HYPERLINK("https://klasma.github.io/Logging_2085/kartor_geotiff/A 35099-2026 georefererad karta.tif", "A 35099-2026")</f>
        <v/>
      </c>
      <c r="Z84">
        <f>HYPERLINK("https://klasma.github.io/Logging_2085/knärot/A 35099-2026 karta knärot.png", "A 35099-2026")</f>
        <v/>
      </c>
      <c r="AA84">
        <f>HYPERLINK("https://klasma.github.io/Logging_2085/klagomål/A 35099-2026 FSC-klagomål.docx", "A 35099-2026")</f>
        <v/>
      </c>
      <c r="AB84">
        <f>HYPERLINK("https://klasma.github.io/Logging_2085/klagomålsmail/A 35099-2026 FSC-klagomål mail.docx", "A 35099-2026")</f>
        <v/>
      </c>
      <c r="AC84">
        <f>HYPERLINK("https://klasma.github.io/Logging_2085/tillsyn/A 35099-2026 tillsynsbegäran.docx", "A 35099-2026")</f>
        <v/>
      </c>
      <c r="AD84">
        <f>HYPERLINK("https://klasma.github.io/Logging_2085/tillsynsmail/A 35099-2026 tillsynsbegäran mail.docx", "A 35099-2026")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46318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56826-2025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46318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4.5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8</v>
      </c>
      <c r="U86" t="n">
        <v>8</v>
      </c>
      <c r="V86" s="2" t="inlineStr">
        <is>
          <t>Garnlav
Tretåig hackspett</t>
        </is>
      </c>
      <c r="W86">
        <f>HYPERLINK("https://klasma.github.io/Logging_2085/artfynd/A 56826-2025 artfynd.xlsx", "A 56826-2025")</f>
        <v/>
      </c>
      <c r="X86">
        <f>HYPERLINK("https://klasma.github.io/Logging_2085/kartor/A 56826-2025 karta.png", "A 56826-2025")</f>
        <v/>
      </c>
      <c r="Y86">
        <f>HYPERLINK("https://klasma.github.io/Logging_2085/kartor_geotiff/A 56826-2025 georefererad karta.tif", "A 56826-2025")</f>
        <v/>
      </c>
      <c r="AA86">
        <f>HYPERLINK("https://klasma.github.io/Logging_2085/klagomål/A 56826-2025 FSC-klagomål.docx", "A 56826-2025")</f>
        <v/>
      </c>
      <c r="AB86">
        <f>HYPERLINK("https://klasma.github.io/Logging_2085/klagomålsmail/A 56826-2025 FSC-klagomål mail.docx", "A 56826-2025")</f>
        <v/>
      </c>
      <c r="AC86">
        <f>HYPERLINK("https://klasma.github.io/Logging_2085/tillsyn/A 56826-2025 tillsynsbegäran.docx", "A 56826-2025")</f>
        <v/>
      </c>
      <c r="AD86">
        <f>HYPERLINK("https://klasma.github.io/Logging_2085/tillsynsmail/A 56826-2025 tillsynsbegäran mail.docx", "A 56826-2025")</f>
        <v/>
      </c>
      <c r="AE86">
        <f>HYPERLINK("https://klasma.github.io/Logging_2085/fåglar/A 56826-2025 prioriterade fågelarter.docx", "A 56826-2025")</f>
        <v/>
      </c>
    </row>
    <row r="87" ht="15" customHeight="1">
      <c r="A87" t="inlineStr">
        <is>
          <t>A 35104-2026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46260</v>
      </c>
      <c r="E87" s="1" t="n">
        <v>46318</v>
      </c>
      <c r="F87" t="inlineStr">
        <is>
          <t>DALARNAS LÄN</t>
        </is>
      </c>
      <c r="G87" t="inlineStr">
        <is>
          <t>LUDVIKA</t>
        </is>
      </c>
      <c r="I87" t="n">
        <v>1.4</v>
      </c>
      <c r="J87" t="n">
        <v>1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Knärot
Rödgul trumpetsvamp</t>
        </is>
      </c>
      <c r="W87">
        <f>HYPERLINK("https://klasma.github.io/Logging_2085/artfynd/A 35104-2026 artfynd.xlsx", "A 35104-2026")</f>
        <v/>
      </c>
      <c r="X87">
        <f>HYPERLINK("https://klasma.github.io/Logging_2085/kartor/A 35104-2026 karta.png", "A 35104-2026")</f>
        <v/>
      </c>
      <c r="Y87">
        <f>HYPERLINK("https://klasma.github.io/Logging_2085/kartor_geotiff/A 35104-2026 georefererad karta.tif", "A 35104-2026")</f>
        <v/>
      </c>
      <c r="Z87">
        <f>HYPERLINK("https://klasma.github.io/Logging_2085/knärot/A 35104-2026 karta knärot.png", "A 35104-2026")</f>
        <v/>
      </c>
      <c r="AA87">
        <f>HYPERLINK("https://klasma.github.io/Logging_2085/klagomål/A 35104-2026 FSC-klagomål.docx", "A 35104-2026")</f>
        <v/>
      </c>
      <c r="AB87">
        <f>HYPERLINK("https://klasma.github.io/Logging_2085/klagomålsmail/A 35104-2026 FSC-klagomål mail.docx", "A 35104-2026")</f>
        <v/>
      </c>
      <c r="AC87">
        <f>HYPERLINK("https://klasma.github.io/Logging_2085/tillsyn/A 35104-2026 tillsynsbegäran.docx", "A 35104-2026")</f>
        <v/>
      </c>
      <c r="AD87">
        <f>HYPERLINK("https://klasma.github.io/Logging_2085/tillsynsmail/A 35104-2026 tillsynsbegäran mail.docx", "A 35104-2026")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46318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28639-2026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46318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 taggsvamp
Motaggsvamp</t>
        </is>
      </c>
      <c r="W89">
        <f>HYPERLINK("https://klasma.github.io/Logging_2085/artfynd/A 28639-2026 artfynd.xlsx", "A 28639-2026")</f>
        <v/>
      </c>
      <c r="X89">
        <f>HYPERLINK("https://klasma.github.io/Logging_2085/kartor/A 28639-2026 karta.png", "A 28639-2026")</f>
        <v/>
      </c>
      <c r="Y89">
        <f>HYPERLINK("https://klasma.github.io/Logging_2085/kartor_geotiff/A 28639-2026 georefererad karta.tif", "A 28639-2026")</f>
        <v/>
      </c>
      <c r="AA89">
        <f>HYPERLINK("https://klasma.github.io/Logging_2085/klagomål/A 28639-2026 FSC-klagomål.docx", "A 28639-2026")</f>
        <v/>
      </c>
      <c r="AB89">
        <f>HYPERLINK("https://klasma.github.io/Logging_2085/klagomålsmail/A 28639-2026 FSC-klagomål mail.docx", "A 28639-2026")</f>
        <v/>
      </c>
      <c r="AC89">
        <f>HYPERLINK("https://klasma.github.io/Logging_2085/tillsyn/A 28639-2026 tillsynsbegäran.docx", "A 28639-2026")</f>
        <v/>
      </c>
      <c r="AD89">
        <f>HYPERLINK("https://klasma.github.io/Logging_2085/tillsynsmail/A 28639-2026 tillsynsbegäran mail.docx", "A 28639-2026")</f>
        <v/>
      </c>
    </row>
    <row r="90" ht="15" customHeight="1">
      <c r="A90" t="inlineStr">
        <is>
          <t>A 21369-2023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46318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0.4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Skogsalm
Tibast</t>
        </is>
      </c>
      <c r="W90">
        <f>HYPERLINK("https://klasma.github.io/Logging_2085/artfynd/A 21369-2023 artfynd.xlsx", "A 21369-2023")</f>
        <v/>
      </c>
      <c r="X90">
        <f>HYPERLINK("https://klasma.github.io/Logging_2085/kartor/A 21369-2023 karta.png", "A 21369-2023")</f>
        <v/>
      </c>
      <c r="Y90">
        <f>HYPERLINK("https://klasma.github.io/Logging_2085/kartor_geotiff/A 21369-2023 georefererad karta.tif", "A 21369-2023")</f>
        <v/>
      </c>
      <c r="AA90">
        <f>HYPERLINK("https://klasma.github.io/Logging_2085/klagomål/A 21369-2023 FSC-klagomål.docx", "A 21369-2023")</f>
        <v/>
      </c>
      <c r="AB90">
        <f>HYPERLINK("https://klasma.github.io/Logging_2085/klagomålsmail/A 21369-2023 FSC-klagomål mail.docx", "A 21369-2023")</f>
        <v/>
      </c>
      <c r="AC90">
        <f>HYPERLINK("https://klasma.github.io/Logging_2085/tillsyn/A 21369-2023 tillsynsbegäran.docx", "A 21369-2023")</f>
        <v/>
      </c>
      <c r="AD90">
        <f>HYPERLINK("https://klasma.github.io/Logging_2085/tillsynsmail/A 21369-2023 tillsynsbegäran mail.docx", "A 21369-2023")</f>
        <v/>
      </c>
    </row>
    <row r="91" ht="15" customHeight="1">
      <c r="A91" t="inlineStr">
        <is>
          <t>A 62275-2022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46318</v>
      </c>
      <c r="F91" t="inlineStr">
        <is>
          <t>DALARNAS LÄN</t>
        </is>
      </c>
      <c r="G91" t="inlineStr">
        <is>
          <t>LUDVIKA</t>
        </is>
      </c>
      <c r="I91" t="n">
        <v>4.6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5</v>
      </c>
      <c r="U91" t="n">
        <v>5</v>
      </c>
      <c r="V91" s="2" t="inlineStr">
        <is>
          <t>Knärot
Brunklöver</t>
        </is>
      </c>
      <c r="W91">
        <f>HYPERLINK("https://klasma.github.io/Logging_2085/artfynd/A 62275-2022 artfynd.xlsx", "A 62275-2022")</f>
        <v/>
      </c>
      <c r="X91">
        <f>HYPERLINK("https://klasma.github.io/Logging_2085/kartor/A 62275-2022 karta.png", "A 62275-2022")</f>
        <v/>
      </c>
      <c r="Y91">
        <f>HYPERLINK("https://klasma.github.io/Logging_2085/kartor_geotiff/A 62275-2022 georefererad karta.tif", "A 62275-2022")</f>
        <v/>
      </c>
      <c r="Z91">
        <f>HYPERLINK("https://klasma.github.io/Logging_2085/knärot/A 62275-2022 karta knärot.png", "A 62275-2022")</f>
        <v/>
      </c>
      <c r="AA91">
        <f>HYPERLINK("https://klasma.github.io/Logging_2085/klagomål/A 62275-2022 FSC-klagomål.docx", "A 62275-2022")</f>
        <v/>
      </c>
      <c r="AB91">
        <f>HYPERLINK("https://klasma.github.io/Logging_2085/klagomålsmail/A 62275-2022 FSC-klagomål mail.docx", "A 62275-2022")</f>
        <v/>
      </c>
      <c r="AC91">
        <f>HYPERLINK("https://klasma.github.io/Logging_2085/tillsyn/A 62275-2022 tillsynsbegäran.docx", "A 62275-2022")</f>
        <v/>
      </c>
      <c r="AD91">
        <f>HYPERLINK("https://klasma.github.io/Logging_2085/tillsynsmail/A 62275-2022 tillsynsbegäran mail.docx", "A 62275-2022")</f>
        <v/>
      </c>
    </row>
    <row r="92" ht="15" customHeight="1">
      <c r="A92" t="inlineStr">
        <is>
          <t>A 11755-2023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44994</v>
      </c>
      <c r="E92" s="1" t="n">
        <v>46318</v>
      </c>
      <c r="F92" t="inlineStr">
        <is>
          <t>DALARNAS LÄN</t>
        </is>
      </c>
      <c r="G92" t="inlineStr">
        <is>
          <t>LUDVIKA</t>
        </is>
      </c>
      <c r="H92" t="inlineStr">
        <is>
          <t>Övriga Aktiebolag</t>
        </is>
      </c>
      <c r="I92" t="n">
        <v>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Garnlav
Spillkråka</t>
        </is>
      </c>
      <c r="W92">
        <f>HYPERLINK("https://klasma.github.io/Logging_2085/artfynd/A 11755-2023 artfynd.xlsx", "A 11755-2023")</f>
        <v/>
      </c>
      <c r="X92">
        <f>HYPERLINK("https://klasma.github.io/Logging_2085/kartor/A 11755-2023 karta.png", "A 11755-2023")</f>
        <v/>
      </c>
      <c r="Y92">
        <f>HYPERLINK("https://klasma.github.io/Logging_2085/kartor_geotiff/A 11755-2023 georefererad karta.tif", "A 11755-2023")</f>
        <v/>
      </c>
      <c r="AA92">
        <f>HYPERLINK("https://klasma.github.io/Logging_2085/klagomål/A 11755-2023 FSC-klagomål.docx", "A 11755-2023")</f>
        <v/>
      </c>
      <c r="AB92">
        <f>HYPERLINK("https://klasma.github.io/Logging_2085/klagomålsmail/A 11755-2023 FSC-klagomål mail.docx", "A 11755-2023")</f>
        <v/>
      </c>
      <c r="AC92">
        <f>HYPERLINK("https://klasma.github.io/Logging_2085/tillsyn/A 11755-2023 tillsynsbegäran.docx", "A 11755-2023")</f>
        <v/>
      </c>
      <c r="AD92">
        <f>HYPERLINK("https://klasma.github.io/Logging_2085/tillsynsmail/A 11755-2023 tillsynsbegäran mail.docx", "A 11755-2023")</f>
        <v/>
      </c>
      <c r="AE92">
        <f>HYPERLINK("https://klasma.github.io/Logging_2085/fåglar/A 11755-2023 prioriterade fågelarter.docx", "A 11755-2023")</f>
        <v/>
      </c>
    </row>
    <row r="93" ht="15" customHeight="1">
      <c r="A93" t="inlineStr">
        <is>
          <t>A 19512-2022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46318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2.8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Tretåig hackspett
Nästlav</t>
        </is>
      </c>
      <c r="W93">
        <f>HYPERLINK("https://klasma.github.io/Logging_2085/artfynd/A 19512-2022 artfynd.xlsx", "A 19512-2022")</f>
        <v/>
      </c>
      <c r="X93">
        <f>HYPERLINK("https://klasma.github.io/Logging_2085/kartor/A 19512-2022 karta.png", "A 19512-2022")</f>
        <v/>
      </c>
      <c r="Y93">
        <f>HYPERLINK("https://klasma.github.io/Logging_2085/kartor_geotiff/A 19512-2022 georefererad karta.tif", "A 19512-2022")</f>
        <v/>
      </c>
      <c r="AA93">
        <f>HYPERLINK("https://klasma.github.io/Logging_2085/klagomål/A 19512-2022 FSC-klagomål.docx", "A 19512-2022")</f>
        <v/>
      </c>
      <c r="AB93">
        <f>HYPERLINK("https://klasma.github.io/Logging_2085/klagomålsmail/A 19512-2022 FSC-klagomål mail.docx", "A 19512-2022")</f>
        <v/>
      </c>
      <c r="AC93">
        <f>HYPERLINK("https://klasma.github.io/Logging_2085/tillsyn/A 19512-2022 tillsynsbegäran.docx", "A 19512-2022")</f>
        <v/>
      </c>
      <c r="AD93">
        <f>HYPERLINK("https://klasma.github.io/Logging_2085/tillsynsmail/A 19512-2022 tillsynsbegäran mail.docx", "A 19512-2022")</f>
        <v/>
      </c>
      <c r="AE93">
        <f>HYPERLINK("https://klasma.github.io/Logging_2085/fåglar/A 19512-2022 prioriterade fågelarter.docx", "A 19512-2022")</f>
        <v/>
      </c>
    </row>
    <row r="94" ht="15" customHeight="1">
      <c r="A94" t="inlineStr">
        <is>
          <t>A 8202-2025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46318</v>
      </c>
      <c r="F94" t="inlineStr">
        <is>
          <t>DALARNAS LÄN</t>
        </is>
      </c>
      <c r="G94" t="inlineStr">
        <is>
          <t>LUDVIKA</t>
        </is>
      </c>
      <c r="I94" t="n">
        <v>6.4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7</v>
      </c>
      <c r="U94" t="n">
        <v>7</v>
      </c>
      <c r="V94" s="2" t="inlineStr">
        <is>
          <t>Tretåig hackspett
Spillkråka</t>
        </is>
      </c>
      <c r="W94">
        <f>HYPERLINK("https://klasma.github.io/Logging_2085/artfynd/A 8202-2025 artfynd.xlsx", "A 8202-2025")</f>
        <v/>
      </c>
      <c r="X94">
        <f>HYPERLINK("https://klasma.github.io/Logging_2085/kartor/A 8202-2025 karta.png", "A 8202-2025")</f>
        <v/>
      </c>
      <c r="Y94">
        <f>HYPERLINK("https://klasma.github.io/Logging_2085/kartor_geotiff/A 8202-2025 georefererad karta.tif", "A 8202-2025")</f>
        <v/>
      </c>
      <c r="AA94">
        <f>HYPERLINK("https://klasma.github.io/Logging_2085/klagomål/A 8202-2025 FSC-klagomål.docx", "A 8202-2025")</f>
        <v/>
      </c>
      <c r="AB94">
        <f>HYPERLINK("https://klasma.github.io/Logging_2085/klagomålsmail/A 8202-2025 FSC-klagomål mail.docx", "A 8202-2025")</f>
        <v/>
      </c>
      <c r="AC94">
        <f>HYPERLINK("https://klasma.github.io/Logging_2085/tillsyn/A 8202-2025 tillsynsbegäran.docx", "A 8202-2025")</f>
        <v/>
      </c>
      <c r="AD94">
        <f>HYPERLINK("https://klasma.github.io/Logging_2085/tillsynsmail/A 8202-2025 tillsynsbegäran mail.docx", "A 8202-2025")</f>
        <v/>
      </c>
      <c r="AE94">
        <f>HYPERLINK("https://klasma.github.io/Logging_2085/fåglar/A 8202-2025 prioriterade fågelarter.docx", "A 8202-2025")</f>
        <v/>
      </c>
    </row>
    <row r="95" ht="15" customHeight="1">
      <c r="A95" t="inlineStr">
        <is>
          <t>A 3809-2024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46318</v>
      </c>
      <c r="F95" t="inlineStr">
        <is>
          <t>DALARNAS LÄN</t>
        </is>
      </c>
      <c r="G95" t="inlineStr">
        <is>
          <t>LUDVIKA</t>
        </is>
      </c>
      <c r="I95" t="n">
        <v>0.5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8</v>
      </c>
      <c r="U95" t="n">
        <v>8</v>
      </c>
      <c r="V95" s="2" t="inlineStr">
        <is>
          <t>Nordfladdermus
Fläcknycklar</t>
        </is>
      </c>
      <c r="W95">
        <f>HYPERLINK("https://klasma.github.io/Logging_2085/artfynd/A 3809-2024 artfynd.xlsx", "A 3809-2024")</f>
        <v/>
      </c>
      <c r="X95">
        <f>HYPERLINK("https://klasma.github.io/Logging_2085/kartor/A 3809-2024 karta.png", "A 3809-2024")</f>
        <v/>
      </c>
      <c r="Y95">
        <f>HYPERLINK("https://klasma.github.io/Logging_2085/kartor_geotiff/A 3809-2024 georefererad karta.tif", "A 3809-2024")</f>
        <v/>
      </c>
      <c r="AA95">
        <f>HYPERLINK("https://klasma.github.io/Logging_2085/klagomål/A 3809-2024 FSC-klagomål.docx", "A 3809-2024")</f>
        <v/>
      </c>
      <c r="AB95">
        <f>HYPERLINK("https://klasma.github.io/Logging_2085/klagomålsmail/A 3809-2024 FSC-klagomål mail.docx", "A 3809-2024")</f>
        <v/>
      </c>
      <c r="AC95">
        <f>HYPERLINK("https://klasma.github.io/Logging_2085/tillsyn/A 3809-2024 tillsynsbegäran.docx", "A 3809-2024")</f>
        <v/>
      </c>
      <c r="AD95">
        <f>HYPERLINK("https://klasma.github.io/Logging_2085/tillsynsmail/A 3809-2024 tillsynsbegäran mail.docx", "A 3809-2024")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46318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46318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46318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46318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46318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400-2023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46318</v>
      </c>
      <c r="F101" t="inlineStr">
        <is>
          <t>DALARNAS LÄN</t>
        </is>
      </c>
      <c r="G101" t="inlineStr">
        <is>
          <t>LUDVIKA</t>
        </is>
      </c>
      <c r="I101" t="n">
        <v>3.6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Nordfladdermus</t>
        </is>
      </c>
      <c r="W101">
        <f>HYPERLINK("https://klasma.github.io/Logging_2085/artfynd/A 400-2023 artfynd.xlsx", "A 400-2023")</f>
        <v/>
      </c>
      <c r="X101">
        <f>HYPERLINK("https://klasma.github.io/Logging_2085/kartor/A 400-2023 karta.png", "A 400-2023")</f>
        <v/>
      </c>
      <c r="Y101">
        <f>HYPERLINK("https://klasma.github.io/Logging_2085/kartor_geotiff/A 400-2023 georefererad karta.tif", "A 400-2023")</f>
        <v/>
      </c>
      <c r="AA101">
        <f>HYPERLINK("https://klasma.github.io/Logging_2085/klagomål/A 400-2023 FSC-klagomål.docx", "A 400-2023")</f>
        <v/>
      </c>
      <c r="AB101">
        <f>HYPERLINK("https://klasma.github.io/Logging_2085/klagomålsmail/A 400-2023 FSC-klagomål mail.docx", "A 400-2023")</f>
        <v/>
      </c>
      <c r="AC101">
        <f>HYPERLINK("https://klasma.github.io/Logging_2085/tillsyn/A 400-2023 tillsynsbegäran.docx", "A 400-2023")</f>
        <v/>
      </c>
      <c r="AD101">
        <f>HYPERLINK("https://klasma.github.io/Logging_2085/tillsynsmail/A 400-2023 tillsynsbegäran mail.docx", "A 400-2023")</f>
        <v/>
      </c>
    </row>
    <row r="102" ht="15" customHeight="1">
      <c r="A102" t="inlineStr">
        <is>
          <t>A 31478-2023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45114</v>
      </c>
      <c r="E102" s="1" t="n">
        <v>46318</v>
      </c>
      <c r="F102" t="inlineStr">
        <is>
          <t>DALARNAS LÄN</t>
        </is>
      </c>
      <c r="G102" t="inlineStr">
        <is>
          <t>LUDVIKA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HYPERLINK("https://klasma.github.io/Logging_2085/artfynd/A 31478-2023 artfynd.xlsx", "A 31478-2023")</f>
        <v/>
      </c>
      <c r="X102">
        <f>HYPERLINK("https://klasma.github.io/Logging_2085/kartor/A 31478-2023 karta.png", "A 31478-2023")</f>
        <v/>
      </c>
      <c r="Y102">
        <f>HYPERLINK("https://klasma.github.io/Logging_2085/kartor_geotiff/A 31478-2023 georefererad karta.tif", "A 31478-2023")</f>
        <v/>
      </c>
      <c r="AA102">
        <f>HYPERLINK("https://klasma.github.io/Logging_2085/klagomål/A 31478-2023 FSC-klagomål.docx", "A 31478-2023")</f>
        <v/>
      </c>
      <c r="AB102">
        <f>HYPERLINK("https://klasma.github.io/Logging_2085/klagomålsmail/A 31478-2023 FSC-klagomål mail.docx", "A 31478-2023")</f>
        <v/>
      </c>
      <c r="AC102">
        <f>HYPERLINK("https://klasma.github.io/Logging_2085/tillsyn/A 31478-2023 tillsynsbegäran.docx", "A 31478-2023")</f>
        <v/>
      </c>
      <c r="AD102">
        <f>HYPERLINK("https://klasma.github.io/Logging_2085/tillsynsmail/A 31478-2023 tillsynsbegäran mail.docx", "A 31478-2023")</f>
        <v/>
      </c>
    </row>
    <row r="103" ht="15" customHeight="1">
      <c r="A103" t="inlineStr">
        <is>
          <t>A 25448-2024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45463</v>
      </c>
      <c r="E103" s="1" t="n">
        <v>46318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24.7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Blåsippa</t>
        </is>
      </c>
      <c r="W103">
        <f>HYPERLINK("https://klasma.github.io/Logging_2085/artfynd/A 25448-2024 artfynd.xlsx", "A 25448-2024")</f>
        <v/>
      </c>
      <c r="X103">
        <f>HYPERLINK("https://klasma.github.io/Logging_2085/kartor/A 25448-2024 karta.png", "A 25448-2024")</f>
        <v/>
      </c>
      <c r="Y103">
        <f>HYPERLINK("https://klasma.github.io/Logging_2085/kartor_geotiff/A 25448-2024 georefererad karta.tif", "A 25448-2024")</f>
        <v/>
      </c>
      <c r="AA103">
        <f>HYPERLINK("https://klasma.github.io/Logging_2085/klagomål/A 25448-2024 FSC-klagomål.docx", "A 25448-2024")</f>
        <v/>
      </c>
      <c r="AB103">
        <f>HYPERLINK("https://klasma.github.io/Logging_2085/klagomålsmail/A 25448-2024 FSC-klagomål mail.docx", "A 25448-2024")</f>
        <v/>
      </c>
      <c r="AC103">
        <f>HYPERLINK("https://klasma.github.io/Logging_2085/tillsyn/A 25448-2024 tillsynsbegäran.docx", "A 25448-2024")</f>
        <v/>
      </c>
      <c r="AD103">
        <f>HYPERLINK("https://klasma.github.io/Logging_2085/tillsynsmail/A 25448-2024 tillsynsbegäran mail.docx", "A 25448-2024")</f>
        <v/>
      </c>
    </row>
    <row r="104" ht="15" customHeight="1">
      <c r="A104" t="inlineStr">
        <is>
          <t>A 18189-2025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45761</v>
      </c>
      <c r="E104" s="1" t="n">
        <v>46318</v>
      </c>
      <c r="F104" t="inlineStr">
        <is>
          <t>DALARNAS LÄN</t>
        </is>
      </c>
      <c r="G104" t="inlineStr">
        <is>
          <t>LUDVIKA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HYPERLINK("https://klasma.github.io/Logging_2085/artfynd/A 18189-2025 artfynd.xlsx", "A 18189-2025")</f>
        <v/>
      </c>
      <c r="X104">
        <f>HYPERLINK("https://klasma.github.io/Logging_2085/kartor/A 18189-2025 karta.png", "A 18189-2025")</f>
        <v/>
      </c>
      <c r="Y104">
        <f>HYPERLINK("https://klasma.github.io/Logging_2085/kartor_geotiff/A 18189-2025 georefererad karta.tif", "A 18189-2025")</f>
        <v/>
      </c>
      <c r="AA104">
        <f>HYPERLINK("https://klasma.github.io/Logging_2085/klagomål/A 18189-2025 FSC-klagomål.docx", "A 18189-2025")</f>
        <v/>
      </c>
      <c r="AB104">
        <f>HYPERLINK("https://klasma.github.io/Logging_2085/klagomålsmail/A 18189-2025 FSC-klagomål mail.docx", "A 18189-2025")</f>
        <v/>
      </c>
      <c r="AC104">
        <f>HYPERLINK("https://klasma.github.io/Logging_2085/tillsyn/A 18189-2025 tillsynsbegäran.docx", "A 18189-2025")</f>
        <v/>
      </c>
      <c r="AD104">
        <f>HYPERLINK("https://klasma.github.io/Logging_2085/tillsynsmail/A 18189-2025 tillsynsbegäran mail.docx", "A 18189-2025")</f>
        <v/>
      </c>
    </row>
    <row r="105" ht="15" customHeight="1">
      <c r="A105" t="inlineStr">
        <is>
          <t>A 44578-2023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46318</v>
      </c>
      <c r="F105" t="inlineStr">
        <is>
          <t>DALARNAS LÄN</t>
        </is>
      </c>
      <c r="G105" t="inlineStr">
        <is>
          <t>LUDVIKA</t>
        </is>
      </c>
      <c r="H105" t="inlineStr">
        <is>
          <t>Övriga Aktiebolag</t>
        </is>
      </c>
      <c r="I105" t="n">
        <v>12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Dofttaggsvamp</t>
        </is>
      </c>
      <c r="W105">
        <f>HYPERLINK("https://klasma.github.io/Logging_2085/artfynd/A 44578-2023 artfynd.xlsx", "A 44578-2023")</f>
        <v/>
      </c>
      <c r="X105">
        <f>HYPERLINK("https://klasma.github.io/Logging_2085/kartor/A 44578-2023 karta.png", "A 44578-2023")</f>
        <v/>
      </c>
      <c r="Y105">
        <f>HYPERLINK("https://klasma.github.io/Logging_2085/kartor_geotiff/A 44578-2023 georefererad karta.tif", "A 44578-2023")</f>
        <v/>
      </c>
      <c r="AA105">
        <f>HYPERLINK("https://klasma.github.io/Logging_2085/klagomål/A 44578-2023 FSC-klagomål.docx", "A 44578-2023")</f>
        <v/>
      </c>
      <c r="AB105">
        <f>HYPERLINK("https://klasma.github.io/Logging_2085/klagomålsmail/A 44578-2023 FSC-klagomål mail.docx", "A 44578-2023")</f>
        <v/>
      </c>
      <c r="AC105">
        <f>HYPERLINK("https://klasma.github.io/Logging_2085/tillsyn/A 44578-2023 tillsynsbegäran.docx", "A 44578-2023")</f>
        <v/>
      </c>
      <c r="AD105">
        <f>HYPERLINK("https://klasma.github.io/Logging_2085/tillsynsmail/A 44578-2023 tillsynsbegäran mail.docx", "A 44578-2023")</f>
        <v/>
      </c>
    </row>
    <row r="106" ht="15" customHeight="1">
      <c r="A106" t="inlineStr">
        <is>
          <t>A 12093-2023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46318</v>
      </c>
      <c r="F106" t="inlineStr">
        <is>
          <t>DALARNAS LÄN</t>
        </is>
      </c>
      <c r="G106" t="inlineStr">
        <is>
          <t>LUDVIKA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Bitter taggsvamp</t>
        </is>
      </c>
      <c r="W106">
        <f>HYPERLINK("https://klasma.github.io/Logging_2085/artfynd/A 12093-2023 artfynd.xlsx", "A 12093-2023")</f>
        <v/>
      </c>
      <c r="X106">
        <f>HYPERLINK("https://klasma.github.io/Logging_2085/kartor/A 12093-2023 karta.png", "A 12093-2023")</f>
        <v/>
      </c>
      <c r="Y106">
        <f>HYPERLINK("https://klasma.github.io/Logging_2085/kartor_geotiff/A 12093-2023 georefererad karta.tif", "A 12093-2023")</f>
        <v/>
      </c>
      <c r="AA106">
        <f>HYPERLINK("https://klasma.github.io/Logging_2085/klagomål/A 12093-2023 FSC-klagomål.docx", "A 12093-2023")</f>
        <v/>
      </c>
      <c r="AB106">
        <f>HYPERLINK("https://klasma.github.io/Logging_2085/klagomålsmail/A 12093-2023 FSC-klagomål mail.docx", "A 12093-2023")</f>
        <v/>
      </c>
      <c r="AC106">
        <f>HYPERLINK("https://klasma.github.io/Logging_2085/tillsyn/A 12093-2023 tillsynsbegäran.docx", "A 12093-2023")</f>
        <v/>
      </c>
      <c r="AD106">
        <f>HYPERLINK("https://klasma.github.io/Logging_2085/tillsynsmail/A 12093-2023 tillsynsbegäran mail.docx", "A 12093-2023")</f>
        <v/>
      </c>
    </row>
    <row r="107" ht="15" customHeight="1">
      <c r="A107" t="inlineStr">
        <is>
          <t>A 29733-2025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46318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10.4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Stuplav</t>
        </is>
      </c>
      <c r="W107">
        <f>HYPERLINK("https://klasma.github.io/Logging_2085/artfynd/A 29733-2025 artfynd.xlsx", "A 29733-2025")</f>
        <v/>
      </c>
      <c r="X107">
        <f>HYPERLINK("https://klasma.github.io/Logging_2085/kartor/A 29733-2025 karta.png", "A 29733-2025")</f>
        <v/>
      </c>
      <c r="Y107">
        <f>HYPERLINK("https://klasma.github.io/Logging_2085/kartor_geotiff/A 29733-2025 georefererad karta.tif", "A 29733-2025")</f>
        <v/>
      </c>
      <c r="AA107">
        <f>HYPERLINK("https://klasma.github.io/Logging_2085/klagomål/A 29733-2025 FSC-klagomål.docx", "A 29733-2025")</f>
        <v/>
      </c>
      <c r="AB107">
        <f>HYPERLINK("https://klasma.github.io/Logging_2085/klagomålsmail/A 29733-2025 FSC-klagomål mail.docx", "A 29733-2025")</f>
        <v/>
      </c>
      <c r="AC107">
        <f>HYPERLINK("https://klasma.github.io/Logging_2085/tillsyn/A 29733-2025 tillsynsbegäran.docx", "A 29733-2025")</f>
        <v/>
      </c>
      <c r="AD107">
        <f>HYPERLINK("https://klasma.github.io/Logging_2085/tillsynsmail/A 29733-2025 tillsynsbegäran mail.docx", "A 29733-2025")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46318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Gullgröppa</t>
        </is>
      </c>
      <c r="W108">
        <f>HYPERLINK("https://klasma.github.io/Logging_2085/artfynd/A 74401-2021 artfynd.xlsx", "A 74401-2021")</f>
        <v/>
      </c>
      <c r="X108">
        <f>HYPERLINK("https://klasma.github.io/Logging_2085/kartor/A 74401-2021 karta.png", "A 74401-2021")</f>
        <v/>
      </c>
      <c r="Y108">
        <f>HYPERLINK("https://klasma.github.io/Logging_2085/kartor_geotiff/A 74401-2021 georefererad karta.tif", "A 74401-2021")</f>
        <v/>
      </c>
      <c r="AA108">
        <f>HYPERLINK("https://klasma.github.io/Logging_2085/klagomål/A 74401-2021 FSC-klagomål.docx", "A 74401-2021")</f>
        <v/>
      </c>
      <c r="AB108">
        <f>HYPERLINK("https://klasma.github.io/Logging_2085/klagomålsmail/A 74401-2021 FSC-klagomål mail.docx", "A 74401-2021")</f>
        <v/>
      </c>
      <c r="AC108">
        <f>HYPERLINK("https://klasma.github.io/Logging_2085/tillsyn/A 74401-2021 tillsynsbegäran.docx", "A 74401-2021")</f>
        <v/>
      </c>
      <c r="AD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45858-2025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46318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Granbarkgnagare</t>
        </is>
      </c>
      <c r="W109">
        <f>HYPERLINK("https://klasma.github.io/Logging_2085/artfynd/A 45858-2025 artfynd.xlsx", "A 45858-2025")</f>
        <v/>
      </c>
      <c r="X109">
        <f>HYPERLINK("https://klasma.github.io/Logging_2085/kartor/A 45858-2025 karta.png", "A 45858-2025")</f>
        <v/>
      </c>
      <c r="Y109">
        <f>HYPERLINK("https://klasma.github.io/Logging_2085/kartor_geotiff/A 45858-2025 georefererad karta.tif", "A 45858-2025")</f>
        <v/>
      </c>
      <c r="AA109">
        <f>HYPERLINK("https://klasma.github.io/Logging_2085/klagomål/A 45858-2025 FSC-klagomål.docx", "A 45858-2025")</f>
        <v/>
      </c>
      <c r="AB109">
        <f>HYPERLINK("https://klasma.github.io/Logging_2085/klagomålsmail/A 45858-2025 FSC-klagomål mail.docx", "A 45858-2025")</f>
        <v/>
      </c>
      <c r="AC109">
        <f>HYPERLINK("https://klasma.github.io/Logging_2085/tillsyn/A 45858-2025 tillsynsbegäran.docx", "A 45858-2025")</f>
        <v/>
      </c>
      <c r="AD109">
        <f>HYPERLINK("https://klasma.github.io/Logging_2085/tillsynsmail/A 45858-2025 tillsynsbegäran mail.docx", "A 45858-2025")</f>
        <v/>
      </c>
    </row>
    <row r="110" ht="15" customHeight="1">
      <c r="A110" t="inlineStr">
        <is>
          <t>A 6579-2023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44960</v>
      </c>
      <c r="E110" s="1" t="n">
        <v>46318</v>
      </c>
      <c r="F110" t="inlineStr">
        <is>
          <t>DALARNAS LÄN</t>
        </is>
      </c>
      <c r="G110" t="inlineStr">
        <is>
          <t>LUDVIKA</t>
        </is>
      </c>
      <c r="I110" t="n">
        <v>3.4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Blomkålssvamp</t>
        </is>
      </c>
      <c r="W110">
        <f>HYPERLINK("https://klasma.github.io/Logging_2085/artfynd/A 6579-2023 artfynd.xlsx", "A 6579-2023")</f>
        <v/>
      </c>
      <c r="X110">
        <f>HYPERLINK("https://klasma.github.io/Logging_2085/kartor/A 6579-2023 karta.png", "A 6579-2023")</f>
        <v/>
      </c>
      <c r="Y110">
        <f>HYPERLINK("https://klasma.github.io/Logging_2085/kartor_geotiff/A 6579-2023 georefererad karta.tif", "A 6579-2023")</f>
        <v/>
      </c>
      <c r="AA110">
        <f>HYPERLINK("https://klasma.github.io/Logging_2085/klagomål/A 6579-2023 FSC-klagomål.docx", "A 6579-2023")</f>
        <v/>
      </c>
      <c r="AB110">
        <f>HYPERLINK("https://klasma.github.io/Logging_2085/klagomålsmail/A 6579-2023 FSC-klagomål mail.docx", "A 6579-2023")</f>
        <v/>
      </c>
      <c r="AC110">
        <f>HYPERLINK("https://klasma.github.io/Logging_2085/tillsyn/A 6579-2023 tillsynsbegäran.docx", "A 6579-2023")</f>
        <v/>
      </c>
      <c r="AD110">
        <f>HYPERLINK("https://klasma.github.io/Logging_2085/tillsynsmail/A 6579-2023 tillsynsbegäran mail.docx", "A 6579-2023")</f>
        <v/>
      </c>
    </row>
    <row r="111" ht="15" customHeight="1">
      <c r="A111" t="inlineStr">
        <is>
          <t>A 36050-2025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45866</v>
      </c>
      <c r="E111" s="1" t="n">
        <v>46318</v>
      </c>
      <c r="F111" t="inlineStr">
        <is>
          <t>DALARNAS LÄN</t>
        </is>
      </c>
      <c r="G111" t="inlineStr">
        <is>
          <t>LUDVIKA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hackspett</t>
        </is>
      </c>
      <c r="W111">
        <f>HYPERLINK("https://klasma.github.io/Logging_2085/artfynd/A 36050-2025 artfynd.xlsx", "A 36050-2025")</f>
        <v/>
      </c>
      <c r="X111">
        <f>HYPERLINK("https://klasma.github.io/Logging_2085/kartor/A 36050-2025 karta.png", "A 36050-2025")</f>
        <v/>
      </c>
      <c r="Y111">
        <f>HYPERLINK("https://klasma.github.io/Logging_2085/kartor_geotiff/A 36050-2025 georefererad karta.tif", "A 36050-2025")</f>
        <v/>
      </c>
      <c r="AA111">
        <f>HYPERLINK("https://klasma.github.io/Logging_2085/klagomål/A 36050-2025 FSC-klagomål.docx", "A 36050-2025")</f>
        <v/>
      </c>
      <c r="AB111">
        <f>HYPERLINK("https://klasma.github.io/Logging_2085/klagomålsmail/A 36050-2025 FSC-klagomål mail.docx", "A 36050-2025")</f>
        <v/>
      </c>
      <c r="AC111">
        <f>HYPERLINK("https://klasma.github.io/Logging_2085/tillsyn/A 36050-2025 tillsynsbegäran.docx", "A 36050-2025")</f>
        <v/>
      </c>
      <c r="AD111">
        <f>HYPERLINK("https://klasma.github.io/Logging_2085/tillsynsmail/A 36050-2025 tillsynsbegäran mail.docx", "A 36050-2025")</f>
        <v/>
      </c>
      <c r="AE111">
        <f>HYPERLINK("https://klasma.github.io/Logging_2085/fåglar/A 36050-2025 prioriterade fågelarter.docx", "A 36050-2025")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46318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46318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23720-2026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46163</v>
      </c>
      <c r="E114" s="1" t="n">
        <v>46318</v>
      </c>
      <c r="F114" t="inlineStr">
        <is>
          <t>DALARNAS LÄN</t>
        </is>
      </c>
      <c r="G114" t="inlineStr">
        <is>
          <t>LUDVIKA</t>
        </is>
      </c>
      <c r="I114" t="n">
        <v>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HYPERLINK("https://klasma.github.io/Logging_2085/artfynd/A 23720-2026 artfynd.xlsx", "A 23720-2026")</f>
        <v/>
      </c>
      <c r="X114">
        <f>HYPERLINK("https://klasma.github.io/Logging_2085/kartor/A 23720-2026 karta.png", "A 23720-2026")</f>
        <v/>
      </c>
      <c r="Y114">
        <f>HYPERLINK("https://klasma.github.io/Logging_2085/kartor_geotiff/A 23720-2026 georefererad karta.tif", "A 23720-2026")</f>
        <v/>
      </c>
      <c r="AA114">
        <f>HYPERLINK("https://klasma.github.io/Logging_2085/klagomål/A 23720-2026 FSC-klagomål.docx", "A 23720-2026")</f>
        <v/>
      </c>
      <c r="AB114">
        <f>HYPERLINK("https://klasma.github.io/Logging_2085/klagomålsmail/A 23720-2026 FSC-klagomål mail.docx", "A 23720-2026")</f>
        <v/>
      </c>
      <c r="AC114">
        <f>HYPERLINK("https://klasma.github.io/Logging_2085/tillsyn/A 23720-2026 tillsynsbegäran.docx", "A 23720-2026")</f>
        <v/>
      </c>
      <c r="AD114">
        <f>HYPERLINK("https://klasma.github.io/Logging_2085/tillsynsmail/A 23720-2026 tillsynsbegäran mail.docx", "A 23720-2026")</f>
        <v/>
      </c>
      <c r="AE114">
        <f>HYPERLINK("https://klasma.github.io/Logging_2085/fåglar/A 23720-2026 prioriterade fågelarter.docx", "A 23720-2026")</f>
        <v/>
      </c>
    </row>
    <row r="115" ht="15" customHeight="1">
      <c r="A115" t="inlineStr">
        <is>
          <t>A 23778-2026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46164</v>
      </c>
      <c r="E115" s="1" t="n">
        <v>46318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23778-2026 artfynd.xlsx", "A 23778-2026")</f>
        <v/>
      </c>
      <c r="X115">
        <f>HYPERLINK("https://klasma.github.io/Logging_2085/kartor/A 23778-2026 karta.png", "A 23778-2026")</f>
        <v/>
      </c>
      <c r="Y115">
        <f>HYPERLINK("https://klasma.github.io/Logging_2085/kartor_geotiff/A 23778-2026 georefererad karta.tif", "A 23778-2026")</f>
        <v/>
      </c>
      <c r="AA115">
        <f>HYPERLINK("https://klasma.github.io/Logging_2085/klagomål/A 23778-2026 FSC-klagomål.docx", "A 23778-2026")</f>
        <v/>
      </c>
      <c r="AB115">
        <f>HYPERLINK("https://klasma.github.io/Logging_2085/klagomålsmail/A 23778-2026 FSC-klagomål mail.docx", "A 23778-2026")</f>
        <v/>
      </c>
      <c r="AC115">
        <f>HYPERLINK("https://klasma.github.io/Logging_2085/tillsyn/A 23778-2026 tillsynsbegäran.docx", "A 23778-2026")</f>
        <v/>
      </c>
      <c r="AD115">
        <f>HYPERLINK("https://klasma.github.io/Logging_2085/tillsynsmail/A 23778-2026 tillsynsbegäran mail.docx", "A 23778-2026")</f>
        <v/>
      </c>
      <c r="AE115">
        <f>HYPERLINK("https://klasma.github.io/Logging_2085/fåglar/A 23778-2026 prioriterade fågelarter.docx", "A 23778-2026")</f>
        <v/>
      </c>
    </row>
    <row r="116" ht="15" customHeight="1">
      <c r="A116" t="inlineStr">
        <is>
          <t>A 55550-2022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46318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Ögonpyrola</t>
        </is>
      </c>
      <c r="W116">
        <f>HYPERLINK("https://klasma.github.io/Logging_2085/artfynd/A 55550-2022 artfynd.xlsx", "A 55550-2022")</f>
        <v/>
      </c>
      <c r="X116">
        <f>HYPERLINK("https://klasma.github.io/Logging_2085/kartor/A 55550-2022 karta.png", "A 55550-2022")</f>
        <v/>
      </c>
      <c r="Y116">
        <f>HYPERLINK("https://klasma.github.io/Logging_2085/kartor_geotiff/A 55550-2022 georefererad karta.tif", "A 55550-2022")</f>
        <v/>
      </c>
      <c r="AA116">
        <f>HYPERLINK("https://klasma.github.io/Logging_2085/klagomål/A 55550-2022 FSC-klagomål.docx", "A 55550-2022")</f>
        <v/>
      </c>
      <c r="AB116">
        <f>HYPERLINK("https://klasma.github.io/Logging_2085/klagomålsmail/A 55550-2022 FSC-klagomål mail.docx", "A 55550-2022")</f>
        <v/>
      </c>
      <c r="AC116">
        <f>HYPERLINK("https://klasma.github.io/Logging_2085/tillsyn/A 55550-2022 tillsynsbegäran.docx", "A 55550-2022")</f>
        <v/>
      </c>
      <c r="AD116">
        <f>HYPERLINK("https://klasma.github.io/Logging_2085/tillsynsmail/A 55550-2022 tillsynsbegäran mail.docx", "A 55550-2022")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46318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63005-2025 artfynd.xlsx", "A 63005-2025")</f>
        <v/>
      </c>
      <c r="X117">
        <f>HYPERLINK("https://klasma.github.io/Logging_2085/kartor/A 63005-2025 karta.png", "A 63005-2025")</f>
        <v/>
      </c>
      <c r="Y117">
        <f>HYPERLINK("https://klasma.github.io/Logging_2085/kartor_geotiff/A 63005-2025 georefererad karta.tif", "A 63005-2025")</f>
        <v/>
      </c>
      <c r="AA117">
        <f>HYPERLINK("https://klasma.github.io/Logging_2085/klagomål/A 63005-2025 FSC-klagomål.docx", "A 63005-2025")</f>
        <v/>
      </c>
      <c r="AB117">
        <f>HYPERLINK("https://klasma.github.io/Logging_2085/klagomålsmail/A 63005-2025 FSC-klagomål mail.docx", "A 63005-2025")</f>
        <v/>
      </c>
      <c r="AC117">
        <f>HYPERLINK("https://klasma.github.io/Logging_2085/tillsyn/A 63005-2025 tillsynsbegäran.docx", "A 63005-2025")</f>
        <v/>
      </c>
      <c r="AD117">
        <f>HYPERLINK("https://klasma.github.io/Logging_2085/tillsynsmail/A 63005-2025 tillsynsbegäran mail.docx", "A 63005-2025")</f>
        <v/>
      </c>
      <c r="AE117">
        <f>HYPERLINK("https://klasma.github.io/Logging_2085/fåglar/A 63005-2025 prioriterade fågelarter.docx", "A 63005-2025")</f>
        <v/>
      </c>
    </row>
    <row r="118" ht="15" customHeight="1">
      <c r="A118" t="inlineStr">
        <is>
          <t>A 25159-2026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46175</v>
      </c>
      <c r="E118" s="1" t="n">
        <v>46318</v>
      </c>
      <c r="F118" t="inlineStr">
        <is>
          <t>DALARNAS LÄN</t>
        </is>
      </c>
      <c r="G118" t="inlineStr">
        <is>
          <t>LUDVIKA</t>
        </is>
      </c>
      <c r="I118" t="n">
        <v>2.3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Tibast</t>
        </is>
      </c>
      <c r="W118">
        <f>HYPERLINK("https://klasma.github.io/Logging_2085/artfynd/A 25159-2026 artfynd.xlsx", "A 25159-2026")</f>
        <v/>
      </c>
      <c r="X118">
        <f>HYPERLINK("https://klasma.github.io/Logging_2085/kartor/A 25159-2026 karta.png", "A 25159-2026")</f>
        <v/>
      </c>
      <c r="Y118">
        <f>HYPERLINK("https://klasma.github.io/Logging_2085/kartor_geotiff/A 25159-2026 georefererad karta.tif", "A 25159-2026")</f>
        <v/>
      </c>
      <c r="AA118">
        <f>HYPERLINK("https://klasma.github.io/Logging_2085/klagomål/A 25159-2026 FSC-klagomål.docx", "A 25159-2026")</f>
        <v/>
      </c>
      <c r="AB118">
        <f>HYPERLINK("https://klasma.github.io/Logging_2085/klagomålsmail/A 25159-2026 FSC-klagomål mail.docx", "A 25159-2026")</f>
        <v/>
      </c>
      <c r="AC118">
        <f>HYPERLINK("https://klasma.github.io/Logging_2085/tillsyn/A 25159-2026 tillsynsbegäran.docx", "A 25159-2026")</f>
        <v/>
      </c>
      <c r="AD118">
        <f>HYPERLINK("https://klasma.github.io/Logging_2085/tillsynsmail/A 25159-2026 tillsynsbegäran mail.docx", "A 25159-2026")</f>
        <v/>
      </c>
    </row>
    <row r="119" ht="15" customHeight="1">
      <c r="A119" t="inlineStr">
        <is>
          <t>A 59947-2025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46318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Tjäder</t>
        </is>
      </c>
      <c r="W119">
        <f>HYPERLINK("https://klasma.github.io/Logging_2085/artfynd/A 59947-2025 artfynd.xlsx", "A 59947-2025")</f>
        <v/>
      </c>
      <c r="X119">
        <f>HYPERLINK("https://klasma.github.io/Logging_2085/kartor/A 59947-2025 karta.png", "A 59947-2025")</f>
        <v/>
      </c>
      <c r="Y119">
        <f>HYPERLINK("https://klasma.github.io/Logging_2085/kartor_geotiff/A 59947-2025 georefererad karta.tif", "A 59947-2025")</f>
        <v/>
      </c>
      <c r="AA119">
        <f>HYPERLINK("https://klasma.github.io/Logging_2085/klagomål/A 59947-2025 FSC-klagomål.docx", "A 59947-2025")</f>
        <v/>
      </c>
      <c r="AB119">
        <f>HYPERLINK("https://klasma.github.io/Logging_2085/klagomålsmail/A 59947-2025 FSC-klagomål mail.docx", "A 59947-2025")</f>
        <v/>
      </c>
      <c r="AC119">
        <f>HYPERLINK("https://klasma.github.io/Logging_2085/tillsyn/A 59947-2025 tillsynsbegäran.docx", "A 59947-2025")</f>
        <v/>
      </c>
      <c r="AD119">
        <f>HYPERLINK("https://klasma.github.io/Logging_2085/tillsynsmail/A 59947-2025 tillsynsbegäran mail.docx", "A 59947-2025")</f>
        <v/>
      </c>
      <c r="AE119">
        <f>HYPERLINK("https://klasma.github.io/Logging_2085/fåglar/A 59947-2025 prioriterade fågelarter.docx", "A 59947-2025")</f>
        <v/>
      </c>
    </row>
    <row r="120" ht="15" customHeight="1">
      <c r="A120" t="inlineStr">
        <is>
          <t>A 1047-2023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46318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3.2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Ullticka</t>
        </is>
      </c>
      <c r="W120">
        <f>HYPERLINK("https://klasma.github.io/Logging_2085/artfynd/A 1047-2023 artfynd.xlsx", "A 1047-2023")</f>
        <v/>
      </c>
      <c r="X120">
        <f>HYPERLINK("https://klasma.github.io/Logging_2085/kartor/A 1047-2023 karta.png", "A 1047-2023")</f>
        <v/>
      </c>
      <c r="Y120">
        <f>HYPERLINK("https://klasma.github.io/Logging_2085/kartor_geotiff/A 1047-2023 georefererad karta.tif", "A 1047-2023")</f>
        <v/>
      </c>
      <c r="AA120">
        <f>HYPERLINK("https://klasma.github.io/Logging_2085/klagomål/A 1047-2023 FSC-klagomål.docx", "A 1047-2023")</f>
        <v/>
      </c>
      <c r="AB120">
        <f>HYPERLINK("https://klasma.github.io/Logging_2085/klagomålsmail/A 1047-2023 FSC-klagomål mail.docx", "A 1047-2023")</f>
        <v/>
      </c>
      <c r="AC120">
        <f>HYPERLINK("https://klasma.github.io/Logging_2085/tillsyn/A 1047-2023 tillsynsbegäran.docx", "A 1047-2023")</f>
        <v/>
      </c>
      <c r="AD120">
        <f>HYPERLINK("https://klasma.github.io/Logging_2085/tillsynsmail/A 1047-2023 tillsynsbegäran mail.docx", "A 1047-2023")</f>
        <v/>
      </c>
    </row>
    <row r="121" ht="15" customHeight="1">
      <c r="A121" t="inlineStr">
        <is>
          <t>A 29882-2024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45486</v>
      </c>
      <c r="E121" s="1" t="n">
        <v>46318</v>
      </c>
      <c r="F121" t="inlineStr">
        <is>
          <t>DALARNAS LÄN</t>
        </is>
      </c>
      <c r="G121" t="inlineStr">
        <is>
          <t>LUDVIKA</t>
        </is>
      </c>
      <c r="I121" t="n">
        <v>1.3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29882-2024 artfynd.xlsx", "A 29882-2024")</f>
        <v/>
      </c>
      <c r="X121">
        <f>HYPERLINK("https://klasma.github.io/Logging_2085/kartor/A 29882-2024 karta.png", "A 29882-2024")</f>
        <v/>
      </c>
      <c r="Y121">
        <f>HYPERLINK("https://klasma.github.io/Logging_2085/kartor_geotiff/A 29882-2024 georefererad karta.tif", "A 29882-2024")</f>
        <v/>
      </c>
      <c r="AA121">
        <f>HYPERLINK("https://klasma.github.io/Logging_2085/klagomål/A 29882-2024 FSC-klagomål.docx", "A 29882-2024")</f>
        <v/>
      </c>
      <c r="AB121">
        <f>HYPERLINK("https://klasma.github.io/Logging_2085/klagomålsmail/A 29882-2024 FSC-klagomål mail.docx", "A 29882-2024")</f>
        <v/>
      </c>
      <c r="AC121">
        <f>HYPERLINK("https://klasma.github.io/Logging_2085/tillsyn/A 29882-2024 tillsynsbegäran.docx", "A 29882-2024")</f>
        <v/>
      </c>
      <c r="AD121">
        <f>HYPERLINK("https://klasma.github.io/Logging_2085/tillsynsmail/A 29882-2024 tillsynsbegäran mail.docx", "A 29882-2024")</f>
        <v/>
      </c>
      <c r="AE121">
        <f>HYPERLINK("https://klasma.github.io/Logging_2085/fåglar/A 29882-2024 prioriterade fågelarter.docx", "A 29882-2024")</f>
        <v/>
      </c>
    </row>
    <row r="122" ht="15" customHeight="1">
      <c r="A122" t="inlineStr">
        <is>
          <t>A 23102-2025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46318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HYPERLINK("https://klasma.github.io/Logging_2085/artfynd/A 23102-2025 artfynd.xlsx", "A 23102-2025")</f>
        <v/>
      </c>
      <c r="X122">
        <f>HYPERLINK("https://klasma.github.io/Logging_2085/kartor/A 23102-2025 karta.png", "A 23102-2025")</f>
        <v/>
      </c>
      <c r="Y122">
        <f>HYPERLINK("https://klasma.github.io/Logging_2085/kartor_geotiff/A 23102-2025 georefererad karta.tif", "A 23102-2025")</f>
        <v/>
      </c>
      <c r="AA122">
        <f>HYPERLINK("https://klasma.github.io/Logging_2085/klagomål/A 23102-2025 FSC-klagomål.docx", "A 23102-2025")</f>
        <v/>
      </c>
      <c r="AB122">
        <f>HYPERLINK("https://klasma.github.io/Logging_2085/klagomålsmail/A 23102-2025 FSC-klagomål mail.docx", "A 23102-2025")</f>
        <v/>
      </c>
      <c r="AC122">
        <f>HYPERLINK("https://klasma.github.io/Logging_2085/tillsyn/A 23102-2025 tillsynsbegäran.docx", "A 23102-2025")</f>
        <v/>
      </c>
      <c r="AD122">
        <f>HYPERLINK("https://klasma.github.io/Logging_2085/tillsynsmail/A 23102-2025 tillsynsbegäran mail.docx", "A 23102-2025")</f>
        <v/>
      </c>
    </row>
    <row r="123" ht="15" customHeight="1">
      <c r="A123" t="inlineStr">
        <is>
          <t>A 43248-2026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46314</v>
      </c>
      <c r="E123" s="1" t="n">
        <v>46318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Brunpudrad nållav</t>
        </is>
      </c>
      <c r="W123">
        <f>HYPERLINK("https://klasma.github.io/Logging_2085/artfynd/A 43248-2026 artfynd.xlsx", "A 43248-2026")</f>
        <v/>
      </c>
      <c r="X123">
        <f>HYPERLINK("https://klasma.github.io/Logging_2085/kartor/A 43248-2026 karta.png", "A 43248-2026")</f>
        <v/>
      </c>
      <c r="Y123">
        <f>HYPERLINK("https://klasma.github.io/Logging_2085/kartor_geotiff/A 43248-2026 georefererad karta.tif", "A 43248-2026")</f>
        <v/>
      </c>
      <c r="AA123">
        <f>HYPERLINK("https://klasma.github.io/Logging_2085/klagomål/A 43248-2026 FSC-klagomål.docx", "A 43248-2026")</f>
        <v/>
      </c>
      <c r="AB123">
        <f>HYPERLINK("https://klasma.github.io/Logging_2085/klagomålsmail/A 43248-2026 FSC-klagomål mail.docx", "A 43248-2026")</f>
        <v/>
      </c>
      <c r="AC123">
        <f>HYPERLINK("https://klasma.github.io/Logging_2085/tillsyn/A 43248-2026 tillsynsbegäran.docx", "A 43248-2026")</f>
        <v/>
      </c>
      <c r="AD123">
        <f>HYPERLINK("https://klasma.github.io/Logging_2085/tillsynsmail/A 43248-2026 tillsynsbegäran mail.docx", "A 43248-2026")</f>
        <v/>
      </c>
    </row>
    <row r="124" ht="15" customHeight="1">
      <c r="A124" t="inlineStr">
        <is>
          <t>A 36478-2026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46269</v>
      </c>
      <c r="E124" s="1" t="n">
        <v>46318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Skogsalm</t>
        </is>
      </c>
      <c r="W124">
        <f>HYPERLINK("https://klasma.github.io/Logging_2085/artfynd/A 36478-2026 artfynd.xlsx", "A 36478-2026")</f>
        <v/>
      </c>
      <c r="X124">
        <f>HYPERLINK("https://klasma.github.io/Logging_2085/kartor/A 36478-2026 karta.png", "A 36478-2026")</f>
        <v/>
      </c>
      <c r="Y124">
        <f>HYPERLINK("https://klasma.github.io/Logging_2085/kartor_geotiff/A 36478-2026 georefererad karta.tif", "A 36478-2026")</f>
        <v/>
      </c>
      <c r="AA124">
        <f>HYPERLINK("https://klasma.github.io/Logging_2085/klagomål/A 36478-2026 FSC-klagomål.docx", "A 36478-2026")</f>
        <v/>
      </c>
      <c r="AB124">
        <f>HYPERLINK("https://klasma.github.io/Logging_2085/klagomålsmail/A 36478-2026 FSC-klagomål mail.docx", "A 36478-2026")</f>
        <v/>
      </c>
      <c r="AC124">
        <f>HYPERLINK("https://klasma.github.io/Logging_2085/tillsyn/A 36478-2026 tillsynsbegäran.docx", "A 36478-2026")</f>
        <v/>
      </c>
      <c r="AD124">
        <f>HYPERLINK("https://klasma.github.io/Logging_2085/tillsynsmail/A 36478-2026 tillsynsbegäran mail.docx", "A 36478-2026")</f>
        <v/>
      </c>
    </row>
    <row r="125" ht="15" customHeight="1">
      <c r="A125" t="inlineStr">
        <is>
          <t>A 60787-2024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46318</v>
      </c>
      <c r="F125" t="inlineStr">
        <is>
          <t>DALARNAS LÄN</t>
        </is>
      </c>
      <c r="G125" t="inlineStr">
        <is>
          <t>LUDVIKA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HYPERLINK("https://klasma.github.io/Logging_2085/artfynd/A 60787-2024 artfynd.xlsx", "A 60787-2024")</f>
        <v/>
      </c>
      <c r="X125">
        <f>HYPERLINK("https://klasma.github.io/Logging_2085/kartor/A 60787-2024 karta.png", "A 60787-2024")</f>
        <v/>
      </c>
      <c r="Y125">
        <f>HYPERLINK("https://klasma.github.io/Logging_2085/kartor_geotiff/A 60787-2024 georefererad karta.tif", "A 60787-2024")</f>
        <v/>
      </c>
      <c r="AA125">
        <f>HYPERLINK("https://klasma.github.io/Logging_2085/klagomål/A 60787-2024 FSC-klagomål.docx", "A 60787-2024")</f>
        <v/>
      </c>
      <c r="AB125">
        <f>HYPERLINK("https://klasma.github.io/Logging_2085/klagomålsmail/A 60787-2024 FSC-klagomål mail.docx", "A 60787-2024")</f>
        <v/>
      </c>
      <c r="AC125">
        <f>HYPERLINK("https://klasma.github.io/Logging_2085/tillsyn/A 60787-2024 tillsynsbegäran.docx", "A 60787-2024")</f>
        <v/>
      </c>
      <c r="AD125">
        <f>HYPERLINK("https://klasma.github.io/Logging_2085/tillsynsmail/A 60787-2024 tillsynsbegäran mail.docx", "A 60787-2024")</f>
        <v/>
      </c>
      <c r="AE125">
        <f>HYPERLINK("https://klasma.github.io/Logging_2085/fåglar/A 60787-2024 prioriterade fågelarter.docx", "A 60787-2024")</f>
        <v/>
      </c>
    </row>
    <row r="126" ht="15" customHeight="1">
      <c r="A126" t="inlineStr">
        <is>
          <t>A 31352-2026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46219</v>
      </c>
      <c r="E126" s="1" t="n">
        <v>46318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Tvåblad</t>
        </is>
      </c>
      <c r="W126">
        <f>HYPERLINK("https://klasma.github.io/Logging_2085/artfynd/A 31352-2026 artfynd.xlsx", "A 31352-2026")</f>
        <v/>
      </c>
      <c r="X126">
        <f>HYPERLINK("https://klasma.github.io/Logging_2085/kartor/A 31352-2026 karta.png", "A 31352-2026")</f>
        <v/>
      </c>
      <c r="Y126">
        <f>HYPERLINK("https://klasma.github.io/Logging_2085/kartor_geotiff/A 31352-2026 georefererad karta.tif", "A 31352-2026")</f>
        <v/>
      </c>
      <c r="AA126">
        <f>HYPERLINK("https://klasma.github.io/Logging_2085/klagomål/A 31352-2026 FSC-klagomål.docx", "A 31352-2026")</f>
        <v/>
      </c>
      <c r="AB126">
        <f>HYPERLINK("https://klasma.github.io/Logging_2085/klagomålsmail/A 31352-2026 FSC-klagomål mail.docx", "A 31352-2026")</f>
        <v/>
      </c>
      <c r="AC126">
        <f>HYPERLINK("https://klasma.github.io/Logging_2085/tillsyn/A 31352-2026 tillsynsbegäran.docx", "A 31352-2026")</f>
        <v/>
      </c>
      <c r="AD126">
        <f>HYPERLINK("https://klasma.github.io/Logging_2085/tillsynsmail/A 31352-2026 tillsynsbegäran mail.docx", "A 31352-2026")</f>
        <v/>
      </c>
    </row>
    <row r="127" ht="15" customHeight="1">
      <c r="A127" t="inlineStr">
        <is>
          <t>A 37560-2026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46276</v>
      </c>
      <c r="E127" s="1" t="n">
        <v>46318</v>
      </c>
      <c r="F127" t="inlineStr">
        <is>
          <t>DALARNAS LÄN</t>
        </is>
      </c>
      <c r="G127" t="inlineStr">
        <is>
          <t>LUDVIKA</t>
        </is>
      </c>
      <c r="H127" t="inlineStr">
        <is>
          <t>Naturvårdsverket</t>
        </is>
      </c>
      <c r="I127" t="n">
        <v>0.9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Motaggsvamp</t>
        </is>
      </c>
      <c r="W127">
        <f>HYPERLINK("https://klasma.github.io/Logging_2085/artfynd/A 37560-2026 artfynd.xlsx", "A 37560-2026")</f>
        <v/>
      </c>
      <c r="X127">
        <f>HYPERLINK("https://klasma.github.io/Logging_2085/kartor/A 37560-2026 karta.png", "A 37560-2026")</f>
        <v/>
      </c>
      <c r="Y127">
        <f>HYPERLINK("https://klasma.github.io/Logging_2085/kartor_geotiff/A 37560-2026 georefererad karta.tif", "A 37560-2026")</f>
        <v/>
      </c>
      <c r="AA127">
        <f>HYPERLINK("https://klasma.github.io/Logging_2085/klagomål/A 37560-2026 FSC-klagomål.docx", "A 37560-2026")</f>
        <v/>
      </c>
      <c r="AB127">
        <f>HYPERLINK("https://klasma.github.io/Logging_2085/klagomålsmail/A 37560-2026 FSC-klagomål mail.docx", "A 37560-2026")</f>
        <v/>
      </c>
      <c r="AC127">
        <f>HYPERLINK("https://klasma.github.io/Logging_2085/tillsyn/A 37560-2026 tillsynsbegäran.docx", "A 37560-2026")</f>
        <v/>
      </c>
      <c r="AD127">
        <f>HYPERLINK("https://klasma.github.io/Logging_2085/tillsynsmail/A 37560-2026 tillsynsbegäran mail.docx", "A 37560-2026")</f>
        <v/>
      </c>
    </row>
    <row r="128" ht="15" customHeight="1">
      <c r="A128" t="inlineStr">
        <is>
          <t>A 3687-2024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45321</v>
      </c>
      <c r="E128" s="1" t="n">
        <v>46318</v>
      </c>
      <c r="F128" t="inlineStr">
        <is>
          <t>DALARNAS LÄN</t>
        </is>
      </c>
      <c r="G128" t="inlineStr">
        <is>
          <t>LUDVIKA</t>
        </is>
      </c>
      <c r="I128" t="n">
        <v>5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Nordfladdermus</t>
        </is>
      </c>
      <c r="W128">
        <f>HYPERLINK("https://klasma.github.io/Logging_2085/artfynd/A 3687-2024 artfynd.xlsx", "A 3687-2024")</f>
        <v/>
      </c>
      <c r="X128">
        <f>HYPERLINK("https://klasma.github.io/Logging_2085/kartor/A 3687-2024 karta.png", "A 3687-2024")</f>
        <v/>
      </c>
      <c r="Y128">
        <f>HYPERLINK("https://klasma.github.io/Logging_2085/kartor_geotiff/A 3687-2024 georefererad karta.tif", "A 3687-2024")</f>
        <v/>
      </c>
      <c r="AA128">
        <f>HYPERLINK("https://klasma.github.io/Logging_2085/klagomål/A 3687-2024 FSC-klagomål.docx", "A 3687-2024")</f>
        <v/>
      </c>
      <c r="AB128">
        <f>HYPERLINK("https://klasma.github.io/Logging_2085/klagomålsmail/A 3687-2024 FSC-klagomål mail.docx", "A 3687-2024")</f>
        <v/>
      </c>
      <c r="AC128">
        <f>HYPERLINK("https://klasma.github.io/Logging_2085/tillsyn/A 3687-2024 tillsynsbegäran.docx", "A 3687-2024")</f>
        <v/>
      </c>
      <c r="AD128">
        <f>HYPERLINK("https://klasma.github.io/Logging_2085/tillsynsmail/A 3687-2024 tillsynsbegäran mail.docx", "A 3687-2024")</f>
        <v/>
      </c>
    </row>
    <row r="129" ht="15" customHeight="1">
      <c r="A129" t="inlineStr">
        <is>
          <t>A 33560-2023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45131</v>
      </c>
      <c r="E129" s="1" t="n">
        <v>46318</v>
      </c>
      <c r="F129" t="inlineStr">
        <is>
          <t>DALARNAS LÄN</t>
        </is>
      </c>
      <c r="G129" t="inlineStr">
        <is>
          <t>LUDVIKA</t>
        </is>
      </c>
      <c r="I129" t="n">
        <v>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Mindre vattensalamander</t>
        </is>
      </c>
      <c r="W129">
        <f>HYPERLINK("https://klasma.github.io/Logging_2085/artfynd/A 33560-2023 artfynd.xlsx", "A 33560-2023")</f>
        <v/>
      </c>
      <c r="X129">
        <f>HYPERLINK("https://klasma.github.io/Logging_2085/kartor/A 33560-2023 karta.png", "A 33560-2023")</f>
        <v/>
      </c>
      <c r="Y129">
        <f>HYPERLINK("https://klasma.github.io/Logging_2085/kartor_geotiff/A 33560-2023 georefererad karta.tif", "A 33560-2023")</f>
        <v/>
      </c>
      <c r="AA129">
        <f>HYPERLINK("https://klasma.github.io/Logging_2085/klagomål/A 33560-2023 FSC-klagomål.docx", "A 33560-2023")</f>
        <v/>
      </c>
      <c r="AB129">
        <f>HYPERLINK("https://klasma.github.io/Logging_2085/klagomålsmail/A 33560-2023 FSC-klagomål mail.docx", "A 33560-2023")</f>
        <v/>
      </c>
      <c r="AC129">
        <f>HYPERLINK("https://klasma.github.io/Logging_2085/tillsyn/A 33560-2023 tillsynsbegäran.docx", "A 33560-2023")</f>
        <v/>
      </c>
      <c r="AD129">
        <f>HYPERLINK("https://klasma.github.io/Logging_2085/tillsynsmail/A 33560-2023 tillsynsbegäran mail.docx", "A 33560-2023")</f>
        <v/>
      </c>
    </row>
    <row r="130" ht="15" customHeight="1">
      <c r="A130" t="inlineStr">
        <is>
          <t>A 26850-2023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46318</v>
      </c>
      <c r="F130" t="inlineStr">
        <is>
          <t>DALARNAS LÄN</t>
        </is>
      </c>
      <c r="G130" t="inlineStr">
        <is>
          <t>LUDVIKA</t>
        </is>
      </c>
      <c r="H130" t="inlineStr">
        <is>
          <t>Naturvårdsverket</t>
        </is>
      </c>
      <c r="I130" t="n">
        <v>2.7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Motaggsvamp</t>
        </is>
      </c>
      <c r="W130">
        <f>HYPERLINK("https://klasma.github.io/Logging_2085/artfynd/A 26850-2023 artfynd.xlsx", "A 26850-2023")</f>
        <v/>
      </c>
      <c r="X130">
        <f>HYPERLINK("https://klasma.github.io/Logging_2085/kartor/A 26850-2023 karta.png", "A 26850-2023")</f>
        <v/>
      </c>
      <c r="Y130">
        <f>HYPERLINK("https://klasma.github.io/Logging_2085/kartor_geotiff/A 26850-2023 georefererad karta.tif", "A 26850-2023")</f>
        <v/>
      </c>
      <c r="AA130">
        <f>HYPERLINK("https://klasma.github.io/Logging_2085/klagomål/A 26850-2023 FSC-klagomål.docx", "A 26850-2023")</f>
        <v/>
      </c>
      <c r="AB130">
        <f>HYPERLINK("https://klasma.github.io/Logging_2085/klagomålsmail/A 26850-2023 FSC-klagomål mail.docx", "A 26850-2023")</f>
        <v/>
      </c>
      <c r="AC130">
        <f>HYPERLINK("https://klasma.github.io/Logging_2085/tillsyn/A 26850-2023 tillsynsbegäran.docx", "A 26850-2023")</f>
        <v/>
      </c>
      <c r="AD130">
        <f>HYPERLINK("https://klasma.github.io/Logging_2085/tillsynsmail/A 26850-2023 tillsynsbegäran mail.docx", "A 26850-2023")</f>
        <v/>
      </c>
    </row>
    <row r="131" ht="15" customHeight="1">
      <c r="A131" t="inlineStr">
        <is>
          <t>A 33399-2026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46247</v>
      </c>
      <c r="E131" s="1" t="n">
        <v>46318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HYPERLINK("https://klasma.github.io/Logging_2085/artfynd/A 33399-2026 artfynd.xlsx", "A 33399-2026")</f>
        <v/>
      </c>
      <c r="X131">
        <f>HYPERLINK("https://klasma.github.io/Logging_2085/kartor/A 33399-2026 karta.png", "A 33399-2026")</f>
        <v/>
      </c>
      <c r="Y131">
        <f>HYPERLINK("https://klasma.github.io/Logging_2085/kartor_geotiff/A 33399-2026 georefererad karta.tif", "A 33399-2026")</f>
        <v/>
      </c>
      <c r="AA131">
        <f>HYPERLINK("https://klasma.github.io/Logging_2085/klagomål/A 33399-2026 FSC-klagomål.docx", "A 33399-2026")</f>
        <v/>
      </c>
      <c r="AB131">
        <f>HYPERLINK("https://klasma.github.io/Logging_2085/klagomålsmail/A 33399-2026 FSC-klagomål mail.docx", "A 33399-2026")</f>
        <v/>
      </c>
      <c r="AC131">
        <f>HYPERLINK("https://klasma.github.io/Logging_2085/tillsyn/A 33399-2026 tillsynsbegäran.docx", "A 33399-2026")</f>
        <v/>
      </c>
      <c r="AD131">
        <f>HYPERLINK("https://klasma.github.io/Logging_2085/tillsynsmail/A 33399-2026 tillsynsbegäran mail.docx", "A 33399-2026")</f>
        <v/>
      </c>
      <c r="AE131">
        <f>HYPERLINK("https://klasma.github.io/Logging_2085/fåglar/A 33399-2026 prioriterade fågelarter.docx", "A 33399-2026")</f>
        <v/>
      </c>
    </row>
    <row r="132" ht="15" customHeight="1">
      <c r="A132" t="inlineStr">
        <is>
          <t>A 25588-2023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46318</v>
      </c>
      <c r="F132" t="inlineStr">
        <is>
          <t>DALARNAS LÄN</t>
        </is>
      </c>
      <c r="G132" t="inlineStr">
        <is>
          <t>LUDVIKA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Garnlav</t>
        </is>
      </c>
      <c r="W132">
        <f>HYPERLINK("https://klasma.github.io/Logging_2085/artfynd/A 25588-2023 artfynd.xlsx", "A 25588-2023")</f>
        <v/>
      </c>
      <c r="X132">
        <f>HYPERLINK("https://klasma.github.io/Logging_2085/kartor/A 25588-2023 karta.png", "A 25588-2023")</f>
        <v/>
      </c>
      <c r="Y132">
        <f>HYPERLINK("https://klasma.github.io/Logging_2085/kartor_geotiff/A 25588-2023 georefererad karta.tif", "A 25588-2023")</f>
        <v/>
      </c>
      <c r="AA132">
        <f>HYPERLINK("https://klasma.github.io/Logging_2085/klagomål/A 25588-2023 FSC-klagomål.docx", "A 25588-2023")</f>
        <v/>
      </c>
      <c r="AB132">
        <f>HYPERLINK("https://klasma.github.io/Logging_2085/klagomålsmail/A 25588-2023 FSC-klagomål mail.docx", "A 25588-2023")</f>
        <v/>
      </c>
      <c r="AC132">
        <f>HYPERLINK("https://klasma.github.io/Logging_2085/tillsyn/A 25588-2023 tillsynsbegäran.docx", "A 25588-2023")</f>
        <v/>
      </c>
      <c r="AD132">
        <f>HYPERLINK("https://klasma.github.io/Logging_2085/tillsynsmail/A 25588-2023 tillsynsbegäran mail.docx", "A 25588-2023")</f>
        <v/>
      </c>
    </row>
    <row r="133" ht="15" customHeight="1">
      <c r="A133" t="inlineStr">
        <is>
          <t>A 49660-2024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45596</v>
      </c>
      <c r="E133" s="1" t="n">
        <v>46318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husmossa</t>
        </is>
      </c>
      <c r="W133">
        <f>HYPERLINK("https://klasma.github.io/Logging_2085/artfynd/A 49660-2024 artfynd.xlsx", "A 49660-2024")</f>
        <v/>
      </c>
      <c r="X133">
        <f>HYPERLINK("https://klasma.github.io/Logging_2085/kartor/A 49660-2024 karta.png", "A 49660-2024")</f>
        <v/>
      </c>
      <c r="Y133">
        <f>HYPERLINK("https://klasma.github.io/Logging_2085/kartor_geotiff/A 49660-2024 georefererad karta.tif", "A 49660-2024")</f>
        <v/>
      </c>
      <c r="AA133">
        <f>HYPERLINK("https://klasma.github.io/Logging_2085/klagomål/A 49660-2024 FSC-klagomål.docx", "A 49660-2024")</f>
        <v/>
      </c>
      <c r="AB133">
        <f>HYPERLINK("https://klasma.github.io/Logging_2085/klagomålsmail/A 49660-2024 FSC-klagomål mail.docx", "A 49660-2024")</f>
        <v/>
      </c>
      <c r="AC133">
        <f>HYPERLINK("https://klasma.github.io/Logging_2085/tillsyn/A 49660-2024 tillsynsbegäran.docx", "A 49660-2024")</f>
        <v/>
      </c>
      <c r="AD133">
        <f>HYPERLINK("https://klasma.github.io/Logging_2085/tillsynsmail/A 49660-2024 tillsynsbegäran mail.docx", "A 49660-2024")</f>
        <v/>
      </c>
    </row>
    <row r="134" ht="15" customHeight="1">
      <c r="A134" t="inlineStr">
        <is>
          <t>A 35652-2026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46318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Garnlav</t>
        </is>
      </c>
      <c r="W134">
        <f>HYPERLINK("https://klasma.github.io/Logging_2085/artfynd/A 35652-2026 artfynd.xlsx", "A 35652-2026")</f>
        <v/>
      </c>
      <c r="X134">
        <f>HYPERLINK("https://klasma.github.io/Logging_2085/kartor/A 35652-2026 karta.png", "A 35652-2026")</f>
        <v/>
      </c>
      <c r="Y134">
        <f>HYPERLINK("https://klasma.github.io/Logging_2085/kartor_geotiff/A 35652-2026 georefererad karta.tif", "A 35652-2026")</f>
        <v/>
      </c>
      <c r="AA134">
        <f>HYPERLINK("https://klasma.github.io/Logging_2085/klagomål/A 35652-2026 FSC-klagomål.docx", "A 35652-2026")</f>
        <v/>
      </c>
      <c r="AB134">
        <f>HYPERLINK("https://klasma.github.io/Logging_2085/klagomålsmail/A 35652-2026 FSC-klagomål mail.docx", "A 35652-2026")</f>
        <v/>
      </c>
      <c r="AC134">
        <f>HYPERLINK("https://klasma.github.io/Logging_2085/tillsyn/A 35652-2026 tillsynsbegäran.docx", "A 35652-2026")</f>
        <v/>
      </c>
      <c r="AD134">
        <f>HYPERLINK("https://klasma.github.io/Logging_2085/tillsynsmail/A 35652-2026 tillsynsbegäran mail.docx", "A 35652-2026")</f>
        <v/>
      </c>
    </row>
    <row r="135" ht="15" customHeight="1">
      <c r="A135" t="inlineStr">
        <is>
          <t>A 17987-2025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45761</v>
      </c>
      <c r="E135" s="1" t="n">
        <v>46318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Talltita</t>
        </is>
      </c>
      <c r="W135">
        <f>HYPERLINK("https://klasma.github.io/Logging_2085/artfynd/A 17987-2025 artfynd.xlsx", "A 17987-2025")</f>
        <v/>
      </c>
      <c r="X135">
        <f>HYPERLINK("https://klasma.github.io/Logging_2085/kartor/A 17987-2025 karta.png", "A 17987-2025")</f>
        <v/>
      </c>
      <c r="Y135">
        <f>HYPERLINK("https://klasma.github.io/Logging_2085/kartor_geotiff/A 17987-2025 georefererad karta.tif", "A 17987-2025")</f>
        <v/>
      </c>
      <c r="AA135">
        <f>HYPERLINK("https://klasma.github.io/Logging_2085/klagomål/A 17987-2025 FSC-klagomål.docx", "A 17987-2025")</f>
        <v/>
      </c>
      <c r="AB135">
        <f>HYPERLINK("https://klasma.github.io/Logging_2085/klagomålsmail/A 17987-2025 FSC-klagomål mail.docx", "A 17987-2025")</f>
        <v/>
      </c>
      <c r="AC135">
        <f>HYPERLINK("https://klasma.github.io/Logging_2085/tillsyn/A 17987-2025 tillsynsbegäran.docx", "A 17987-2025")</f>
        <v/>
      </c>
      <c r="AD135">
        <f>HYPERLINK("https://klasma.github.io/Logging_2085/tillsynsmail/A 17987-2025 tillsynsbegäran mail.docx", "A 17987-2025")</f>
        <v/>
      </c>
      <c r="AE135">
        <f>HYPERLINK("https://klasma.github.io/Logging_2085/fåglar/A 17987-2025 prioriterade fågelarter.docx", "A 17987-2025")</f>
        <v/>
      </c>
    </row>
    <row r="136" ht="15" customHeight="1">
      <c r="A136" t="inlineStr">
        <is>
          <t>A 21499-2022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46318</v>
      </c>
      <c r="F136" t="inlineStr">
        <is>
          <t>DALARNAS LÄN</t>
        </is>
      </c>
      <c r="G136" t="inlineStr">
        <is>
          <t>LUDVIKA</t>
        </is>
      </c>
      <c r="I136" t="n">
        <v>4.3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Strimspindling</t>
        </is>
      </c>
      <c r="W136">
        <f>HYPERLINK("https://klasma.github.io/Logging_2085/artfynd/A 21499-2022 artfynd.xlsx", "A 21499-2022")</f>
        <v/>
      </c>
      <c r="X136">
        <f>HYPERLINK("https://klasma.github.io/Logging_2085/kartor/A 21499-2022 karta.png", "A 21499-2022")</f>
        <v/>
      </c>
      <c r="Y136">
        <f>HYPERLINK("https://klasma.github.io/Logging_2085/kartor_geotiff/A 21499-2022 georefererad karta.tif", "A 21499-2022")</f>
        <v/>
      </c>
      <c r="AA136">
        <f>HYPERLINK("https://klasma.github.io/Logging_2085/klagomål/A 21499-2022 FSC-klagomål.docx", "A 21499-2022")</f>
        <v/>
      </c>
      <c r="AB136">
        <f>HYPERLINK("https://klasma.github.io/Logging_2085/klagomålsmail/A 21499-2022 FSC-klagomål mail.docx", "A 21499-2022")</f>
        <v/>
      </c>
      <c r="AC136">
        <f>HYPERLINK("https://klasma.github.io/Logging_2085/tillsyn/A 21499-2022 tillsynsbegäran.docx", "A 21499-2022")</f>
        <v/>
      </c>
      <c r="AD136">
        <f>HYPERLINK("https://klasma.github.io/Logging_2085/tillsynsmail/A 21499-2022 tillsynsbegäran mail.docx", "A 21499-2022")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46318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46318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46318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46318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46318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46318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46318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46318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44616</v>
      </c>
      <c r="E145" s="1" t="n">
        <v>46318</v>
      </c>
      <c r="F145" t="inlineStr">
        <is>
          <t>DALARNAS LÄN</t>
        </is>
      </c>
      <c r="G145" t="inlineStr">
        <is>
          <t>LUDVIKA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44706</v>
      </c>
      <c r="E146" s="1" t="n">
        <v>46318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33108-2022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44785</v>
      </c>
      <c r="E147" s="1" t="n">
        <v>46318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63267-2021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44508</v>
      </c>
      <c r="E148" s="1" t="n">
        <v>46318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46318</v>
      </c>
      <c r="F149" t="inlineStr">
        <is>
          <t>DALARNAS LÄN</t>
        </is>
      </c>
      <c r="G149" t="inlineStr">
        <is>
          <t>LUDVIKA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44715</v>
      </c>
      <c r="E150" s="1" t="n">
        <v>46318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45611</v>
      </c>
      <c r="E151" s="1" t="n">
        <v>46318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46318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44720</v>
      </c>
      <c r="E153" s="1" t="n">
        <v>46318</v>
      </c>
      <c r="F153" t="inlineStr">
        <is>
          <t>DALARNAS LÄN</t>
        </is>
      </c>
      <c r="G153" t="inlineStr">
        <is>
          <t>LUDVIKA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22000-2022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46318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74427-2021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46318</v>
      </c>
      <c r="F155" t="inlineStr">
        <is>
          <t>DALARNAS LÄN</t>
        </is>
      </c>
      <c r="G155" t="inlineStr">
        <is>
          <t>LUDVIKA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46318</v>
      </c>
      <c r="F156" t="inlineStr">
        <is>
          <t>DALARNAS LÄN</t>
        </is>
      </c>
      <c r="G156" t="inlineStr">
        <is>
          <t>LUDVIKA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44827</v>
      </c>
      <c r="E157" s="1" t="n">
        <v>46318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45062</v>
      </c>
      <c r="E158" s="1" t="n">
        <v>46318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13.6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44590</v>
      </c>
      <c r="E159" s="1" t="n">
        <v>46318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46318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46318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45616</v>
      </c>
      <c r="E162" s="1" t="n">
        <v>46318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45765</v>
      </c>
      <c r="E163" s="1" t="n">
        <v>46318</v>
      </c>
      <c r="F163" t="inlineStr">
        <is>
          <t>DALARNAS LÄN</t>
        </is>
      </c>
      <c r="G163" t="inlineStr">
        <is>
          <t>LUDVIKA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46318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46318</v>
      </c>
      <c r="F165" t="inlineStr">
        <is>
          <t>DALARNAS LÄN</t>
        </is>
      </c>
      <c r="G165" t="inlineStr">
        <is>
          <t>LUDVIKA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45740</v>
      </c>
      <c r="E166" s="1" t="n">
        <v>46318</v>
      </c>
      <c r="F166" t="inlineStr">
        <is>
          <t>DALARNAS LÄN</t>
        </is>
      </c>
      <c r="G166" t="inlineStr">
        <is>
          <t>LUDVIKA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46318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25235-2025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45800</v>
      </c>
      <c r="E168" s="1" t="n">
        <v>46318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45569</v>
      </c>
      <c r="E169" s="1" t="n">
        <v>46318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44841</v>
      </c>
      <c r="E170" s="1" t="n">
        <v>46318</v>
      </c>
      <c r="F170" t="inlineStr">
        <is>
          <t>DALARNAS LÄN</t>
        </is>
      </c>
      <c r="G170" t="inlineStr">
        <is>
          <t>LUDVIKA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46318</v>
      </c>
      <c r="F171" t="inlineStr">
        <is>
          <t>DALARNAS LÄN</t>
        </is>
      </c>
      <c r="G171" t="inlineStr">
        <is>
          <t>LUDVIKA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46318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26698-2025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45810</v>
      </c>
      <c r="E173" s="1" t="n">
        <v>46318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3277-2024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45317</v>
      </c>
      <c r="E174" s="1" t="n">
        <v>46318</v>
      </c>
      <c r="F174" t="inlineStr">
        <is>
          <t>DALARNAS LÄN</t>
        </is>
      </c>
      <c r="G174" t="inlineStr">
        <is>
          <t>LUDVIKA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26794-2025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45810</v>
      </c>
      <c r="E175" s="1" t="n">
        <v>46318</v>
      </c>
      <c r="F175" t="inlineStr">
        <is>
          <t>DALARNAS LÄN</t>
        </is>
      </c>
      <c r="G175" t="inlineStr">
        <is>
          <t>LUDVIKA</t>
        </is>
      </c>
      <c r="H175" t="inlineStr">
        <is>
          <t>Kommuner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26628-2025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45810</v>
      </c>
      <c r="E176" s="1" t="n">
        <v>46318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45569</v>
      </c>
      <c r="E177" s="1" t="n">
        <v>46318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49043-2024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45594</v>
      </c>
      <c r="E178" s="1" t="n">
        <v>46318</v>
      </c>
      <c r="F178" t="inlineStr">
        <is>
          <t>DALARNAS LÄN</t>
        </is>
      </c>
      <c r="G178" t="inlineStr">
        <is>
          <t>LUDVIKA</t>
        </is>
      </c>
      <c r="H178" t="inlineStr">
        <is>
          <t>Naturvårdsverket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70046-2021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44533</v>
      </c>
      <c r="E179" s="1" t="n">
        <v>46318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46318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45813</v>
      </c>
      <c r="E181" s="1" t="n">
        <v>46318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45813</v>
      </c>
      <c r="E182" s="1" t="n">
        <v>46318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46318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46318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46318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45572</v>
      </c>
      <c r="E186" s="1" t="n">
        <v>46318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46318</v>
      </c>
      <c r="F187" t="inlineStr">
        <is>
          <t>DALARNAS LÄN</t>
        </is>
      </c>
      <c r="G187" t="inlineStr">
        <is>
          <t>LUDVIKA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46318</v>
      </c>
      <c r="F188" t="inlineStr">
        <is>
          <t>DALARNAS LÄN</t>
        </is>
      </c>
      <c r="G188" t="inlineStr">
        <is>
          <t>LUDVIKA</t>
        </is>
      </c>
      <c r="H188" t="inlineStr">
        <is>
          <t>Övriga Aktiebolag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55485-2024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46318</v>
      </c>
      <c r="F189" t="inlineStr">
        <is>
          <t>DALARNAS LÄN</t>
        </is>
      </c>
      <c r="G189" t="inlineStr">
        <is>
          <t>LUDVIKA</t>
        </is>
      </c>
      <c r="H189" t="inlineStr">
        <is>
          <t>Naturvårdsverket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46318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46318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34845-2024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45526</v>
      </c>
      <c r="E192" s="1" t="n">
        <v>46318</v>
      </c>
      <c r="F192" t="inlineStr">
        <is>
          <t>DALARNAS LÄN</t>
        </is>
      </c>
      <c r="G192" t="inlineStr">
        <is>
          <t>LUDVIKA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44730</v>
      </c>
      <c r="E193" s="1" t="n">
        <v>46318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46318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46318</v>
      </c>
      <c r="F195" t="inlineStr">
        <is>
          <t>DALARNAS LÄN</t>
        </is>
      </c>
      <c r="G195" t="inlineStr">
        <is>
          <t>LUDVIKA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46318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45687</v>
      </c>
      <c r="E197" s="1" t="n">
        <v>46318</v>
      </c>
      <c r="F197" t="inlineStr">
        <is>
          <t>DALARNAS LÄN</t>
        </is>
      </c>
      <c r="G197" t="inlineStr">
        <is>
          <t>LUDVIKA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45824</v>
      </c>
      <c r="E198" s="1" t="n">
        <v>46318</v>
      </c>
      <c r="F198" t="inlineStr">
        <is>
          <t>DALARNAS LÄN</t>
        </is>
      </c>
      <c r="G198" t="inlineStr">
        <is>
          <t>LUDVIKA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46318</v>
      </c>
      <c r="F199" t="inlineStr">
        <is>
          <t>DALARNAS LÄN</t>
        </is>
      </c>
      <c r="G199" t="inlineStr">
        <is>
          <t>LUDVIKA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46318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46318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46318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46318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46318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46318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46318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46318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46318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45485</v>
      </c>
      <c r="E209" s="1" t="n">
        <v>46318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46318</v>
      </c>
      <c r="F210" t="inlineStr">
        <is>
          <t>DALARNAS LÄN</t>
        </is>
      </c>
      <c r="G210" t="inlineStr">
        <is>
          <t>LUDVIKA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46318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45603</v>
      </c>
      <c r="E212" s="1" t="n">
        <v>46318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17.9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46318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46318</v>
      </c>
      <c r="F214" t="inlineStr">
        <is>
          <t>DALARNAS LÄN</t>
        </is>
      </c>
      <c r="G214" t="inlineStr">
        <is>
          <t>LUDVIKA</t>
        </is>
      </c>
      <c r="I214" t="n">
        <v>13.1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46318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46318</v>
      </c>
      <c r="F216" t="inlineStr">
        <is>
          <t>DALARNAS LÄN</t>
        </is>
      </c>
      <c r="G216" t="inlineStr">
        <is>
          <t>LUDVIKA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46318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46318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34067-2025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45845</v>
      </c>
      <c r="E219" s="1" t="n">
        <v>46318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46318</v>
      </c>
      <c r="F220" t="inlineStr">
        <is>
          <t>DALARNAS LÄN</t>
        </is>
      </c>
      <c r="G220" t="inlineStr">
        <is>
          <t>LUDVIKA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44844</v>
      </c>
      <c r="E221" s="1" t="n">
        <v>46318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45502</v>
      </c>
      <c r="E222" s="1" t="n">
        <v>46318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45512</v>
      </c>
      <c r="E223" s="1" t="n">
        <v>46318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8703-2023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44978</v>
      </c>
      <c r="E224" s="1" t="n">
        <v>46318</v>
      </c>
      <c r="F224" t="inlineStr">
        <is>
          <t>DALARNAS LÄN</t>
        </is>
      </c>
      <c r="G224" t="inlineStr">
        <is>
          <t>LUDVIKA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41269-2025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46318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46318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34455-2024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45525</v>
      </c>
      <c r="E227" s="1" t="n">
        <v>46318</v>
      </c>
      <c r="F227" t="inlineStr">
        <is>
          <t>DALARNAS LÄN</t>
        </is>
      </c>
      <c r="G227" t="inlineStr">
        <is>
          <t>LUDVIKA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46318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46318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46318</v>
      </c>
      <c r="F230" t="inlineStr">
        <is>
          <t>DALARNAS LÄN</t>
        </is>
      </c>
      <c r="G230" t="inlineStr">
        <is>
          <t>LUDVIKA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46318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45825</v>
      </c>
      <c r="E232" s="1" t="n">
        <v>46318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45902</v>
      </c>
      <c r="E233" s="1" t="n">
        <v>46318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46318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46318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36338-2025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45868</v>
      </c>
      <c r="E236" s="1" t="n">
        <v>46318</v>
      </c>
      <c r="F236" t="inlineStr">
        <is>
          <t>DALARNAS LÄN</t>
        </is>
      </c>
      <c r="G236" t="inlineStr">
        <is>
          <t>LUDVIKA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32329-2024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45512</v>
      </c>
      <c r="E237" s="1" t="n">
        <v>46318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46318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46318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46318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46318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46318</v>
      </c>
      <c r="F242" t="inlineStr">
        <is>
          <t>DALARNAS LÄN</t>
        </is>
      </c>
      <c r="G242" t="inlineStr">
        <is>
          <t>LUDVIKA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46318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17677-2022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44680</v>
      </c>
      <c r="E244" s="1" t="n">
        <v>46318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46318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46318</v>
      </c>
      <c r="F246" t="inlineStr">
        <is>
          <t>DALARNAS LÄN</t>
        </is>
      </c>
      <c r="G246" t="inlineStr">
        <is>
          <t>LUDVIKA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45869</v>
      </c>
      <c r="E247" s="1" t="n">
        <v>46318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46318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46318</v>
      </c>
      <c r="F249" t="inlineStr">
        <is>
          <t>DALARNAS LÄN</t>
        </is>
      </c>
      <c r="G249" t="inlineStr">
        <is>
          <t>LUDVIKA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43055-2024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45567</v>
      </c>
      <c r="E250" s="1" t="n">
        <v>46318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46318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16768-2025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46318</v>
      </c>
      <c r="F252" t="inlineStr">
        <is>
          <t>DALARNAS LÄN</t>
        </is>
      </c>
      <c r="G252" t="inlineStr">
        <is>
          <t>LUDVIKA</t>
        </is>
      </c>
      <c r="H252" t="inlineStr">
        <is>
          <t>Naturvårdsverket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44599</v>
      </c>
      <c r="E253" s="1" t="n">
        <v>46318</v>
      </c>
      <c r="F253" t="inlineStr">
        <is>
          <t>DALARNAS LÄN</t>
        </is>
      </c>
      <c r="G253" t="inlineStr">
        <is>
          <t>LUDVIKA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46318</v>
      </c>
      <c r="F254" t="inlineStr">
        <is>
          <t>DALARNAS LÄN</t>
        </is>
      </c>
      <c r="G254" t="inlineStr">
        <is>
          <t>LUDVIKA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46318</v>
      </c>
      <c r="F255" t="inlineStr">
        <is>
          <t>DALARNAS LÄN</t>
        </is>
      </c>
      <c r="G255" t="inlineStr">
        <is>
          <t>LUDVIKA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44261-2025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46318</v>
      </c>
      <c r="F256" t="inlineStr">
        <is>
          <t>DALARNAS LÄN</t>
        </is>
      </c>
      <c r="G256" t="inlineStr">
        <is>
          <t>LUDVIKA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46318</v>
      </c>
      <c r="F257" t="inlineStr">
        <is>
          <t>DALARNAS LÄN</t>
        </is>
      </c>
      <c r="G257" t="inlineStr">
        <is>
          <t>LUDVIKA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46318</v>
      </c>
      <c r="F258" t="inlineStr">
        <is>
          <t>DALARNAS LÄN</t>
        </is>
      </c>
      <c r="G258" t="inlineStr">
        <is>
          <t>LUDVIKA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46318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45244</v>
      </c>
      <c r="E260" s="1" t="n">
        <v>46318</v>
      </c>
      <c r="F260" t="inlineStr">
        <is>
          <t>DALARNAS LÄN</t>
        </is>
      </c>
      <c r="G260" t="inlineStr">
        <is>
          <t>LUDVIKA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46318</v>
      </c>
      <c r="F261" t="inlineStr">
        <is>
          <t>DALARNAS LÄN</t>
        </is>
      </c>
      <c r="G261" t="inlineStr">
        <is>
          <t>LUDVIKA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46318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46318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46318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46318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46318</v>
      </c>
      <c r="F266" t="inlineStr">
        <is>
          <t>DALARNAS LÄN</t>
        </is>
      </c>
      <c r="G266" t="inlineStr">
        <is>
          <t>LUDVIKA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46318</v>
      </c>
      <c r="F267" t="inlineStr">
        <is>
          <t>DALARNAS LÄN</t>
        </is>
      </c>
      <c r="G267" t="inlineStr">
        <is>
          <t>LUDVIKA</t>
        </is>
      </c>
      <c r="H267" t="inlineStr">
        <is>
          <t>Naturvårdsverket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46318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46318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46318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46318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53620-2022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44879</v>
      </c>
      <c r="E272" s="1" t="n">
        <v>46318</v>
      </c>
      <c r="F272" t="inlineStr">
        <is>
          <t>DALARNAS LÄN</t>
        </is>
      </c>
      <c r="G272" t="inlineStr">
        <is>
          <t>LUDVIKA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46318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46318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46318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32224-2025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45835</v>
      </c>
      <c r="E276" s="1" t="n">
        <v>46318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45631</v>
      </c>
      <c r="E277" s="1" t="n">
        <v>46318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45519</v>
      </c>
      <c r="E278" s="1" t="n">
        <v>46318</v>
      </c>
      <c r="F278" t="inlineStr">
        <is>
          <t>DALARNAS LÄN</t>
        </is>
      </c>
      <c r="G278" t="inlineStr">
        <is>
          <t>LUDVIKA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44819</v>
      </c>
      <c r="E279" s="1" t="n">
        <v>46318</v>
      </c>
      <c r="F279" t="inlineStr">
        <is>
          <t>DALARNAS LÄN</t>
        </is>
      </c>
      <c r="G279" t="inlineStr">
        <is>
          <t>LUDVIKA</t>
        </is>
      </c>
      <c r="H279" t="inlineStr">
        <is>
          <t>Naturvårdsverket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55151-2025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45968</v>
      </c>
      <c r="E280" s="1" t="n">
        <v>46318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46318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46318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46318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45531</v>
      </c>
      <c r="E284" s="1" t="n">
        <v>46318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46318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46318</v>
      </c>
      <c r="F286" t="inlineStr">
        <is>
          <t>DALARNAS LÄN</t>
        </is>
      </c>
      <c r="G286" t="inlineStr">
        <is>
          <t>LUDVIKA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46318</v>
      </c>
      <c r="F287" t="inlineStr">
        <is>
          <t>DALARNAS LÄN</t>
        </is>
      </c>
      <c r="G287" t="inlineStr">
        <is>
          <t>LUDVIKA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46318</v>
      </c>
      <c r="F288" t="inlineStr">
        <is>
          <t>DALARNAS LÄN</t>
        </is>
      </c>
      <c r="G288" t="inlineStr">
        <is>
          <t>LUDVIKA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45062</v>
      </c>
      <c r="E289" s="1" t="n">
        <v>46318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45404</v>
      </c>
      <c r="E290" s="1" t="n">
        <v>46318</v>
      </c>
      <c r="F290" t="inlineStr">
        <is>
          <t>DALARNAS LÄN</t>
        </is>
      </c>
      <c r="G290" t="inlineStr">
        <is>
          <t>LUDVIKA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41400-2022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44826</v>
      </c>
      <c r="E291" s="1" t="n">
        <v>46318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46318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46318</v>
      </c>
      <c r="F293" t="inlineStr">
        <is>
          <t>DALARNAS LÄN</t>
        </is>
      </c>
      <c r="G293" t="inlineStr">
        <is>
          <t>LUDVIKA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45860</v>
      </c>
      <c r="E294" s="1" t="n">
        <v>46318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46318</v>
      </c>
      <c r="F295" t="inlineStr">
        <is>
          <t>DALARNAS LÄN</t>
        </is>
      </c>
      <c r="G295" t="inlineStr">
        <is>
          <t>LUDVIKA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45849</v>
      </c>
      <c r="E296" s="1" t="n">
        <v>46318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46318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46318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25.7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46318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46318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46318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45954</v>
      </c>
      <c r="E302" s="1" t="n">
        <v>46318</v>
      </c>
      <c r="F302" t="inlineStr">
        <is>
          <t>DALARNAS LÄN</t>
        </is>
      </c>
      <c r="G302" t="inlineStr">
        <is>
          <t>LUDVIKA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46318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46318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52556-2025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46318</v>
      </c>
      <c r="F305" t="inlineStr">
        <is>
          <t>DALARNAS LÄN</t>
        </is>
      </c>
      <c r="G305" t="inlineStr">
        <is>
          <t>LUDVIKA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46318</v>
      </c>
      <c r="F306" t="inlineStr">
        <is>
          <t>DALARNAS LÄN</t>
        </is>
      </c>
      <c r="G306" t="inlineStr">
        <is>
          <t>LUDVIKA</t>
        </is>
      </c>
      <c r="H306" t="inlineStr">
        <is>
          <t>Övriga Aktiebolag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46318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46318</v>
      </c>
      <c r="F308" t="inlineStr">
        <is>
          <t>DALARNAS LÄN</t>
        </is>
      </c>
      <c r="G308" t="inlineStr">
        <is>
          <t>LUDVIKA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45156</v>
      </c>
      <c r="E309" s="1" t="n">
        <v>46318</v>
      </c>
      <c r="F309" t="inlineStr">
        <is>
          <t>DALARNAS LÄN</t>
        </is>
      </c>
      <c r="G309" t="inlineStr">
        <is>
          <t>LUDVIKA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46318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46318</v>
      </c>
      <c r="F311" t="inlineStr">
        <is>
          <t>DALARNAS LÄN</t>
        </is>
      </c>
      <c r="G311" t="inlineStr">
        <is>
          <t>LUDVIKA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46318</v>
      </c>
      <c r="F312" t="inlineStr">
        <is>
          <t>DALARNAS LÄN</t>
        </is>
      </c>
      <c r="G312" t="inlineStr">
        <is>
          <t>LUDVIKA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34070-2025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46318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46318</v>
      </c>
      <c r="F314" t="inlineStr">
        <is>
          <t>DALARNAS LÄN</t>
        </is>
      </c>
      <c r="G314" t="inlineStr">
        <is>
          <t>LUDVIKA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46318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11436-2024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45372</v>
      </c>
      <c r="E316" s="1" t="n">
        <v>46318</v>
      </c>
      <c r="F316" t="inlineStr">
        <is>
          <t>DALARNAS LÄN</t>
        </is>
      </c>
      <c r="G316" t="inlineStr">
        <is>
          <t>LUDVIKA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46318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46318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46318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46029-2025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46318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54341-2025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45965</v>
      </c>
      <c r="E321" s="1" t="n">
        <v>46318</v>
      </c>
      <c r="F321" t="inlineStr">
        <is>
          <t>DALARNAS LÄN</t>
        </is>
      </c>
      <c r="G321" t="inlineStr">
        <is>
          <t>LUDVIKA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25296-2022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44730</v>
      </c>
      <c r="E322" s="1" t="n">
        <v>46318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23103-2024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45450</v>
      </c>
      <c r="E323" s="1" t="n">
        <v>46318</v>
      </c>
      <c r="F323" t="inlineStr">
        <is>
          <t>DALARNAS LÄN</t>
        </is>
      </c>
      <c r="G323" t="inlineStr">
        <is>
          <t>LUDVIKA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31702-2023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45105</v>
      </c>
      <c r="E324" s="1" t="n">
        <v>46318</v>
      </c>
      <c r="F324" t="inlineStr">
        <is>
          <t>DALARNAS LÄN</t>
        </is>
      </c>
      <c r="G324" t="inlineStr">
        <is>
          <t>LUDVIKA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46318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46318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45963</v>
      </c>
      <c r="E327" s="1" t="n">
        <v>46318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44820</v>
      </c>
      <c r="E328" s="1" t="n">
        <v>46318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40151-2022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44820</v>
      </c>
      <c r="E329" s="1" t="n">
        <v>46318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21741-2022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44708</v>
      </c>
      <c r="E330" s="1" t="n">
        <v>46318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46318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45891</v>
      </c>
      <c r="E332" s="1" t="n">
        <v>46318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45966</v>
      </c>
      <c r="E333" s="1" t="n">
        <v>46318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57193-2022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44895</v>
      </c>
      <c r="E334" s="1" t="n">
        <v>46318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45904</v>
      </c>
      <c r="E335" s="1" t="n">
        <v>46318</v>
      </c>
      <c r="F335" t="inlineStr">
        <is>
          <t>DALARNAS LÄN</t>
        </is>
      </c>
      <c r="G335" t="inlineStr">
        <is>
          <t>LUDVIKA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45581</v>
      </c>
      <c r="E336" s="1" t="n">
        <v>46318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46318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46318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20778-2026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46318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51015-2023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45218</v>
      </c>
      <c r="E340" s="1" t="n">
        <v>46318</v>
      </c>
      <c r="F340" t="inlineStr">
        <is>
          <t>DALARNAS LÄN</t>
        </is>
      </c>
      <c r="G340" t="inlineStr">
        <is>
          <t>LUDVIKA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55211-2025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45968</v>
      </c>
      <c r="E341" s="1" t="n">
        <v>46318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46318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55426-2025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46318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46318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46318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46318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46318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55646-2025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46318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46318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46318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46318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8728-2026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46066</v>
      </c>
      <c r="E352" s="1" t="n">
        <v>46318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46318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56155-2025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46318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46318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46318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46318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46318</v>
      </c>
      <c r="F358" t="inlineStr">
        <is>
          <t>DALARNAS LÄN</t>
        </is>
      </c>
      <c r="G358" t="inlineStr">
        <is>
          <t>LUDVIKA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48740-2022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44859</v>
      </c>
      <c r="E359" s="1" t="n">
        <v>46318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45560</v>
      </c>
      <c r="E360" s="1" t="n">
        <v>46318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33345-2024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45519</v>
      </c>
      <c r="E361" s="1" t="n">
        <v>46318</v>
      </c>
      <c r="F361" t="inlineStr">
        <is>
          <t>DALARNAS LÄN</t>
        </is>
      </c>
      <c r="G361" t="inlineStr">
        <is>
          <t>LUDVIKA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46318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46318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3280-2024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45317</v>
      </c>
      <c r="E364" s="1" t="n">
        <v>46318</v>
      </c>
      <c r="F364" t="inlineStr">
        <is>
          <t>DALARNAS LÄN</t>
        </is>
      </c>
      <c r="G364" t="inlineStr">
        <is>
          <t>LUDVIKA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3470-2025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45680</v>
      </c>
      <c r="E365" s="1" t="n">
        <v>46318</v>
      </c>
      <c r="F365" t="inlineStr">
        <is>
          <t>DALARNAS LÄN</t>
        </is>
      </c>
      <c r="G365" t="inlineStr">
        <is>
          <t>LUDVIKA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11237-2024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45371</v>
      </c>
      <c r="E366" s="1" t="n">
        <v>46318</v>
      </c>
      <c r="F366" t="inlineStr">
        <is>
          <t>DALARNAS LÄN</t>
        </is>
      </c>
      <c r="G366" t="inlineStr">
        <is>
          <t>LUDVIKA</t>
        </is>
      </c>
      <c r="I366" t="n">
        <v>20.8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46318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48288-2023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45205</v>
      </c>
      <c r="E368" s="1" t="n">
        <v>46318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46318</v>
      </c>
      <c r="F369" t="inlineStr">
        <is>
          <t>DALARNAS LÄN</t>
        </is>
      </c>
      <c r="G369" t="inlineStr">
        <is>
          <t>LUDVIKA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46318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21872-2026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46150</v>
      </c>
      <c r="E371" s="1" t="n">
        <v>46318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2838-2022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44581</v>
      </c>
      <c r="E372" s="1" t="n">
        <v>46318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51029-2024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45603</v>
      </c>
      <c r="E373" s="1" t="n">
        <v>46318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45909</v>
      </c>
      <c r="E374" s="1" t="n">
        <v>46318</v>
      </c>
      <c r="F374" t="inlineStr">
        <is>
          <t>DALARNAS LÄN</t>
        </is>
      </c>
      <c r="G374" t="inlineStr">
        <is>
          <t>LUDVIKA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46318</v>
      </c>
      <c r="F375" t="inlineStr">
        <is>
          <t>DALARNAS LÄN</t>
        </is>
      </c>
      <c r="G375" t="inlineStr">
        <is>
          <t>LUDVIKA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59171-2025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46318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47086-2025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45929</v>
      </c>
      <c r="E377" s="1" t="n">
        <v>46318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40125-2024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45554</v>
      </c>
      <c r="E378" s="1" t="n">
        <v>46318</v>
      </c>
      <c r="F378" t="inlineStr">
        <is>
          <t>DALARNAS LÄN</t>
        </is>
      </c>
      <c r="G378" t="inlineStr">
        <is>
          <t>LUDVIKA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45253</v>
      </c>
      <c r="E379" s="1" t="n">
        <v>46318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46318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46318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46318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46318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59444-2025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46318</v>
      </c>
      <c r="F384" t="inlineStr">
        <is>
          <t>DALARNAS LÄN</t>
        </is>
      </c>
      <c r="G384" t="inlineStr">
        <is>
          <t>LUDVIKA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59435-2025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46318</v>
      </c>
      <c r="F385" t="inlineStr">
        <is>
          <t>DALARNAS LÄN</t>
        </is>
      </c>
      <c r="G385" t="inlineStr">
        <is>
          <t>LUDVIKA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59530-2025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46318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46318</v>
      </c>
      <c r="F387" t="inlineStr">
        <is>
          <t>DALARNAS LÄN</t>
        </is>
      </c>
      <c r="G387" t="inlineStr">
        <is>
          <t>LUDVIKA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25273-2022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44729</v>
      </c>
      <c r="E388" s="1" t="n">
        <v>46318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46155</v>
      </c>
      <c r="E389" s="1" t="n">
        <v>46318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55972-2025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46318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46318</v>
      </c>
      <c r="F391" t="inlineStr">
        <is>
          <t>DALARNAS LÄN</t>
        </is>
      </c>
      <c r="G391" t="inlineStr">
        <is>
          <t>LUDVIKA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46318</v>
      </c>
      <c r="F392" t="inlineStr">
        <is>
          <t>DALARNAS LÄN</t>
        </is>
      </c>
      <c r="G392" t="inlineStr">
        <is>
          <t>LUDVIKA</t>
        </is>
      </c>
      <c r="H392" t="inlineStr">
        <is>
          <t>Naturvårdsverket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46318</v>
      </c>
      <c r="F393" t="inlineStr">
        <is>
          <t>DALARNAS LÄN</t>
        </is>
      </c>
      <c r="G393" t="inlineStr">
        <is>
          <t>LUDVIKA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46318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60452-2025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45995</v>
      </c>
      <c r="E395" s="1" t="n">
        <v>46318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22464-2026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46318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9.800000000000001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21002-2026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46318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8.9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45679</v>
      </c>
      <c r="E398" s="1" t="n">
        <v>46318</v>
      </c>
      <c r="F398" t="inlineStr">
        <is>
          <t>DALARNAS LÄN</t>
        </is>
      </c>
      <c r="G398" t="inlineStr">
        <is>
          <t>LUDVIKA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46113</v>
      </c>
      <c r="E399" s="1" t="n">
        <v>46318</v>
      </c>
      <c r="F399" t="inlineStr">
        <is>
          <t>DALARNAS LÄN</t>
        </is>
      </c>
      <c r="G399" t="inlineStr">
        <is>
          <t>LUDVIKA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46155</v>
      </c>
      <c r="E400" s="1" t="n">
        <v>46318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46001</v>
      </c>
      <c r="E401" s="1" t="n">
        <v>46318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46318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22830-2026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46160</v>
      </c>
      <c r="E403" s="1" t="n">
        <v>46318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44967</v>
      </c>
      <c r="E404" s="1" t="n">
        <v>46318</v>
      </c>
      <c r="F404" t="inlineStr">
        <is>
          <t>DALARNAS LÄN</t>
        </is>
      </c>
      <c r="G404" t="inlineStr">
        <is>
          <t>LUDVIKA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46318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46318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46318</v>
      </c>
      <c r="F407" t="inlineStr">
        <is>
          <t>DALARNAS LÄN</t>
        </is>
      </c>
      <c r="G407" t="inlineStr">
        <is>
          <t>LUDVIKA</t>
        </is>
      </c>
      <c r="H407" t="inlineStr">
        <is>
          <t>Naturvårdsverket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46007</v>
      </c>
      <c r="E408" s="1" t="n">
        <v>46318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46318</v>
      </c>
      <c r="F409" t="inlineStr">
        <is>
          <t>DALARNAS LÄN</t>
        </is>
      </c>
      <c r="G409" t="inlineStr">
        <is>
          <t>LUDVIKA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46318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46318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46318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62945-2025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46009</v>
      </c>
      <c r="E413" s="1" t="n">
        <v>46318</v>
      </c>
      <c r="F413" t="inlineStr">
        <is>
          <t>DALARNAS LÄN</t>
        </is>
      </c>
      <c r="G413" t="inlineStr">
        <is>
          <t>LUDVIKA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62845-2025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46318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46318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62838-2025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46318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62824-2025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46318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62842-2025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46318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46008</v>
      </c>
      <c r="E419" s="1" t="n">
        <v>46318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46318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37586-2024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46318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46318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55551-2024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46318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29535-2023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46318</v>
      </c>
      <c r="F424" t="inlineStr">
        <is>
          <t>DALARNAS LÄN</t>
        </is>
      </c>
      <c r="G424" t="inlineStr">
        <is>
          <t>LUDVIKA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46318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23097-2025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45791</v>
      </c>
      <c r="E426" s="1" t="n">
        <v>46318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30844-2024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45497</v>
      </c>
      <c r="E427" s="1" t="n">
        <v>46318</v>
      </c>
      <c r="F427" t="inlineStr">
        <is>
          <t>DALARNAS LÄN</t>
        </is>
      </c>
      <c r="G427" t="inlineStr">
        <is>
          <t>LUDVIKA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20411-2023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45056</v>
      </c>
      <c r="E428" s="1" t="n">
        <v>46318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45638</v>
      </c>
      <c r="E429" s="1" t="n">
        <v>46318</v>
      </c>
      <c r="F429" t="inlineStr">
        <is>
          <t>DALARNAS LÄN</t>
        </is>
      </c>
      <c r="G429" t="inlineStr">
        <is>
          <t>LUDVIKA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16807-2025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45754</v>
      </c>
      <c r="E430" s="1" t="n">
        <v>46318</v>
      </c>
      <c r="F430" t="inlineStr">
        <is>
          <t>DALARNAS LÄN</t>
        </is>
      </c>
      <c r="G430" t="inlineStr">
        <is>
          <t>LUDVIKA</t>
        </is>
      </c>
      <c r="H430" t="inlineStr">
        <is>
          <t>Naturvårdsverket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46318</v>
      </c>
      <c r="F431" t="inlineStr">
        <is>
          <t>DALARNAS LÄN</t>
        </is>
      </c>
      <c r="G431" t="inlineStr">
        <is>
          <t>LUDVIKA</t>
        </is>
      </c>
      <c r="H431" t="inlineStr">
        <is>
          <t>Övriga Aktiebolag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46038</v>
      </c>
      <c r="E432" s="1" t="n">
        <v>46318</v>
      </c>
      <c r="F432" t="inlineStr">
        <is>
          <t>DALARNAS LÄN</t>
        </is>
      </c>
      <c r="G432" t="inlineStr">
        <is>
          <t>LUDVIKA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45833</v>
      </c>
      <c r="E433" s="1" t="n">
        <v>46318</v>
      </c>
      <c r="F433" t="inlineStr">
        <is>
          <t>DALARNAS LÄN</t>
        </is>
      </c>
      <c r="G433" t="inlineStr">
        <is>
          <t>LUDVIKA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46318</v>
      </c>
      <c r="F434" t="inlineStr">
        <is>
          <t>DALARNAS LÄN</t>
        </is>
      </c>
      <c r="G434" t="inlineStr">
        <is>
          <t>LUDVIKA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38170-2023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46318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50777-2024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46318</v>
      </c>
      <c r="F436" t="inlineStr">
        <is>
          <t>DALARNAS LÄN</t>
        </is>
      </c>
      <c r="G436" t="inlineStr">
        <is>
          <t>LUDVIKA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41668-2023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45176</v>
      </c>
      <c r="E437" s="1" t="n">
        <v>46318</v>
      </c>
      <c r="F437" t="inlineStr">
        <is>
          <t>DALARNAS LÄN</t>
        </is>
      </c>
      <c r="G437" t="inlineStr">
        <is>
          <t>LUDVIKA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46318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46318</v>
      </c>
      <c r="F439" t="inlineStr">
        <is>
          <t>DALARNAS LÄN</t>
        </is>
      </c>
      <c r="G439" t="inlineStr">
        <is>
          <t>LUDVIKA</t>
        </is>
      </c>
      <c r="H439" t="inlineStr">
        <is>
          <t>Naturvårdsverket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46318</v>
      </c>
      <c r="F440" t="inlineStr">
        <is>
          <t>DALARNAS LÄN</t>
        </is>
      </c>
      <c r="G440" t="inlineStr">
        <is>
          <t>LUDVIKA</t>
        </is>
      </c>
      <c r="H440" t="inlineStr">
        <is>
          <t>Naturvårdsverket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55510-2024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45622</v>
      </c>
      <c r="E441" s="1" t="n">
        <v>46318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46318</v>
      </c>
      <c r="F442" t="inlineStr">
        <is>
          <t>DALARNAS LÄN</t>
        </is>
      </c>
      <c r="G442" t="inlineStr">
        <is>
          <t>LUDVIKA</t>
        </is>
      </c>
      <c r="H442" t="inlineStr">
        <is>
          <t>Naturvårdsverket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45687</v>
      </c>
      <c r="E443" s="1" t="n">
        <v>46318</v>
      </c>
      <c r="F443" t="inlineStr">
        <is>
          <t>DALARNAS LÄN</t>
        </is>
      </c>
      <c r="G443" t="inlineStr">
        <is>
          <t>LUDVIKA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45762</v>
      </c>
      <c r="E444" s="1" t="n">
        <v>46318</v>
      </c>
      <c r="F444" t="inlineStr">
        <is>
          <t>DALARNAS LÄN</t>
        </is>
      </c>
      <c r="G444" t="inlineStr">
        <is>
          <t>LUDVIKA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50714-2024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45602</v>
      </c>
      <c r="E445" s="1" t="n">
        <v>46318</v>
      </c>
      <c r="F445" t="inlineStr">
        <is>
          <t>DALARNAS LÄN</t>
        </is>
      </c>
      <c r="G445" t="inlineStr">
        <is>
          <t>LUDVIKA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46171</v>
      </c>
      <c r="E446" s="1" t="n">
        <v>46318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23515-2026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46163</v>
      </c>
      <c r="E447" s="1" t="n">
        <v>46318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24678-2026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46171</v>
      </c>
      <c r="E448" s="1" t="n">
        <v>46318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61799-2025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46002</v>
      </c>
      <c r="E449" s="1" t="n">
        <v>46318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46318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46171</v>
      </c>
      <c r="E451" s="1" t="n">
        <v>46318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46318</v>
      </c>
      <c r="F452" t="inlineStr">
        <is>
          <t>DALARNAS LÄN</t>
        </is>
      </c>
      <c r="G452" t="inlineStr">
        <is>
          <t>LUDVIKA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46318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46171</v>
      </c>
      <c r="E454" s="1" t="n">
        <v>46318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46318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45622</v>
      </c>
      <c r="E456" s="1" t="n">
        <v>46318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45646</v>
      </c>
      <c r="E457" s="1" t="n">
        <v>46318</v>
      </c>
      <c r="F457" t="inlineStr">
        <is>
          <t>DALARNAS LÄN</t>
        </is>
      </c>
      <c r="G457" t="inlineStr">
        <is>
          <t>LUDVIKA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53981-2025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45961</v>
      </c>
      <c r="E458" s="1" t="n">
        <v>46318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53979-2025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45961</v>
      </c>
      <c r="E459" s="1" t="n">
        <v>46318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46318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49166-2025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45938</v>
      </c>
      <c r="E461" s="1" t="n">
        <v>46318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23617-2026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46163</v>
      </c>
      <c r="E462" s="1" t="n">
        <v>46318</v>
      </c>
      <c r="F462" t="inlineStr">
        <is>
          <t>DALARNAS LÄN</t>
        </is>
      </c>
      <c r="G462" t="inlineStr">
        <is>
          <t>LUDVIKA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45545</v>
      </c>
      <c r="E463" s="1" t="n">
        <v>46318</v>
      </c>
      <c r="F463" t="inlineStr">
        <is>
          <t>DALARNAS LÄN</t>
        </is>
      </c>
      <c r="G463" t="inlineStr">
        <is>
          <t>LUDVIKA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21893-2025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45784</v>
      </c>
      <c r="E464" s="1" t="n">
        <v>46318</v>
      </c>
      <c r="F464" t="inlineStr">
        <is>
          <t>DALARNAS LÄN</t>
        </is>
      </c>
      <c r="G464" t="inlineStr">
        <is>
          <t>LUDVIKA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45625</v>
      </c>
      <c r="E465" s="1" t="n">
        <v>46318</v>
      </c>
      <c r="F465" t="inlineStr">
        <is>
          <t>DALARNAS LÄN</t>
        </is>
      </c>
      <c r="G465" t="inlineStr">
        <is>
          <t>LUDVIKA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45565</v>
      </c>
      <c r="E466" s="1" t="n">
        <v>46318</v>
      </c>
      <c r="F466" t="inlineStr">
        <is>
          <t>DALARNAS LÄN</t>
        </is>
      </c>
      <c r="G466" t="inlineStr">
        <is>
          <t>LUDVIKA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48522-2023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45208</v>
      </c>
      <c r="E467" s="1" t="n">
        <v>46318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53602-2023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45230</v>
      </c>
      <c r="E468" s="1" t="n">
        <v>46318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48589-2023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45208</v>
      </c>
      <c r="E469" s="1" t="n">
        <v>46318</v>
      </c>
      <c r="F469" t="inlineStr">
        <is>
          <t>DALARNAS LÄN</t>
        </is>
      </c>
      <c r="G469" t="inlineStr">
        <is>
          <t>LUDVIKA</t>
        </is>
      </c>
      <c r="H469" t="inlineStr">
        <is>
          <t>Naturvårdsverket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52359-2024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45609</v>
      </c>
      <c r="E470" s="1" t="n">
        <v>46318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21891-2025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45784</v>
      </c>
      <c r="E471" s="1" t="n">
        <v>46318</v>
      </c>
      <c r="F471" t="inlineStr">
        <is>
          <t>DALARNAS LÄN</t>
        </is>
      </c>
      <c r="G471" t="inlineStr">
        <is>
          <t>LUDVIKA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48715-2022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44859</v>
      </c>
      <c r="E472" s="1" t="n">
        <v>46318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33914-2023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45134</v>
      </c>
      <c r="E473" s="1" t="n">
        <v>46318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45559-2024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45579</v>
      </c>
      <c r="E474" s="1" t="n">
        <v>46318</v>
      </c>
      <c r="F474" t="inlineStr">
        <is>
          <t>DALARNAS LÄN</t>
        </is>
      </c>
      <c r="G474" t="inlineStr">
        <is>
          <t>LUDVIKA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45224</v>
      </c>
      <c r="E475" s="1" t="n">
        <v>46318</v>
      </c>
      <c r="F475" t="inlineStr">
        <is>
          <t>DALARNAS LÄN</t>
        </is>
      </c>
      <c r="G475" t="inlineStr">
        <is>
          <t>LUDVIKA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45831</v>
      </c>
      <c r="E476" s="1" t="n">
        <v>46318</v>
      </c>
      <c r="F476" t="inlineStr">
        <is>
          <t>DALARNAS LÄN</t>
        </is>
      </c>
      <c r="G476" t="inlineStr">
        <is>
          <t>LUDVIKA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46095-2024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45581</v>
      </c>
      <c r="E477" s="1" t="n">
        <v>46318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41539-2024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46318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45789</v>
      </c>
      <c r="E479" s="1" t="n">
        <v>46318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45789</v>
      </c>
      <c r="E480" s="1" t="n">
        <v>46318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22610-2025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45789</v>
      </c>
      <c r="E481" s="1" t="n">
        <v>46318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46093-2024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45581</v>
      </c>
      <c r="E482" s="1" t="n">
        <v>46318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46107-2024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45581</v>
      </c>
      <c r="E483" s="1" t="n">
        <v>46318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62368-2025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46318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46183</v>
      </c>
      <c r="E485" s="1" t="n">
        <v>46318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50240-2024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45600</v>
      </c>
      <c r="E486" s="1" t="n">
        <v>46318</v>
      </c>
      <c r="F486" t="inlineStr">
        <is>
          <t>DALARNAS LÄN</t>
        </is>
      </c>
      <c r="G486" t="inlineStr">
        <is>
          <t>LUDVIKA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43702-2024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45569</v>
      </c>
      <c r="E487" s="1" t="n">
        <v>46318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46318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46318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45460</v>
      </c>
      <c r="E490" s="1" t="n">
        <v>46318</v>
      </c>
      <c r="F490" t="inlineStr">
        <is>
          <t>DALARNAS LÄN</t>
        </is>
      </c>
      <c r="G490" t="inlineStr">
        <is>
          <t>LUDVIKA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22599-2025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45789</v>
      </c>
      <c r="E491" s="1" t="n">
        <v>46318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23088-2025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46318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46318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45524</v>
      </c>
      <c r="E494" s="1" t="n">
        <v>46318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36066-2024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45533</v>
      </c>
      <c r="E495" s="1" t="n">
        <v>46318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45586</v>
      </c>
      <c r="E496" s="1" t="n">
        <v>46318</v>
      </c>
      <c r="F496" t="inlineStr">
        <is>
          <t>DALARNAS LÄN</t>
        </is>
      </c>
      <c r="G496" t="inlineStr">
        <is>
          <t>LUDVIKA</t>
        </is>
      </c>
      <c r="I496" t="n">
        <v>9.5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45786</v>
      </c>
      <c r="E497" s="1" t="n">
        <v>46318</v>
      </c>
      <c r="F497" t="inlineStr">
        <is>
          <t>DALARNAS LÄN</t>
        </is>
      </c>
      <c r="G497" t="inlineStr">
        <is>
          <t>LUDVIKA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61278-2022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44915</v>
      </c>
      <c r="E498" s="1" t="n">
        <v>46318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19677-2025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45770</v>
      </c>
      <c r="E499" s="1" t="n">
        <v>46318</v>
      </c>
      <c r="F499" t="inlineStr">
        <is>
          <t>DALARNAS LÄN</t>
        </is>
      </c>
      <c r="G499" t="inlineStr">
        <is>
          <t>LUDVIKA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23137-2025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45791</v>
      </c>
      <c r="E500" s="1" t="n">
        <v>46318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26574-2026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46183</v>
      </c>
      <c r="E501" s="1" t="n">
        <v>46318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46191</v>
      </c>
      <c r="E502" s="1" t="n">
        <v>46318</v>
      </c>
      <c r="F502" t="inlineStr">
        <is>
          <t>DALARNAS LÄN</t>
        </is>
      </c>
      <c r="G502" t="inlineStr">
        <is>
          <t>LUDVIKA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46318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23443-2024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45453</v>
      </c>
      <c r="E504" s="1" t="n">
        <v>46318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46318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27611-2026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46318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37549-2024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45541</v>
      </c>
      <c r="E507" s="1" t="n">
        <v>46318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45776</v>
      </c>
      <c r="E508" s="1" t="n">
        <v>46318</v>
      </c>
      <c r="F508" t="inlineStr">
        <is>
          <t>DALARNAS LÄN</t>
        </is>
      </c>
      <c r="G508" t="inlineStr">
        <is>
          <t>LUDVIKA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24027-2025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45796</v>
      </c>
      <c r="E509" s="1" t="n">
        <v>46318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46318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45791</v>
      </c>
      <c r="E511" s="1" t="n">
        <v>46318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30977-2024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45499</v>
      </c>
      <c r="E512" s="1" t="n">
        <v>46318</v>
      </c>
      <c r="F512" t="inlineStr">
        <is>
          <t>DALARNAS LÄN</t>
        </is>
      </c>
      <c r="G512" t="inlineStr">
        <is>
          <t>LUDVIKA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46318</v>
      </c>
      <c r="F513" t="inlineStr">
        <is>
          <t>DALARNAS LÄN</t>
        </is>
      </c>
      <c r="G513" t="inlineStr">
        <is>
          <t>LUDVIKA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39777-2026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46290</v>
      </c>
      <c r="E514" s="1" t="n">
        <v>46318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46267</v>
      </c>
      <c r="E515" s="1" t="n">
        <v>46318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46318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22821-2026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46318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46318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51080-2024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45603</v>
      </c>
      <c r="E519" s="1" t="n">
        <v>46318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46160</v>
      </c>
      <c r="E520" s="1" t="n">
        <v>46318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46160</v>
      </c>
      <c r="E521" s="1" t="n">
        <v>46318</v>
      </c>
      <c r="F521" t="inlineStr">
        <is>
          <t>DALARNAS LÄN</t>
        </is>
      </c>
      <c r="G521" t="inlineStr">
        <is>
          <t>LUDVIKA</t>
        </is>
      </c>
      <c r="H521" t="inlineStr">
        <is>
          <t>Naturvårdsverket</t>
        </is>
      </c>
      <c r="I521" t="n">
        <v>9.9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46146</v>
      </c>
      <c r="E522" s="1" t="n">
        <v>46318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46318</v>
      </c>
      <c r="F523" t="inlineStr">
        <is>
          <t>DALARNAS LÄN</t>
        </is>
      </c>
      <c r="G523" t="inlineStr">
        <is>
          <t>LUDVIKA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21032-2026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46318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46314</v>
      </c>
      <c r="E525" s="1" t="n">
        <v>46318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46318</v>
      </c>
      <c r="F526" t="inlineStr">
        <is>
          <t>DALARNAS LÄN</t>
        </is>
      </c>
      <c r="G526" t="inlineStr">
        <is>
          <t>LUDVIKA</t>
        </is>
      </c>
      <c r="I526" t="n">
        <v>8.5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46155</v>
      </c>
      <c r="E527" s="1" t="n">
        <v>46318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46318</v>
      </c>
      <c r="F528" t="inlineStr">
        <is>
          <t>DALARNAS LÄN</t>
        </is>
      </c>
      <c r="G528" t="inlineStr">
        <is>
          <t>LUDVIKA</t>
        </is>
      </c>
      <c r="H528" t="inlineStr">
        <is>
          <t>Naturvårdsverket</t>
        </is>
      </c>
      <c r="I528" t="n">
        <v>10.4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43392-2026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46314</v>
      </c>
      <c r="E529" s="1" t="n">
        <v>46318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56346-2022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44890</v>
      </c>
      <c r="E530" s="1" t="n">
        <v>46318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43544-2026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46315</v>
      </c>
      <c r="E531" s="1" t="n">
        <v>46318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43519-2026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46315</v>
      </c>
      <c r="E532" s="1" t="n">
        <v>46318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9.800000000000001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46318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46318</v>
      </c>
      <c r="F534" t="inlineStr">
        <is>
          <t>DALARNAS LÄN</t>
        </is>
      </c>
      <c r="G534" t="inlineStr">
        <is>
          <t>LUDVIKA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46260</v>
      </c>
      <c r="E535" s="1" t="n">
        <v>46318</v>
      </c>
      <c r="F535" t="inlineStr">
        <is>
          <t>DALARNAS LÄN</t>
        </is>
      </c>
      <c r="G535" t="inlineStr">
        <is>
          <t>LUDVIKA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46318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46318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46318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17054-2026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46318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46273</v>
      </c>
      <c r="E540" s="1" t="n">
        <v>46318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37359-2026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46275</v>
      </c>
      <c r="E541" s="1" t="n">
        <v>46318</v>
      </c>
      <c r="F541" t="inlineStr">
        <is>
          <t>DALARNAS LÄN</t>
        </is>
      </c>
      <c r="G541" t="inlineStr">
        <is>
          <t>LUDVIKA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45045-2023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45191</v>
      </c>
      <c r="E542" s="1" t="n">
        <v>46318</v>
      </c>
      <c r="F542" t="inlineStr">
        <is>
          <t>DALARNAS LÄN</t>
        </is>
      </c>
      <c r="G542" t="inlineStr">
        <is>
          <t>LUDVIKA</t>
        </is>
      </c>
      <c r="H542" t="inlineStr">
        <is>
          <t>Sveaskog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46318</v>
      </c>
      <c r="F543" t="inlineStr">
        <is>
          <t>DALARNAS LÄN</t>
        </is>
      </c>
      <c r="G543" t="inlineStr">
        <is>
          <t>LUDVIKA</t>
        </is>
      </c>
      <c r="H543" t="inlineStr">
        <is>
          <t>Naturvårdsverket</t>
        </is>
      </c>
      <c r="I543" t="n">
        <v>19.8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37052-2026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46273</v>
      </c>
      <c r="E544" s="1" t="n">
        <v>46318</v>
      </c>
      <c r="F544" t="inlineStr">
        <is>
          <t>DALARNAS LÄN</t>
        </is>
      </c>
      <c r="G544" t="inlineStr">
        <is>
          <t>LUDVIKA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46122</v>
      </c>
      <c r="E545" s="1" t="n">
        <v>46318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46122</v>
      </c>
      <c r="E546" s="1" t="n">
        <v>46318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17882-2026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46122</v>
      </c>
      <c r="E547" s="1" t="n">
        <v>46318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46273</v>
      </c>
      <c r="E548" s="1" t="n">
        <v>46318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18357-2026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46126</v>
      </c>
      <c r="E549" s="1" t="n">
        <v>46318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18355-2026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46126</v>
      </c>
      <c r="E550" s="1" t="n">
        <v>46318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18362-2026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46126</v>
      </c>
      <c r="E551" s="1" t="n">
        <v>46318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23871-2026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46318</v>
      </c>
      <c r="F552" t="inlineStr">
        <is>
          <t>DALARNAS LÄN</t>
        </is>
      </c>
      <c r="G552" t="inlineStr">
        <is>
          <t>LUDVIKA</t>
        </is>
      </c>
      <c r="H552" t="inlineStr">
        <is>
          <t>Kommuner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28062-2026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46195</v>
      </c>
      <c r="E553" s="1" t="n">
        <v>46318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46318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46273</v>
      </c>
      <c r="E555" s="1" t="n">
        <v>46318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55961-2024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45623</v>
      </c>
      <c r="E556" s="1" t="n">
        <v>46318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18829-2026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46128</v>
      </c>
      <c r="E557" s="1" t="n">
        <v>46318</v>
      </c>
      <c r="F557" t="inlineStr">
        <is>
          <t>DALARNAS LÄN</t>
        </is>
      </c>
      <c r="G557" t="inlineStr">
        <is>
          <t>LUDVIKA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46318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46154</v>
      </c>
      <c r="E559" s="1" t="n">
        <v>46318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46318</v>
      </c>
      <c r="F560" t="inlineStr">
        <is>
          <t>DALARNAS LÄN</t>
        </is>
      </c>
      <c r="G560" t="inlineStr">
        <is>
          <t>LUDVIKA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46318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28132-2026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46318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28162-2026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46318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46318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28158-2026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46318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46318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46318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46318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46318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46318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46318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46318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31299-2026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46218</v>
      </c>
      <c r="E573" s="1" t="n">
        <v>46318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46217</v>
      </c>
      <c r="E574" s="1" t="n">
        <v>46318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28838-2026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46318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19610-2026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46318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46219</v>
      </c>
      <c r="E577" s="1" t="n">
        <v>46318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45744</v>
      </c>
      <c r="E578" s="1" t="n">
        <v>46318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65195-2021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44515</v>
      </c>
      <c r="E579" s="1" t="n">
        <v>46318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31646-2026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46225</v>
      </c>
      <c r="E580" s="1" t="n">
        <v>46318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56685-2022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44893</v>
      </c>
      <c r="E581" s="1" t="n">
        <v>46318</v>
      </c>
      <c r="F581" t="inlineStr">
        <is>
          <t>DALARNAS LÄN</t>
        </is>
      </c>
      <c r="G581" t="inlineStr">
        <is>
          <t>LUDVIKA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46318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46318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44994</v>
      </c>
      <c r="E584" s="1" t="n">
        <v>46318</v>
      </c>
      <c r="F584" t="inlineStr">
        <is>
          <t>DALARNAS LÄN</t>
        </is>
      </c>
      <c r="G584" t="inlineStr">
        <is>
          <t>LUDVIKA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30210-2026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46318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45502</v>
      </c>
      <c r="E586" s="1" t="n">
        <v>46318</v>
      </c>
      <c r="F586" t="inlineStr">
        <is>
          <t>DALARNAS LÄN</t>
        </is>
      </c>
      <c r="G586" t="inlineStr">
        <is>
          <t>LUDVIKA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37719-2026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46279</v>
      </c>
      <c r="E587" s="1" t="n">
        <v>46318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32016-2026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46233</v>
      </c>
      <c r="E588" s="1" t="n">
        <v>46318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46318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46276</v>
      </c>
      <c r="E590" s="1" t="n">
        <v>46318</v>
      </c>
      <c r="F590" t="inlineStr">
        <is>
          <t>DALARNAS LÄN</t>
        </is>
      </c>
      <c r="G590" t="inlineStr">
        <is>
          <t>LUDVIKA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46279</v>
      </c>
      <c r="E591" s="1" t="n">
        <v>46318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46280</v>
      </c>
      <c r="E592" s="1" t="n">
        <v>46318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38160-2026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46281</v>
      </c>
      <c r="E593" s="1" t="n">
        <v>46318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59351-2023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45253</v>
      </c>
      <c r="E594" s="1" t="n">
        <v>46318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46280</v>
      </c>
      <c r="E595" s="1" t="n">
        <v>46318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7.7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48683-2023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45208</v>
      </c>
      <c r="E596" s="1" t="n">
        <v>46318</v>
      </c>
      <c r="F596" t="inlineStr">
        <is>
          <t>DALARNAS LÄN</t>
        </is>
      </c>
      <c r="G596" t="inlineStr">
        <is>
          <t>LUDVIKA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32332-2024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45512</v>
      </c>
      <c r="E597" s="1" t="n">
        <v>46318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38661-2026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46283</v>
      </c>
      <c r="E598" s="1" t="n">
        <v>46318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57557-2023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45246</v>
      </c>
      <c r="E599" s="1" t="n">
        <v>46318</v>
      </c>
      <c r="F599" t="inlineStr">
        <is>
          <t>DALARNAS LÄN</t>
        </is>
      </c>
      <c r="G599" t="inlineStr">
        <is>
          <t>LUDVIKA</t>
        </is>
      </c>
      <c r="I599" t="n">
        <v>12.7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38638-2026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46318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38620-2026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46283</v>
      </c>
      <c r="E601" s="1" t="n">
        <v>46318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46283</v>
      </c>
      <c r="E602" s="1" t="n">
        <v>46318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38357-2026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46282</v>
      </c>
      <c r="E603" s="1" t="n">
        <v>46318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45562</v>
      </c>
      <c r="E604" s="1" t="n">
        <v>46318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49035-2024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45594</v>
      </c>
      <c r="E605" s="1" t="n">
        <v>46318</v>
      </c>
      <c r="F605" t="inlineStr">
        <is>
          <t>DALARNAS LÄN</t>
        </is>
      </c>
      <c r="G605" t="inlineStr">
        <is>
          <t>LUDVIKA</t>
        </is>
      </c>
      <c r="H605" t="inlineStr">
        <is>
          <t>Naturvårdsverket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46241</v>
      </c>
      <c r="E606" s="1" t="n">
        <v>46318</v>
      </c>
      <c r="F606" t="inlineStr">
        <is>
          <t>DALARNAS LÄN</t>
        </is>
      </c>
      <c r="G606" t="inlineStr">
        <is>
          <t>LUDVIKA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61621-2022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44916</v>
      </c>
      <c r="E607" s="1" t="n">
        <v>46318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49060-2023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45210</v>
      </c>
      <c r="E608" s="1" t="n">
        <v>46318</v>
      </c>
      <c r="F608" t="inlineStr">
        <is>
          <t>DALARNAS LÄN</t>
        </is>
      </c>
      <c r="G608" t="inlineStr">
        <is>
          <t>LUDVIKA</t>
        </is>
      </c>
      <c r="H608" t="inlineStr">
        <is>
          <t>Naturvårdsverket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49114-2023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45210</v>
      </c>
      <c r="E609" s="1" t="n">
        <v>46318</v>
      </c>
      <c r="F609" t="inlineStr">
        <is>
          <t>DALARNAS LÄN</t>
        </is>
      </c>
      <c r="G609" t="inlineStr">
        <is>
          <t>LUDVIKA</t>
        </is>
      </c>
      <c r="H609" t="inlineStr">
        <is>
          <t>Naturvårdsverket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39093-2026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46287</v>
      </c>
      <c r="E610" s="1" t="n">
        <v>46318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47366-2023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45202</v>
      </c>
      <c r="E611" s="1" t="n">
        <v>46318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39104-2026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46287</v>
      </c>
      <c r="E612" s="1" t="n">
        <v>46318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46241</v>
      </c>
      <c r="E613" s="1" t="n">
        <v>46318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46241</v>
      </c>
      <c r="E614" s="1" t="n">
        <v>46318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32752-2026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46241</v>
      </c>
      <c r="E615" s="1" t="n">
        <v>46318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32757-2026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46241</v>
      </c>
      <c r="E616" s="1" t="n">
        <v>46318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60660-2024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45644</v>
      </c>
      <c r="E617" s="1" t="n">
        <v>46318</v>
      </c>
      <c r="F617" t="inlineStr">
        <is>
          <t>DALARNAS LÄN</t>
        </is>
      </c>
      <c r="G617" t="inlineStr">
        <is>
          <t>LUDVIKA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59346-2024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45637</v>
      </c>
      <c r="E618" s="1" t="n">
        <v>46318</v>
      </c>
      <c r="F618" t="inlineStr">
        <is>
          <t>DALARNAS LÄN</t>
        </is>
      </c>
      <c r="G618" t="inlineStr">
        <is>
          <t>LUDVIKA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39435-2026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46288</v>
      </c>
      <c r="E619" s="1" t="n">
        <v>46318</v>
      </c>
      <c r="F619" t="inlineStr">
        <is>
          <t>DALARNAS LÄN</t>
        </is>
      </c>
      <c r="G619" t="inlineStr">
        <is>
          <t>LUDVIKA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48642-2022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44859</v>
      </c>
      <c r="E620" s="1" t="n">
        <v>46318</v>
      </c>
      <c r="F620" t="inlineStr">
        <is>
          <t>DALARNAS LÄN</t>
        </is>
      </c>
      <c r="G620" t="inlineStr">
        <is>
          <t>LUDVIKA</t>
        </is>
      </c>
      <c r="H620" t="inlineStr">
        <is>
          <t>Naturvårdsverket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18724-2022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44687</v>
      </c>
      <c r="E621" s="1" t="n">
        <v>46318</v>
      </c>
      <c r="F621" t="inlineStr">
        <is>
          <t>DALARNAS LÄN</t>
        </is>
      </c>
      <c r="G621" t="inlineStr">
        <is>
          <t>LUDVIKA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38869-2026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46286</v>
      </c>
      <c r="E622" s="1" t="n">
        <v>46318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39879-2026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46290</v>
      </c>
      <c r="E623" s="1" t="n">
        <v>46318</v>
      </c>
      <c r="F623" t="inlineStr">
        <is>
          <t>DALARNAS LÄN</t>
        </is>
      </c>
      <c r="G623" t="inlineStr">
        <is>
          <t>LUDVIKA</t>
        </is>
      </c>
      <c r="H623" t="inlineStr">
        <is>
          <t>Naturvårdsverket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39855-2026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46290</v>
      </c>
      <c r="E624" s="1" t="n">
        <v>46318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33419-2026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46247</v>
      </c>
      <c r="E625" s="1" t="n">
        <v>46318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38831-2026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46286</v>
      </c>
      <c r="E626" s="1" t="n">
        <v>46318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46318</v>
      </c>
      <c r="F627" t="inlineStr">
        <is>
          <t>DALARNAS LÄN</t>
        </is>
      </c>
      <c r="G627" t="inlineStr">
        <is>
          <t>LUDVIKA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42128-2024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46318</v>
      </c>
      <c r="F628" t="inlineStr">
        <is>
          <t>DALARNAS LÄN</t>
        </is>
      </c>
      <c r="G628" t="inlineStr">
        <is>
          <t>LUDVIKA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33373-2026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46247</v>
      </c>
      <c r="E629" s="1" t="n">
        <v>46318</v>
      </c>
      <c r="F629" t="inlineStr">
        <is>
          <t>DALARNAS LÄN</t>
        </is>
      </c>
      <c r="G629" t="inlineStr">
        <is>
          <t>LUDVIKA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33673-2022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44789</v>
      </c>
      <c r="E630" s="1" t="n">
        <v>46318</v>
      </c>
      <c r="F630" t="inlineStr">
        <is>
          <t>DALARNAS LÄN</t>
        </is>
      </c>
      <c r="G630" t="inlineStr">
        <is>
          <t>LUDVIKA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39878-2026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46290</v>
      </c>
      <c r="E631" s="1" t="n">
        <v>46318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39789-2026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46290</v>
      </c>
      <c r="E632" s="1" t="n">
        <v>46318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56680-2022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44893</v>
      </c>
      <c r="E633" s="1" t="n">
        <v>46318</v>
      </c>
      <c r="F633" t="inlineStr">
        <is>
          <t>DALARNAS LÄN</t>
        </is>
      </c>
      <c r="G633" t="inlineStr">
        <is>
          <t>LUDVIKA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73703-2021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44552</v>
      </c>
      <c r="E634" s="1" t="n">
        <v>46318</v>
      </c>
      <c r="F634" t="inlineStr">
        <is>
          <t>DALARNAS LÄN</t>
        </is>
      </c>
      <c r="G634" t="inlineStr">
        <is>
          <t>LUDVIKA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27389-2024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45474</v>
      </c>
      <c r="E635" s="1" t="n">
        <v>46318</v>
      </c>
      <c r="F635" t="inlineStr">
        <is>
          <t>DALARNAS LÄN</t>
        </is>
      </c>
      <c r="G635" t="inlineStr">
        <is>
          <t>LUDVIKA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44520-2023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45189</v>
      </c>
      <c r="E636" s="1" t="n">
        <v>46318</v>
      </c>
      <c r="F636" t="inlineStr">
        <is>
          <t>DALARNAS LÄN</t>
        </is>
      </c>
      <c r="G636" t="inlineStr">
        <is>
          <t>LUDVIKA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57217-2024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45629</v>
      </c>
      <c r="E637" s="1" t="n">
        <v>46318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46294</v>
      </c>
      <c r="E638" s="1" t="n">
        <v>46318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40438-2026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46294</v>
      </c>
      <c r="E639" s="1" t="n">
        <v>46318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40445-2026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46294</v>
      </c>
      <c r="E640" s="1" t="n">
        <v>46318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40431-2026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46294</v>
      </c>
      <c r="E641" s="1" t="n">
        <v>46318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6.7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40384-2026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46294</v>
      </c>
      <c r="E642" s="1" t="n">
        <v>46318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41090-2022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44825</v>
      </c>
      <c r="E643" s="1" t="n">
        <v>46318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918-2024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45301</v>
      </c>
      <c r="E644" s="1" t="n">
        <v>46318</v>
      </c>
      <c r="F644" t="inlineStr">
        <is>
          <t>DALARNAS LÄN</t>
        </is>
      </c>
      <c r="G644" t="inlineStr">
        <is>
          <t>LUDVIKA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923-2024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45301</v>
      </c>
      <c r="E645" s="1" t="n">
        <v>46318</v>
      </c>
      <c r="F645" t="inlineStr">
        <is>
          <t>DALARNAS LÄN</t>
        </is>
      </c>
      <c r="G645" t="inlineStr">
        <is>
          <t>LUDVIKA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46122</v>
      </c>
      <c r="E646" s="1" t="n">
        <v>46318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45297</v>
      </c>
      <c r="E647" s="1" t="n">
        <v>46318</v>
      </c>
      <c r="F647" t="inlineStr">
        <is>
          <t>DALARNAS LÄN</t>
        </is>
      </c>
      <c r="G647" t="inlineStr">
        <is>
          <t>LUDVIKA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5841-2024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46318</v>
      </c>
      <c r="F648" t="inlineStr">
        <is>
          <t>DALARNAS LÄN</t>
        </is>
      </c>
      <c r="G648" t="inlineStr">
        <is>
          <t>LUDVIKA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45639</v>
      </c>
      <c r="E649" s="1" t="n">
        <v>46318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34584-2026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46255</v>
      </c>
      <c r="E650" s="1" t="n">
        <v>46318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32277-2024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45512</v>
      </c>
      <c r="E651" s="1" t="n">
        <v>46318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46074-2023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45196</v>
      </c>
      <c r="E652" s="1" t="n">
        <v>46318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46318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34631-2026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46318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51208-2023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45219</v>
      </c>
      <c r="E655" s="1" t="n">
        <v>46318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12497-2024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45379</v>
      </c>
      <c r="E656" s="1" t="n">
        <v>46318</v>
      </c>
      <c r="F656" t="inlineStr">
        <is>
          <t>DALARNAS LÄN</t>
        </is>
      </c>
      <c r="G656" t="inlineStr">
        <is>
          <t>LUDVIKA</t>
        </is>
      </c>
      <c r="H656" t="inlineStr">
        <is>
          <t>Naturvårdsverket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34558-2026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46318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28157-2023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45099</v>
      </c>
      <c r="E658" s="1" t="n">
        <v>46318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34780-2026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46258</v>
      </c>
      <c r="E659" s="1" t="n">
        <v>46318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32995-2023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45113</v>
      </c>
      <c r="E660" s="1" t="n">
        <v>46318</v>
      </c>
      <c r="F660" t="inlineStr">
        <is>
          <t>DALARNAS LÄN</t>
        </is>
      </c>
      <c r="G660" t="inlineStr">
        <is>
          <t>LUDVIKA</t>
        </is>
      </c>
      <c r="H660" t="inlineStr">
        <is>
          <t>Kommuner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30039-2024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45488</v>
      </c>
      <c r="E661" s="1" t="n">
        <v>46318</v>
      </c>
      <c r="F661" t="inlineStr">
        <is>
          <t>DALARNAS LÄN</t>
        </is>
      </c>
      <c r="G661" t="inlineStr">
        <is>
          <t>LUDVIKA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7238-2023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46318</v>
      </c>
      <c r="F662" t="inlineStr">
        <is>
          <t>DALARNAS LÄN</t>
        </is>
      </c>
      <c r="G662" t="inlineStr">
        <is>
          <t>LUDVIKA</t>
        </is>
      </c>
      <c r="H662" t="inlineStr">
        <is>
          <t>Övriga Aktiebolag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7243-2023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44970</v>
      </c>
      <c r="E663" s="1" t="n">
        <v>46318</v>
      </c>
      <c r="F663" t="inlineStr">
        <is>
          <t>DALARNAS LÄN</t>
        </is>
      </c>
      <c r="G663" t="inlineStr">
        <is>
          <t>LUDVIKA</t>
        </is>
      </c>
      <c r="H663" t="inlineStr">
        <is>
          <t>Övriga Aktiebolag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41443-2026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46301</v>
      </c>
      <c r="E664" s="1" t="n">
        <v>46318</v>
      </c>
      <c r="F664" t="inlineStr">
        <is>
          <t>DALARNAS LÄN</t>
        </is>
      </c>
      <c r="G664" t="inlineStr">
        <is>
          <t>LUDVIKA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34632-2026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46255</v>
      </c>
      <c r="E665" s="1" t="n">
        <v>46318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46318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34599-2026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46255</v>
      </c>
      <c r="E667" s="1" t="n">
        <v>46318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34147-2026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46253</v>
      </c>
      <c r="E668" s="1" t="n">
        <v>46318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39519-2024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45551</v>
      </c>
      <c r="E669" s="1" t="n">
        <v>46318</v>
      </c>
      <c r="F669" t="inlineStr">
        <is>
          <t>DALARNAS LÄN</t>
        </is>
      </c>
      <c r="G669" t="inlineStr">
        <is>
          <t>LUDVIKA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46260</v>
      </c>
      <c r="E670" s="1" t="n">
        <v>46318</v>
      </c>
      <c r="F670" t="inlineStr">
        <is>
          <t>DALARNAS LÄN</t>
        </is>
      </c>
      <c r="G670" t="inlineStr">
        <is>
          <t>LUDVIKA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47496-2022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44853</v>
      </c>
      <c r="E671" s="1" t="n">
        <v>46318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64171-2023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45279</v>
      </c>
      <c r="E672" s="1" t="n">
        <v>46318</v>
      </c>
      <c r="F672" t="inlineStr">
        <is>
          <t>DALARNAS LÄN</t>
        </is>
      </c>
      <c r="G672" t="inlineStr">
        <is>
          <t>LUDVIKA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28134-2023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45099</v>
      </c>
      <c r="E673" s="1" t="n">
        <v>46318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35179-2026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46260</v>
      </c>
      <c r="E674" s="1" t="n">
        <v>46318</v>
      </c>
      <c r="F674" t="inlineStr">
        <is>
          <t>DALARNAS LÄN</t>
        </is>
      </c>
      <c r="G674" t="inlineStr">
        <is>
          <t>LUDVIKA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34796-2026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46258</v>
      </c>
      <c r="E675" s="1" t="n">
        <v>46318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43240-2024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45568</v>
      </c>
      <c r="E676" s="1" t="n">
        <v>46318</v>
      </c>
      <c r="F676" t="inlineStr">
        <is>
          <t>DALARNAS LÄN</t>
        </is>
      </c>
      <c r="G676" t="inlineStr">
        <is>
          <t>LUDVIKA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38921-2025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45887</v>
      </c>
      <c r="E677" s="1" t="n">
        <v>46318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42335-2026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46307</v>
      </c>
      <c r="E678" s="1" t="n">
        <v>46318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9.699999999999999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49669-2024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45596</v>
      </c>
      <c r="E679" s="1" t="n">
        <v>46318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41158-2022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44825</v>
      </c>
      <c r="E680" s="1" t="n">
        <v>46318</v>
      </c>
      <c r="F680" t="inlineStr">
        <is>
          <t>DALARNAS LÄN</t>
        </is>
      </c>
      <c r="G680" t="inlineStr">
        <is>
          <t>LUDVIKA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33397-2026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46247</v>
      </c>
      <c r="E681" s="1" t="n">
        <v>46318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29734-2026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46318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31393-2026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46220</v>
      </c>
      <c r="E683" s="1" t="n">
        <v>46318</v>
      </c>
      <c r="F683" t="inlineStr">
        <is>
          <t>DALARNAS LÄN</t>
        </is>
      </c>
      <c r="G683" t="inlineStr">
        <is>
          <t>LUDVIKA</t>
        </is>
      </c>
      <c r="H683" t="inlineStr">
        <is>
          <t>Naturvårdsverket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42345-2026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46307</v>
      </c>
      <c r="E684" s="1" t="n">
        <v>46318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56615-2025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45975</v>
      </c>
      <c r="E685" s="1" t="n">
        <v>46318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18708-2023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45043</v>
      </c>
      <c r="E686" s="1" t="n">
        <v>46318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35490-2026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46262</v>
      </c>
      <c r="E687" s="1" t="n">
        <v>46318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19.9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14986-2024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45399</v>
      </c>
      <c r="E688" s="1" t="n">
        <v>46318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60843-2024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45644</v>
      </c>
      <c r="E689" s="1" t="n">
        <v>46318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65104-2023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45288</v>
      </c>
      <c r="E690" s="1" t="n">
        <v>46318</v>
      </c>
      <c r="F690" t="inlineStr">
        <is>
          <t>DALARNAS LÄN</t>
        </is>
      </c>
      <c r="G690" t="inlineStr">
        <is>
          <t>LUDVIKA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42743-2026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46309</v>
      </c>
      <c r="E691" s="1" t="n">
        <v>46318</v>
      </c>
      <c r="F691" t="inlineStr">
        <is>
          <t>DALARNAS LÄN</t>
        </is>
      </c>
      <c r="G691" t="inlineStr">
        <is>
          <t>LUDVIKA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38868-2026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46286</v>
      </c>
      <c r="E692" s="1" t="n">
        <v>46318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35837-2026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46265</v>
      </c>
      <c r="E693" s="1" t="n">
        <v>46318</v>
      </c>
      <c r="F693" t="inlineStr">
        <is>
          <t>DALARNAS LÄN</t>
        </is>
      </c>
      <c r="G693" t="inlineStr">
        <is>
          <t>LUDVIKA</t>
        </is>
      </c>
      <c r="H693" t="inlineStr">
        <is>
          <t>Kyrkan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14881-2025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45743</v>
      </c>
      <c r="E694" s="1" t="n">
        <v>46318</v>
      </c>
      <c r="F694" t="inlineStr">
        <is>
          <t>DALARNAS LÄN</t>
        </is>
      </c>
      <c r="G694" t="inlineStr">
        <is>
          <t>LUDVIKA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46265</v>
      </c>
      <c r="E695" s="1" t="n">
        <v>46318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59050-2022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44903</v>
      </c>
      <c r="E696" s="1" t="n">
        <v>46318</v>
      </c>
      <c r="F696" t="inlineStr">
        <is>
          <t>DALARNAS LÄN</t>
        </is>
      </c>
      <c r="G696" t="inlineStr">
        <is>
          <t>LUDVIKA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45544-2024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45579</v>
      </c>
      <c r="E697" s="1" t="n">
        <v>46318</v>
      </c>
      <c r="F697" t="inlineStr">
        <is>
          <t>DALARNAS LÄN</t>
        </is>
      </c>
      <c r="G697" t="inlineStr">
        <is>
          <t>LUDVIKA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45547-2024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45579</v>
      </c>
      <c r="E698" s="1" t="n">
        <v>46318</v>
      </c>
      <c r="F698" t="inlineStr">
        <is>
          <t>DALARNAS LÄN</t>
        </is>
      </c>
      <c r="G698" t="inlineStr">
        <is>
          <t>LUDVIKA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46267</v>
      </c>
      <c r="E699" s="1" t="n">
        <v>46318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43009-2026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46311</v>
      </c>
      <c r="E700" s="1" t="n">
        <v>46318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39854-2026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46318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7526-2025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45705</v>
      </c>
      <c r="E702" s="1" t="n">
        <v>46318</v>
      </c>
      <c r="F702" t="inlineStr">
        <is>
          <t>DALARNAS LÄN</t>
        </is>
      </c>
      <c r="G702" t="inlineStr">
        <is>
          <t>LUDVIKA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45112</v>
      </c>
      <c r="E703" s="1" t="n">
        <v>46318</v>
      </c>
      <c r="F703" t="inlineStr">
        <is>
          <t>DALARNAS LÄN</t>
        </is>
      </c>
      <c r="G703" t="inlineStr">
        <is>
          <t>LUDVIKA</t>
        </is>
      </c>
      <c r="H703" t="inlineStr">
        <is>
          <t>Kommuner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46620-2023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45198</v>
      </c>
      <c r="E704" s="1" t="n">
        <v>46318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61507-2023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45265</v>
      </c>
      <c r="E705" s="1" t="n">
        <v>46318</v>
      </c>
      <c r="F705" t="inlineStr">
        <is>
          <t>DALARNAS LÄN</t>
        </is>
      </c>
      <c r="G705" t="inlineStr">
        <is>
          <t>LUDVIKA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49951-2022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44865</v>
      </c>
      <c r="E706" s="1" t="n">
        <v>46318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29114-2024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45481</v>
      </c>
      <c r="E707" s="1" t="n">
        <v>46318</v>
      </c>
      <c r="F707" t="inlineStr">
        <is>
          <t>DALARNAS LÄN</t>
        </is>
      </c>
      <c r="G707" t="inlineStr">
        <is>
          <t>LUDVIKA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16814-2024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45411</v>
      </c>
      <c r="E708" s="1" t="n">
        <v>46318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31270-2022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44771</v>
      </c>
      <c r="E709" s="1" t="n">
        <v>46318</v>
      </c>
      <c r="F709" t="inlineStr">
        <is>
          <t>DALARNAS LÄN</t>
        </is>
      </c>
      <c r="G709" t="inlineStr">
        <is>
          <t>LUDVIKA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56203-2024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45624</v>
      </c>
      <c r="E710" s="1" t="n">
        <v>46318</v>
      </c>
      <c r="F710" t="inlineStr">
        <is>
          <t>DALARNAS LÄN</t>
        </is>
      </c>
      <c r="G710" t="inlineStr">
        <is>
          <t>LUDVIKA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28507-2023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45103</v>
      </c>
      <c r="E711" s="1" t="n">
        <v>46318</v>
      </c>
      <c r="F711" t="inlineStr">
        <is>
          <t>DALARNAS LÄN</t>
        </is>
      </c>
      <c r="G711" t="inlineStr">
        <is>
          <t>LUDVIKA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20427-2025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45775</v>
      </c>
      <c r="E712" s="1" t="n">
        <v>46318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39437-2023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45166</v>
      </c>
      <c r="E713" s="1" t="n">
        <v>46318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33839-2024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45520</v>
      </c>
      <c r="E714" s="1" t="n">
        <v>46318</v>
      </c>
      <c r="F714" t="inlineStr">
        <is>
          <t>DALARNAS LÄN</t>
        </is>
      </c>
      <c r="G714" t="inlineStr">
        <is>
          <t>LUDVIKA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54730-2022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44883</v>
      </c>
      <c r="E715" s="1" t="n">
        <v>46318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2837-2023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45167</v>
      </c>
      <c r="E716" s="1" t="n">
        <v>46318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1122-2023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46318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115.7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3660-2023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45216</v>
      </c>
      <c r="E718" s="1" t="n">
        <v>46318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1246-2024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45400</v>
      </c>
      <c r="E719" s="1" t="n">
        <v>46318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35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1096-2024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45391</v>
      </c>
      <c r="E720" s="1" t="n">
        <v>46318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26.7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4863-2022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44805</v>
      </c>
      <c r="E721" s="1" t="n">
        <v>46318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1113-2023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45015</v>
      </c>
      <c r="E722" s="1" t="n">
        <v>46318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37.9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1815-2026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46190</v>
      </c>
      <c r="E723" s="1" t="n">
        <v>46318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2026-10-23T01:58:49Z</dcterms:created>
  <dcterms:modified xmlns:dcterms="http://purl.org/dc/terms/" xmlns:xsi="http://www.w3.org/2001/XMLSchema-instance" xsi:type="dcterms:W3CDTF">2026-10-23T01:58:49Z</dcterms:modified>
</cp:coreProperties>
</file>
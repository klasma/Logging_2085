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45912</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45912</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45912</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45912</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45912</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45912</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45912</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45912</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45912</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45912</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45912</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45912</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45912</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45912</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42712-2025</t>
        </is>
      </c>
      <c r="B24" s="1" t="n">
        <v>45908</v>
      </c>
      <c r="C24" s="1" t="n">
        <v>45912</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45912</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45912</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45912</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45912</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45912</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45912</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12093-2023</t>
        </is>
      </c>
      <c r="B31" s="1" t="n">
        <v>44998.36106481482</v>
      </c>
      <c r="C31" s="1" t="n">
        <v>45912</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33908-2025</t>
        </is>
      </c>
      <c r="B32" s="1" t="n">
        <v>45842</v>
      </c>
      <c r="C32" s="1" t="n">
        <v>45912</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45912</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45912</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45912</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45912</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45912</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46252-2020</t>
        </is>
      </c>
      <c r="B38" s="1" t="n">
        <v>44092</v>
      </c>
      <c r="C38" s="1" t="n">
        <v>45912</v>
      </c>
      <c r="D38" t="inlineStr">
        <is>
          <t>DALARNAS LÄN</t>
        </is>
      </c>
      <c r="E38" t="inlineStr">
        <is>
          <t>LUDVIKA</t>
        </is>
      </c>
      <c r="F38" t="inlineStr">
        <is>
          <t>Sveaskog</t>
        </is>
      </c>
      <c r="G38" t="n">
        <v>4</v>
      </c>
      <c r="H38" t="n">
        <v>0</v>
      </c>
      <c r="I38" t="n">
        <v>0</v>
      </c>
      <c r="J38" t="n">
        <v>1</v>
      </c>
      <c r="K38" t="n">
        <v>0</v>
      </c>
      <c r="L38" t="n">
        <v>0</v>
      </c>
      <c r="M38" t="n">
        <v>0</v>
      </c>
      <c r="N38" t="n">
        <v>0</v>
      </c>
      <c r="O38" t="n">
        <v>1</v>
      </c>
      <c r="P38" t="n">
        <v>0</v>
      </c>
      <c r="Q38" t="n">
        <v>1</v>
      </c>
      <c r="R38" s="2" t="inlineStr">
        <is>
          <t>Granvivel</t>
        </is>
      </c>
      <c r="S38">
        <f>HYPERLINK("https://klasma.github.io/Logging_2085/artfynd/A 46252-2020 artfynd.xlsx", "A 46252-2020")</f>
        <v/>
      </c>
      <c r="T38">
        <f>HYPERLINK("https://klasma.github.io/Logging_2085/kartor/A 46252-2020 karta.png", "A 46252-2020")</f>
        <v/>
      </c>
      <c r="V38">
        <f>HYPERLINK("https://klasma.github.io/Logging_2085/klagomål/A 46252-2020 FSC-klagomål.docx", "A 46252-2020")</f>
        <v/>
      </c>
      <c r="W38">
        <f>HYPERLINK("https://klasma.github.io/Logging_2085/klagomålsmail/A 46252-2020 FSC-klagomål mail.docx", "A 46252-2020")</f>
        <v/>
      </c>
      <c r="X38">
        <f>HYPERLINK("https://klasma.github.io/Logging_2085/tillsyn/A 46252-2020 tillsynsbegäran.docx", "A 46252-2020")</f>
        <v/>
      </c>
      <c r="Y38">
        <f>HYPERLINK("https://klasma.github.io/Logging_2085/tillsynsmail/A 46252-2020 tillsynsbegäran mail.docx", "A 46252-2020")</f>
        <v/>
      </c>
    </row>
    <row r="39" ht="15" customHeight="1">
      <c r="A39" t="inlineStr">
        <is>
          <t>A 54641-2020</t>
        </is>
      </c>
      <c r="B39" s="1" t="n">
        <v>44127</v>
      </c>
      <c r="C39" s="1" t="n">
        <v>45912</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11705-2024</t>
        </is>
      </c>
      <c r="B40" s="1" t="n">
        <v>45373.61137731482</v>
      </c>
      <c r="C40" s="1" t="n">
        <v>45912</v>
      </c>
      <c r="D40" t="inlineStr">
        <is>
          <t>DALARNAS LÄN</t>
        </is>
      </c>
      <c r="E40" t="inlineStr">
        <is>
          <t>LUDVIKA</t>
        </is>
      </c>
      <c r="G40" t="n">
        <v>35.4</v>
      </c>
      <c r="H40" t="n">
        <v>0</v>
      </c>
      <c r="I40" t="n">
        <v>0</v>
      </c>
      <c r="J40" t="n">
        <v>1</v>
      </c>
      <c r="K40" t="n">
        <v>0</v>
      </c>
      <c r="L40" t="n">
        <v>0</v>
      </c>
      <c r="M40" t="n">
        <v>0</v>
      </c>
      <c r="N40" t="n">
        <v>0</v>
      </c>
      <c r="O40" t="n">
        <v>1</v>
      </c>
      <c r="P40" t="n">
        <v>0</v>
      </c>
      <c r="Q40" t="n">
        <v>1</v>
      </c>
      <c r="R40" s="2" t="inlineStr">
        <is>
          <t>Brunpudrad nållav</t>
        </is>
      </c>
      <c r="S40">
        <f>HYPERLINK("https://klasma.github.io/Logging_2085/artfynd/A 11705-2024 artfynd.xlsx", "A 11705-2024")</f>
        <v/>
      </c>
      <c r="T40">
        <f>HYPERLINK("https://klasma.github.io/Logging_2085/kartor/A 11705-2024 karta.png", "A 11705-2024")</f>
        <v/>
      </c>
      <c r="V40">
        <f>HYPERLINK("https://klasma.github.io/Logging_2085/klagomål/A 11705-2024 FSC-klagomål.docx", "A 11705-2024")</f>
        <v/>
      </c>
      <c r="W40">
        <f>HYPERLINK("https://klasma.github.io/Logging_2085/klagomålsmail/A 11705-2024 FSC-klagomål mail.docx", "A 11705-2024")</f>
        <v/>
      </c>
      <c r="X40">
        <f>HYPERLINK("https://klasma.github.io/Logging_2085/tillsyn/A 11705-2024 tillsynsbegäran.docx", "A 11705-2024")</f>
        <v/>
      </c>
      <c r="Y40">
        <f>HYPERLINK("https://klasma.github.io/Logging_2085/tillsynsmail/A 11705-2024 tillsynsbegäran mail.docx", "A 11705-2024")</f>
        <v/>
      </c>
    </row>
    <row r="41" ht="15" customHeight="1">
      <c r="A41" t="inlineStr">
        <is>
          <t>A 21499-2022</t>
        </is>
      </c>
      <c r="B41" s="1" t="n">
        <v>44706</v>
      </c>
      <c r="C41" s="1" t="n">
        <v>45912</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20985-2025</t>
        </is>
      </c>
      <c r="B42" s="1" t="n">
        <v>45777</v>
      </c>
      <c r="C42" s="1" t="n">
        <v>45912</v>
      </c>
      <c r="D42" t="inlineStr">
        <is>
          <t>DALARNAS LÄN</t>
        </is>
      </c>
      <c r="E42" t="inlineStr">
        <is>
          <t>LUDVIKA</t>
        </is>
      </c>
      <c r="F42" t="inlineStr">
        <is>
          <t>Bergvik skog väst AB</t>
        </is>
      </c>
      <c r="G42" t="n">
        <v>5.8</v>
      </c>
      <c r="H42" t="n">
        <v>0</v>
      </c>
      <c r="I42" t="n">
        <v>0</v>
      </c>
      <c r="J42" t="n">
        <v>1</v>
      </c>
      <c r="K42" t="n">
        <v>0</v>
      </c>
      <c r="L42" t="n">
        <v>0</v>
      </c>
      <c r="M42" t="n">
        <v>0</v>
      </c>
      <c r="N42" t="n">
        <v>0</v>
      </c>
      <c r="O42" t="n">
        <v>1</v>
      </c>
      <c r="P42" t="n">
        <v>0</v>
      </c>
      <c r="Q42" t="n">
        <v>1</v>
      </c>
      <c r="R42" s="2" t="inlineStr">
        <is>
          <t>Garnlav</t>
        </is>
      </c>
      <c r="S42">
        <f>HYPERLINK("https://klasma.github.io/Logging_2085/artfynd/A 20985-2025 artfynd.xlsx", "A 20985-2025")</f>
        <v/>
      </c>
      <c r="T42">
        <f>HYPERLINK("https://klasma.github.io/Logging_2085/kartor/A 20985-2025 karta.png", "A 20985-2025")</f>
        <v/>
      </c>
      <c r="V42">
        <f>HYPERLINK("https://klasma.github.io/Logging_2085/klagomål/A 20985-2025 FSC-klagomål.docx", "A 20985-2025")</f>
        <v/>
      </c>
      <c r="W42">
        <f>HYPERLINK("https://klasma.github.io/Logging_2085/klagomålsmail/A 20985-2025 FSC-klagomål mail.docx", "A 20985-2025")</f>
        <v/>
      </c>
      <c r="X42">
        <f>HYPERLINK("https://klasma.github.io/Logging_2085/tillsyn/A 20985-2025 tillsynsbegäran.docx", "A 20985-2025")</f>
        <v/>
      </c>
      <c r="Y42">
        <f>HYPERLINK("https://klasma.github.io/Logging_2085/tillsynsmail/A 20985-2025 tillsynsbegäran mail.docx", "A 20985-2025")</f>
        <v/>
      </c>
    </row>
    <row r="43" ht="15" customHeight="1">
      <c r="A43" t="inlineStr">
        <is>
          <t>A 44578-2023</t>
        </is>
      </c>
      <c r="B43" s="1" t="n">
        <v>45189</v>
      </c>
      <c r="C43" s="1" t="n">
        <v>45912</v>
      </c>
      <c r="D43" t="inlineStr">
        <is>
          <t>DALARNAS LÄN</t>
        </is>
      </c>
      <c r="E43" t="inlineStr">
        <is>
          <t>LUDVIKA</t>
        </is>
      </c>
      <c r="F43" t="inlineStr">
        <is>
          <t>Övriga Aktiebolag</t>
        </is>
      </c>
      <c r="G43" t="n">
        <v>12</v>
      </c>
      <c r="H43" t="n">
        <v>0</v>
      </c>
      <c r="I43" t="n">
        <v>0</v>
      </c>
      <c r="J43" t="n">
        <v>1</v>
      </c>
      <c r="K43" t="n">
        <v>0</v>
      </c>
      <c r="L43" t="n">
        <v>0</v>
      </c>
      <c r="M43" t="n">
        <v>0</v>
      </c>
      <c r="N43" t="n">
        <v>0</v>
      </c>
      <c r="O43" t="n">
        <v>1</v>
      </c>
      <c r="P43" t="n">
        <v>0</v>
      </c>
      <c r="Q43" t="n">
        <v>1</v>
      </c>
      <c r="R43" s="2" t="inlineStr">
        <is>
          <t>Dofttaggsvamp</t>
        </is>
      </c>
      <c r="S43">
        <f>HYPERLINK("https://klasma.github.io/Logging_2085/artfynd/A 44578-2023 artfynd.xlsx", "A 44578-2023")</f>
        <v/>
      </c>
      <c r="T43">
        <f>HYPERLINK("https://klasma.github.io/Logging_2085/kartor/A 44578-2023 karta.png", "A 44578-2023")</f>
        <v/>
      </c>
      <c r="V43">
        <f>HYPERLINK("https://klasma.github.io/Logging_2085/klagomål/A 44578-2023 FSC-klagomål.docx", "A 44578-2023")</f>
        <v/>
      </c>
      <c r="W43">
        <f>HYPERLINK("https://klasma.github.io/Logging_2085/klagomålsmail/A 44578-2023 FSC-klagomål mail.docx", "A 44578-2023")</f>
        <v/>
      </c>
      <c r="X43">
        <f>HYPERLINK("https://klasma.github.io/Logging_2085/tillsyn/A 44578-2023 tillsynsbegäran.docx", "A 44578-2023")</f>
        <v/>
      </c>
      <c r="Y43">
        <f>HYPERLINK("https://klasma.github.io/Logging_2085/tillsynsmail/A 44578-2023 tillsynsbegäran mail.docx", "A 44578-2023")</f>
        <v/>
      </c>
    </row>
    <row r="44" ht="15" customHeight="1">
      <c r="A44" t="inlineStr">
        <is>
          <t>A 23085-2025</t>
        </is>
      </c>
      <c r="B44" s="1" t="n">
        <v>45791</v>
      </c>
      <c r="C44" s="1" t="n">
        <v>45912</v>
      </c>
      <c r="D44" t="inlineStr">
        <is>
          <t>DALARNAS LÄN</t>
        </is>
      </c>
      <c r="E44" t="inlineStr">
        <is>
          <t>LUDVIKA</t>
        </is>
      </c>
      <c r="F44" t="inlineStr">
        <is>
          <t>Bergvik skog väst AB</t>
        </is>
      </c>
      <c r="G44" t="n">
        <v>3.9</v>
      </c>
      <c r="H44" t="n">
        <v>1</v>
      </c>
      <c r="I44" t="n">
        <v>0</v>
      </c>
      <c r="J44" t="n">
        <v>0</v>
      </c>
      <c r="K44" t="n">
        <v>1</v>
      </c>
      <c r="L44" t="n">
        <v>0</v>
      </c>
      <c r="M44" t="n">
        <v>0</v>
      </c>
      <c r="N44" t="n">
        <v>0</v>
      </c>
      <c r="O44" t="n">
        <v>1</v>
      </c>
      <c r="P44" t="n">
        <v>1</v>
      </c>
      <c r="Q44" t="n">
        <v>1</v>
      </c>
      <c r="R44" s="2" t="inlineStr">
        <is>
          <t>Berguv</t>
        </is>
      </c>
      <c r="S44">
        <f>HYPERLINK("https://klasma.github.io/Logging_2085/artfynd/A 23085-2025 artfynd.xlsx", "A 23085-2025")</f>
        <v/>
      </c>
      <c r="T44">
        <f>HYPERLINK("https://klasma.github.io/Logging_2085/kartor/A 23085-2025 karta.png", "A 23085-2025")</f>
        <v/>
      </c>
      <c r="V44">
        <f>HYPERLINK("https://klasma.github.io/Logging_2085/klagomål/A 23085-2025 FSC-klagomål.docx", "A 23085-2025")</f>
        <v/>
      </c>
      <c r="W44">
        <f>HYPERLINK("https://klasma.github.io/Logging_2085/klagomålsmail/A 23085-2025 FSC-klagomål mail.docx", "A 23085-2025")</f>
        <v/>
      </c>
      <c r="X44">
        <f>HYPERLINK("https://klasma.github.io/Logging_2085/tillsyn/A 23085-2025 tillsynsbegäran.docx", "A 23085-2025")</f>
        <v/>
      </c>
      <c r="Y44">
        <f>HYPERLINK("https://klasma.github.io/Logging_2085/tillsynsmail/A 23085-2025 tillsynsbegäran mail.docx", "A 23085-2025")</f>
        <v/>
      </c>
      <c r="Z44">
        <f>HYPERLINK("https://klasma.github.io/Logging_2085/fåglar/A 23085-2025 prioriterade fågelarter.docx", "A 23085-2025")</f>
        <v/>
      </c>
    </row>
    <row r="45" ht="15" customHeight="1">
      <c r="A45" t="inlineStr">
        <is>
          <t>A 23102-2025</t>
        </is>
      </c>
      <c r="B45" s="1" t="n">
        <v>45791.35438657407</v>
      </c>
      <c r="C45" s="1" t="n">
        <v>45912</v>
      </c>
      <c r="D45" t="inlineStr">
        <is>
          <t>DALARNAS LÄN</t>
        </is>
      </c>
      <c r="E45" t="inlineStr">
        <is>
          <t>LUDVIKA</t>
        </is>
      </c>
      <c r="F45" t="inlineStr">
        <is>
          <t>Bergvik skog väst AB</t>
        </is>
      </c>
      <c r="G45" t="n">
        <v>0.8</v>
      </c>
      <c r="H45" t="n">
        <v>1</v>
      </c>
      <c r="I45" t="n">
        <v>0</v>
      </c>
      <c r="J45" t="n">
        <v>0</v>
      </c>
      <c r="K45" t="n">
        <v>0</v>
      </c>
      <c r="L45" t="n">
        <v>0</v>
      </c>
      <c r="M45" t="n">
        <v>0</v>
      </c>
      <c r="N45" t="n">
        <v>0</v>
      </c>
      <c r="O45" t="n">
        <v>0</v>
      </c>
      <c r="P45" t="n">
        <v>0</v>
      </c>
      <c r="Q45" t="n">
        <v>1</v>
      </c>
      <c r="R45" s="2" t="inlineStr">
        <is>
          <t>Vanlig groda</t>
        </is>
      </c>
      <c r="S45">
        <f>HYPERLINK("https://klasma.github.io/Logging_2085/artfynd/A 23102-2025 artfynd.xlsx", "A 23102-2025")</f>
        <v/>
      </c>
      <c r="T45">
        <f>HYPERLINK("https://klasma.github.io/Logging_2085/kartor/A 23102-2025 karta.png", "A 23102-2025")</f>
        <v/>
      </c>
      <c r="V45">
        <f>HYPERLINK("https://klasma.github.io/Logging_2085/klagomål/A 23102-2025 FSC-klagomål.docx", "A 23102-2025")</f>
        <v/>
      </c>
      <c r="W45">
        <f>HYPERLINK("https://klasma.github.io/Logging_2085/klagomålsmail/A 23102-2025 FSC-klagomål mail.docx", "A 23102-2025")</f>
        <v/>
      </c>
      <c r="X45">
        <f>HYPERLINK("https://klasma.github.io/Logging_2085/tillsyn/A 23102-2025 tillsynsbegäran.docx", "A 23102-2025")</f>
        <v/>
      </c>
      <c r="Y45">
        <f>HYPERLINK("https://klasma.github.io/Logging_2085/tillsynsmail/A 23102-2025 tillsynsbegäran mail.docx", "A 23102-2025")</f>
        <v/>
      </c>
    </row>
    <row r="46" ht="15" customHeight="1">
      <c r="A46" t="inlineStr">
        <is>
          <t>A 23107-2025</t>
        </is>
      </c>
      <c r="B46" s="1" t="n">
        <v>45791.36149305556</v>
      </c>
      <c r="C46" s="1" t="n">
        <v>45912</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42558-2022</t>
        </is>
      </c>
      <c r="B47" s="1" t="n">
        <v>44831</v>
      </c>
      <c r="C47" s="1" t="n">
        <v>45912</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19512-2022</t>
        </is>
      </c>
      <c r="B48" s="1" t="n">
        <v>44693</v>
      </c>
      <c r="C48" s="1" t="n">
        <v>45912</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45912</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45912</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33155-2024</t>
        </is>
      </c>
      <c r="B51" s="1" t="n">
        <v>45518.38504629629</v>
      </c>
      <c r="C51" s="1" t="n">
        <v>45912</v>
      </c>
      <c r="D51" t="inlineStr">
        <is>
          <t>DALARNAS LÄN</t>
        </is>
      </c>
      <c r="E51" t="inlineStr">
        <is>
          <t>LUDVIKA</t>
        </is>
      </c>
      <c r="G51" t="n">
        <v>2.9</v>
      </c>
      <c r="H51" t="n">
        <v>0</v>
      </c>
      <c r="I51" t="n">
        <v>0</v>
      </c>
      <c r="J51" t="n">
        <v>1</v>
      </c>
      <c r="K51" t="n">
        <v>0</v>
      </c>
      <c r="L51" t="n">
        <v>0</v>
      </c>
      <c r="M51" t="n">
        <v>0</v>
      </c>
      <c r="N51" t="n">
        <v>0</v>
      </c>
      <c r="O51" t="n">
        <v>1</v>
      </c>
      <c r="P51" t="n">
        <v>0</v>
      </c>
      <c r="Q51" t="n">
        <v>1</v>
      </c>
      <c r="R51" s="2" t="inlineStr">
        <is>
          <t>Brunpudrad nållav</t>
        </is>
      </c>
      <c r="S51">
        <f>HYPERLINK("https://klasma.github.io/Logging_2085/artfynd/A 33155-2024 artfynd.xlsx", "A 33155-2024")</f>
        <v/>
      </c>
      <c r="T51">
        <f>HYPERLINK("https://klasma.github.io/Logging_2085/kartor/A 33155-2024 karta.png", "A 33155-2024")</f>
        <v/>
      </c>
      <c r="V51">
        <f>HYPERLINK("https://klasma.github.io/Logging_2085/klagomål/A 33155-2024 FSC-klagomål.docx", "A 33155-2024")</f>
        <v/>
      </c>
      <c r="W51">
        <f>HYPERLINK("https://klasma.github.io/Logging_2085/klagomålsmail/A 33155-2024 FSC-klagomål mail.docx", "A 33155-2024")</f>
        <v/>
      </c>
      <c r="X51">
        <f>HYPERLINK("https://klasma.github.io/Logging_2085/tillsyn/A 33155-2024 tillsynsbegäran.docx", "A 33155-2024")</f>
        <v/>
      </c>
      <c r="Y51">
        <f>HYPERLINK("https://klasma.github.io/Logging_2085/tillsynsmail/A 33155-2024 tillsynsbegäran mail.docx", "A 33155-2024")</f>
        <v/>
      </c>
    </row>
    <row r="52" ht="15" customHeight="1">
      <c r="A52" t="inlineStr">
        <is>
          <t>A 25282-2025</t>
        </is>
      </c>
      <c r="B52" s="1" t="n">
        <v>45800</v>
      </c>
      <c r="C52" s="1" t="n">
        <v>45912</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36050-2025</t>
        </is>
      </c>
      <c r="B53" s="1" t="n">
        <v>45866.37096064815</v>
      </c>
      <c r="C53" s="1" t="n">
        <v>45912</v>
      </c>
      <c r="D53" t="inlineStr">
        <is>
          <t>DALARNAS LÄN</t>
        </is>
      </c>
      <c r="E53" t="inlineStr">
        <is>
          <t>LUDVIKA</t>
        </is>
      </c>
      <c r="G53" t="n">
        <v>1.4</v>
      </c>
      <c r="H53" t="n">
        <v>1</v>
      </c>
      <c r="I53" t="n">
        <v>0</v>
      </c>
      <c r="J53" t="n">
        <v>1</v>
      </c>
      <c r="K53" t="n">
        <v>0</v>
      </c>
      <c r="L53" t="n">
        <v>0</v>
      </c>
      <c r="M53" t="n">
        <v>0</v>
      </c>
      <c r="N53" t="n">
        <v>0</v>
      </c>
      <c r="O53" t="n">
        <v>1</v>
      </c>
      <c r="P53" t="n">
        <v>0</v>
      </c>
      <c r="Q53" t="n">
        <v>1</v>
      </c>
      <c r="R53" s="2" t="inlineStr">
        <is>
          <t>Mindre hackspett</t>
        </is>
      </c>
      <c r="S53">
        <f>HYPERLINK("https://klasma.github.io/Logging_2085/artfynd/A 36050-2025 artfynd.xlsx", "A 36050-2025")</f>
        <v/>
      </c>
      <c r="T53">
        <f>HYPERLINK("https://klasma.github.io/Logging_2085/kartor/A 36050-2025 karta.png", "A 36050-2025")</f>
        <v/>
      </c>
      <c r="V53">
        <f>HYPERLINK("https://klasma.github.io/Logging_2085/klagomål/A 36050-2025 FSC-klagomål.docx", "A 36050-2025")</f>
        <v/>
      </c>
      <c r="W53">
        <f>HYPERLINK("https://klasma.github.io/Logging_2085/klagomålsmail/A 36050-2025 FSC-klagomål mail.docx", "A 36050-2025")</f>
        <v/>
      </c>
      <c r="X53">
        <f>HYPERLINK("https://klasma.github.io/Logging_2085/tillsyn/A 36050-2025 tillsynsbegäran.docx", "A 36050-2025")</f>
        <v/>
      </c>
      <c r="Y53">
        <f>HYPERLINK("https://klasma.github.io/Logging_2085/tillsynsmail/A 36050-2025 tillsynsbegäran mail.docx", "A 36050-2025")</f>
        <v/>
      </c>
      <c r="Z53">
        <f>HYPERLINK("https://klasma.github.io/Logging_2085/fåglar/A 36050-2025 prioriterade fågelarter.docx", "A 36050-2025")</f>
        <v/>
      </c>
    </row>
    <row r="54" ht="15" customHeight="1">
      <c r="A54" t="inlineStr">
        <is>
          <t>A 29144-2023</t>
        </is>
      </c>
      <c r="B54" s="1" t="n">
        <v>45105</v>
      </c>
      <c r="C54" s="1" t="n">
        <v>45912</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74401-2021</t>
        </is>
      </c>
      <c r="B55" s="1" t="n">
        <v>44560</v>
      </c>
      <c r="C55" s="1" t="n">
        <v>45912</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26850-2023</t>
        </is>
      </c>
      <c r="B56" s="1" t="n">
        <v>45093</v>
      </c>
      <c r="C56" s="1" t="n">
        <v>45912</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49660-2024</t>
        </is>
      </c>
      <c r="B57" s="1" t="n">
        <v>45596.63347222222</v>
      </c>
      <c r="C57" s="1" t="n">
        <v>45912</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Mörk husmossa</t>
        </is>
      </c>
      <c r="S57">
        <f>HYPERLINK("https://klasma.github.io/Logging_2085/artfynd/A 49660-2024 artfynd.xlsx", "A 49660-2024")</f>
        <v/>
      </c>
      <c r="T57">
        <f>HYPERLINK("https://klasma.github.io/Logging_2085/kartor/A 49660-2024 karta.png", "A 49660-2024")</f>
        <v/>
      </c>
      <c r="V57">
        <f>HYPERLINK("https://klasma.github.io/Logging_2085/klagomål/A 49660-2024 FSC-klagomål.docx", "A 49660-2024")</f>
        <v/>
      </c>
      <c r="W57">
        <f>HYPERLINK("https://klasma.github.io/Logging_2085/klagomålsmail/A 49660-2024 FSC-klagomål mail.docx", "A 49660-2024")</f>
        <v/>
      </c>
      <c r="X57">
        <f>HYPERLINK("https://klasma.github.io/Logging_2085/tillsyn/A 49660-2024 tillsynsbegäran.docx", "A 49660-2024")</f>
        <v/>
      </c>
      <c r="Y57">
        <f>HYPERLINK("https://klasma.github.io/Logging_2085/tillsynsmail/A 49660-2024 tillsynsbegäran mail.docx", "A 49660-2024")</f>
        <v/>
      </c>
    </row>
    <row r="58" ht="15" customHeight="1">
      <c r="A58" t="inlineStr">
        <is>
          <t>A 17959-2025</t>
        </is>
      </c>
      <c r="B58" s="1" t="n">
        <v>45761</v>
      </c>
      <c r="C58" s="1" t="n">
        <v>45912</v>
      </c>
      <c r="D58" t="inlineStr">
        <is>
          <t>DALARNAS LÄN</t>
        </is>
      </c>
      <c r="E58" t="inlineStr">
        <is>
          <t>LUDVIKA</t>
        </is>
      </c>
      <c r="F58" t="inlineStr">
        <is>
          <t>Bergvik skog väst AB</t>
        </is>
      </c>
      <c r="G58" t="n">
        <v>2.9</v>
      </c>
      <c r="H58" t="n">
        <v>0</v>
      </c>
      <c r="I58" t="n">
        <v>1</v>
      </c>
      <c r="J58" t="n">
        <v>0</v>
      </c>
      <c r="K58" t="n">
        <v>0</v>
      </c>
      <c r="L58" t="n">
        <v>0</v>
      </c>
      <c r="M58" t="n">
        <v>0</v>
      </c>
      <c r="N58" t="n">
        <v>0</v>
      </c>
      <c r="O58" t="n">
        <v>0</v>
      </c>
      <c r="P58" t="n">
        <v>0</v>
      </c>
      <c r="Q58" t="n">
        <v>1</v>
      </c>
      <c r="R58" s="2" t="inlineStr">
        <is>
          <t>Rödgul trumpetsvamp</t>
        </is>
      </c>
      <c r="S58">
        <f>HYPERLINK("https://klasma.github.io/Logging_2085/artfynd/A 17959-2025 artfynd.xlsx", "A 17959-2025")</f>
        <v/>
      </c>
      <c r="T58">
        <f>HYPERLINK("https://klasma.github.io/Logging_2085/kartor/A 17959-2025 karta.png", "A 17959-2025")</f>
        <v/>
      </c>
      <c r="V58">
        <f>HYPERLINK("https://klasma.github.io/Logging_2085/klagomål/A 17959-2025 FSC-klagomål.docx", "A 17959-2025")</f>
        <v/>
      </c>
      <c r="W58">
        <f>HYPERLINK("https://klasma.github.io/Logging_2085/klagomålsmail/A 17959-2025 FSC-klagomål mail.docx", "A 17959-2025")</f>
        <v/>
      </c>
      <c r="X58">
        <f>HYPERLINK("https://klasma.github.io/Logging_2085/tillsyn/A 17959-2025 tillsynsbegäran.docx", "A 17959-2025")</f>
        <v/>
      </c>
      <c r="Y58">
        <f>HYPERLINK("https://klasma.github.io/Logging_2085/tillsynsmail/A 17959-2025 tillsynsbegäran mail.docx", "A 17959-2025")</f>
        <v/>
      </c>
    </row>
    <row r="59" ht="15" customHeight="1">
      <c r="A59" t="inlineStr">
        <is>
          <t>A 45225-2024</t>
        </is>
      </c>
      <c r="B59" s="1" t="n">
        <v>45575.77649305556</v>
      </c>
      <c r="C59" s="1" t="n">
        <v>45912</v>
      </c>
      <c r="D59" t="inlineStr">
        <is>
          <t>DALARNAS LÄN</t>
        </is>
      </c>
      <c r="E59" t="inlineStr">
        <is>
          <t>LUDVIKA</t>
        </is>
      </c>
      <c r="G59" t="n">
        <v>1.1</v>
      </c>
      <c r="H59" t="n">
        <v>1</v>
      </c>
      <c r="I59" t="n">
        <v>0</v>
      </c>
      <c r="J59" t="n">
        <v>1</v>
      </c>
      <c r="K59" t="n">
        <v>0</v>
      </c>
      <c r="L59" t="n">
        <v>0</v>
      </c>
      <c r="M59" t="n">
        <v>0</v>
      </c>
      <c r="N59" t="n">
        <v>0</v>
      </c>
      <c r="O59" t="n">
        <v>1</v>
      </c>
      <c r="P59" t="n">
        <v>0</v>
      </c>
      <c r="Q59" t="n">
        <v>1</v>
      </c>
      <c r="R59" s="2" t="inlineStr">
        <is>
          <t>Ärtsångare</t>
        </is>
      </c>
      <c r="S59">
        <f>HYPERLINK("https://klasma.github.io/Logging_2085/artfynd/A 45225-2024 artfynd.xlsx", "A 45225-2024")</f>
        <v/>
      </c>
      <c r="T59">
        <f>HYPERLINK("https://klasma.github.io/Logging_2085/kartor/A 45225-2024 karta.png", "A 45225-2024")</f>
        <v/>
      </c>
      <c r="V59">
        <f>HYPERLINK("https://klasma.github.io/Logging_2085/klagomål/A 45225-2024 FSC-klagomål.docx", "A 45225-2024")</f>
        <v/>
      </c>
      <c r="W59">
        <f>HYPERLINK("https://klasma.github.io/Logging_2085/klagomålsmail/A 45225-2024 FSC-klagomål mail.docx", "A 45225-2024")</f>
        <v/>
      </c>
      <c r="X59">
        <f>HYPERLINK("https://klasma.github.io/Logging_2085/tillsyn/A 45225-2024 tillsynsbegäran.docx", "A 45225-2024")</f>
        <v/>
      </c>
      <c r="Y59">
        <f>HYPERLINK("https://klasma.github.io/Logging_2085/tillsynsmail/A 45225-2024 tillsynsbegäran mail.docx", "A 45225-2024")</f>
        <v/>
      </c>
      <c r="Z59">
        <f>HYPERLINK("https://klasma.github.io/Logging_2085/fåglar/A 45225-2024 prioriterade fågelarter.docx", "A 45225-2024")</f>
        <v/>
      </c>
    </row>
    <row r="60" ht="15" customHeight="1">
      <c r="A60" t="inlineStr">
        <is>
          <t>A 25588-2023</t>
        </is>
      </c>
      <c r="B60" s="1" t="n">
        <v>45089</v>
      </c>
      <c r="C60" s="1" t="n">
        <v>45912</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29733-2025</t>
        </is>
      </c>
      <c r="B61" s="1" t="n">
        <v>45825</v>
      </c>
      <c r="C61" s="1" t="n">
        <v>45912</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41456-2025</t>
        </is>
      </c>
      <c r="B62" s="1" t="n">
        <v>45901.44197916667</v>
      </c>
      <c r="C62" s="1" t="n">
        <v>45912</v>
      </c>
      <c r="D62" t="inlineStr">
        <is>
          <t>DALARNAS LÄN</t>
        </is>
      </c>
      <c r="E62" t="inlineStr">
        <is>
          <t>LUDVIKA</t>
        </is>
      </c>
      <c r="G62" t="n">
        <v>1.9</v>
      </c>
      <c r="H62" t="n">
        <v>0</v>
      </c>
      <c r="I62" t="n">
        <v>0</v>
      </c>
      <c r="J62" t="n">
        <v>0</v>
      </c>
      <c r="K62" t="n">
        <v>1</v>
      </c>
      <c r="L62" t="n">
        <v>0</v>
      </c>
      <c r="M62" t="n">
        <v>0</v>
      </c>
      <c r="N62" t="n">
        <v>0</v>
      </c>
      <c r="O62" t="n">
        <v>1</v>
      </c>
      <c r="P62" t="n">
        <v>1</v>
      </c>
      <c r="Q62" t="n">
        <v>1</v>
      </c>
      <c r="R62" s="2" t="inlineStr">
        <is>
          <t>Aspgelélav</t>
        </is>
      </c>
      <c r="S62">
        <f>HYPERLINK("https://klasma.github.io/Logging_2085/artfynd/A 41456-2025 artfynd.xlsx", "A 41456-2025")</f>
        <v/>
      </c>
      <c r="T62">
        <f>HYPERLINK("https://klasma.github.io/Logging_2085/kartor/A 41456-2025 karta.png", "A 41456-2025")</f>
        <v/>
      </c>
      <c r="V62">
        <f>HYPERLINK("https://klasma.github.io/Logging_2085/klagomål/A 41456-2025 FSC-klagomål.docx", "A 41456-2025")</f>
        <v/>
      </c>
      <c r="W62">
        <f>HYPERLINK("https://klasma.github.io/Logging_2085/klagomålsmail/A 41456-2025 FSC-klagomål mail.docx", "A 41456-2025")</f>
        <v/>
      </c>
      <c r="X62">
        <f>HYPERLINK("https://klasma.github.io/Logging_2085/tillsyn/A 41456-2025 tillsynsbegäran.docx", "A 41456-2025")</f>
        <v/>
      </c>
      <c r="Y62">
        <f>HYPERLINK("https://klasma.github.io/Logging_2085/tillsynsmail/A 41456-2025 tillsynsbegäran mail.docx", "A 41456-2025")</f>
        <v/>
      </c>
    </row>
    <row r="63" ht="15" customHeight="1">
      <c r="A63" t="inlineStr">
        <is>
          <t>A 33162-2025</t>
        </is>
      </c>
      <c r="B63" s="1" t="n">
        <v>45840</v>
      </c>
      <c r="C63" s="1" t="n">
        <v>45912</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43226-2025</t>
        </is>
      </c>
      <c r="B64" s="1" t="n">
        <v>45910.49210648148</v>
      </c>
      <c r="C64" s="1" t="n">
        <v>45912</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3809-2024</t>
        </is>
      </c>
      <c r="B65" s="1" t="n">
        <v>45321</v>
      </c>
      <c r="C65" s="1" t="n">
        <v>45912</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17987-2025</t>
        </is>
      </c>
      <c r="B66" s="1" t="n">
        <v>45761.39600694444</v>
      </c>
      <c r="C66" s="1" t="n">
        <v>45912</v>
      </c>
      <c r="D66" t="inlineStr">
        <is>
          <t>DALARNAS LÄN</t>
        </is>
      </c>
      <c r="E66" t="inlineStr">
        <is>
          <t>LUDVIKA</t>
        </is>
      </c>
      <c r="G66" t="n">
        <v>0.5</v>
      </c>
      <c r="H66" t="n">
        <v>1</v>
      </c>
      <c r="I66" t="n">
        <v>0</v>
      </c>
      <c r="J66" t="n">
        <v>1</v>
      </c>
      <c r="K66" t="n">
        <v>0</v>
      </c>
      <c r="L66" t="n">
        <v>0</v>
      </c>
      <c r="M66" t="n">
        <v>0</v>
      </c>
      <c r="N66" t="n">
        <v>0</v>
      </c>
      <c r="O66" t="n">
        <v>1</v>
      </c>
      <c r="P66" t="n">
        <v>0</v>
      </c>
      <c r="Q66" t="n">
        <v>1</v>
      </c>
      <c r="R66" s="2" t="inlineStr">
        <is>
          <t>Talltita</t>
        </is>
      </c>
      <c r="S66">
        <f>HYPERLINK("https://klasma.github.io/Logging_2085/artfynd/A 17987-2025 artfynd.xlsx", "A 17987-2025")</f>
        <v/>
      </c>
      <c r="T66">
        <f>HYPERLINK("https://klasma.github.io/Logging_2085/kartor/A 17987-2025 karta.png", "A 17987-2025")</f>
        <v/>
      </c>
      <c r="V66">
        <f>HYPERLINK("https://klasma.github.io/Logging_2085/klagomål/A 17987-2025 FSC-klagomål.docx", "A 17987-2025")</f>
        <v/>
      </c>
      <c r="W66">
        <f>HYPERLINK("https://klasma.github.io/Logging_2085/klagomålsmail/A 17987-2025 FSC-klagomål mail.docx", "A 17987-2025")</f>
        <v/>
      </c>
      <c r="X66">
        <f>HYPERLINK("https://klasma.github.io/Logging_2085/tillsyn/A 17987-2025 tillsynsbegäran.docx", "A 17987-2025")</f>
        <v/>
      </c>
      <c r="Y66">
        <f>HYPERLINK("https://klasma.github.io/Logging_2085/tillsynsmail/A 17987-2025 tillsynsbegäran mail.docx", "A 17987-2025")</f>
        <v/>
      </c>
      <c r="Z66">
        <f>HYPERLINK("https://klasma.github.io/Logging_2085/fåglar/A 17987-2025 prioriterade fågelarter.docx", "A 17987-2025")</f>
        <v/>
      </c>
    </row>
    <row r="67" ht="15" customHeight="1">
      <c r="A67" t="inlineStr">
        <is>
          <t>A 65150-2020</t>
        </is>
      </c>
      <c r="B67" s="1" t="n">
        <v>44168</v>
      </c>
      <c r="C67" s="1" t="n">
        <v>45912</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45912</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45912</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45912</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45912</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45912</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45912</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45912</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45912</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45912</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45912</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45912</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47194-2020</t>
        </is>
      </c>
      <c r="B79" s="1" t="n">
        <v>44097</v>
      </c>
      <c r="C79" s="1" t="n">
        <v>45912</v>
      </c>
      <c r="D79" t="inlineStr">
        <is>
          <t>DALARNAS LÄN</t>
        </is>
      </c>
      <c r="E79" t="inlineStr">
        <is>
          <t>LUDVIKA</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45912</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45912</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45912</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45912</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45912</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45912</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48482-2020</t>
        </is>
      </c>
      <c r="B86" s="1" t="n">
        <v>44103</v>
      </c>
      <c r="C86" s="1" t="n">
        <v>45912</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29789-2021</t>
        </is>
      </c>
      <c r="B87" s="1" t="n">
        <v>44362</v>
      </c>
      <c r="C87" s="1" t="n">
        <v>45912</v>
      </c>
      <c r="D87" t="inlineStr">
        <is>
          <t>DALARNAS LÄN</t>
        </is>
      </c>
      <c r="E87" t="inlineStr">
        <is>
          <t>LUDVIKA</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31921-2021</t>
        </is>
      </c>
      <c r="B88" s="1" t="n">
        <v>44370</v>
      </c>
      <c r="C88" s="1" t="n">
        <v>45912</v>
      </c>
      <c r="D88" t="inlineStr">
        <is>
          <t>DALARNAS LÄN</t>
        </is>
      </c>
      <c r="E88" t="inlineStr">
        <is>
          <t>LUDVIKA</t>
        </is>
      </c>
      <c r="F88" t="inlineStr">
        <is>
          <t>Övriga Aktiebolag</t>
        </is>
      </c>
      <c r="G88" t="n">
        <v>0.5</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45912</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31086-2021</t>
        </is>
      </c>
      <c r="B90" s="1" t="n">
        <v>44368.49107638889</v>
      </c>
      <c r="C90" s="1" t="n">
        <v>45912</v>
      </c>
      <c r="D90" t="inlineStr">
        <is>
          <t>DALARNAS LÄN</t>
        </is>
      </c>
      <c r="E90" t="inlineStr">
        <is>
          <t>LUDVIKA</t>
        </is>
      </c>
      <c r="G90" t="n">
        <v>0.8</v>
      </c>
      <c r="H90" t="n">
        <v>0</v>
      </c>
      <c r="I90" t="n">
        <v>0</v>
      </c>
      <c r="J90" t="n">
        <v>0</v>
      </c>
      <c r="K90" t="n">
        <v>0</v>
      </c>
      <c r="L90" t="n">
        <v>0</v>
      </c>
      <c r="M90" t="n">
        <v>0</v>
      </c>
      <c r="N90" t="n">
        <v>0</v>
      </c>
      <c r="O90" t="n">
        <v>0</v>
      </c>
      <c r="P90" t="n">
        <v>0</v>
      </c>
      <c r="Q90" t="n">
        <v>0</v>
      </c>
      <c r="R90" s="2" t="inlineStr"/>
    </row>
    <row r="91" ht="15" customHeight="1">
      <c r="A91" t="inlineStr">
        <is>
          <t>A 55646-2020</t>
        </is>
      </c>
      <c r="B91" s="1" t="n">
        <v>44131</v>
      </c>
      <c r="C91" s="1" t="n">
        <v>45912</v>
      </c>
      <c r="D91" t="inlineStr">
        <is>
          <t>DALARNAS LÄN</t>
        </is>
      </c>
      <c r="E91" t="inlineStr">
        <is>
          <t>LUDVIKA</t>
        </is>
      </c>
      <c r="G91" t="n">
        <v>0.5</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45912</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45912</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46284-2020</t>
        </is>
      </c>
      <c r="B94" s="1" t="n">
        <v>44092</v>
      </c>
      <c r="C94" s="1" t="n">
        <v>45912</v>
      </c>
      <c r="D94" t="inlineStr">
        <is>
          <t>DALARNAS LÄN</t>
        </is>
      </c>
      <c r="E94" t="inlineStr">
        <is>
          <t>LUDVIKA</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49977-2021</t>
        </is>
      </c>
      <c r="B95" s="1" t="n">
        <v>44456</v>
      </c>
      <c r="C95" s="1" t="n">
        <v>45912</v>
      </c>
      <c r="D95" t="inlineStr">
        <is>
          <t>DALARNAS LÄN</t>
        </is>
      </c>
      <c r="E95" t="inlineStr">
        <is>
          <t>LUDVIKA</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13051-2022</t>
        </is>
      </c>
      <c r="B96" s="1" t="n">
        <v>44643</v>
      </c>
      <c r="C96" s="1" t="n">
        <v>45912</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53960-2020</t>
        </is>
      </c>
      <c r="B97" s="1" t="n">
        <v>44123</v>
      </c>
      <c r="C97" s="1" t="n">
        <v>45912</v>
      </c>
      <c r="D97" t="inlineStr">
        <is>
          <t>DALARNAS LÄN</t>
        </is>
      </c>
      <c r="E97" t="inlineStr">
        <is>
          <t>LUDVIKA</t>
        </is>
      </c>
      <c r="G97" t="n">
        <v>3.5</v>
      </c>
      <c r="H97" t="n">
        <v>0</v>
      </c>
      <c r="I97" t="n">
        <v>0</v>
      </c>
      <c r="J97" t="n">
        <v>0</v>
      </c>
      <c r="K97" t="n">
        <v>0</v>
      </c>
      <c r="L97" t="n">
        <v>0</v>
      </c>
      <c r="M97" t="n">
        <v>0</v>
      </c>
      <c r="N97" t="n">
        <v>0</v>
      </c>
      <c r="O97" t="n">
        <v>0</v>
      </c>
      <c r="P97" t="n">
        <v>0</v>
      </c>
      <c r="Q97" t="n">
        <v>0</v>
      </c>
      <c r="R97" s="2" t="inlineStr"/>
    </row>
    <row r="98" ht="15" customHeight="1">
      <c r="A98" t="inlineStr">
        <is>
          <t>A 4569-2021</t>
        </is>
      </c>
      <c r="B98" s="1" t="n">
        <v>44224</v>
      </c>
      <c r="C98" s="1" t="n">
        <v>45912</v>
      </c>
      <c r="D98" t="inlineStr">
        <is>
          <t>DALARNAS LÄN</t>
        </is>
      </c>
      <c r="E98" t="inlineStr">
        <is>
          <t>LUDVIKA</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50273-2021</t>
        </is>
      </c>
      <c r="B99" s="1" t="n">
        <v>44459.29900462963</v>
      </c>
      <c r="C99" s="1" t="n">
        <v>45912</v>
      </c>
      <c r="D99" t="inlineStr">
        <is>
          <t>DALARNAS LÄN</t>
        </is>
      </c>
      <c r="E99" t="inlineStr">
        <is>
          <t>LUDVIKA</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25297-2022</t>
        </is>
      </c>
      <c r="B100" s="1" t="n">
        <v>44730.99023148148</v>
      </c>
      <c r="C100" s="1" t="n">
        <v>45912</v>
      </c>
      <c r="D100" t="inlineStr">
        <is>
          <t>DALARNAS LÄN</t>
        </is>
      </c>
      <c r="E100" t="inlineStr">
        <is>
          <t>LUDVIKA</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33032-2021</t>
        </is>
      </c>
      <c r="B101" s="1" t="n">
        <v>44376.4954050926</v>
      </c>
      <c r="C101" s="1" t="n">
        <v>45912</v>
      </c>
      <c r="D101" t="inlineStr">
        <is>
          <t>DALARNAS LÄN</t>
        </is>
      </c>
      <c r="E101" t="inlineStr">
        <is>
          <t>LUDVIKA</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45912</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35720-2021</t>
        </is>
      </c>
      <c r="B103" s="1" t="n">
        <v>44386</v>
      </c>
      <c r="C103" s="1" t="n">
        <v>45912</v>
      </c>
      <c r="D103" t="inlineStr">
        <is>
          <t>DALARNAS LÄN</t>
        </is>
      </c>
      <c r="E103" t="inlineStr">
        <is>
          <t>LUDVIKA</t>
        </is>
      </c>
      <c r="F103" t="inlineStr">
        <is>
          <t>Kyrkan</t>
        </is>
      </c>
      <c r="G103" t="n">
        <v>1.9</v>
      </c>
      <c r="H103" t="n">
        <v>0</v>
      </c>
      <c r="I103" t="n">
        <v>0</v>
      </c>
      <c r="J103" t="n">
        <v>0</v>
      </c>
      <c r="K103" t="n">
        <v>0</v>
      </c>
      <c r="L103" t="n">
        <v>0</v>
      </c>
      <c r="M103" t="n">
        <v>0</v>
      </c>
      <c r="N103" t="n">
        <v>0</v>
      </c>
      <c r="O103" t="n">
        <v>0</v>
      </c>
      <c r="P103" t="n">
        <v>0</v>
      </c>
      <c r="Q103" t="n">
        <v>0</v>
      </c>
      <c r="R103" s="2" t="inlineStr"/>
    </row>
    <row r="104" ht="15" customHeight="1">
      <c r="A104" t="inlineStr">
        <is>
          <t>A 7073-2021</t>
        </is>
      </c>
      <c r="B104" s="1" t="n">
        <v>44237</v>
      </c>
      <c r="C104" s="1" t="n">
        <v>45912</v>
      </c>
      <c r="D104" t="inlineStr">
        <is>
          <t>DALARNAS LÄN</t>
        </is>
      </c>
      <c r="E104" t="inlineStr">
        <is>
          <t>LUDVIKA</t>
        </is>
      </c>
      <c r="G104" t="n">
        <v>0.9</v>
      </c>
      <c r="H104" t="n">
        <v>0</v>
      </c>
      <c r="I104" t="n">
        <v>0</v>
      </c>
      <c r="J104" t="n">
        <v>0</v>
      </c>
      <c r="K104" t="n">
        <v>0</v>
      </c>
      <c r="L104" t="n">
        <v>0</v>
      </c>
      <c r="M104" t="n">
        <v>0</v>
      </c>
      <c r="N104" t="n">
        <v>0</v>
      </c>
      <c r="O104" t="n">
        <v>0</v>
      </c>
      <c r="P104" t="n">
        <v>0</v>
      </c>
      <c r="Q104" t="n">
        <v>0</v>
      </c>
      <c r="R104" s="2" t="inlineStr"/>
    </row>
    <row r="105" ht="15" customHeight="1">
      <c r="A105" t="inlineStr">
        <is>
          <t>A 31272-2022</t>
        </is>
      </c>
      <c r="B105" s="1" t="n">
        <v>44771.62211805556</v>
      </c>
      <c r="C105" s="1" t="n">
        <v>45912</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57002-2021</t>
        </is>
      </c>
      <c r="B106" s="1" t="n">
        <v>44482.46922453704</v>
      </c>
      <c r="C106" s="1" t="n">
        <v>45912</v>
      </c>
      <c r="D106" t="inlineStr">
        <is>
          <t>DALARNAS LÄN</t>
        </is>
      </c>
      <c r="E106" t="inlineStr">
        <is>
          <t>LUDVIKA</t>
        </is>
      </c>
      <c r="G106" t="n">
        <v>3.5</v>
      </c>
      <c r="H106" t="n">
        <v>0</v>
      </c>
      <c r="I106" t="n">
        <v>0</v>
      </c>
      <c r="J106" t="n">
        <v>0</v>
      </c>
      <c r="K106" t="n">
        <v>0</v>
      </c>
      <c r="L106" t="n">
        <v>0</v>
      </c>
      <c r="M106" t="n">
        <v>0</v>
      </c>
      <c r="N106" t="n">
        <v>0</v>
      </c>
      <c r="O106" t="n">
        <v>0</v>
      </c>
      <c r="P106" t="n">
        <v>0</v>
      </c>
      <c r="Q106" t="n">
        <v>0</v>
      </c>
      <c r="R106" s="2" t="inlineStr"/>
    </row>
    <row r="107" ht="15" customHeight="1">
      <c r="A107" t="inlineStr">
        <is>
          <t>A 63267-2021</t>
        </is>
      </c>
      <c r="B107" s="1" t="n">
        <v>44508</v>
      </c>
      <c r="C107" s="1" t="n">
        <v>45912</v>
      </c>
      <c r="D107" t="inlineStr">
        <is>
          <t>DALARNAS LÄN</t>
        </is>
      </c>
      <c r="E107" t="inlineStr">
        <is>
          <t>LUDVIKA</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40582-2021</t>
        </is>
      </c>
      <c r="B108" s="1" t="n">
        <v>44420</v>
      </c>
      <c r="C108" s="1" t="n">
        <v>45912</v>
      </c>
      <c r="D108" t="inlineStr">
        <is>
          <t>DALARNAS LÄN</t>
        </is>
      </c>
      <c r="E108" t="inlineStr">
        <is>
          <t>LUDVIKA</t>
        </is>
      </c>
      <c r="G108" t="n">
        <v>2.2</v>
      </c>
      <c r="H108" t="n">
        <v>0</v>
      </c>
      <c r="I108" t="n">
        <v>0</v>
      </c>
      <c r="J108" t="n">
        <v>0</v>
      </c>
      <c r="K108" t="n">
        <v>0</v>
      </c>
      <c r="L108" t="n">
        <v>0</v>
      </c>
      <c r="M108" t="n">
        <v>0</v>
      </c>
      <c r="N108" t="n">
        <v>0</v>
      </c>
      <c r="O108" t="n">
        <v>0</v>
      </c>
      <c r="P108" t="n">
        <v>0</v>
      </c>
      <c r="Q108" t="n">
        <v>0</v>
      </c>
      <c r="R108" s="2" t="inlineStr"/>
    </row>
    <row r="109" ht="15" customHeight="1">
      <c r="A109" t="inlineStr">
        <is>
          <t>A 54279-2021</t>
        </is>
      </c>
      <c r="B109" s="1" t="n">
        <v>44470</v>
      </c>
      <c r="C109" s="1" t="n">
        <v>45912</v>
      </c>
      <c r="D109" t="inlineStr">
        <is>
          <t>DALARNAS LÄN</t>
        </is>
      </c>
      <c r="E109" t="inlineStr">
        <is>
          <t>LUDVIKA</t>
        </is>
      </c>
      <c r="G109" t="n">
        <v>1.1</v>
      </c>
      <c r="H109" t="n">
        <v>0</v>
      </c>
      <c r="I109" t="n">
        <v>0</v>
      </c>
      <c r="J109" t="n">
        <v>0</v>
      </c>
      <c r="K109" t="n">
        <v>0</v>
      </c>
      <c r="L109" t="n">
        <v>0</v>
      </c>
      <c r="M109" t="n">
        <v>0</v>
      </c>
      <c r="N109" t="n">
        <v>0</v>
      </c>
      <c r="O109" t="n">
        <v>0</v>
      </c>
      <c r="P109" t="n">
        <v>0</v>
      </c>
      <c r="Q109" t="n">
        <v>0</v>
      </c>
      <c r="R109" s="2" t="inlineStr"/>
    </row>
    <row r="110" ht="15" customHeight="1">
      <c r="A110" t="inlineStr">
        <is>
          <t>A 23345-2022</t>
        </is>
      </c>
      <c r="B110" s="1" t="n">
        <v>44720</v>
      </c>
      <c r="C110" s="1" t="n">
        <v>45912</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22920-2022</t>
        </is>
      </c>
      <c r="B111" s="1" t="n">
        <v>44715.63222222222</v>
      </c>
      <c r="C111" s="1" t="n">
        <v>45912</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25291-2022</t>
        </is>
      </c>
      <c r="B112" s="1" t="n">
        <v>44730.92502314815</v>
      </c>
      <c r="C112" s="1" t="n">
        <v>45912</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32015-2021</t>
        </is>
      </c>
      <c r="B113" s="1" t="n">
        <v>44370</v>
      </c>
      <c r="C113" s="1" t="n">
        <v>45912</v>
      </c>
      <c r="D113" t="inlineStr">
        <is>
          <t>DALARNAS LÄN</t>
        </is>
      </c>
      <c r="E113" t="inlineStr">
        <is>
          <t>LUDVIKA</t>
        </is>
      </c>
      <c r="G113" t="n">
        <v>1.6</v>
      </c>
      <c r="H113" t="n">
        <v>0</v>
      </c>
      <c r="I113" t="n">
        <v>0</v>
      </c>
      <c r="J113" t="n">
        <v>0</v>
      </c>
      <c r="K113" t="n">
        <v>0</v>
      </c>
      <c r="L113" t="n">
        <v>0</v>
      </c>
      <c r="M113" t="n">
        <v>0</v>
      </c>
      <c r="N113" t="n">
        <v>0</v>
      </c>
      <c r="O113" t="n">
        <v>0</v>
      </c>
      <c r="P113" t="n">
        <v>0</v>
      </c>
      <c r="Q113" t="n">
        <v>0</v>
      </c>
      <c r="R113" s="2" t="inlineStr"/>
    </row>
    <row r="114" ht="15" customHeight="1">
      <c r="A114" t="inlineStr">
        <is>
          <t>A 46147-2020</t>
        </is>
      </c>
      <c r="B114" s="1" t="n">
        <v>44092.02873842593</v>
      </c>
      <c r="C114" s="1" t="n">
        <v>45912</v>
      </c>
      <c r="D114" t="inlineStr">
        <is>
          <t>DALARNAS LÄN</t>
        </is>
      </c>
      <c r="E114" t="inlineStr">
        <is>
          <t>LUDVIKA</t>
        </is>
      </c>
      <c r="G114" t="n">
        <v>0.5</v>
      </c>
      <c r="H114" t="n">
        <v>0</v>
      </c>
      <c r="I114" t="n">
        <v>0</v>
      </c>
      <c r="J114" t="n">
        <v>0</v>
      </c>
      <c r="K114" t="n">
        <v>0</v>
      </c>
      <c r="L114" t="n">
        <v>0</v>
      </c>
      <c r="M114" t="n">
        <v>0</v>
      </c>
      <c r="N114" t="n">
        <v>0</v>
      </c>
      <c r="O114" t="n">
        <v>0</v>
      </c>
      <c r="P114" t="n">
        <v>0</v>
      </c>
      <c r="Q114" t="n">
        <v>0</v>
      </c>
      <c r="R114" s="2" t="inlineStr"/>
    </row>
    <row r="115" ht="15" customHeight="1">
      <c r="A115" t="inlineStr">
        <is>
          <t>A 52853-2020</t>
        </is>
      </c>
      <c r="B115" s="1" t="n">
        <v>44119</v>
      </c>
      <c r="C115" s="1" t="n">
        <v>45912</v>
      </c>
      <c r="D115" t="inlineStr">
        <is>
          <t>DALARNAS LÄN</t>
        </is>
      </c>
      <c r="E115" t="inlineStr">
        <is>
          <t>LUDVIKA</t>
        </is>
      </c>
      <c r="G115" t="n">
        <v>28</v>
      </c>
      <c r="H115" t="n">
        <v>0</v>
      </c>
      <c r="I115" t="n">
        <v>0</v>
      </c>
      <c r="J115" t="n">
        <v>0</v>
      </c>
      <c r="K115" t="n">
        <v>0</v>
      </c>
      <c r="L115" t="n">
        <v>0</v>
      </c>
      <c r="M115" t="n">
        <v>0</v>
      </c>
      <c r="N115" t="n">
        <v>0</v>
      </c>
      <c r="O115" t="n">
        <v>0</v>
      </c>
      <c r="P115" t="n">
        <v>0</v>
      </c>
      <c r="Q115" t="n">
        <v>0</v>
      </c>
      <c r="R115" s="2" t="inlineStr"/>
    </row>
    <row r="116" ht="15" customHeight="1">
      <c r="A116" t="inlineStr">
        <is>
          <t>A 37384-2021</t>
        </is>
      </c>
      <c r="B116" s="1" t="n">
        <v>44397</v>
      </c>
      <c r="C116" s="1" t="n">
        <v>45912</v>
      </c>
      <c r="D116" t="inlineStr">
        <is>
          <t>DALARNAS LÄN</t>
        </is>
      </c>
      <c r="E116" t="inlineStr">
        <is>
          <t>LUDVIKA</t>
        </is>
      </c>
      <c r="F116" t="inlineStr">
        <is>
          <t>Kommuner</t>
        </is>
      </c>
      <c r="G116" t="n">
        <v>5.5</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45912</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15145-2022</t>
        </is>
      </c>
      <c r="B118" s="1" t="n">
        <v>44658</v>
      </c>
      <c r="C118" s="1" t="n">
        <v>45912</v>
      </c>
      <c r="D118" t="inlineStr">
        <is>
          <t>DALARNAS LÄN</t>
        </is>
      </c>
      <c r="E118" t="inlineStr">
        <is>
          <t>LUDVIKA</t>
        </is>
      </c>
      <c r="G118" t="n">
        <v>3.7</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45912</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45912</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61838-2020</t>
        </is>
      </c>
      <c r="B121" s="1" t="n">
        <v>44159</v>
      </c>
      <c r="C121" s="1" t="n">
        <v>45912</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45613-2020</t>
        </is>
      </c>
      <c r="B122" s="1" t="n">
        <v>44090</v>
      </c>
      <c r="C122" s="1" t="n">
        <v>45912</v>
      </c>
      <c r="D122" t="inlineStr">
        <is>
          <t>DALARNAS LÄN</t>
        </is>
      </c>
      <c r="E122" t="inlineStr">
        <is>
          <t>LUDVIKA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45313-2021</t>
        </is>
      </c>
      <c r="B123" s="1" t="n">
        <v>44439</v>
      </c>
      <c r="C123" s="1" t="n">
        <v>45912</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4551-2022</t>
        </is>
      </c>
      <c r="B124" s="1" t="n">
        <v>44590.92709490741</v>
      </c>
      <c r="C124" s="1" t="n">
        <v>45912</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47471-2020</t>
        </is>
      </c>
      <c r="B125" s="1" t="n">
        <v>44097</v>
      </c>
      <c r="C125" s="1" t="n">
        <v>45912</v>
      </c>
      <c r="D125" t="inlineStr">
        <is>
          <t>DALARNAS LÄN</t>
        </is>
      </c>
      <c r="E125" t="inlineStr">
        <is>
          <t>LUDVIKA</t>
        </is>
      </c>
      <c r="G125" t="n">
        <v>0.7</v>
      </c>
      <c r="H125" t="n">
        <v>0</v>
      </c>
      <c r="I125" t="n">
        <v>0</v>
      </c>
      <c r="J125" t="n">
        <v>0</v>
      </c>
      <c r="K125" t="n">
        <v>0</v>
      </c>
      <c r="L125" t="n">
        <v>0</v>
      </c>
      <c r="M125" t="n">
        <v>0</v>
      </c>
      <c r="N125" t="n">
        <v>0</v>
      </c>
      <c r="O125" t="n">
        <v>0</v>
      </c>
      <c r="P125" t="n">
        <v>0</v>
      </c>
      <c r="Q125" t="n">
        <v>0</v>
      </c>
      <c r="R125" s="2" t="inlineStr"/>
    </row>
    <row r="126" ht="15" customHeight="1">
      <c r="A126" t="inlineStr">
        <is>
          <t>A 3403-2021</t>
        </is>
      </c>
      <c r="B126" s="1" t="n">
        <v>44218</v>
      </c>
      <c r="C126" s="1" t="n">
        <v>45912</v>
      </c>
      <c r="D126" t="inlineStr">
        <is>
          <t>DALARNAS LÄN</t>
        </is>
      </c>
      <c r="E126" t="inlineStr">
        <is>
          <t>LUDVIKA</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45912</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45912</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45309-2020</t>
        </is>
      </c>
      <c r="B129" s="1" t="n">
        <v>44089.40298611111</v>
      </c>
      <c r="C129" s="1" t="n">
        <v>45912</v>
      </c>
      <c r="D129" t="inlineStr">
        <is>
          <t>DALARNAS LÄN</t>
        </is>
      </c>
      <c r="E129" t="inlineStr">
        <is>
          <t>LUDVIKA</t>
        </is>
      </c>
      <c r="G129" t="n">
        <v>0.6</v>
      </c>
      <c r="H129" t="n">
        <v>0</v>
      </c>
      <c r="I129" t="n">
        <v>0</v>
      </c>
      <c r="J129" t="n">
        <v>0</v>
      </c>
      <c r="K129" t="n">
        <v>0</v>
      </c>
      <c r="L129" t="n">
        <v>0</v>
      </c>
      <c r="M129" t="n">
        <v>0</v>
      </c>
      <c r="N129" t="n">
        <v>0</v>
      </c>
      <c r="O129" t="n">
        <v>0</v>
      </c>
      <c r="P129" t="n">
        <v>0</v>
      </c>
      <c r="Q129" t="n">
        <v>0</v>
      </c>
      <c r="R129" s="2" t="inlineStr"/>
    </row>
    <row r="130" ht="15" customHeight="1">
      <c r="A130" t="inlineStr">
        <is>
          <t>A 21466-2022</t>
        </is>
      </c>
      <c r="B130" s="1" t="n">
        <v>44706</v>
      </c>
      <c r="C130" s="1" t="n">
        <v>45912</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63799-2020</t>
        </is>
      </c>
      <c r="B131" s="1" t="n">
        <v>44165</v>
      </c>
      <c r="C131" s="1" t="n">
        <v>45912</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48557-2020</t>
        </is>
      </c>
      <c r="B132" s="1" t="n">
        <v>44103</v>
      </c>
      <c r="C132" s="1" t="n">
        <v>45912</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33416-2021</t>
        </is>
      </c>
      <c r="B133" s="1" t="n">
        <v>44377</v>
      </c>
      <c r="C133" s="1" t="n">
        <v>45912</v>
      </c>
      <c r="D133" t="inlineStr">
        <is>
          <t>DALARNAS LÄN</t>
        </is>
      </c>
      <c r="E133" t="inlineStr">
        <is>
          <t>LUDVIKA</t>
        </is>
      </c>
      <c r="F133" t="inlineStr">
        <is>
          <t>Bergvik skog väst AB</t>
        </is>
      </c>
      <c r="G133" t="n">
        <v>8</v>
      </c>
      <c r="H133" t="n">
        <v>0</v>
      </c>
      <c r="I133" t="n">
        <v>0</v>
      </c>
      <c r="J133" t="n">
        <v>0</v>
      </c>
      <c r="K133" t="n">
        <v>0</v>
      </c>
      <c r="L133" t="n">
        <v>0</v>
      </c>
      <c r="M133" t="n">
        <v>0</v>
      </c>
      <c r="N133" t="n">
        <v>0</v>
      </c>
      <c r="O133" t="n">
        <v>0</v>
      </c>
      <c r="P133" t="n">
        <v>0</v>
      </c>
      <c r="Q133" t="n">
        <v>0</v>
      </c>
      <c r="R133" s="2" t="inlineStr"/>
    </row>
    <row r="134" ht="15" customHeight="1">
      <c r="A134" t="inlineStr">
        <is>
          <t>A 33108-2022</t>
        </is>
      </c>
      <c r="B134" s="1" t="n">
        <v>44785</v>
      </c>
      <c r="C134" s="1" t="n">
        <v>45912</v>
      </c>
      <c r="D134" t="inlineStr">
        <is>
          <t>DALARNAS LÄN</t>
        </is>
      </c>
      <c r="E134" t="inlineStr">
        <is>
          <t>LUDVIKA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23101-2021</t>
        </is>
      </c>
      <c r="B135" s="1" t="n">
        <v>44330.486875</v>
      </c>
      <c r="C135" s="1" t="n">
        <v>45912</v>
      </c>
      <c r="D135" t="inlineStr">
        <is>
          <t>DALARNAS LÄN</t>
        </is>
      </c>
      <c r="E135" t="inlineStr">
        <is>
          <t>LUDVIKA</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46680-2022</t>
        </is>
      </c>
      <c r="B136" s="1" t="n">
        <v>44851.3506712963</v>
      </c>
      <c r="C136" s="1" t="n">
        <v>45912</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52425-2020</t>
        </is>
      </c>
      <c r="B137" s="1" t="n">
        <v>44118</v>
      </c>
      <c r="C137" s="1" t="n">
        <v>45912</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56996-2021</t>
        </is>
      </c>
      <c r="B138" s="1" t="n">
        <v>44482.46025462963</v>
      </c>
      <c r="C138" s="1" t="n">
        <v>45912</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18187-2025</t>
        </is>
      </c>
      <c r="B139" s="1" t="n">
        <v>45761.66826388889</v>
      </c>
      <c r="C139" s="1" t="n">
        <v>45912</v>
      </c>
      <c r="D139" t="inlineStr">
        <is>
          <t>DALARNAS LÄN</t>
        </is>
      </c>
      <c r="E139" t="inlineStr">
        <is>
          <t>LUDVIKA</t>
        </is>
      </c>
      <c r="G139" t="n">
        <v>1.9</v>
      </c>
      <c r="H139" t="n">
        <v>0</v>
      </c>
      <c r="I139" t="n">
        <v>0</v>
      </c>
      <c r="J139" t="n">
        <v>0</v>
      </c>
      <c r="K139" t="n">
        <v>0</v>
      </c>
      <c r="L139" t="n">
        <v>0</v>
      </c>
      <c r="M139" t="n">
        <v>0</v>
      </c>
      <c r="N139" t="n">
        <v>0</v>
      </c>
      <c r="O139" t="n">
        <v>0</v>
      </c>
      <c r="P139" t="n">
        <v>0</v>
      </c>
      <c r="Q139" t="n">
        <v>0</v>
      </c>
      <c r="R139" s="2" t="inlineStr"/>
    </row>
    <row r="140" ht="15" customHeight="1">
      <c r="A140" t="inlineStr">
        <is>
          <t>A 53048-2024</t>
        </is>
      </c>
      <c r="B140" s="1" t="n">
        <v>45611.45319444445</v>
      </c>
      <c r="C140" s="1" t="n">
        <v>45912</v>
      </c>
      <c r="D140" t="inlineStr">
        <is>
          <t>DALARNAS LÄN</t>
        </is>
      </c>
      <c r="E140" t="inlineStr">
        <is>
          <t>LUDVIKA</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39247-2021</t>
        </is>
      </c>
      <c r="B141" s="1" t="n">
        <v>44413</v>
      </c>
      <c r="C141" s="1" t="n">
        <v>45912</v>
      </c>
      <c r="D141" t="inlineStr">
        <is>
          <t>DALARNAS LÄN</t>
        </is>
      </c>
      <c r="E141" t="inlineStr">
        <is>
          <t>LUDVIKA</t>
        </is>
      </c>
      <c r="G141" t="n">
        <v>6</v>
      </c>
      <c r="H141" t="n">
        <v>0</v>
      </c>
      <c r="I141" t="n">
        <v>0</v>
      </c>
      <c r="J141" t="n">
        <v>0</v>
      </c>
      <c r="K141" t="n">
        <v>0</v>
      </c>
      <c r="L141" t="n">
        <v>0</v>
      </c>
      <c r="M141" t="n">
        <v>0</v>
      </c>
      <c r="N141" t="n">
        <v>0</v>
      </c>
      <c r="O141" t="n">
        <v>0</v>
      </c>
      <c r="P141" t="n">
        <v>0</v>
      </c>
      <c r="Q141" t="n">
        <v>0</v>
      </c>
      <c r="R141" s="2" t="inlineStr"/>
    </row>
    <row r="142" ht="15" customHeight="1">
      <c r="A142" t="inlineStr">
        <is>
          <t>A 22000-2022</t>
        </is>
      </c>
      <c r="B142" s="1" t="n">
        <v>44711</v>
      </c>
      <c r="C142" s="1" t="n">
        <v>45912</v>
      </c>
      <c r="D142" t="inlineStr">
        <is>
          <t>DALARNAS LÄN</t>
        </is>
      </c>
      <c r="E142" t="inlineStr">
        <is>
          <t>LUDVIKA</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51886-2022</t>
        </is>
      </c>
      <c r="B143" s="1" t="n">
        <v>44872</v>
      </c>
      <c r="C143" s="1" t="n">
        <v>45912</v>
      </c>
      <c r="D143" t="inlineStr">
        <is>
          <t>DALARNAS LÄN</t>
        </is>
      </c>
      <c r="E143" t="inlineStr">
        <is>
          <t>LUDVIKA</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53509-2022</t>
        </is>
      </c>
      <c r="B144" s="1" t="n">
        <v>44879</v>
      </c>
      <c r="C144" s="1" t="n">
        <v>45912</v>
      </c>
      <c r="D144" t="inlineStr">
        <is>
          <t>DALARNAS LÄN</t>
        </is>
      </c>
      <c r="E144" t="inlineStr">
        <is>
          <t>LUDVIKA</t>
        </is>
      </c>
      <c r="F144" t="inlineStr">
        <is>
          <t>Naturvårdsverket</t>
        </is>
      </c>
      <c r="G144" t="n">
        <v>4.9</v>
      </c>
      <c r="H144" t="n">
        <v>0</v>
      </c>
      <c r="I144" t="n">
        <v>0</v>
      </c>
      <c r="J144" t="n">
        <v>0</v>
      </c>
      <c r="K144" t="n">
        <v>0</v>
      </c>
      <c r="L144" t="n">
        <v>0</v>
      </c>
      <c r="M144" t="n">
        <v>0</v>
      </c>
      <c r="N144" t="n">
        <v>0</v>
      </c>
      <c r="O144" t="n">
        <v>0</v>
      </c>
      <c r="P144" t="n">
        <v>0</v>
      </c>
      <c r="Q144" t="n">
        <v>0</v>
      </c>
      <c r="R144" s="2" t="inlineStr"/>
    </row>
    <row r="145" ht="15" customHeight="1">
      <c r="A145" t="inlineStr">
        <is>
          <t>A 56686-2022</t>
        </is>
      </c>
      <c r="B145" s="1" t="n">
        <v>44893</v>
      </c>
      <c r="C145" s="1" t="n">
        <v>45912</v>
      </c>
      <c r="D145" t="inlineStr">
        <is>
          <t>DALARNAS LÄN</t>
        </is>
      </c>
      <c r="E145" t="inlineStr">
        <is>
          <t>LUDVIKA</t>
        </is>
      </c>
      <c r="G145" t="n">
        <v>0.7</v>
      </c>
      <c r="H145" t="n">
        <v>0</v>
      </c>
      <c r="I145" t="n">
        <v>0</v>
      </c>
      <c r="J145" t="n">
        <v>0</v>
      </c>
      <c r="K145" t="n">
        <v>0</v>
      </c>
      <c r="L145" t="n">
        <v>0</v>
      </c>
      <c r="M145" t="n">
        <v>0</v>
      </c>
      <c r="N145" t="n">
        <v>0</v>
      </c>
      <c r="O145" t="n">
        <v>0</v>
      </c>
      <c r="P145" t="n">
        <v>0</v>
      </c>
      <c r="Q145" t="n">
        <v>0</v>
      </c>
      <c r="R145" s="2" t="inlineStr"/>
    </row>
    <row r="146" ht="15" customHeight="1">
      <c r="A146" t="inlineStr">
        <is>
          <t>A 51709-2022</t>
        </is>
      </c>
      <c r="B146" s="1" t="n">
        <v>44872</v>
      </c>
      <c r="C146" s="1" t="n">
        <v>45912</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51713-2022</t>
        </is>
      </c>
      <c r="B147" s="1" t="n">
        <v>44872.4658912037</v>
      </c>
      <c r="C147" s="1" t="n">
        <v>45912</v>
      </c>
      <c r="D147" t="inlineStr">
        <is>
          <t>DALARNAS LÄN</t>
        </is>
      </c>
      <c r="E147" t="inlineStr">
        <is>
          <t>LUDVIKA</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43694-2024</t>
        </is>
      </c>
      <c r="B148" s="1" t="n">
        <v>45569</v>
      </c>
      <c r="C148" s="1" t="n">
        <v>45912</v>
      </c>
      <c r="D148" t="inlineStr">
        <is>
          <t>DALARNAS LÄN</t>
        </is>
      </c>
      <c r="E148" t="inlineStr">
        <is>
          <t>LUDVIKA</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59356-2024</t>
        </is>
      </c>
      <c r="B149" s="1" t="n">
        <v>45638.31543981482</v>
      </c>
      <c r="C149" s="1" t="n">
        <v>45912</v>
      </c>
      <c r="D149" t="inlineStr">
        <is>
          <t>DALARNAS LÄN</t>
        </is>
      </c>
      <c r="E149" t="inlineStr">
        <is>
          <t>LUDVIKA</t>
        </is>
      </c>
      <c r="G149" t="n">
        <v>1.2</v>
      </c>
      <c r="H149" t="n">
        <v>0</v>
      </c>
      <c r="I149" t="n">
        <v>0</v>
      </c>
      <c r="J149" t="n">
        <v>0</v>
      </c>
      <c r="K149" t="n">
        <v>0</v>
      </c>
      <c r="L149" t="n">
        <v>0</v>
      </c>
      <c r="M149" t="n">
        <v>0</v>
      </c>
      <c r="N149" t="n">
        <v>0</v>
      </c>
      <c r="O149" t="n">
        <v>0</v>
      </c>
      <c r="P149" t="n">
        <v>0</v>
      </c>
      <c r="Q149" t="n">
        <v>0</v>
      </c>
      <c r="R149" s="2" t="inlineStr"/>
    </row>
    <row r="150" ht="15" customHeight="1">
      <c r="A150" t="inlineStr">
        <is>
          <t>A 4173-2025</t>
        </is>
      </c>
      <c r="B150" s="1" t="n">
        <v>45685.42758101852</v>
      </c>
      <c r="C150" s="1" t="n">
        <v>45912</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44881-2024</t>
        </is>
      </c>
      <c r="B151" s="1" t="n">
        <v>45575.35040509259</v>
      </c>
      <c r="C151" s="1" t="n">
        <v>45912</v>
      </c>
      <c r="D151" t="inlineStr">
        <is>
          <t>DALARNAS LÄN</t>
        </is>
      </c>
      <c r="E151" t="inlineStr">
        <is>
          <t>LUDVIKA</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44885-2024</t>
        </is>
      </c>
      <c r="B152" s="1" t="n">
        <v>45575</v>
      </c>
      <c r="C152" s="1" t="n">
        <v>45912</v>
      </c>
      <c r="D152" t="inlineStr">
        <is>
          <t>DALARNAS LÄN</t>
        </is>
      </c>
      <c r="E152" t="inlineStr">
        <is>
          <t>LUDVIKA</t>
        </is>
      </c>
      <c r="F152" t="inlineStr">
        <is>
          <t>Bergvik skog väst AB</t>
        </is>
      </c>
      <c r="G152" t="n">
        <v>7.1</v>
      </c>
      <c r="H152" t="n">
        <v>0</v>
      </c>
      <c r="I152" t="n">
        <v>0</v>
      </c>
      <c r="J152" t="n">
        <v>0</v>
      </c>
      <c r="K152" t="n">
        <v>0</v>
      </c>
      <c r="L152" t="n">
        <v>0</v>
      </c>
      <c r="M152" t="n">
        <v>0</v>
      </c>
      <c r="N152" t="n">
        <v>0</v>
      </c>
      <c r="O152" t="n">
        <v>0</v>
      </c>
      <c r="P152" t="n">
        <v>0</v>
      </c>
      <c r="Q152" t="n">
        <v>0</v>
      </c>
      <c r="R152" s="2" t="inlineStr"/>
    </row>
    <row r="153" ht="15" customHeight="1">
      <c r="A153" t="inlineStr">
        <is>
          <t>A 7526-2025</t>
        </is>
      </c>
      <c r="B153" s="1" t="n">
        <v>45705.54684027778</v>
      </c>
      <c r="C153" s="1" t="n">
        <v>45912</v>
      </c>
      <c r="D153" t="inlineStr">
        <is>
          <t>DALARNAS LÄN</t>
        </is>
      </c>
      <c r="E153" t="inlineStr">
        <is>
          <t>LUDVIKA</t>
        </is>
      </c>
      <c r="G153" t="n">
        <v>0.3</v>
      </c>
      <c r="H153" t="n">
        <v>0</v>
      </c>
      <c r="I153" t="n">
        <v>0</v>
      </c>
      <c r="J153" t="n">
        <v>0</v>
      </c>
      <c r="K153" t="n">
        <v>0</v>
      </c>
      <c r="L153" t="n">
        <v>0</v>
      </c>
      <c r="M153" t="n">
        <v>0</v>
      </c>
      <c r="N153" t="n">
        <v>0</v>
      </c>
      <c r="O153" t="n">
        <v>0</v>
      </c>
      <c r="P153" t="n">
        <v>0</v>
      </c>
      <c r="Q153" t="n">
        <v>0</v>
      </c>
      <c r="R153" s="2" t="inlineStr"/>
    </row>
    <row r="154" ht="15" customHeight="1">
      <c r="A154" t="inlineStr">
        <is>
          <t>A 48760-2024</t>
        </is>
      </c>
      <c r="B154" s="1" t="n">
        <v>45593.60061342592</v>
      </c>
      <c r="C154" s="1" t="n">
        <v>45912</v>
      </c>
      <c r="D154" t="inlineStr">
        <is>
          <t>DALARNAS LÄN</t>
        </is>
      </c>
      <c r="E154" t="inlineStr">
        <is>
          <t>LUDVIKA</t>
        </is>
      </c>
      <c r="F154" t="inlineStr">
        <is>
          <t>Naturvårdsverket</t>
        </is>
      </c>
      <c r="G154" t="n">
        <v>5.7</v>
      </c>
      <c r="H154" t="n">
        <v>0</v>
      </c>
      <c r="I154" t="n">
        <v>0</v>
      </c>
      <c r="J154" t="n">
        <v>0</v>
      </c>
      <c r="K154" t="n">
        <v>0</v>
      </c>
      <c r="L154" t="n">
        <v>0</v>
      </c>
      <c r="M154" t="n">
        <v>0</v>
      </c>
      <c r="N154" t="n">
        <v>0</v>
      </c>
      <c r="O154" t="n">
        <v>0</v>
      </c>
      <c r="P154" t="n">
        <v>0</v>
      </c>
      <c r="Q154" t="n">
        <v>0</v>
      </c>
      <c r="R154" s="2" t="inlineStr"/>
    </row>
    <row r="155" ht="15" customHeight="1">
      <c r="A155" t="inlineStr">
        <is>
          <t>A 32854-2023</t>
        </is>
      </c>
      <c r="B155" s="1" t="n">
        <v>45112</v>
      </c>
      <c r="C155" s="1" t="n">
        <v>45912</v>
      </c>
      <c r="D155" t="inlineStr">
        <is>
          <t>DALARNAS LÄN</t>
        </is>
      </c>
      <c r="E155" t="inlineStr">
        <is>
          <t>LUDVIKA</t>
        </is>
      </c>
      <c r="F155" t="inlineStr">
        <is>
          <t>Kommuner</t>
        </is>
      </c>
      <c r="G155" t="n">
        <v>2</v>
      </c>
      <c r="H155" t="n">
        <v>0</v>
      </c>
      <c r="I155" t="n">
        <v>0</v>
      </c>
      <c r="J155" t="n">
        <v>0</v>
      </c>
      <c r="K155" t="n">
        <v>0</v>
      </c>
      <c r="L155" t="n">
        <v>0</v>
      </c>
      <c r="M155" t="n">
        <v>0</v>
      </c>
      <c r="N155" t="n">
        <v>0</v>
      </c>
      <c r="O155" t="n">
        <v>0</v>
      </c>
      <c r="P155" t="n">
        <v>0</v>
      </c>
      <c r="Q155" t="n">
        <v>0</v>
      </c>
      <c r="R155" s="2" t="inlineStr"/>
    </row>
    <row r="156" ht="15" customHeight="1">
      <c r="A156" t="inlineStr">
        <is>
          <t>A 54373-2024</t>
        </is>
      </c>
      <c r="B156" s="1" t="n">
        <v>45617.4337962963</v>
      </c>
      <c r="C156" s="1" t="n">
        <v>45912</v>
      </c>
      <c r="D156" t="inlineStr">
        <is>
          <t>DALARNAS LÄN</t>
        </is>
      </c>
      <c r="E156" t="inlineStr">
        <is>
          <t>LUDVIKA</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46620-2023</t>
        </is>
      </c>
      <c r="B157" s="1" t="n">
        <v>45198.41046296297</v>
      </c>
      <c r="C157" s="1" t="n">
        <v>45912</v>
      </c>
      <c r="D157" t="inlineStr">
        <is>
          <t>DALARNAS LÄN</t>
        </is>
      </c>
      <c r="E157" t="inlineStr">
        <is>
          <t>LUDVIKA</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49051-2024</t>
        </is>
      </c>
      <c r="B158" s="1" t="n">
        <v>45594.57820601852</v>
      </c>
      <c r="C158" s="1" t="n">
        <v>45912</v>
      </c>
      <c r="D158" t="inlineStr">
        <is>
          <t>DALARNAS LÄN</t>
        </is>
      </c>
      <c r="E158" t="inlineStr">
        <is>
          <t>LUDVIKA</t>
        </is>
      </c>
      <c r="G158" t="n">
        <v>1.8</v>
      </c>
      <c r="H158" t="n">
        <v>0</v>
      </c>
      <c r="I158" t="n">
        <v>0</v>
      </c>
      <c r="J158" t="n">
        <v>0</v>
      </c>
      <c r="K158" t="n">
        <v>0</v>
      </c>
      <c r="L158" t="n">
        <v>0</v>
      </c>
      <c r="M158" t="n">
        <v>0</v>
      </c>
      <c r="N158" t="n">
        <v>0</v>
      </c>
      <c r="O158" t="n">
        <v>0</v>
      </c>
      <c r="P158" t="n">
        <v>0</v>
      </c>
      <c r="Q158" t="n">
        <v>0</v>
      </c>
      <c r="R158" s="2" t="inlineStr"/>
    </row>
    <row r="159" ht="15" customHeight="1">
      <c r="A159" t="inlineStr">
        <is>
          <t>A 45060-2022</t>
        </is>
      </c>
      <c r="B159" s="1" t="n">
        <v>44841.75935185186</v>
      </c>
      <c r="C159" s="1" t="n">
        <v>45912</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56119-2021</t>
        </is>
      </c>
      <c r="B160" s="1" t="n">
        <v>44477</v>
      </c>
      <c r="C160" s="1" t="n">
        <v>45912</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50868-2024</t>
        </is>
      </c>
      <c r="B161" s="1" t="n">
        <v>45602.64016203704</v>
      </c>
      <c r="C161" s="1" t="n">
        <v>45912</v>
      </c>
      <c r="D161" t="inlineStr">
        <is>
          <t>DALARNAS LÄN</t>
        </is>
      </c>
      <c r="E161" t="inlineStr">
        <is>
          <t>LUDVIKA</t>
        </is>
      </c>
      <c r="F161" t="inlineStr">
        <is>
          <t>Bergvik skog väst AB</t>
        </is>
      </c>
      <c r="G161" t="n">
        <v>7.8</v>
      </c>
      <c r="H161" t="n">
        <v>0</v>
      </c>
      <c r="I161" t="n">
        <v>0</v>
      </c>
      <c r="J161" t="n">
        <v>0</v>
      </c>
      <c r="K161" t="n">
        <v>0</v>
      </c>
      <c r="L161" t="n">
        <v>0</v>
      </c>
      <c r="M161" t="n">
        <v>0</v>
      </c>
      <c r="N161" t="n">
        <v>0</v>
      </c>
      <c r="O161" t="n">
        <v>0</v>
      </c>
      <c r="P161" t="n">
        <v>0</v>
      </c>
      <c r="Q161" t="n">
        <v>0</v>
      </c>
      <c r="R161" s="2" t="inlineStr"/>
    </row>
    <row r="162" ht="15" customHeight="1">
      <c r="A162" t="inlineStr">
        <is>
          <t>A 61507-2023</t>
        </is>
      </c>
      <c r="B162" s="1" t="n">
        <v>45265</v>
      </c>
      <c r="C162" s="1" t="n">
        <v>45912</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49805-2023</t>
        </is>
      </c>
      <c r="B163" s="1" t="n">
        <v>45212.65407407407</v>
      </c>
      <c r="C163" s="1" t="n">
        <v>45912</v>
      </c>
      <c r="D163" t="inlineStr">
        <is>
          <t>DALARNAS LÄN</t>
        </is>
      </c>
      <c r="E163" t="inlineStr">
        <is>
          <t>LUDVIKA</t>
        </is>
      </c>
      <c r="G163" t="n">
        <v>1.9</v>
      </c>
      <c r="H163" t="n">
        <v>0</v>
      </c>
      <c r="I163" t="n">
        <v>0</v>
      </c>
      <c r="J163" t="n">
        <v>0</v>
      </c>
      <c r="K163" t="n">
        <v>0</v>
      </c>
      <c r="L163" t="n">
        <v>0</v>
      </c>
      <c r="M163" t="n">
        <v>0</v>
      </c>
      <c r="N163" t="n">
        <v>0</v>
      </c>
      <c r="O163" t="n">
        <v>0</v>
      </c>
      <c r="P163" t="n">
        <v>0</v>
      </c>
      <c r="Q163" t="n">
        <v>0</v>
      </c>
      <c r="R163" s="2" t="inlineStr"/>
    </row>
    <row r="164" ht="15" customHeight="1">
      <c r="A164" t="inlineStr">
        <is>
          <t>A 42108-2024</t>
        </is>
      </c>
      <c r="B164" s="1" t="n">
        <v>45562.3693287037</v>
      </c>
      <c r="C164" s="1" t="n">
        <v>45912</v>
      </c>
      <c r="D164" t="inlineStr">
        <is>
          <t>DALARNAS LÄN</t>
        </is>
      </c>
      <c r="E164" t="inlineStr">
        <is>
          <t>LUDVIKA</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21021-2025</t>
        </is>
      </c>
      <c r="B165" s="1" t="n">
        <v>45777</v>
      </c>
      <c r="C165" s="1" t="n">
        <v>45912</v>
      </c>
      <c r="D165" t="inlineStr">
        <is>
          <t>DALARNAS LÄN</t>
        </is>
      </c>
      <c r="E165" t="inlineStr">
        <is>
          <t>LUDVIKA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3277-2024</t>
        </is>
      </c>
      <c r="B166" s="1" t="n">
        <v>45317.4196875</v>
      </c>
      <c r="C166" s="1" t="n">
        <v>45912</v>
      </c>
      <c r="D166" t="inlineStr">
        <is>
          <t>DALARNAS LÄN</t>
        </is>
      </c>
      <c r="E166" t="inlineStr">
        <is>
          <t>LUDVIKA</t>
        </is>
      </c>
      <c r="G166" t="n">
        <v>0.3</v>
      </c>
      <c r="H166" t="n">
        <v>0</v>
      </c>
      <c r="I166" t="n">
        <v>0</v>
      </c>
      <c r="J166" t="n">
        <v>0</v>
      </c>
      <c r="K166" t="n">
        <v>0</v>
      </c>
      <c r="L166" t="n">
        <v>0</v>
      </c>
      <c r="M166" t="n">
        <v>0</v>
      </c>
      <c r="N166" t="n">
        <v>0</v>
      </c>
      <c r="O166" t="n">
        <v>0</v>
      </c>
      <c r="P166" t="n">
        <v>0</v>
      </c>
      <c r="Q166" t="n">
        <v>0</v>
      </c>
      <c r="R166" s="2" t="inlineStr"/>
    </row>
    <row r="167" ht="15" customHeight="1">
      <c r="A167" t="inlineStr">
        <is>
          <t>A 8162-2024</t>
        </is>
      </c>
      <c r="B167" s="1" t="n">
        <v>45349</v>
      </c>
      <c r="C167" s="1" t="n">
        <v>45912</v>
      </c>
      <c r="D167" t="inlineStr">
        <is>
          <t>DALARNAS LÄN</t>
        </is>
      </c>
      <c r="E167" t="inlineStr">
        <is>
          <t>LUDVIKA</t>
        </is>
      </c>
      <c r="F167" t="inlineStr">
        <is>
          <t>Allmännings- och besparingsskogar</t>
        </is>
      </c>
      <c r="G167" t="n">
        <v>6.9</v>
      </c>
      <c r="H167" t="n">
        <v>0</v>
      </c>
      <c r="I167" t="n">
        <v>0</v>
      </c>
      <c r="J167" t="n">
        <v>0</v>
      </c>
      <c r="K167" t="n">
        <v>0</v>
      </c>
      <c r="L167" t="n">
        <v>0</v>
      </c>
      <c r="M167" t="n">
        <v>0</v>
      </c>
      <c r="N167" t="n">
        <v>0</v>
      </c>
      <c r="O167" t="n">
        <v>0</v>
      </c>
      <c r="P167" t="n">
        <v>0</v>
      </c>
      <c r="Q167" t="n">
        <v>0</v>
      </c>
      <c r="R167" s="2" t="inlineStr"/>
      <c r="U167">
        <f>HYPERLINK("https://klasma.github.io/Logging_2085/knärot/A 8162-2024 karta knärot.png", "A 8162-2024")</f>
        <v/>
      </c>
      <c r="V167">
        <f>HYPERLINK("https://klasma.github.io/Logging_2085/klagomål/A 8162-2024 FSC-klagomål.docx", "A 8162-2024")</f>
        <v/>
      </c>
      <c r="W167">
        <f>HYPERLINK("https://klasma.github.io/Logging_2085/klagomålsmail/A 8162-2024 FSC-klagomål mail.docx", "A 8162-2024")</f>
        <v/>
      </c>
      <c r="X167">
        <f>HYPERLINK("https://klasma.github.io/Logging_2085/tillsyn/A 8162-2024 tillsynsbegäran.docx", "A 8162-2024")</f>
        <v/>
      </c>
      <c r="Y167">
        <f>HYPERLINK("https://klasma.github.io/Logging_2085/tillsynsmail/A 8162-2024 tillsynsbegäran mail.docx", "A 8162-2024")</f>
        <v/>
      </c>
    </row>
    <row r="168" ht="15" customHeight="1">
      <c r="A168" t="inlineStr">
        <is>
          <t>A 15127-2025</t>
        </is>
      </c>
      <c r="B168" s="1" t="n">
        <v>45744.38049768518</v>
      </c>
      <c r="C168" s="1" t="n">
        <v>45912</v>
      </c>
      <c r="D168" t="inlineStr">
        <is>
          <t>DALARNAS LÄN</t>
        </is>
      </c>
      <c r="E168" t="inlineStr">
        <is>
          <t>LUDVIKA</t>
        </is>
      </c>
      <c r="F168" t="inlineStr">
        <is>
          <t>Bergvik skog väst AB</t>
        </is>
      </c>
      <c r="G168" t="n">
        <v>8.6</v>
      </c>
      <c r="H168" t="n">
        <v>0</v>
      </c>
      <c r="I168" t="n">
        <v>0</v>
      </c>
      <c r="J168" t="n">
        <v>0</v>
      </c>
      <c r="K168" t="n">
        <v>0</v>
      </c>
      <c r="L168" t="n">
        <v>0</v>
      </c>
      <c r="M168" t="n">
        <v>0</v>
      </c>
      <c r="N168" t="n">
        <v>0</v>
      </c>
      <c r="O168" t="n">
        <v>0</v>
      </c>
      <c r="P168" t="n">
        <v>0</v>
      </c>
      <c r="Q168" t="n">
        <v>0</v>
      </c>
      <c r="R168" s="2" t="inlineStr"/>
    </row>
    <row r="169" ht="15" customHeight="1">
      <c r="A169" t="inlineStr">
        <is>
          <t>A 49951-2022</t>
        </is>
      </c>
      <c r="B169" s="1" t="n">
        <v>44865.36378472222</v>
      </c>
      <c r="C169" s="1" t="n">
        <v>45912</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51160-2023</t>
        </is>
      </c>
      <c r="B170" s="1" t="n">
        <v>45219.37885416667</v>
      </c>
      <c r="C170" s="1" t="n">
        <v>45912</v>
      </c>
      <c r="D170" t="inlineStr">
        <is>
          <t>DALARNAS LÄN</t>
        </is>
      </c>
      <c r="E170" t="inlineStr">
        <is>
          <t>LUDVIKA</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43981-2024</t>
        </is>
      </c>
      <c r="B171" s="1" t="n">
        <v>45572.4962037037</v>
      </c>
      <c r="C171" s="1" t="n">
        <v>45912</v>
      </c>
      <c r="D171" t="inlineStr">
        <is>
          <t>DALARNAS LÄN</t>
        </is>
      </c>
      <c r="E171" t="inlineStr">
        <is>
          <t>LUDVIKA</t>
        </is>
      </c>
      <c r="F171" t="inlineStr">
        <is>
          <t>Bergvik skog väst AB</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9386-2023</t>
        </is>
      </c>
      <c r="B172" s="1" t="n">
        <v>44981.40171296296</v>
      </c>
      <c r="C172" s="1" t="n">
        <v>45912</v>
      </c>
      <c r="D172" t="inlineStr">
        <is>
          <t>DALARNAS LÄN</t>
        </is>
      </c>
      <c r="E172" t="inlineStr">
        <is>
          <t>LUDVIKA</t>
        </is>
      </c>
      <c r="G172" t="n">
        <v>6.2</v>
      </c>
      <c r="H172" t="n">
        <v>0</v>
      </c>
      <c r="I172" t="n">
        <v>0</v>
      </c>
      <c r="J172" t="n">
        <v>0</v>
      </c>
      <c r="K172" t="n">
        <v>0</v>
      </c>
      <c r="L172" t="n">
        <v>0</v>
      </c>
      <c r="M172" t="n">
        <v>0</v>
      </c>
      <c r="N172" t="n">
        <v>0</v>
      </c>
      <c r="O172" t="n">
        <v>0</v>
      </c>
      <c r="P172" t="n">
        <v>0</v>
      </c>
      <c r="Q172" t="n">
        <v>0</v>
      </c>
      <c r="R172" s="2" t="inlineStr"/>
    </row>
    <row r="173" ht="15" customHeight="1">
      <c r="A173" t="inlineStr">
        <is>
          <t>A 38359-2024</t>
        </is>
      </c>
      <c r="B173" s="1" t="n">
        <v>45545.79224537037</v>
      </c>
      <c r="C173" s="1" t="n">
        <v>45912</v>
      </c>
      <c r="D173" t="inlineStr">
        <is>
          <t>DALARNAS LÄN</t>
        </is>
      </c>
      <c r="E173" t="inlineStr">
        <is>
          <t>LUDVIKA</t>
        </is>
      </c>
      <c r="G173" t="n">
        <v>2.4</v>
      </c>
      <c r="H173" t="n">
        <v>0</v>
      </c>
      <c r="I173" t="n">
        <v>0</v>
      </c>
      <c r="J173" t="n">
        <v>0</v>
      </c>
      <c r="K173" t="n">
        <v>0</v>
      </c>
      <c r="L173" t="n">
        <v>0</v>
      </c>
      <c r="M173" t="n">
        <v>0</v>
      </c>
      <c r="N173" t="n">
        <v>0</v>
      </c>
      <c r="O173" t="n">
        <v>0</v>
      </c>
      <c r="P173" t="n">
        <v>0</v>
      </c>
      <c r="Q173" t="n">
        <v>0</v>
      </c>
      <c r="R173" s="2" t="inlineStr"/>
    </row>
    <row r="174" ht="15" customHeight="1">
      <c r="A174" t="inlineStr">
        <is>
          <t>A 55485-2024</t>
        </is>
      </c>
      <c r="B174" s="1" t="n">
        <v>45622.44318287037</v>
      </c>
      <c r="C174" s="1" t="n">
        <v>45912</v>
      </c>
      <c r="D174" t="inlineStr">
        <is>
          <t>DALARNAS LÄN</t>
        </is>
      </c>
      <c r="E174" t="inlineStr">
        <is>
          <t>LUDVIKA</t>
        </is>
      </c>
      <c r="F174" t="inlineStr">
        <is>
          <t>Naturvårdsverket</t>
        </is>
      </c>
      <c r="G174" t="n">
        <v>0.3</v>
      </c>
      <c r="H174" t="n">
        <v>0</v>
      </c>
      <c r="I174" t="n">
        <v>0</v>
      </c>
      <c r="J174" t="n">
        <v>0</v>
      </c>
      <c r="K174" t="n">
        <v>0</v>
      </c>
      <c r="L174" t="n">
        <v>0</v>
      </c>
      <c r="M174" t="n">
        <v>0</v>
      </c>
      <c r="N174" t="n">
        <v>0</v>
      </c>
      <c r="O174" t="n">
        <v>0</v>
      </c>
      <c r="P174" t="n">
        <v>0</v>
      </c>
      <c r="Q174" t="n">
        <v>0</v>
      </c>
      <c r="R174" s="2" t="inlineStr"/>
    </row>
    <row r="175" ht="15" customHeight="1">
      <c r="A175" t="inlineStr">
        <is>
          <t>A 49043-2024</t>
        </is>
      </c>
      <c r="B175" s="1" t="n">
        <v>45594.5666550926</v>
      </c>
      <c r="C175" s="1" t="n">
        <v>45912</v>
      </c>
      <c r="D175" t="inlineStr">
        <is>
          <t>DALARNAS LÄN</t>
        </is>
      </c>
      <c r="E175" t="inlineStr">
        <is>
          <t>LUDVIKA</t>
        </is>
      </c>
      <c r="F175" t="inlineStr">
        <is>
          <t>Naturvårdsverket</t>
        </is>
      </c>
      <c r="G175" t="n">
        <v>2.3</v>
      </c>
      <c r="H175" t="n">
        <v>0</v>
      </c>
      <c r="I175" t="n">
        <v>0</v>
      </c>
      <c r="J175" t="n">
        <v>0</v>
      </c>
      <c r="K175" t="n">
        <v>0</v>
      </c>
      <c r="L175" t="n">
        <v>0</v>
      </c>
      <c r="M175" t="n">
        <v>0</v>
      </c>
      <c r="N175" t="n">
        <v>0</v>
      </c>
      <c r="O175" t="n">
        <v>0</v>
      </c>
      <c r="P175" t="n">
        <v>0</v>
      </c>
      <c r="Q175" t="n">
        <v>0</v>
      </c>
      <c r="R175" s="2" t="inlineStr"/>
    </row>
    <row r="176" ht="15" customHeight="1">
      <c r="A176" t="inlineStr">
        <is>
          <t>A 46146-2020</t>
        </is>
      </c>
      <c r="B176" s="1" t="n">
        <v>44092</v>
      </c>
      <c r="C176" s="1" t="n">
        <v>45912</v>
      </c>
      <c r="D176" t="inlineStr">
        <is>
          <t>DALARNAS LÄN</t>
        </is>
      </c>
      <c r="E176" t="inlineStr">
        <is>
          <t>LUDVIKA</t>
        </is>
      </c>
      <c r="G176" t="n">
        <v>1.5</v>
      </c>
      <c r="H176" t="n">
        <v>0</v>
      </c>
      <c r="I176" t="n">
        <v>0</v>
      </c>
      <c r="J176" t="n">
        <v>0</v>
      </c>
      <c r="K176" t="n">
        <v>0</v>
      </c>
      <c r="L176" t="n">
        <v>0</v>
      </c>
      <c r="M176" t="n">
        <v>0</v>
      </c>
      <c r="N176" t="n">
        <v>0</v>
      </c>
      <c r="O176" t="n">
        <v>0</v>
      </c>
      <c r="P176" t="n">
        <v>0</v>
      </c>
      <c r="Q176" t="n">
        <v>0</v>
      </c>
      <c r="R176" s="2" t="inlineStr"/>
    </row>
    <row r="177" ht="15" customHeight="1">
      <c r="A177" t="inlineStr">
        <is>
          <t>A 48922-2024</t>
        </is>
      </c>
      <c r="B177" s="1" t="n">
        <v>45594.37241898148</v>
      </c>
      <c r="C177" s="1" t="n">
        <v>45912</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21893-2025</t>
        </is>
      </c>
      <c r="B178" s="1" t="n">
        <v>45784.4484837963</v>
      </c>
      <c r="C178" s="1" t="n">
        <v>45912</v>
      </c>
      <c r="D178" t="inlineStr">
        <is>
          <t>DALARNAS LÄN</t>
        </is>
      </c>
      <c r="E178" t="inlineStr">
        <is>
          <t>LUDVIKA</t>
        </is>
      </c>
      <c r="G178" t="n">
        <v>1.4</v>
      </c>
      <c r="H178" t="n">
        <v>0</v>
      </c>
      <c r="I178" t="n">
        <v>0</v>
      </c>
      <c r="J178" t="n">
        <v>0</v>
      </c>
      <c r="K178" t="n">
        <v>0</v>
      </c>
      <c r="L178" t="n">
        <v>0</v>
      </c>
      <c r="M178" t="n">
        <v>0</v>
      </c>
      <c r="N178" t="n">
        <v>0</v>
      </c>
      <c r="O178" t="n">
        <v>0</v>
      </c>
      <c r="P178" t="n">
        <v>0</v>
      </c>
      <c r="Q178" t="n">
        <v>0</v>
      </c>
      <c r="R178" s="2" t="inlineStr"/>
    </row>
    <row r="179" ht="15" customHeight="1">
      <c r="A179" t="inlineStr">
        <is>
          <t>A 29114-2024</t>
        </is>
      </c>
      <c r="B179" s="1" t="n">
        <v>45481.9578125</v>
      </c>
      <c r="C179" s="1" t="n">
        <v>45912</v>
      </c>
      <c r="D179" t="inlineStr">
        <is>
          <t>DALARNAS LÄN</t>
        </is>
      </c>
      <c r="E179" t="inlineStr">
        <is>
          <t>LUDVIKA</t>
        </is>
      </c>
      <c r="G179" t="n">
        <v>1</v>
      </c>
      <c r="H179" t="n">
        <v>0</v>
      </c>
      <c r="I179" t="n">
        <v>0</v>
      </c>
      <c r="J179" t="n">
        <v>0</v>
      </c>
      <c r="K179" t="n">
        <v>0</v>
      </c>
      <c r="L179" t="n">
        <v>0</v>
      </c>
      <c r="M179" t="n">
        <v>0</v>
      </c>
      <c r="N179" t="n">
        <v>0</v>
      </c>
      <c r="O179" t="n">
        <v>0</v>
      </c>
      <c r="P179" t="n">
        <v>0</v>
      </c>
      <c r="Q179" t="n">
        <v>0</v>
      </c>
      <c r="R179" s="2" t="inlineStr"/>
    </row>
    <row r="180" ht="15" customHeight="1">
      <c r="A180" t="inlineStr">
        <is>
          <t>A 42106-2024</t>
        </is>
      </c>
      <c r="B180" s="1" t="n">
        <v>45562.36709490741</v>
      </c>
      <c r="C180" s="1" t="n">
        <v>45912</v>
      </c>
      <c r="D180" t="inlineStr">
        <is>
          <t>DALARNAS LÄN</t>
        </is>
      </c>
      <c r="E180" t="inlineStr">
        <is>
          <t>LUDVIKA</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54137-2024</t>
        </is>
      </c>
      <c r="B181" s="1" t="n">
        <v>45616.59324074074</v>
      </c>
      <c r="C181" s="1" t="n">
        <v>45912</v>
      </c>
      <c r="D181" t="inlineStr">
        <is>
          <t>DALARNAS LÄN</t>
        </is>
      </c>
      <c r="E181" t="inlineStr">
        <is>
          <t>LUDVIKA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54154-2024</t>
        </is>
      </c>
      <c r="B182" s="1" t="n">
        <v>45616.60813657408</v>
      </c>
      <c r="C182" s="1" t="n">
        <v>45912</v>
      </c>
      <c r="D182" t="inlineStr">
        <is>
          <t>DALARNAS LÄN</t>
        </is>
      </c>
      <c r="E182" t="inlineStr">
        <is>
          <t>LUDVIKA</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60668-2024</t>
        </is>
      </c>
      <c r="B183" s="1" t="n">
        <v>45644.45210648148</v>
      </c>
      <c r="C183" s="1" t="n">
        <v>45912</v>
      </c>
      <c r="D183" t="inlineStr">
        <is>
          <t>DALARNAS LÄN</t>
        </is>
      </c>
      <c r="E183" t="inlineStr">
        <is>
          <t>LUDVIKA</t>
        </is>
      </c>
      <c r="G183" t="n">
        <v>2.1</v>
      </c>
      <c r="H183" t="n">
        <v>0</v>
      </c>
      <c r="I183" t="n">
        <v>0</v>
      </c>
      <c r="J183" t="n">
        <v>0</v>
      </c>
      <c r="K183" t="n">
        <v>0</v>
      </c>
      <c r="L183" t="n">
        <v>0</v>
      </c>
      <c r="M183" t="n">
        <v>0</v>
      </c>
      <c r="N183" t="n">
        <v>0</v>
      </c>
      <c r="O183" t="n">
        <v>0</v>
      </c>
      <c r="P183" t="n">
        <v>0</v>
      </c>
      <c r="Q183" t="n">
        <v>0</v>
      </c>
      <c r="R183" s="2" t="inlineStr"/>
    </row>
    <row r="184" ht="15" customHeight="1">
      <c r="A184" t="inlineStr">
        <is>
          <t>A 16814-2024</t>
        </is>
      </c>
      <c r="B184" s="1" t="n">
        <v>45411.46208333333</v>
      </c>
      <c r="C184" s="1" t="n">
        <v>45912</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55880-2024</t>
        </is>
      </c>
      <c r="B185" s="1" t="n">
        <v>45623.56052083334</v>
      </c>
      <c r="C185" s="1" t="n">
        <v>45912</v>
      </c>
      <c r="D185" t="inlineStr">
        <is>
          <t>DALARNAS LÄN</t>
        </is>
      </c>
      <c r="E185" t="inlineStr">
        <is>
          <t>LUDVIKA</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42421-2024</t>
        </is>
      </c>
      <c r="B186" s="1" t="n">
        <v>45565.38796296297</v>
      </c>
      <c r="C186" s="1" t="n">
        <v>45912</v>
      </c>
      <c r="D186" t="inlineStr">
        <is>
          <t>DALARNAS LÄN</t>
        </is>
      </c>
      <c r="E186" t="inlineStr">
        <is>
          <t>LUDVIKA</t>
        </is>
      </c>
      <c r="G186" t="n">
        <v>5.3</v>
      </c>
      <c r="H186" t="n">
        <v>0</v>
      </c>
      <c r="I186" t="n">
        <v>0</v>
      </c>
      <c r="J186" t="n">
        <v>0</v>
      </c>
      <c r="K186" t="n">
        <v>0</v>
      </c>
      <c r="L186" t="n">
        <v>0</v>
      </c>
      <c r="M186" t="n">
        <v>0</v>
      </c>
      <c r="N186" t="n">
        <v>0</v>
      </c>
      <c r="O186" t="n">
        <v>0</v>
      </c>
      <c r="P186" t="n">
        <v>0</v>
      </c>
      <c r="Q186" t="n">
        <v>0</v>
      </c>
      <c r="R186" s="2" t="inlineStr"/>
    </row>
    <row r="187" ht="15" customHeight="1">
      <c r="A187" t="inlineStr">
        <is>
          <t>A 3170-2025</t>
        </is>
      </c>
      <c r="B187" s="1" t="n">
        <v>45679.36682870371</v>
      </c>
      <c r="C187" s="1" t="n">
        <v>45912</v>
      </c>
      <c r="D187" t="inlineStr">
        <is>
          <t>DALARNAS LÄN</t>
        </is>
      </c>
      <c r="E187" t="inlineStr">
        <is>
          <t>LUDVIKA</t>
        </is>
      </c>
      <c r="G187" t="n">
        <v>5.4</v>
      </c>
      <c r="H187" t="n">
        <v>0</v>
      </c>
      <c r="I187" t="n">
        <v>0</v>
      </c>
      <c r="J187" t="n">
        <v>0</v>
      </c>
      <c r="K187" t="n">
        <v>0</v>
      </c>
      <c r="L187" t="n">
        <v>0</v>
      </c>
      <c r="M187" t="n">
        <v>0</v>
      </c>
      <c r="N187" t="n">
        <v>0</v>
      </c>
      <c r="O187" t="n">
        <v>0</v>
      </c>
      <c r="P187" t="n">
        <v>0</v>
      </c>
      <c r="Q187" t="n">
        <v>0</v>
      </c>
      <c r="R187" s="2" t="inlineStr"/>
    </row>
    <row r="188" ht="15" customHeight="1">
      <c r="A188" t="inlineStr">
        <is>
          <t>A 54353-2024</t>
        </is>
      </c>
      <c r="B188" s="1" t="n">
        <v>45617.40099537037</v>
      </c>
      <c r="C188" s="1" t="n">
        <v>45912</v>
      </c>
      <c r="D188" t="inlineStr">
        <is>
          <t>DALARNAS LÄN</t>
        </is>
      </c>
      <c r="E188" t="inlineStr">
        <is>
          <t>LUDVIKA</t>
        </is>
      </c>
      <c r="F188" t="inlineStr">
        <is>
          <t>Bergvik skog väst AB</t>
        </is>
      </c>
      <c r="G188" t="n">
        <v>4.2</v>
      </c>
      <c r="H188" t="n">
        <v>0</v>
      </c>
      <c r="I188" t="n">
        <v>0</v>
      </c>
      <c r="J188" t="n">
        <v>0</v>
      </c>
      <c r="K188" t="n">
        <v>0</v>
      </c>
      <c r="L188" t="n">
        <v>0</v>
      </c>
      <c r="M188" t="n">
        <v>0</v>
      </c>
      <c r="N188" t="n">
        <v>0</v>
      </c>
      <c r="O188" t="n">
        <v>0</v>
      </c>
      <c r="P188" t="n">
        <v>0</v>
      </c>
      <c r="Q188" t="n">
        <v>0</v>
      </c>
      <c r="R188" s="2" t="inlineStr"/>
    </row>
    <row r="189" ht="15" customHeight="1">
      <c r="A189" t="inlineStr">
        <is>
          <t>A 53602-2023</t>
        </is>
      </c>
      <c r="B189" s="1" t="n">
        <v>45230.56142361111</v>
      </c>
      <c r="C189" s="1" t="n">
        <v>45912</v>
      </c>
      <c r="D189" t="inlineStr">
        <is>
          <t>DALARNAS LÄN</t>
        </is>
      </c>
      <c r="E189" t="inlineStr">
        <is>
          <t>LUDVIKA</t>
        </is>
      </c>
      <c r="F189" t="inlineStr">
        <is>
          <t>Bergvik skog väst AB</t>
        </is>
      </c>
      <c r="G189" t="n">
        <v>4.9</v>
      </c>
      <c r="H189" t="n">
        <v>0</v>
      </c>
      <c r="I189" t="n">
        <v>0</v>
      </c>
      <c r="J189" t="n">
        <v>0</v>
      </c>
      <c r="K189" t="n">
        <v>0</v>
      </c>
      <c r="L189" t="n">
        <v>0</v>
      </c>
      <c r="M189" t="n">
        <v>0</v>
      </c>
      <c r="N189" t="n">
        <v>0</v>
      </c>
      <c r="O189" t="n">
        <v>0</v>
      </c>
      <c r="P189" t="n">
        <v>0</v>
      </c>
      <c r="Q189" t="n">
        <v>0</v>
      </c>
      <c r="R189" s="2" t="inlineStr"/>
    </row>
    <row r="190" ht="15" customHeight="1">
      <c r="A190" t="inlineStr">
        <is>
          <t>A 31270-2022</t>
        </is>
      </c>
      <c r="B190" s="1" t="n">
        <v>44771.61702546296</v>
      </c>
      <c r="C190" s="1" t="n">
        <v>45912</v>
      </c>
      <c r="D190" t="inlineStr">
        <is>
          <t>DALARNAS LÄN</t>
        </is>
      </c>
      <c r="E190" t="inlineStr">
        <is>
          <t>LUDVIKA</t>
        </is>
      </c>
      <c r="G190" t="n">
        <v>1.2</v>
      </c>
      <c r="H190" t="n">
        <v>0</v>
      </c>
      <c r="I190" t="n">
        <v>0</v>
      </c>
      <c r="J190" t="n">
        <v>0</v>
      </c>
      <c r="K190" t="n">
        <v>0</v>
      </c>
      <c r="L190" t="n">
        <v>0</v>
      </c>
      <c r="M190" t="n">
        <v>0</v>
      </c>
      <c r="N190" t="n">
        <v>0</v>
      </c>
      <c r="O190" t="n">
        <v>0</v>
      </c>
      <c r="P190" t="n">
        <v>0</v>
      </c>
      <c r="Q190" t="n">
        <v>0</v>
      </c>
      <c r="R190" s="2" t="inlineStr"/>
    </row>
    <row r="191" ht="15" customHeight="1">
      <c r="A191" t="inlineStr">
        <is>
          <t>A 18189-2025</t>
        </is>
      </c>
      <c r="B191" s="1" t="n">
        <v>45761.67243055555</v>
      </c>
      <c r="C191" s="1" t="n">
        <v>45912</v>
      </c>
      <c r="D191" t="inlineStr">
        <is>
          <t>DALARNAS LÄN</t>
        </is>
      </c>
      <c r="E191" t="inlineStr">
        <is>
          <t>LUDVIKA</t>
        </is>
      </c>
      <c r="G191" t="n">
        <v>0.9</v>
      </c>
      <c r="H191" t="n">
        <v>0</v>
      </c>
      <c r="I191" t="n">
        <v>0</v>
      </c>
      <c r="J191" t="n">
        <v>0</v>
      </c>
      <c r="K191" t="n">
        <v>0</v>
      </c>
      <c r="L191" t="n">
        <v>0</v>
      </c>
      <c r="M191" t="n">
        <v>0</v>
      </c>
      <c r="N191" t="n">
        <v>0</v>
      </c>
      <c r="O191" t="n">
        <v>0</v>
      </c>
      <c r="P191" t="n">
        <v>0</v>
      </c>
      <c r="Q191" t="n">
        <v>0</v>
      </c>
      <c r="R191" s="2" t="inlineStr"/>
    </row>
    <row r="192" ht="15" customHeight="1">
      <c r="A192" t="inlineStr">
        <is>
          <t>A 52359-2024</t>
        </is>
      </c>
      <c r="B192" s="1" t="n">
        <v>45609.37012731482</v>
      </c>
      <c r="C192" s="1" t="n">
        <v>45912</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21891-2025</t>
        </is>
      </c>
      <c r="B193" s="1" t="n">
        <v>45784</v>
      </c>
      <c r="C193" s="1" t="n">
        <v>45912</v>
      </c>
      <c r="D193" t="inlineStr">
        <is>
          <t>DALARNAS LÄN</t>
        </is>
      </c>
      <c r="E193" t="inlineStr">
        <is>
          <t>LUDVIKA</t>
        </is>
      </c>
      <c r="G193" t="n">
        <v>1.1</v>
      </c>
      <c r="H193" t="n">
        <v>0</v>
      </c>
      <c r="I193" t="n">
        <v>0</v>
      </c>
      <c r="J193" t="n">
        <v>0</v>
      </c>
      <c r="K193" t="n">
        <v>0</v>
      </c>
      <c r="L193" t="n">
        <v>0</v>
      </c>
      <c r="M193" t="n">
        <v>0</v>
      </c>
      <c r="N193" t="n">
        <v>0</v>
      </c>
      <c r="O193" t="n">
        <v>0</v>
      </c>
      <c r="P193" t="n">
        <v>0</v>
      </c>
      <c r="Q193" t="n">
        <v>0</v>
      </c>
      <c r="R193" s="2" t="inlineStr"/>
    </row>
    <row r="194" ht="15" customHeight="1">
      <c r="A194" t="inlineStr">
        <is>
          <t>A 56203-2024</t>
        </is>
      </c>
      <c r="B194" s="1" t="n">
        <v>45624.59535879629</v>
      </c>
      <c r="C194" s="1" t="n">
        <v>45912</v>
      </c>
      <c r="D194" t="inlineStr">
        <is>
          <t>DALARNAS LÄN</t>
        </is>
      </c>
      <c r="E194" t="inlineStr">
        <is>
          <t>LUDVIKA</t>
        </is>
      </c>
      <c r="G194" t="n">
        <v>2.3</v>
      </c>
      <c r="H194" t="n">
        <v>0</v>
      </c>
      <c r="I194" t="n">
        <v>0</v>
      </c>
      <c r="J194" t="n">
        <v>0</v>
      </c>
      <c r="K194" t="n">
        <v>0</v>
      </c>
      <c r="L194" t="n">
        <v>0</v>
      </c>
      <c r="M194" t="n">
        <v>0</v>
      </c>
      <c r="N194" t="n">
        <v>0</v>
      </c>
      <c r="O194" t="n">
        <v>0</v>
      </c>
      <c r="P194" t="n">
        <v>0</v>
      </c>
      <c r="Q194" t="n">
        <v>0</v>
      </c>
      <c r="R194" s="2" t="inlineStr"/>
    </row>
    <row r="195" ht="15" customHeight="1">
      <c r="A195" t="inlineStr">
        <is>
          <t>A 4544-2025</t>
        </is>
      </c>
      <c r="B195" s="1" t="n">
        <v>45687.39811342592</v>
      </c>
      <c r="C195" s="1" t="n">
        <v>45912</v>
      </c>
      <c r="D195" t="inlineStr">
        <is>
          <t>DALARNAS LÄN</t>
        </is>
      </c>
      <c r="E195" t="inlineStr">
        <is>
          <t>LUDVIKA</t>
        </is>
      </c>
      <c r="G195" t="n">
        <v>1.9</v>
      </c>
      <c r="H195" t="n">
        <v>0</v>
      </c>
      <c r="I195" t="n">
        <v>0</v>
      </c>
      <c r="J195" t="n">
        <v>0</v>
      </c>
      <c r="K195" t="n">
        <v>0</v>
      </c>
      <c r="L195" t="n">
        <v>0</v>
      </c>
      <c r="M195" t="n">
        <v>0</v>
      </c>
      <c r="N195" t="n">
        <v>0</v>
      </c>
      <c r="O195" t="n">
        <v>0</v>
      </c>
      <c r="P195" t="n">
        <v>0</v>
      </c>
      <c r="Q195" t="n">
        <v>0</v>
      </c>
      <c r="R195" s="2" t="inlineStr"/>
    </row>
    <row r="196" ht="15" customHeight="1">
      <c r="A196" t="inlineStr">
        <is>
          <t>A 33914-2023</t>
        </is>
      </c>
      <c r="B196" s="1" t="n">
        <v>45134.43274305556</v>
      </c>
      <c r="C196" s="1" t="n">
        <v>45912</v>
      </c>
      <c r="D196" t="inlineStr">
        <is>
          <t>DALARNAS LÄN</t>
        </is>
      </c>
      <c r="E196" t="inlineStr">
        <is>
          <t>LUDVIKA</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54222-2024</t>
        </is>
      </c>
      <c r="B197" s="1" t="n">
        <v>45616.66560185186</v>
      </c>
      <c r="C197" s="1" t="n">
        <v>45912</v>
      </c>
      <c r="D197" t="inlineStr">
        <is>
          <t>DALARNAS LÄN</t>
        </is>
      </c>
      <c r="E197" t="inlineStr">
        <is>
          <t>LUDVIKA</t>
        </is>
      </c>
      <c r="F197" t="inlineStr">
        <is>
          <t>Bergvik skog väst AB</t>
        </is>
      </c>
      <c r="G197" t="n">
        <v>2.9</v>
      </c>
      <c r="H197" t="n">
        <v>0</v>
      </c>
      <c r="I197" t="n">
        <v>0</v>
      </c>
      <c r="J197" t="n">
        <v>0</v>
      </c>
      <c r="K197" t="n">
        <v>0</v>
      </c>
      <c r="L197" t="n">
        <v>0</v>
      </c>
      <c r="M197" t="n">
        <v>0</v>
      </c>
      <c r="N197" t="n">
        <v>0</v>
      </c>
      <c r="O197" t="n">
        <v>0</v>
      </c>
      <c r="P197" t="n">
        <v>0</v>
      </c>
      <c r="Q197" t="n">
        <v>0</v>
      </c>
      <c r="R197" s="2" t="inlineStr"/>
    </row>
    <row r="198" ht="15" customHeight="1">
      <c r="A198" t="inlineStr">
        <is>
          <t>A 28507-2023</t>
        </is>
      </c>
      <c r="B198" s="1" t="n">
        <v>45103.46510416667</v>
      </c>
      <c r="C198" s="1" t="n">
        <v>45912</v>
      </c>
      <c r="D198" t="inlineStr">
        <is>
          <t>DALARNAS LÄN</t>
        </is>
      </c>
      <c r="E198" t="inlineStr">
        <is>
          <t>LUDVIKA</t>
        </is>
      </c>
      <c r="G198" t="n">
        <v>2.4</v>
      </c>
      <c r="H198" t="n">
        <v>0</v>
      </c>
      <c r="I198" t="n">
        <v>0</v>
      </c>
      <c r="J198" t="n">
        <v>0</v>
      </c>
      <c r="K198" t="n">
        <v>0</v>
      </c>
      <c r="L198" t="n">
        <v>0</v>
      </c>
      <c r="M198" t="n">
        <v>0</v>
      </c>
      <c r="N198" t="n">
        <v>0</v>
      </c>
      <c r="O198" t="n">
        <v>0</v>
      </c>
      <c r="P198" t="n">
        <v>0</v>
      </c>
      <c r="Q198" t="n">
        <v>0</v>
      </c>
      <c r="R198" s="2" t="inlineStr"/>
    </row>
    <row r="199" ht="15" customHeight="1">
      <c r="A199" t="inlineStr">
        <is>
          <t>A 20427-2025</t>
        </is>
      </c>
      <c r="B199" s="1" t="n">
        <v>45775</v>
      </c>
      <c r="C199" s="1" t="n">
        <v>45912</v>
      </c>
      <c r="D199" t="inlineStr">
        <is>
          <t>DALARNAS LÄN</t>
        </is>
      </c>
      <c r="E199" t="inlineStr">
        <is>
          <t>LUDVIKA</t>
        </is>
      </c>
      <c r="F199" t="inlineStr">
        <is>
          <t>Bergvik skog väst AB</t>
        </is>
      </c>
      <c r="G199" t="n">
        <v>4.2</v>
      </c>
      <c r="H199" t="n">
        <v>0</v>
      </c>
      <c r="I199" t="n">
        <v>0</v>
      </c>
      <c r="J199" t="n">
        <v>0</v>
      </c>
      <c r="K199" t="n">
        <v>0</v>
      </c>
      <c r="L199" t="n">
        <v>0</v>
      </c>
      <c r="M199" t="n">
        <v>0</v>
      </c>
      <c r="N199" t="n">
        <v>0</v>
      </c>
      <c r="O199" t="n">
        <v>0</v>
      </c>
      <c r="P199" t="n">
        <v>0</v>
      </c>
      <c r="Q199" t="n">
        <v>0</v>
      </c>
      <c r="R199" s="2" t="inlineStr"/>
    </row>
    <row r="200" ht="15" customHeight="1">
      <c r="A200" t="inlineStr">
        <is>
          <t>A 39437-2023</t>
        </is>
      </c>
      <c r="B200" s="1" t="n">
        <v>45166.70038194444</v>
      </c>
      <c r="C200" s="1" t="n">
        <v>45912</v>
      </c>
      <c r="D200" t="inlineStr">
        <is>
          <t>DALARNAS LÄN</t>
        </is>
      </c>
      <c r="E200" t="inlineStr">
        <is>
          <t>LUDVIKA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22325-2025</t>
        </is>
      </c>
      <c r="B201" s="1" t="n">
        <v>45786</v>
      </c>
      <c r="C201" s="1" t="n">
        <v>45912</v>
      </c>
      <c r="D201" t="inlineStr">
        <is>
          <t>DALARNAS LÄN</t>
        </is>
      </c>
      <c r="E201" t="inlineStr">
        <is>
          <t>LUDVIKA</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57230-2024</t>
        </is>
      </c>
      <c r="B202" s="1" t="n">
        <v>45629.54122685185</v>
      </c>
      <c r="C202" s="1" t="n">
        <v>45912</v>
      </c>
      <c r="D202" t="inlineStr">
        <is>
          <t>DALARNAS LÄN</t>
        </is>
      </c>
      <c r="E202" t="inlineStr">
        <is>
          <t>LUDVIKA</t>
        </is>
      </c>
      <c r="F202" t="inlineStr">
        <is>
          <t>Bergvik skog väst AB</t>
        </is>
      </c>
      <c r="G202" t="n">
        <v>3.9</v>
      </c>
      <c r="H202" t="n">
        <v>0</v>
      </c>
      <c r="I202" t="n">
        <v>0</v>
      </c>
      <c r="J202" t="n">
        <v>0</v>
      </c>
      <c r="K202" t="n">
        <v>0</v>
      </c>
      <c r="L202" t="n">
        <v>0</v>
      </c>
      <c r="M202" t="n">
        <v>0</v>
      </c>
      <c r="N202" t="n">
        <v>0</v>
      </c>
      <c r="O202" t="n">
        <v>0</v>
      </c>
      <c r="P202" t="n">
        <v>0</v>
      </c>
      <c r="Q202" t="n">
        <v>0</v>
      </c>
      <c r="R202" s="2" t="inlineStr"/>
    </row>
    <row r="203" ht="15" customHeight="1">
      <c r="A203" t="inlineStr">
        <is>
          <t>A 46095-2024</t>
        </is>
      </c>
      <c r="B203" s="1" t="n">
        <v>45581.36174768519</v>
      </c>
      <c r="C203" s="1" t="n">
        <v>45912</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41539-2024</t>
        </is>
      </c>
      <c r="B204" s="1" t="n">
        <v>45560.50243055556</v>
      </c>
      <c r="C204" s="1" t="n">
        <v>45912</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22328-2025</t>
        </is>
      </c>
      <c r="B205" s="1" t="n">
        <v>45786</v>
      </c>
      <c r="C205" s="1" t="n">
        <v>45912</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22594-2025</t>
        </is>
      </c>
      <c r="B206" s="1" t="n">
        <v>45789</v>
      </c>
      <c r="C206" s="1" t="n">
        <v>45912</v>
      </c>
      <c r="D206" t="inlineStr">
        <is>
          <t>DALARNAS LÄN</t>
        </is>
      </c>
      <c r="E206" t="inlineStr">
        <is>
          <t>LUDVIKA</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22606-2025</t>
        </is>
      </c>
      <c r="B207" s="1" t="n">
        <v>45789</v>
      </c>
      <c r="C207" s="1" t="n">
        <v>45912</v>
      </c>
      <c r="D207" t="inlineStr">
        <is>
          <t>DALARNAS LÄN</t>
        </is>
      </c>
      <c r="E207" t="inlineStr">
        <is>
          <t>LUDVIKA</t>
        </is>
      </c>
      <c r="F207" t="inlineStr">
        <is>
          <t>Bergvik skog väst AB</t>
        </is>
      </c>
      <c r="G207" t="n">
        <v>3.9</v>
      </c>
      <c r="H207" t="n">
        <v>0</v>
      </c>
      <c r="I207" t="n">
        <v>0</v>
      </c>
      <c r="J207" t="n">
        <v>0</v>
      </c>
      <c r="K207" t="n">
        <v>0</v>
      </c>
      <c r="L207" t="n">
        <v>0</v>
      </c>
      <c r="M207" t="n">
        <v>0</v>
      </c>
      <c r="N207" t="n">
        <v>0</v>
      </c>
      <c r="O207" t="n">
        <v>0</v>
      </c>
      <c r="P207" t="n">
        <v>0</v>
      </c>
      <c r="Q207" t="n">
        <v>0</v>
      </c>
      <c r="R207" s="2" t="inlineStr"/>
    </row>
    <row r="208" ht="15" customHeight="1">
      <c r="A208" t="inlineStr">
        <is>
          <t>A 22610-2025</t>
        </is>
      </c>
      <c r="B208" s="1" t="n">
        <v>45789</v>
      </c>
      <c r="C208" s="1" t="n">
        <v>45912</v>
      </c>
      <c r="D208" t="inlineStr">
        <is>
          <t>DALARNAS LÄN</t>
        </is>
      </c>
      <c r="E208" t="inlineStr">
        <is>
          <t>LUDVIKA</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31958-2024</t>
        </is>
      </c>
      <c r="B209" s="1" t="n">
        <v>45510.51506944445</v>
      </c>
      <c r="C209" s="1" t="n">
        <v>45912</v>
      </c>
      <c r="D209" t="inlineStr">
        <is>
          <t>DALARNAS LÄN</t>
        </is>
      </c>
      <c r="E209" t="inlineStr">
        <is>
          <t>LUDVIKA</t>
        </is>
      </c>
      <c r="G209" t="n">
        <v>1.1</v>
      </c>
      <c r="H209" t="n">
        <v>0</v>
      </c>
      <c r="I209" t="n">
        <v>0</v>
      </c>
      <c r="J209" t="n">
        <v>0</v>
      </c>
      <c r="K209" t="n">
        <v>0</v>
      </c>
      <c r="L209" t="n">
        <v>0</v>
      </c>
      <c r="M209" t="n">
        <v>0</v>
      </c>
      <c r="N209" t="n">
        <v>0</v>
      </c>
      <c r="O209" t="n">
        <v>0</v>
      </c>
      <c r="P209" t="n">
        <v>0</v>
      </c>
      <c r="Q209" t="n">
        <v>0</v>
      </c>
      <c r="R209" s="2" t="inlineStr"/>
    </row>
    <row r="210" ht="15" customHeight="1">
      <c r="A210" t="inlineStr">
        <is>
          <t>A 33839-2024</t>
        </is>
      </c>
      <c r="B210" s="1" t="n">
        <v>45520.63197916667</v>
      </c>
      <c r="C210" s="1" t="n">
        <v>45912</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46093-2024</t>
        </is>
      </c>
      <c r="B211" s="1" t="n">
        <v>45581.35516203703</v>
      </c>
      <c r="C211" s="1" t="n">
        <v>45912</v>
      </c>
      <c r="D211" t="inlineStr">
        <is>
          <t>DALARNAS LÄN</t>
        </is>
      </c>
      <c r="E211" t="inlineStr">
        <is>
          <t>LUDVIKA</t>
        </is>
      </c>
      <c r="F211" t="inlineStr">
        <is>
          <t>Bergvik skog väst AB</t>
        </is>
      </c>
      <c r="G211" t="n">
        <v>3.5</v>
      </c>
      <c r="H211" t="n">
        <v>0</v>
      </c>
      <c r="I211" t="n">
        <v>0</v>
      </c>
      <c r="J211" t="n">
        <v>0</v>
      </c>
      <c r="K211" t="n">
        <v>0</v>
      </c>
      <c r="L211" t="n">
        <v>0</v>
      </c>
      <c r="M211" t="n">
        <v>0</v>
      </c>
      <c r="N211" t="n">
        <v>0</v>
      </c>
      <c r="O211" t="n">
        <v>0</v>
      </c>
      <c r="P211" t="n">
        <v>0</v>
      </c>
      <c r="Q211" t="n">
        <v>0</v>
      </c>
      <c r="R211" s="2" t="inlineStr"/>
    </row>
    <row r="212" ht="15" customHeight="1">
      <c r="A212" t="inlineStr">
        <is>
          <t>A 46107-2024</t>
        </is>
      </c>
      <c r="B212" s="1" t="n">
        <v>45581.37739583333</v>
      </c>
      <c r="C212" s="1" t="n">
        <v>45912</v>
      </c>
      <c r="D212" t="inlineStr">
        <is>
          <t>DALARNAS LÄN</t>
        </is>
      </c>
      <c r="E212" t="inlineStr">
        <is>
          <t>LUDVIKA</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50240-2024</t>
        </is>
      </c>
      <c r="B213" s="1" t="n">
        <v>45600.56336805555</v>
      </c>
      <c r="C213" s="1" t="n">
        <v>45912</v>
      </c>
      <c r="D213" t="inlineStr">
        <is>
          <t>DALARNAS LÄN</t>
        </is>
      </c>
      <c r="E213" t="inlineStr">
        <is>
          <t>LUDVIKA</t>
        </is>
      </c>
      <c r="G213" t="n">
        <v>2.2</v>
      </c>
      <c r="H213" t="n">
        <v>0</v>
      </c>
      <c r="I213" t="n">
        <v>0</v>
      </c>
      <c r="J213" t="n">
        <v>0</v>
      </c>
      <c r="K213" t="n">
        <v>0</v>
      </c>
      <c r="L213" t="n">
        <v>0</v>
      </c>
      <c r="M213" t="n">
        <v>0</v>
      </c>
      <c r="N213" t="n">
        <v>0</v>
      </c>
      <c r="O213" t="n">
        <v>0</v>
      </c>
      <c r="P213" t="n">
        <v>0</v>
      </c>
      <c r="Q213" t="n">
        <v>0</v>
      </c>
      <c r="R213" s="2" t="inlineStr"/>
    </row>
    <row r="214" ht="15" customHeight="1">
      <c r="A214" t="inlineStr">
        <is>
          <t>A 22801-2025</t>
        </is>
      </c>
      <c r="B214" s="1" t="n">
        <v>45789.66861111111</v>
      </c>
      <c r="C214" s="1" t="n">
        <v>45912</v>
      </c>
      <c r="D214" t="inlineStr">
        <is>
          <t>DALARNAS LÄN</t>
        </is>
      </c>
      <c r="E214" t="inlineStr">
        <is>
          <t>LUDVIKA</t>
        </is>
      </c>
      <c r="G214" t="n">
        <v>1.6</v>
      </c>
      <c r="H214" t="n">
        <v>0</v>
      </c>
      <c r="I214" t="n">
        <v>0</v>
      </c>
      <c r="J214" t="n">
        <v>0</v>
      </c>
      <c r="K214" t="n">
        <v>0</v>
      </c>
      <c r="L214" t="n">
        <v>0</v>
      </c>
      <c r="M214" t="n">
        <v>0</v>
      </c>
      <c r="N214" t="n">
        <v>0</v>
      </c>
      <c r="O214" t="n">
        <v>0</v>
      </c>
      <c r="P214" t="n">
        <v>0</v>
      </c>
      <c r="Q214" t="n">
        <v>0</v>
      </c>
      <c r="R214" s="2" t="inlineStr"/>
    </row>
    <row r="215" ht="15" customHeight="1">
      <c r="A215" t="inlineStr">
        <is>
          <t>A 22807-2025</t>
        </is>
      </c>
      <c r="B215" s="1" t="n">
        <v>45789.67512731482</v>
      </c>
      <c r="C215" s="1" t="n">
        <v>45912</v>
      </c>
      <c r="D215" t="inlineStr">
        <is>
          <t>DALARNAS LÄN</t>
        </is>
      </c>
      <c r="E215" t="inlineStr">
        <is>
          <t>LUDVIKA</t>
        </is>
      </c>
      <c r="G215" t="n">
        <v>4.2</v>
      </c>
      <c r="H215" t="n">
        <v>0</v>
      </c>
      <c r="I215" t="n">
        <v>0</v>
      </c>
      <c r="J215" t="n">
        <v>0</v>
      </c>
      <c r="K215" t="n">
        <v>0</v>
      </c>
      <c r="L215" t="n">
        <v>0</v>
      </c>
      <c r="M215" t="n">
        <v>0</v>
      </c>
      <c r="N215" t="n">
        <v>0</v>
      </c>
      <c r="O215" t="n">
        <v>0</v>
      </c>
      <c r="P215" t="n">
        <v>0</v>
      </c>
      <c r="Q215" t="n">
        <v>0</v>
      </c>
      <c r="R215" s="2" t="inlineStr"/>
    </row>
    <row r="216" ht="15" customHeight="1">
      <c r="A216" t="inlineStr">
        <is>
          <t>A 17999-2025</t>
        </is>
      </c>
      <c r="B216" s="1" t="n">
        <v>45761</v>
      </c>
      <c r="C216" s="1" t="n">
        <v>45912</v>
      </c>
      <c r="D216" t="inlineStr">
        <is>
          <t>DALARNAS LÄN</t>
        </is>
      </c>
      <c r="E216" t="inlineStr">
        <is>
          <t>LUDVIKA</t>
        </is>
      </c>
      <c r="F216" t="inlineStr">
        <is>
          <t>Naturvårdsverket</t>
        </is>
      </c>
      <c r="G216" t="n">
        <v>0.9</v>
      </c>
      <c r="H216" t="n">
        <v>0</v>
      </c>
      <c r="I216" t="n">
        <v>0</v>
      </c>
      <c r="J216" t="n">
        <v>0</v>
      </c>
      <c r="K216" t="n">
        <v>0</v>
      </c>
      <c r="L216" t="n">
        <v>0</v>
      </c>
      <c r="M216" t="n">
        <v>0</v>
      </c>
      <c r="N216" t="n">
        <v>0</v>
      </c>
      <c r="O216" t="n">
        <v>0</v>
      </c>
      <c r="P216" t="n">
        <v>0</v>
      </c>
      <c r="Q216" t="n">
        <v>0</v>
      </c>
      <c r="R216" s="2" t="inlineStr"/>
    </row>
    <row r="217" ht="15" customHeight="1">
      <c r="A217" t="inlineStr">
        <is>
          <t>A 45361-2022</t>
        </is>
      </c>
      <c r="B217" s="1" t="n">
        <v>44844.62275462963</v>
      </c>
      <c r="C217" s="1" t="n">
        <v>45912</v>
      </c>
      <c r="D217" t="inlineStr">
        <is>
          <t>DALARNAS LÄN</t>
        </is>
      </c>
      <c r="E217" t="inlineStr">
        <is>
          <t>LUDVIKA</t>
        </is>
      </c>
      <c r="F217" t="inlineStr">
        <is>
          <t>Bergvik skog väst AB</t>
        </is>
      </c>
      <c r="G217" t="n">
        <v>0.8</v>
      </c>
      <c r="H217" t="n">
        <v>0</v>
      </c>
      <c r="I217" t="n">
        <v>0</v>
      </c>
      <c r="J217" t="n">
        <v>0</v>
      </c>
      <c r="K217" t="n">
        <v>0</v>
      </c>
      <c r="L217" t="n">
        <v>0</v>
      </c>
      <c r="M217" t="n">
        <v>0</v>
      </c>
      <c r="N217" t="n">
        <v>0</v>
      </c>
      <c r="O217" t="n">
        <v>0</v>
      </c>
      <c r="P217" t="n">
        <v>0</v>
      </c>
      <c r="Q217" t="n">
        <v>0</v>
      </c>
      <c r="R217" s="2" t="inlineStr"/>
    </row>
    <row r="218" ht="15" customHeight="1">
      <c r="A218" t="inlineStr">
        <is>
          <t>A 43702-2024</t>
        </is>
      </c>
      <c r="B218" s="1" t="n">
        <v>45569.59144675926</v>
      </c>
      <c r="C218" s="1" t="n">
        <v>45912</v>
      </c>
      <c r="D218" t="inlineStr">
        <is>
          <t>DALARNAS LÄN</t>
        </is>
      </c>
      <c r="E218" t="inlineStr">
        <is>
          <t>LUDVIKA</t>
        </is>
      </c>
      <c r="F218" t="inlineStr">
        <is>
          <t>Bergvik skog väst AB</t>
        </is>
      </c>
      <c r="G218" t="n">
        <v>1.9</v>
      </c>
      <c r="H218" t="n">
        <v>0</v>
      </c>
      <c r="I218" t="n">
        <v>0</v>
      </c>
      <c r="J218" t="n">
        <v>0</v>
      </c>
      <c r="K218" t="n">
        <v>0</v>
      </c>
      <c r="L218" t="n">
        <v>0</v>
      </c>
      <c r="M218" t="n">
        <v>0</v>
      </c>
      <c r="N218" t="n">
        <v>0</v>
      </c>
      <c r="O218" t="n">
        <v>0</v>
      </c>
      <c r="P218" t="n">
        <v>0</v>
      </c>
      <c r="Q218" t="n">
        <v>0</v>
      </c>
      <c r="R218" s="2" t="inlineStr"/>
    </row>
    <row r="219" ht="15" customHeight="1">
      <c r="A219" t="inlineStr">
        <is>
          <t>A 29882-2024</t>
        </is>
      </c>
      <c r="B219" s="1" t="n">
        <v>45486</v>
      </c>
      <c r="C219" s="1" t="n">
        <v>45912</v>
      </c>
      <c r="D219" t="inlineStr">
        <is>
          <t>DALARNAS LÄN</t>
        </is>
      </c>
      <c r="E219" t="inlineStr">
        <is>
          <t>LUDVIKA</t>
        </is>
      </c>
      <c r="G219" t="n">
        <v>1.3</v>
      </c>
      <c r="H219" t="n">
        <v>0</v>
      </c>
      <c r="I219" t="n">
        <v>0</v>
      </c>
      <c r="J219" t="n">
        <v>0</v>
      </c>
      <c r="K219" t="n">
        <v>0</v>
      </c>
      <c r="L219" t="n">
        <v>0</v>
      </c>
      <c r="M219" t="n">
        <v>0</v>
      </c>
      <c r="N219" t="n">
        <v>0</v>
      </c>
      <c r="O219" t="n">
        <v>0</v>
      </c>
      <c r="P219" t="n">
        <v>0</v>
      </c>
      <c r="Q219" t="n">
        <v>0</v>
      </c>
      <c r="R219" s="2" t="inlineStr"/>
    </row>
    <row r="220" ht="15" customHeight="1">
      <c r="A220" t="inlineStr">
        <is>
          <t>A 22324-2025</t>
        </is>
      </c>
      <c r="B220" s="1" t="n">
        <v>45786</v>
      </c>
      <c r="C220" s="1" t="n">
        <v>45912</v>
      </c>
      <c r="D220" t="inlineStr">
        <is>
          <t>DALARNAS LÄN</t>
        </is>
      </c>
      <c r="E220" t="inlineStr">
        <is>
          <t>LUDVIKA</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22330-2025</t>
        </is>
      </c>
      <c r="B221" s="1" t="n">
        <v>45786</v>
      </c>
      <c r="C221" s="1" t="n">
        <v>45912</v>
      </c>
      <c r="D221" t="inlineStr">
        <is>
          <t>DALARNAS LÄN</t>
        </is>
      </c>
      <c r="E221" t="inlineStr">
        <is>
          <t>LUDVIKA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54730-2022</t>
        </is>
      </c>
      <c r="B222" s="1" t="n">
        <v>44883</v>
      </c>
      <c r="C222" s="1" t="n">
        <v>45912</v>
      </c>
      <c r="D222" t="inlineStr">
        <is>
          <t>DALARNAS LÄN</t>
        </is>
      </c>
      <c r="E222" t="inlineStr">
        <is>
          <t>LUDVIKA</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32301-2024</t>
        </is>
      </c>
      <c r="B223" s="1" t="n">
        <v>45512.44429398148</v>
      </c>
      <c r="C223" s="1" t="n">
        <v>45912</v>
      </c>
      <c r="D223" t="inlineStr">
        <is>
          <t>DALARNAS LÄN</t>
        </is>
      </c>
      <c r="E223" t="inlineStr">
        <is>
          <t>LUDVIKA</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24712-2024</t>
        </is>
      </c>
      <c r="B224" s="1" t="n">
        <v>45460.62337962963</v>
      </c>
      <c r="C224" s="1" t="n">
        <v>45912</v>
      </c>
      <c r="D224" t="inlineStr">
        <is>
          <t>DALARNAS LÄN</t>
        </is>
      </c>
      <c r="E224" t="inlineStr">
        <is>
          <t>LUDVIKA</t>
        </is>
      </c>
      <c r="G224" t="n">
        <v>4.2</v>
      </c>
      <c r="H224" t="n">
        <v>0</v>
      </c>
      <c r="I224" t="n">
        <v>0</v>
      </c>
      <c r="J224" t="n">
        <v>0</v>
      </c>
      <c r="K224" t="n">
        <v>0</v>
      </c>
      <c r="L224" t="n">
        <v>0</v>
      </c>
      <c r="M224" t="n">
        <v>0</v>
      </c>
      <c r="N224" t="n">
        <v>0</v>
      </c>
      <c r="O224" t="n">
        <v>0</v>
      </c>
      <c r="P224" t="n">
        <v>0</v>
      </c>
      <c r="Q224" t="n">
        <v>0</v>
      </c>
      <c r="R224" s="2" t="inlineStr"/>
    </row>
    <row r="225" ht="15" customHeight="1">
      <c r="A225" t="inlineStr">
        <is>
          <t>A 22599-2025</t>
        </is>
      </c>
      <c r="B225" s="1" t="n">
        <v>45789</v>
      </c>
      <c r="C225" s="1" t="n">
        <v>45912</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61054-2024</t>
        </is>
      </c>
      <c r="B226" s="1" t="n">
        <v>45645</v>
      </c>
      <c r="C226" s="1" t="n">
        <v>45912</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47071-2022</t>
        </is>
      </c>
      <c r="B227" s="1" t="n">
        <v>44852</v>
      </c>
      <c r="C227" s="1" t="n">
        <v>45912</v>
      </c>
      <c r="D227" t="inlineStr">
        <is>
          <t>DALARNAS LÄN</t>
        </is>
      </c>
      <c r="E227" t="inlineStr">
        <is>
          <t>LUDVIKA</t>
        </is>
      </c>
      <c r="G227" t="n">
        <v>1.2</v>
      </c>
      <c r="H227" t="n">
        <v>0</v>
      </c>
      <c r="I227" t="n">
        <v>0</v>
      </c>
      <c r="J227" t="n">
        <v>0</v>
      </c>
      <c r="K227" t="n">
        <v>0</v>
      </c>
      <c r="L227" t="n">
        <v>0</v>
      </c>
      <c r="M227" t="n">
        <v>0</v>
      </c>
      <c r="N227" t="n">
        <v>0</v>
      </c>
      <c r="O227" t="n">
        <v>0</v>
      </c>
      <c r="P227" t="n">
        <v>0</v>
      </c>
      <c r="Q227" t="n">
        <v>0</v>
      </c>
      <c r="R227" s="2" t="inlineStr"/>
    </row>
    <row r="228" ht="15" customHeight="1">
      <c r="A228" t="inlineStr">
        <is>
          <t>A 23082-2025</t>
        </is>
      </c>
      <c r="B228" s="1" t="n">
        <v>45791</v>
      </c>
      <c r="C228" s="1" t="n">
        <v>45912</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23088-2025</t>
        </is>
      </c>
      <c r="B229" s="1" t="n">
        <v>45791.34212962963</v>
      </c>
      <c r="C229" s="1" t="n">
        <v>45912</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23103-2025</t>
        </is>
      </c>
      <c r="B230" s="1" t="n">
        <v>45791</v>
      </c>
      <c r="C230" s="1" t="n">
        <v>45912</v>
      </c>
      <c r="D230" t="inlineStr">
        <is>
          <t>DALARNAS LÄN</t>
        </is>
      </c>
      <c r="E230" t="inlineStr">
        <is>
          <t>LUDVIKA</t>
        </is>
      </c>
      <c r="F230" t="inlineStr">
        <is>
          <t>Bergvik skog väst AB</t>
        </is>
      </c>
      <c r="G230" t="n">
        <v>15.9</v>
      </c>
      <c r="H230" t="n">
        <v>0</v>
      </c>
      <c r="I230" t="n">
        <v>0</v>
      </c>
      <c r="J230" t="n">
        <v>0</v>
      </c>
      <c r="K230" t="n">
        <v>0</v>
      </c>
      <c r="L230" t="n">
        <v>0</v>
      </c>
      <c r="M230" t="n">
        <v>0</v>
      </c>
      <c r="N230" t="n">
        <v>0</v>
      </c>
      <c r="O230" t="n">
        <v>0</v>
      </c>
      <c r="P230" t="n">
        <v>0</v>
      </c>
      <c r="Q230" t="n">
        <v>0</v>
      </c>
      <c r="R230" s="2" t="inlineStr"/>
    </row>
    <row r="231" ht="15" customHeight="1">
      <c r="A231" t="inlineStr">
        <is>
          <t>A 23105-2025</t>
        </is>
      </c>
      <c r="B231" s="1" t="n">
        <v>45791</v>
      </c>
      <c r="C231" s="1" t="n">
        <v>45912</v>
      </c>
      <c r="D231" t="inlineStr">
        <is>
          <t>DALARNAS LÄN</t>
        </is>
      </c>
      <c r="E231" t="inlineStr">
        <is>
          <t>LUDVIKA</t>
        </is>
      </c>
      <c r="F231" t="inlineStr">
        <is>
          <t>Bergvik skog väst AB</t>
        </is>
      </c>
      <c r="G231" t="n">
        <v>1.9</v>
      </c>
      <c r="H231" t="n">
        <v>0</v>
      </c>
      <c r="I231" t="n">
        <v>0</v>
      </c>
      <c r="J231" t="n">
        <v>0</v>
      </c>
      <c r="K231" t="n">
        <v>0</v>
      </c>
      <c r="L231" t="n">
        <v>0</v>
      </c>
      <c r="M231" t="n">
        <v>0</v>
      </c>
      <c r="N231" t="n">
        <v>0</v>
      </c>
      <c r="O231" t="n">
        <v>0</v>
      </c>
      <c r="P231" t="n">
        <v>0</v>
      </c>
      <c r="Q231" t="n">
        <v>0</v>
      </c>
      <c r="R231" s="2" t="inlineStr"/>
    </row>
    <row r="232" ht="15" customHeight="1">
      <c r="A232" t="inlineStr">
        <is>
          <t>A 35353-2024</t>
        </is>
      </c>
      <c r="B232" s="1" t="n">
        <v>45531.30570601852</v>
      </c>
      <c r="C232" s="1" t="n">
        <v>45912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5672-2023</t>
        </is>
      </c>
      <c r="B233" s="1" t="n">
        <v>44960.65628472222</v>
      </c>
      <c r="C233" s="1" t="n">
        <v>45912</v>
      </c>
      <c r="D233" t="inlineStr">
        <is>
          <t>DALARNAS LÄN</t>
        </is>
      </c>
      <c r="E233" t="inlineStr">
        <is>
          <t>LUDVIKA</t>
        </is>
      </c>
      <c r="F233" t="inlineStr">
        <is>
          <t>Naturvårdsverket</t>
        </is>
      </c>
      <c r="G233" t="n">
        <v>2.7</v>
      </c>
      <c r="H233" t="n">
        <v>0</v>
      </c>
      <c r="I233" t="n">
        <v>0</v>
      </c>
      <c r="J233" t="n">
        <v>0</v>
      </c>
      <c r="K233" t="n">
        <v>0</v>
      </c>
      <c r="L233" t="n">
        <v>0</v>
      </c>
      <c r="M233" t="n">
        <v>0</v>
      </c>
      <c r="N233" t="n">
        <v>0</v>
      </c>
      <c r="O233" t="n">
        <v>0</v>
      </c>
      <c r="P233" t="n">
        <v>0</v>
      </c>
      <c r="Q233" t="n">
        <v>0</v>
      </c>
      <c r="R233" s="2" t="inlineStr"/>
    </row>
    <row r="234" ht="15" customHeight="1">
      <c r="A234" t="inlineStr">
        <is>
          <t>A 21152-2023</t>
        </is>
      </c>
      <c r="B234" s="1" t="n">
        <v>45062.39581018518</v>
      </c>
      <c r="C234" s="1" t="n">
        <v>45912</v>
      </c>
      <c r="D234" t="inlineStr">
        <is>
          <t>DALARNAS LÄN</t>
        </is>
      </c>
      <c r="E234" t="inlineStr">
        <is>
          <t>LUDVIKA</t>
        </is>
      </c>
      <c r="F234" t="inlineStr">
        <is>
          <t>Bergvik skog väst AB</t>
        </is>
      </c>
      <c r="G234" t="n">
        <v>13.6</v>
      </c>
      <c r="H234" t="n">
        <v>0</v>
      </c>
      <c r="I234" t="n">
        <v>0</v>
      </c>
      <c r="J234" t="n">
        <v>0</v>
      </c>
      <c r="K234" t="n">
        <v>0</v>
      </c>
      <c r="L234" t="n">
        <v>0</v>
      </c>
      <c r="M234" t="n">
        <v>0</v>
      </c>
      <c r="N234" t="n">
        <v>0</v>
      </c>
      <c r="O234" t="n">
        <v>0</v>
      </c>
      <c r="P234" t="n">
        <v>0</v>
      </c>
      <c r="Q234" t="n">
        <v>0</v>
      </c>
      <c r="R234" s="2" t="inlineStr"/>
    </row>
    <row r="235" ht="15" customHeight="1">
      <c r="A235" t="inlineStr">
        <is>
          <t>A 39849-2023</t>
        </is>
      </c>
      <c r="B235" s="1" t="n">
        <v>45168.36769675926</v>
      </c>
      <c r="C235" s="1" t="n">
        <v>45912</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34280-2024</t>
        </is>
      </c>
      <c r="B236" s="1" t="n">
        <v>45524.62398148148</v>
      </c>
      <c r="C236" s="1" t="n">
        <v>45912</v>
      </c>
      <c r="D236" t="inlineStr">
        <is>
          <t>DALARNAS LÄN</t>
        </is>
      </c>
      <c r="E236" t="inlineStr">
        <is>
          <t>LUDVIKA</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36066-2024</t>
        </is>
      </c>
      <c r="B237" s="1" t="n">
        <v>45533.64466435185</v>
      </c>
      <c r="C237" s="1" t="n">
        <v>45912</v>
      </c>
      <c r="D237" t="inlineStr">
        <is>
          <t>DALARNAS LÄN</t>
        </is>
      </c>
      <c r="E237" t="inlineStr">
        <is>
          <t>LUDVIKA</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23086-2025</t>
        </is>
      </c>
      <c r="B238" s="1" t="n">
        <v>45791</v>
      </c>
      <c r="C238" s="1" t="n">
        <v>45912</v>
      </c>
      <c r="D238" t="inlineStr">
        <is>
          <t>DALARNAS LÄN</t>
        </is>
      </c>
      <c r="E238" t="inlineStr">
        <is>
          <t>LUDVIKA</t>
        </is>
      </c>
      <c r="F238" t="inlineStr">
        <is>
          <t>Bergvik skog väst AB</t>
        </is>
      </c>
      <c r="G238" t="n">
        <v>8.5</v>
      </c>
      <c r="H238" t="n">
        <v>0</v>
      </c>
      <c r="I238" t="n">
        <v>0</v>
      </c>
      <c r="J238" t="n">
        <v>0</v>
      </c>
      <c r="K238" t="n">
        <v>0</v>
      </c>
      <c r="L238" t="n">
        <v>0</v>
      </c>
      <c r="M238" t="n">
        <v>0</v>
      </c>
      <c r="N238" t="n">
        <v>0</v>
      </c>
      <c r="O238" t="n">
        <v>0</v>
      </c>
      <c r="P238" t="n">
        <v>0</v>
      </c>
      <c r="Q238" t="n">
        <v>0</v>
      </c>
      <c r="R238" s="2" t="inlineStr"/>
    </row>
    <row r="239" ht="15" customHeight="1">
      <c r="A239" t="inlineStr">
        <is>
          <t>A 23087-2025</t>
        </is>
      </c>
      <c r="B239" s="1" t="n">
        <v>45791.3395949074</v>
      </c>
      <c r="C239" s="1" t="n">
        <v>45912</v>
      </c>
      <c r="D239" t="inlineStr">
        <is>
          <t>DALARNAS LÄN</t>
        </is>
      </c>
      <c r="E239" t="inlineStr">
        <is>
          <t>LUDVIKA</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22850-2025</t>
        </is>
      </c>
      <c r="B240" s="1" t="n">
        <v>45790.34148148148</v>
      </c>
      <c r="C240" s="1" t="n">
        <v>45912</v>
      </c>
      <c r="D240" t="inlineStr">
        <is>
          <t>DALARNAS LÄN</t>
        </is>
      </c>
      <c r="E240" t="inlineStr">
        <is>
          <t>LUDVIKA</t>
        </is>
      </c>
      <c r="F240" t="inlineStr">
        <is>
          <t>Övriga Aktiebolag</t>
        </is>
      </c>
      <c r="G240" t="n">
        <v>2.4</v>
      </c>
      <c r="H240" t="n">
        <v>0</v>
      </c>
      <c r="I240" t="n">
        <v>0</v>
      </c>
      <c r="J240" t="n">
        <v>0</v>
      </c>
      <c r="K240" t="n">
        <v>0</v>
      </c>
      <c r="L240" t="n">
        <v>0</v>
      </c>
      <c r="M240" t="n">
        <v>0</v>
      </c>
      <c r="N240" t="n">
        <v>0</v>
      </c>
      <c r="O240" t="n">
        <v>0</v>
      </c>
      <c r="P240" t="n">
        <v>0</v>
      </c>
      <c r="Q240" t="n">
        <v>0</v>
      </c>
      <c r="R240" s="2" t="inlineStr"/>
    </row>
    <row r="241" ht="15" customHeight="1">
      <c r="A241" t="inlineStr">
        <is>
          <t>A 53996-2024</t>
        </is>
      </c>
      <c r="B241" s="1" t="n">
        <v>45616.35984953704</v>
      </c>
      <c r="C241" s="1" t="n">
        <v>45912</v>
      </c>
      <c r="D241" t="inlineStr">
        <is>
          <t>DALARNAS LÄN</t>
        </is>
      </c>
      <c r="E241" t="inlineStr">
        <is>
          <t>LUDVIKA</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19071-2025</t>
        </is>
      </c>
      <c r="B242" s="1" t="n">
        <v>45765.67115740741</v>
      </c>
      <c r="C242" s="1" t="n">
        <v>45912</v>
      </c>
      <c r="D242" t="inlineStr">
        <is>
          <t>DALARNAS LÄN</t>
        </is>
      </c>
      <c r="E242" t="inlineStr">
        <is>
          <t>LUDVIKA</t>
        </is>
      </c>
      <c r="G242" t="n">
        <v>4.6</v>
      </c>
      <c r="H242" t="n">
        <v>0</v>
      </c>
      <c r="I242" t="n">
        <v>0</v>
      </c>
      <c r="J242" t="n">
        <v>0</v>
      </c>
      <c r="K242" t="n">
        <v>0</v>
      </c>
      <c r="L242" t="n">
        <v>0</v>
      </c>
      <c r="M242" t="n">
        <v>0</v>
      </c>
      <c r="N242" t="n">
        <v>0</v>
      </c>
      <c r="O242" t="n">
        <v>0</v>
      </c>
      <c r="P242" t="n">
        <v>0</v>
      </c>
      <c r="Q242" t="n">
        <v>0</v>
      </c>
      <c r="R242" s="2" t="inlineStr"/>
    </row>
    <row r="243" ht="15" customHeight="1">
      <c r="A243" t="inlineStr">
        <is>
          <t>A 47233-2024</t>
        </is>
      </c>
      <c r="B243" s="1" t="n">
        <v>45586.68033564815</v>
      </c>
      <c r="C243" s="1" t="n">
        <v>45912</v>
      </c>
      <c r="D243" t="inlineStr">
        <is>
          <t>DALARNAS LÄN</t>
        </is>
      </c>
      <c r="E243" t="inlineStr">
        <is>
          <t>LUDVIKA</t>
        </is>
      </c>
      <c r="G243" t="n">
        <v>9.5</v>
      </c>
      <c r="H243" t="n">
        <v>0</v>
      </c>
      <c r="I243" t="n">
        <v>0</v>
      </c>
      <c r="J243" t="n">
        <v>0</v>
      </c>
      <c r="K243" t="n">
        <v>0</v>
      </c>
      <c r="L243" t="n">
        <v>0</v>
      </c>
      <c r="M243" t="n">
        <v>0</v>
      </c>
      <c r="N243" t="n">
        <v>0</v>
      </c>
      <c r="O243" t="n">
        <v>0</v>
      </c>
      <c r="P243" t="n">
        <v>0</v>
      </c>
      <c r="Q243" t="n">
        <v>0</v>
      </c>
      <c r="R243" s="2" t="inlineStr"/>
    </row>
    <row r="244" ht="15" customHeight="1">
      <c r="A244" t="inlineStr">
        <is>
          <t>A 19226-2025</t>
        </is>
      </c>
      <c r="B244" s="1" t="n">
        <v>45769</v>
      </c>
      <c r="C244" s="1" t="n">
        <v>45912</v>
      </c>
      <c r="D244" t="inlineStr">
        <is>
          <t>DALARNAS LÄN</t>
        </is>
      </c>
      <c r="E244" t="inlineStr">
        <is>
          <t>LUDVIKA</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49045-2024</t>
        </is>
      </c>
      <c r="B245" s="1" t="n">
        <v>45594.57032407408</v>
      </c>
      <c r="C245" s="1" t="n">
        <v>45912</v>
      </c>
      <c r="D245" t="inlineStr">
        <is>
          <t>DALARNAS LÄN</t>
        </is>
      </c>
      <c r="E245" t="inlineStr">
        <is>
          <t>LUDVIKA</t>
        </is>
      </c>
      <c r="F245" t="inlineStr">
        <is>
          <t>Naturvårdsverket</t>
        </is>
      </c>
      <c r="G245" t="n">
        <v>2</v>
      </c>
      <c r="H245" t="n">
        <v>0</v>
      </c>
      <c r="I245" t="n">
        <v>0</v>
      </c>
      <c r="J245" t="n">
        <v>0</v>
      </c>
      <c r="K245" t="n">
        <v>0</v>
      </c>
      <c r="L245" t="n">
        <v>0</v>
      </c>
      <c r="M245" t="n">
        <v>0</v>
      </c>
      <c r="N245" t="n">
        <v>0</v>
      </c>
      <c r="O245" t="n">
        <v>0</v>
      </c>
      <c r="P245" t="n">
        <v>0</v>
      </c>
      <c r="Q245" t="n">
        <v>0</v>
      </c>
      <c r="R245" s="2" t="inlineStr"/>
    </row>
    <row r="246" ht="15" customHeight="1">
      <c r="A246" t="inlineStr">
        <is>
          <t>A 13809-2025</t>
        </is>
      </c>
      <c r="B246" s="1" t="n">
        <v>45737.49886574074</v>
      </c>
      <c r="C246" s="1" t="n">
        <v>45912</v>
      </c>
      <c r="D246" t="inlineStr">
        <is>
          <t>DALARNAS LÄN</t>
        </is>
      </c>
      <c r="E246" t="inlineStr">
        <is>
          <t>LUDVIKA</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47940-2023</t>
        </is>
      </c>
      <c r="B247" s="1" t="n">
        <v>45204</v>
      </c>
      <c r="C247" s="1" t="n">
        <v>45912</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14046-2025</t>
        </is>
      </c>
      <c r="B248" s="1" t="n">
        <v>45740.37754629629</v>
      </c>
      <c r="C248" s="1" t="n">
        <v>45912</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33330-2024</t>
        </is>
      </c>
      <c r="B249" s="1" t="n">
        <v>45519</v>
      </c>
      <c r="C249" s="1" t="n">
        <v>45912</v>
      </c>
      <c r="D249" t="inlineStr">
        <is>
          <t>DALARNAS LÄN</t>
        </is>
      </c>
      <c r="E249" t="inlineStr">
        <is>
          <t>LUDVIKA</t>
        </is>
      </c>
      <c r="G249" t="n">
        <v>4.9</v>
      </c>
      <c r="H249" t="n">
        <v>0</v>
      </c>
      <c r="I249" t="n">
        <v>0</v>
      </c>
      <c r="J249" t="n">
        <v>0</v>
      </c>
      <c r="K249" t="n">
        <v>0</v>
      </c>
      <c r="L249" t="n">
        <v>0</v>
      </c>
      <c r="M249" t="n">
        <v>0</v>
      </c>
      <c r="N249" t="n">
        <v>0</v>
      </c>
      <c r="O249" t="n">
        <v>0</v>
      </c>
      <c r="P249" t="n">
        <v>0</v>
      </c>
      <c r="Q249" t="n">
        <v>0</v>
      </c>
      <c r="R249" s="2" t="inlineStr"/>
    </row>
    <row r="250" ht="15" customHeight="1">
      <c r="A250" t="inlineStr">
        <is>
          <t>A 52347-2024</t>
        </is>
      </c>
      <c r="B250" s="1" t="n">
        <v>45609</v>
      </c>
      <c r="C250" s="1" t="n">
        <v>45912</v>
      </c>
      <c r="D250" t="inlineStr">
        <is>
          <t>DALARNAS LÄN</t>
        </is>
      </c>
      <c r="E250" t="inlineStr">
        <is>
          <t>LUDVIKA</t>
        </is>
      </c>
      <c r="F250" t="inlineStr">
        <is>
          <t>Bergvik skog väst AB</t>
        </is>
      </c>
      <c r="G250" t="n">
        <v>4.5</v>
      </c>
      <c r="H250" t="n">
        <v>0</v>
      </c>
      <c r="I250" t="n">
        <v>0</v>
      </c>
      <c r="J250" t="n">
        <v>0</v>
      </c>
      <c r="K250" t="n">
        <v>0</v>
      </c>
      <c r="L250" t="n">
        <v>0</v>
      </c>
      <c r="M250" t="n">
        <v>0</v>
      </c>
      <c r="N250" t="n">
        <v>0</v>
      </c>
      <c r="O250" t="n">
        <v>0</v>
      </c>
      <c r="P250" t="n">
        <v>0</v>
      </c>
      <c r="Q250" t="n">
        <v>0</v>
      </c>
      <c r="R250" s="2" t="inlineStr"/>
    </row>
    <row r="251" ht="15" customHeight="1">
      <c r="A251" t="inlineStr">
        <is>
          <t>A 22686-2025</t>
        </is>
      </c>
      <c r="B251" s="1" t="n">
        <v>45786</v>
      </c>
      <c r="C251" s="1" t="n">
        <v>45912</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52868-2023</t>
        </is>
      </c>
      <c r="B252" s="1" t="n">
        <v>45226.4590625</v>
      </c>
      <c r="C252" s="1" t="n">
        <v>45912</v>
      </c>
      <c r="D252" t="inlineStr">
        <is>
          <t>DALARNAS LÄN</t>
        </is>
      </c>
      <c r="E252" t="inlineStr">
        <is>
          <t>LUDVIKA</t>
        </is>
      </c>
      <c r="F252" t="inlineStr">
        <is>
          <t>Bergvik skog väst AB</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23521-2025</t>
        </is>
      </c>
      <c r="B253" s="1" t="n">
        <v>45792</v>
      </c>
      <c r="C253" s="1" t="n">
        <v>45912</v>
      </c>
      <c r="D253" t="inlineStr">
        <is>
          <t>DALARNAS LÄN</t>
        </is>
      </c>
      <c r="E253" t="inlineStr">
        <is>
          <t>LUDVIKA</t>
        </is>
      </c>
      <c r="F253" t="inlineStr">
        <is>
          <t>Bergvik skog väst AB</t>
        </is>
      </c>
      <c r="G253" t="n">
        <v>5.2</v>
      </c>
      <c r="H253" t="n">
        <v>0</v>
      </c>
      <c r="I253" t="n">
        <v>0</v>
      </c>
      <c r="J253" t="n">
        <v>0</v>
      </c>
      <c r="K253" t="n">
        <v>0</v>
      </c>
      <c r="L253" t="n">
        <v>0</v>
      </c>
      <c r="M253" t="n">
        <v>0</v>
      </c>
      <c r="N253" t="n">
        <v>0</v>
      </c>
      <c r="O253" t="n">
        <v>0</v>
      </c>
      <c r="P253" t="n">
        <v>0</v>
      </c>
      <c r="Q253" t="n">
        <v>0</v>
      </c>
      <c r="R253" s="2" t="inlineStr"/>
    </row>
    <row r="254" ht="15" customHeight="1">
      <c r="A254" t="inlineStr">
        <is>
          <t>A 20449-2025</t>
        </is>
      </c>
      <c r="B254" s="1" t="n">
        <v>45775</v>
      </c>
      <c r="C254" s="1" t="n">
        <v>45912</v>
      </c>
      <c r="D254" t="inlineStr">
        <is>
          <t>DALARNAS LÄN</t>
        </is>
      </c>
      <c r="E254" t="inlineStr">
        <is>
          <t>LUDVIKA</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61278-2022</t>
        </is>
      </c>
      <c r="B255" s="1" t="n">
        <v>44915.6166087963</v>
      </c>
      <c r="C255" s="1" t="n">
        <v>45912</v>
      </c>
      <c r="D255" t="inlineStr">
        <is>
          <t>DALARNAS LÄN</t>
        </is>
      </c>
      <c r="E255" t="inlineStr">
        <is>
          <t>LUDVIKA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52461-2023</t>
        </is>
      </c>
      <c r="B256" s="1" t="n">
        <v>45225.40709490741</v>
      </c>
      <c r="C256" s="1" t="n">
        <v>45912</v>
      </c>
      <c r="D256" t="inlineStr">
        <is>
          <t>DALARNAS LÄN</t>
        </is>
      </c>
      <c r="E256" t="inlineStr">
        <is>
          <t>LUDVIKA</t>
        </is>
      </c>
      <c r="F256" t="inlineStr">
        <is>
          <t>Bergvik skog väst AB</t>
        </is>
      </c>
      <c r="G256" t="n">
        <v>1.6</v>
      </c>
      <c r="H256" t="n">
        <v>0</v>
      </c>
      <c r="I256" t="n">
        <v>0</v>
      </c>
      <c r="J256" t="n">
        <v>0</v>
      </c>
      <c r="K256" t="n">
        <v>0</v>
      </c>
      <c r="L256" t="n">
        <v>0</v>
      </c>
      <c r="M256" t="n">
        <v>0</v>
      </c>
      <c r="N256" t="n">
        <v>0</v>
      </c>
      <c r="O256" t="n">
        <v>0</v>
      </c>
      <c r="P256" t="n">
        <v>0</v>
      </c>
      <c r="Q256" t="n">
        <v>0</v>
      </c>
      <c r="R256" s="2" t="inlineStr"/>
    </row>
    <row r="257" ht="15" customHeight="1">
      <c r="A257" t="inlineStr">
        <is>
          <t>A 52466-2023</t>
        </is>
      </c>
      <c r="B257" s="1" t="n">
        <v>45225.41042824074</v>
      </c>
      <c r="C257" s="1" t="n">
        <v>45912</v>
      </c>
      <c r="D257" t="inlineStr">
        <is>
          <t>DALARNAS LÄN</t>
        </is>
      </c>
      <c r="E257" t="inlineStr">
        <is>
          <t>LUDVIKA</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19677-2025</t>
        </is>
      </c>
      <c r="B258" s="1" t="n">
        <v>45770.75799768518</v>
      </c>
      <c r="C258" s="1" t="n">
        <v>45912</v>
      </c>
      <c r="D258" t="inlineStr">
        <is>
          <t>DALARNAS LÄN</t>
        </is>
      </c>
      <c r="E258" t="inlineStr">
        <is>
          <t>LUDVIKA</t>
        </is>
      </c>
      <c r="G258" t="n">
        <v>1.8</v>
      </c>
      <c r="H258" t="n">
        <v>0</v>
      </c>
      <c r="I258" t="n">
        <v>0</v>
      </c>
      <c r="J258" t="n">
        <v>0</v>
      </c>
      <c r="K258" t="n">
        <v>0</v>
      </c>
      <c r="L258" t="n">
        <v>0</v>
      </c>
      <c r="M258" t="n">
        <v>0</v>
      </c>
      <c r="N258" t="n">
        <v>0</v>
      </c>
      <c r="O258" t="n">
        <v>0</v>
      </c>
      <c r="P258" t="n">
        <v>0</v>
      </c>
      <c r="Q258" t="n">
        <v>0</v>
      </c>
      <c r="R258" s="2" t="inlineStr"/>
    </row>
    <row r="259" ht="15" customHeight="1">
      <c r="A259" t="inlineStr">
        <is>
          <t>A 23137-2025</t>
        </is>
      </c>
      <c r="B259" s="1" t="n">
        <v>45791.39229166666</v>
      </c>
      <c r="C259" s="1" t="n">
        <v>45912</v>
      </c>
      <c r="D259" t="inlineStr">
        <is>
          <t>DALARNAS LÄN</t>
        </is>
      </c>
      <c r="E259" t="inlineStr">
        <is>
          <t>LUDVIKA</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18372-2025</t>
        </is>
      </c>
      <c r="B260" s="1" t="n">
        <v>45762</v>
      </c>
      <c r="C260" s="1" t="n">
        <v>45912</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8202-2025</t>
        </is>
      </c>
      <c r="B261" s="1" t="n">
        <v>45708.43793981482</v>
      </c>
      <c r="C261" s="1" t="n">
        <v>45912</v>
      </c>
      <c r="D261" t="inlineStr">
        <is>
          <t>DALARNAS LÄN</t>
        </is>
      </c>
      <c r="E261" t="inlineStr">
        <is>
          <t>LUDVIKA</t>
        </is>
      </c>
      <c r="G261" t="n">
        <v>6.4</v>
      </c>
      <c r="H261" t="n">
        <v>0</v>
      </c>
      <c r="I261" t="n">
        <v>0</v>
      </c>
      <c r="J261" t="n">
        <v>0</v>
      </c>
      <c r="K261" t="n">
        <v>0</v>
      </c>
      <c r="L261" t="n">
        <v>0</v>
      </c>
      <c r="M261" t="n">
        <v>0</v>
      </c>
      <c r="N261" t="n">
        <v>0</v>
      </c>
      <c r="O261" t="n">
        <v>0</v>
      </c>
      <c r="P261" t="n">
        <v>0</v>
      </c>
      <c r="Q261" t="n">
        <v>0</v>
      </c>
      <c r="R261" s="2" t="inlineStr"/>
    </row>
    <row r="262" ht="15" customHeight="1">
      <c r="A262" t="inlineStr">
        <is>
          <t>A 6579-2023</t>
        </is>
      </c>
      <c r="B262" s="1" t="n">
        <v>44960</v>
      </c>
      <c r="C262" s="1" t="n">
        <v>45912</v>
      </c>
      <c r="D262" t="inlineStr">
        <is>
          <t>DALARNAS LÄN</t>
        </is>
      </c>
      <c r="E262" t="inlineStr">
        <is>
          <t>LUDVIKA</t>
        </is>
      </c>
      <c r="G262" t="n">
        <v>3.4</v>
      </c>
      <c r="H262" t="n">
        <v>0</v>
      </c>
      <c r="I262" t="n">
        <v>0</v>
      </c>
      <c r="J262" t="n">
        <v>0</v>
      </c>
      <c r="K262" t="n">
        <v>0</v>
      </c>
      <c r="L262" t="n">
        <v>0</v>
      </c>
      <c r="M262" t="n">
        <v>0</v>
      </c>
      <c r="N262" t="n">
        <v>0</v>
      </c>
      <c r="O262" t="n">
        <v>0</v>
      </c>
      <c r="P262" t="n">
        <v>0</v>
      </c>
      <c r="Q262" t="n">
        <v>0</v>
      </c>
      <c r="R262" s="2" t="inlineStr"/>
    </row>
    <row r="263" ht="15" customHeight="1">
      <c r="A263" t="inlineStr">
        <is>
          <t>A 400-2023</t>
        </is>
      </c>
      <c r="B263" s="1" t="n">
        <v>44929.61017361111</v>
      </c>
      <c r="C263" s="1" t="n">
        <v>45912</v>
      </c>
      <c r="D263" t="inlineStr">
        <is>
          <t>DALARNAS LÄN</t>
        </is>
      </c>
      <c r="E263" t="inlineStr">
        <is>
          <t>LUDVIKA</t>
        </is>
      </c>
      <c r="G263" t="n">
        <v>3.6</v>
      </c>
      <c r="H263" t="n">
        <v>0</v>
      </c>
      <c r="I263" t="n">
        <v>0</v>
      </c>
      <c r="J263" t="n">
        <v>0</v>
      </c>
      <c r="K263" t="n">
        <v>0</v>
      </c>
      <c r="L263" t="n">
        <v>0</v>
      </c>
      <c r="M263" t="n">
        <v>0</v>
      </c>
      <c r="N263" t="n">
        <v>0</v>
      </c>
      <c r="O263" t="n">
        <v>0</v>
      </c>
      <c r="P263" t="n">
        <v>0</v>
      </c>
      <c r="Q263" t="n">
        <v>0</v>
      </c>
      <c r="R263" s="2" t="inlineStr"/>
    </row>
    <row r="264" ht="15" customHeight="1">
      <c r="A264" t="inlineStr">
        <is>
          <t>A 44880-2024</t>
        </is>
      </c>
      <c r="B264" s="1" t="n">
        <v>45575.34820601852</v>
      </c>
      <c r="C264" s="1" t="n">
        <v>45912</v>
      </c>
      <c r="D264" t="inlineStr">
        <is>
          <t>DALARNAS LÄN</t>
        </is>
      </c>
      <c r="E264" t="inlineStr">
        <is>
          <t>LUDVIKA</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24081-2025</t>
        </is>
      </c>
      <c r="B265" s="1" t="n">
        <v>45796.5571875</v>
      </c>
      <c r="C265" s="1" t="n">
        <v>45912</v>
      </c>
      <c r="D265" t="inlineStr">
        <is>
          <t>DALARNAS LÄN</t>
        </is>
      </c>
      <c r="E265" t="inlineStr">
        <is>
          <t>LUDVIKA</t>
        </is>
      </c>
      <c r="G265" t="n">
        <v>1.4</v>
      </c>
      <c r="H265" t="n">
        <v>0</v>
      </c>
      <c r="I265" t="n">
        <v>0</v>
      </c>
      <c r="J265" t="n">
        <v>0</v>
      </c>
      <c r="K265" t="n">
        <v>0</v>
      </c>
      <c r="L265" t="n">
        <v>0</v>
      </c>
      <c r="M265" t="n">
        <v>0</v>
      </c>
      <c r="N265" t="n">
        <v>0</v>
      </c>
      <c r="O265" t="n">
        <v>0</v>
      </c>
      <c r="P265" t="n">
        <v>0</v>
      </c>
      <c r="Q265" t="n">
        <v>0</v>
      </c>
      <c r="R265" s="2" t="inlineStr"/>
    </row>
    <row r="266" ht="15" customHeight="1">
      <c r="A266" t="inlineStr">
        <is>
          <t>A 23097-2025</t>
        </is>
      </c>
      <c r="B266" s="1" t="n">
        <v>45791.3471875</v>
      </c>
      <c r="C266" s="1" t="n">
        <v>45912</v>
      </c>
      <c r="D266" t="inlineStr">
        <is>
          <t>DALARNAS LÄN</t>
        </is>
      </c>
      <c r="E266" t="inlineStr">
        <is>
          <t>LUDVIKA</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57247-2024</t>
        </is>
      </c>
      <c r="B267" s="1" t="n">
        <v>45629.55177083334</v>
      </c>
      <c r="C267" s="1" t="n">
        <v>45912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57310-2024</t>
        </is>
      </c>
      <c r="B268" s="1" t="n">
        <v>45629.60636574074</v>
      </c>
      <c r="C268" s="1" t="n">
        <v>45912</v>
      </c>
      <c r="D268" t="inlineStr">
        <is>
          <t>DALARNAS LÄN</t>
        </is>
      </c>
      <c r="E268" t="inlineStr">
        <is>
          <t>LUDVIKA</t>
        </is>
      </c>
      <c r="F268" t="inlineStr">
        <is>
          <t>Naturvårdsverket</t>
        </is>
      </c>
      <c r="G268" t="n">
        <v>1.4</v>
      </c>
      <c r="H268" t="n">
        <v>0</v>
      </c>
      <c r="I268" t="n">
        <v>0</v>
      </c>
      <c r="J268" t="n">
        <v>0</v>
      </c>
      <c r="K268" t="n">
        <v>0</v>
      </c>
      <c r="L268" t="n">
        <v>0</v>
      </c>
      <c r="M268" t="n">
        <v>0</v>
      </c>
      <c r="N268" t="n">
        <v>0</v>
      </c>
      <c r="O268" t="n">
        <v>0</v>
      </c>
      <c r="P268" t="n">
        <v>0</v>
      </c>
      <c r="Q268" t="n">
        <v>0</v>
      </c>
      <c r="R268" s="2" t="inlineStr"/>
    </row>
    <row r="269" ht="15" customHeight="1">
      <c r="A269" t="inlineStr">
        <is>
          <t>A 25296-2022</t>
        </is>
      </c>
      <c r="B269" s="1" t="n">
        <v>44730.98890046297</v>
      </c>
      <c r="C269" s="1" t="n">
        <v>45912</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23103-2024</t>
        </is>
      </c>
      <c r="B270" s="1" t="n">
        <v>45450</v>
      </c>
      <c r="C270" s="1" t="n">
        <v>45912</v>
      </c>
      <c r="D270" t="inlineStr">
        <is>
          <t>DALARNAS LÄN</t>
        </is>
      </c>
      <c r="E270" t="inlineStr">
        <is>
          <t>LUDVIKA</t>
        </is>
      </c>
      <c r="G270" t="n">
        <v>0.6</v>
      </c>
      <c r="H270" t="n">
        <v>0</v>
      </c>
      <c r="I270" t="n">
        <v>0</v>
      </c>
      <c r="J270" t="n">
        <v>0</v>
      </c>
      <c r="K270" t="n">
        <v>0</v>
      </c>
      <c r="L270" t="n">
        <v>0</v>
      </c>
      <c r="M270" t="n">
        <v>0</v>
      </c>
      <c r="N270" t="n">
        <v>0</v>
      </c>
      <c r="O270" t="n">
        <v>0</v>
      </c>
      <c r="P270" t="n">
        <v>0</v>
      </c>
      <c r="Q270" t="n">
        <v>0</v>
      </c>
      <c r="R270" s="2" t="inlineStr"/>
    </row>
    <row r="271" ht="15" customHeight="1">
      <c r="A271" t="inlineStr">
        <is>
          <t>A 31702-2023</t>
        </is>
      </c>
      <c r="B271" s="1" t="n">
        <v>45105</v>
      </c>
      <c r="C271" s="1" t="n">
        <v>45912</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59448-2024</t>
        </is>
      </c>
      <c r="B272" s="1" t="n">
        <v>45638.46208333333</v>
      </c>
      <c r="C272" s="1" t="n">
        <v>45912</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55633-2021</t>
        </is>
      </c>
      <c r="B273" s="1" t="n">
        <v>44476</v>
      </c>
      <c r="C273" s="1" t="n">
        <v>45912</v>
      </c>
      <c r="D273" t="inlineStr">
        <is>
          <t>DALARNAS LÄN</t>
        </is>
      </c>
      <c r="E273" t="inlineStr">
        <is>
          <t>LUDVIKA</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57193-2022</t>
        </is>
      </c>
      <c r="B274" s="1" t="n">
        <v>44895</v>
      </c>
      <c r="C274" s="1" t="n">
        <v>45912</v>
      </c>
      <c r="D274" t="inlineStr">
        <is>
          <t>DALARNAS LÄN</t>
        </is>
      </c>
      <c r="E274" t="inlineStr">
        <is>
          <t>LUDVIKA</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23443-2024</t>
        </is>
      </c>
      <c r="B275" s="1" t="n">
        <v>45453</v>
      </c>
      <c r="C275" s="1" t="n">
        <v>45912</v>
      </c>
      <c r="D275" t="inlineStr">
        <is>
          <t>DALARNAS LÄN</t>
        </is>
      </c>
      <c r="E275" t="inlineStr">
        <is>
          <t>LUDVIKA</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37549-2024</t>
        </is>
      </c>
      <c r="B276" s="1" t="n">
        <v>45541.43202546296</v>
      </c>
      <c r="C276" s="1" t="n">
        <v>45912</v>
      </c>
      <c r="D276" t="inlineStr">
        <is>
          <t>DALARNAS LÄN</t>
        </is>
      </c>
      <c r="E276" t="inlineStr">
        <is>
          <t>LUDVIKA</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70046-2021</t>
        </is>
      </c>
      <c r="B277" s="1" t="n">
        <v>44533</v>
      </c>
      <c r="C277" s="1" t="n">
        <v>45912</v>
      </c>
      <c r="D277" t="inlineStr">
        <is>
          <t>DALARNAS LÄN</t>
        </is>
      </c>
      <c r="E277" t="inlineStr">
        <is>
          <t>LUDVIKA</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20642-2025</t>
        </is>
      </c>
      <c r="B278" s="1" t="n">
        <v>45776.37806712963</v>
      </c>
      <c r="C278" s="1" t="n">
        <v>45912</v>
      </c>
      <c r="D278" t="inlineStr">
        <is>
          <t>DALARNAS LÄN</t>
        </is>
      </c>
      <c r="E278" t="inlineStr">
        <is>
          <t>LUDVIKA</t>
        </is>
      </c>
      <c r="G278" t="n">
        <v>0.8</v>
      </c>
      <c r="H278" t="n">
        <v>0</v>
      </c>
      <c r="I278" t="n">
        <v>0</v>
      </c>
      <c r="J278" t="n">
        <v>0</v>
      </c>
      <c r="K278" t="n">
        <v>0</v>
      </c>
      <c r="L278" t="n">
        <v>0</v>
      </c>
      <c r="M278" t="n">
        <v>0</v>
      </c>
      <c r="N278" t="n">
        <v>0</v>
      </c>
      <c r="O278" t="n">
        <v>0</v>
      </c>
      <c r="P278" t="n">
        <v>0</v>
      </c>
      <c r="Q278" t="n">
        <v>0</v>
      </c>
      <c r="R278" s="2" t="inlineStr"/>
    </row>
    <row r="279" ht="15" customHeight="1">
      <c r="A279" t="inlineStr">
        <is>
          <t>A 23111-2025</t>
        </is>
      </c>
      <c r="B279" s="1" t="n">
        <v>45791.36640046296</v>
      </c>
      <c r="C279" s="1" t="n">
        <v>45912</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43704-2024</t>
        </is>
      </c>
      <c r="B280" s="1" t="n">
        <v>45569.59278935185</v>
      </c>
      <c r="C280" s="1" t="n">
        <v>45912</v>
      </c>
      <c r="D280" t="inlineStr">
        <is>
          <t>DALARNAS LÄN</t>
        </is>
      </c>
      <c r="E280" t="inlineStr">
        <is>
          <t>LUDVIKA</t>
        </is>
      </c>
      <c r="F280" t="inlineStr">
        <is>
          <t>Bergvik skog väst AB</t>
        </is>
      </c>
      <c r="G280" t="n">
        <v>4.4</v>
      </c>
      <c r="H280" t="n">
        <v>0</v>
      </c>
      <c r="I280" t="n">
        <v>0</v>
      </c>
      <c r="J280" t="n">
        <v>0</v>
      </c>
      <c r="K280" t="n">
        <v>0</v>
      </c>
      <c r="L280" t="n">
        <v>0</v>
      </c>
      <c r="M280" t="n">
        <v>0</v>
      </c>
      <c r="N280" t="n">
        <v>0</v>
      </c>
      <c r="O280" t="n">
        <v>0</v>
      </c>
      <c r="P280" t="n">
        <v>0</v>
      </c>
      <c r="Q280" t="n">
        <v>0</v>
      </c>
      <c r="R280" s="2" t="inlineStr"/>
    </row>
    <row r="281" ht="15" customHeight="1">
      <c r="A281" t="inlineStr">
        <is>
          <t>A 24027-2025</t>
        </is>
      </c>
      <c r="B281" s="1" t="n">
        <v>45796</v>
      </c>
      <c r="C281" s="1" t="n">
        <v>45912</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17998-2025</t>
        </is>
      </c>
      <c r="B282" s="1" t="n">
        <v>45761</v>
      </c>
      <c r="C282" s="1" t="n">
        <v>45912</v>
      </c>
      <c r="D282" t="inlineStr">
        <is>
          <t>DALARNAS LÄN</t>
        </is>
      </c>
      <c r="E282" t="inlineStr">
        <is>
          <t>LUDVIKA</t>
        </is>
      </c>
      <c r="F282" t="inlineStr">
        <is>
          <t>Naturvårdsverket</t>
        </is>
      </c>
      <c r="G282" t="n">
        <v>1.8</v>
      </c>
      <c r="H282" t="n">
        <v>0</v>
      </c>
      <c r="I282" t="n">
        <v>0</v>
      </c>
      <c r="J282" t="n">
        <v>0</v>
      </c>
      <c r="K282" t="n">
        <v>0</v>
      </c>
      <c r="L282" t="n">
        <v>0</v>
      </c>
      <c r="M282" t="n">
        <v>0</v>
      </c>
      <c r="N282" t="n">
        <v>0</v>
      </c>
      <c r="O282" t="n">
        <v>0</v>
      </c>
      <c r="P282" t="n">
        <v>0</v>
      </c>
      <c r="Q282" t="n">
        <v>0</v>
      </c>
      <c r="R282" s="2" t="inlineStr"/>
    </row>
    <row r="283" ht="15" customHeight="1">
      <c r="A283" t="inlineStr">
        <is>
          <t>A 48740-2022</t>
        </is>
      </c>
      <c r="B283" s="1" t="n">
        <v>44859</v>
      </c>
      <c r="C283" s="1" t="n">
        <v>45912</v>
      </c>
      <c r="D283" t="inlineStr">
        <is>
          <t>DALARNAS LÄN</t>
        </is>
      </c>
      <c r="E283" t="inlineStr">
        <is>
          <t>LUDVIKA</t>
        </is>
      </c>
      <c r="F283" t="inlineStr">
        <is>
          <t>Bergvik skog väst AB</t>
        </is>
      </c>
      <c r="G283" t="n">
        <v>0.3</v>
      </c>
      <c r="H283" t="n">
        <v>0</v>
      </c>
      <c r="I283" t="n">
        <v>0</v>
      </c>
      <c r="J283" t="n">
        <v>0</v>
      </c>
      <c r="K283" t="n">
        <v>0</v>
      </c>
      <c r="L283" t="n">
        <v>0</v>
      </c>
      <c r="M283" t="n">
        <v>0</v>
      </c>
      <c r="N283" t="n">
        <v>0</v>
      </c>
      <c r="O283" t="n">
        <v>0</v>
      </c>
      <c r="P283" t="n">
        <v>0</v>
      </c>
      <c r="Q283" t="n">
        <v>0</v>
      </c>
      <c r="R283" s="2" t="inlineStr"/>
    </row>
    <row r="284" ht="15" customHeight="1">
      <c r="A284" t="inlineStr">
        <is>
          <t>A 49669-2024</t>
        </is>
      </c>
      <c r="B284" s="1" t="n">
        <v>45596.65178240741</v>
      </c>
      <c r="C284" s="1" t="n">
        <v>45912</v>
      </c>
      <c r="D284" t="inlineStr">
        <is>
          <t>DALARNAS LÄN</t>
        </is>
      </c>
      <c r="E284" t="inlineStr">
        <is>
          <t>LUDVIKA</t>
        </is>
      </c>
      <c r="F284" t="inlineStr">
        <is>
          <t>Bergvik skog väst AB</t>
        </is>
      </c>
      <c r="G284" t="n">
        <v>2.9</v>
      </c>
      <c r="H284" t="n">
        <v>0</v>
      </c>
      <c r="I284" t="n">
        <v>0</v>
      </c>
      <c r="J284" t="n">
        <v>0</v>
      </c>
      <c r="K284" t="n">
        <v>0</v>
      </c>
      <c r="L284" t="n">
        <v>0</v>
      </c>
      <c r="M284" t="n">
        <v>0</v>
      </c>
      <c r="N284" t="n">
        <v>0</v>
      </c>
      <c r="O284" t="n">
        <v>0</v>
      </c>
      <c r="P284" t="n">
        <v>0</v>
      </c>
      <c r="Q284" t="n">
        <v>0</v>
      </c>
      <c r="R284" s="2" t="inlineStr"/>
    </row>
    <row r="285" ht="15" customHeight="1">
      <c r="A285" t="inlineStr">
        <is>
          <t>A 11237-2024</t>
        </is>
      </c>
      <c r="B285" s="1" t="n">
        <v>45371.61341435185</v>
      </c>
      <c r="C285" s="1" t="n">
        <v>45912</v>
      </c>
      <c r="D285" t="inlineStr">
        <is>
          <t>DALARNAS LÄN</t>
        </is>
      </c>
      <c r="E285" t="inlineStr">
        <is>
          <t>LUDVIKA</t>
        </is>
      </c>
      <c r="G285" t="n">
        <v>20.8</v>
      </c>
      <c r="H285" t="n">
        <v>0</v>
      </c>
      <c r="I285" t="n">
        <v>0</v>
      </c>
      <c r="J285" t="n">
        <v>0</v>
      </c>
      <c r="K285" t="n">
        <v>0</v>
      </c>
      <c r="L285" t="n">
        <v>0</v>
      </c>
      <c r="M285" t="n">
        <v>0</v>
      </c>
      <c r="N285" t="n">
        <v>0</v>
      </c>
      <c r="O285" t="n">
        <v>0</v>
      </c>
      <c r="P285" t="n">
        <v>0</v>
      </c>
      <c r="Q285" t="n">
        <v>0</v>
      </c>
      <c r="R285" s="2" t="inlineStr"/>
    </row>
    <row r="286" ht="15" customHeight="1">
      <c r="A286" t="inlineStr">
        <is>
          <t>A 48003-2024</t>
        </is>
      </c>
      <c r="B286" s="1" t="n">
        <v>45589.44950231481</v>
      </c>
      <c r="C286" s="1" t="n">
        <v>45912</v>
      </c>
      <c r="D286" t="inlineStr">
        <is>
          <t>DALARNAS LÄN</t>
        </is>
      </c>
      <c r="E286" t="inlineStr">
        <is>
          <t>LUDVIKA</t>
        </is>
      </c>
      <c r="G286" t="n">
        <v>3.9</v>
      </c>
      <c r="H286" t="n">
        <v>0</v>
      </c>
      <c r="I286" t="n">
        <v>0</v>
      </c>
      <c r="J286" t="n">
        <v>0</v>
      </c>
      <c r="K286" t="n">
        <v>0</v>
      </c>
      <c r="L286" t="n">
        <v>0</v>
      </c>
      <c r="M286" t="n">
        <v>0</v>
      </c>
      <c r="N286" t="n">
        <v>0</v>
      </c>
      <c r="O286" t="n">
        <v>0</v>
      </c>
      <c r="P286" t="n">
        <v>0</v>
      </c>
      <c r="Q286" t="n">
        <v>0</v>
      </c>
      <c r="R286" s="2" t="inlineStr"/>
    </row>
    <row r="287" ht="15" customHeight="1">
      <c r="A287" t="inlineStr">
        <is>
          <t>A 31478-2023</t>
        </is>
      </c>
      <c r="B287" s="1" t="n">
        <v>45114</v>
      </c>
      <c r="C287" s="1" t="n">
        <v>45912</v>
      </c>
      <c r="D287" t="inlineStr">
        <is>
          <t>DALARNAS LÄN</t>
        </is>
      </c>
      <c r="E287" t="inlineStr">
        <is>
          <t>LUDVIKA</t>
        </is>
      </c>
      <c r="G287" t="n">
        <v>6.2</v>
      </c>
      <c r="H287" t="n">
        <v>0</v>
      </c>
      <c r="I287" t="n">
        <v>0</v>
      </c>
      <c r="J287" t="n">
        <v>0</v>
      </c>
      <c r="K287" t="n">
        <v>0</v>
      </c>
      <c r="L287" t="n">
        <v>0</v>
      </c>
      <c r="M287" t="n">
        <v>0</v>
      </c>
      <c r="N287" t="n">
        <v>0</v>
      </c>
      <c r="O287" t="n">
        <v>0</v>
      </c>
      <c r="P287" t="n">
        <v>0</v>
      </c>
      <c r="Q287" t="n">
        <v>0</v>
      </c>
      <c r="R287" s="2" t="inlineStr"/>
    </row>
    <row r="288" ht="15" customHeight="1">
      <c r="A288" t="inlineStr">
        <is>
          <t>A 30123-2023</t>
        </is>
      </c>
      <c r="B288" s="1" t="n">
        <v>45110.48509259259</v>
      </c>
      <c r="C288" s="1" t="n">
        <v>45912</v>
      </c>
      <c r="D288" t="inlineStr">
        <is>
          <t>DALARNAS LÄN</t>
        </is>
      </c>
      <c r="E288" t="inlineStr">
        <is>
          <t>LUDVIKA</t>
        </is>
      </c>
      <c r="G288" t="n">
        <v>1.9</v>
      </c>
      <c r="H288" t="n">
        <v>0</v>
      </c>
      <c r="I288" t="n">
        <v>0</v>
      </c>
      <c r="J288" t="n">
        <v>0</v>
      </c>
      <c r="K288" t="n">
        <v>0</v>
      </c>
      <c r="L288" t="n">
        <v>0</v>
      </c>
      <c r="M288" t="n">
        <v>0</v>
      </c>
      <c r="N288" t="n">
        <v>0</v>
      </c>
      <c r="O288" t="n">
        <v>0</v>
      </c>
      <c r="P288" t="n">
        <v>0</v>
      </c>
      <c r="Q288" t="n">
        <v>0</v>
      </c>
      <c r="R288" s="2" t="inlineStr"/>
    </row>
    <row r="289" ht="15" customHeight="1">
      <c r="A289" t="inlineStr">
        <is>
          <t>A 24783-2025</t>
        </is>
      </c>
      <c r="B289" s="1" t="n">
        <v>45799</v>
      </c>
      <c r="C289" s="1" t="n">
        <v>45912</v>
      </c>
      <c r="D289" t="inlineStr">
        <is>
          <t>DALARNAS LÄN</t>
        </is>
      </c>
      <c r="E289" t="inlineStr">
        <is>
          <t>LUDVIKA</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24789-2025</t>
        </is>
      </c>
      <c r="B290" s="1" t="n">
        <v>45799</v>
      </c>
      <c r="C290" s="1" t="n">
        <v>45912</v>
      </c>
      <c r="D290" t="inlineStr">
        <is>
          <t>DALARNAS LÄN</t>
        </is>
      </c>
      <c r="E290" t="inlineStr">
        <is>
          <t>LUDVIKA</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24893-2025</t>
        </is>
      </c>
      <c r="B291" s="1" t="n">
        <v>45799</v>
      </c>
      <c r="C291" s="1" t="n">
        <v>45912</v>
      </c>
      <c r="D291" t="inlineStr">
        <is>
          <t>DALARNAS LÄN</t>
        </is>
      </c>
      <c r="E291" t="inlineStr">
        <is>
          <t>LUDVIKA</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23117-2025</t>
        </is>
      </c>
      <c r="B292" s="1" t="n">
        <v>45791.37006944444</v>
      </c>
      <c r="C292" s="1" t="n">
        <v>45912</v>
      </c>
      <c r="D292" t="inlineStr">
        <is>
          <t>DALARNAS LÄN</t>
        </is>
      </c>
      <c r="E292" t="inlineStr">
        <is>
          <t>LUDVIKA</t>
        </is>
      </c>
      <c r="F292" t="inlineStr">
        <is>
          <t>Bergvik skog väst AB</t>
        </is>
      </c>
      <c r="G292" t="n">
        <v>1.5</v>
      </c>
      <c r="H292" t="n">
        <v>0</v>
      </c>
      <c r="I292" t="n">
        <v>0</v>
      </c>
      <c r="J292" t="n">
        <v>0</v>
      </c>
      <c r="K292" t="n">
        <v>0</v>
      </c>
      <c r="L292" t="n">
        <v>0</v>
      </c>
      <c r="M292" t="n">
        <v>0</v>
      </c>
      <c r="N292" t="n">
        <v>0</v>
      </c>
      <c r="O292" t="n">
        <v>0</v>
      </c>
      <c r="P292" t="n">
        <v>0</v>
      </c>
      <c r="Q292" t="n">
        <v>0</v>
      </c>
      <c r="R292" s="2" t="inlineStr"/>
    </row>
    <row r="293" ht="15" customHeight="1">
      <c r="A293" t="inlineStr">
        <is>
          <t>A 23139-2025</t>
        </is>
      </c>
      <c r="B293" s="1" t="n">
        <v>45791.3942824074</v>
      </c>
      <c r="C293" s="1" t="n">
        <v>45912</v>
      </c>
      <c r="D293" t="inlineStr">
        <is>
          <t>DALARNAS LÄN</t>
        </is>
      </c>
      <c r="E293" t="inlineStr">
        <is>
          <t>LUDVIKA</t>
        </is>
      </c>
      <c r="F293" t="inlineStr">
        <is>
          <t>Bergvik skog väst AB</t>
        </is>
      </c>
      <c r="G293" t="n">
        <v>0.8</v>
      </c>
      <c r="H293" t="n">
        <v>0</v>
      </c>
      <c r="I293" t="n">
        <v>0</v>
      </c>
      <c r="J293" t="n">
        <v>0</v>
      </c>
      <c r="K293" t="n">
        <v>0</v>
      </c>
      <c r="L293" t="n">
        <v>0</v>
      </c>
      <c r="M293" t="n">
        <v>0</v>
      </c>
      <c r="N293" t="n">
        <v>0</v>
      </c>
      <c r="O293" t="n">
        <v>0</v>
      </c>
      <c r="P293" t="n">
        <v>0</v>
      </c>
      <c r="Q293" t="n">
        <v>0</v>
      </c>
      <c r="R293" s="2" t="inlineStr"/>
    </row>
    <row r="294" ht="15" customHeight="1">
      <c r="A294" t="inlineStr">
        <is>
          <t>A 36862-2021</t>
        </is>
      </c>
      <c r="B294" s="1" t="n">
        <v>44393</v>
      </c>
      <c r="C294" s="1" t="n">
        <v>45912</v>
      </c>
      <c r="D294" t="inlineStr">
        <is>
          <t>DALARNAS LÄN</t>
        </is>
      </c>
      <c r="E294" t="inlineStr">
        <is>
          <t>LUDVIKA</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24628-2025</t>
        </is>
      </c>
      <c r="B295" s="1" t="n">
        <v>45798.59552083333</v>
      </c>
      <c r="C295" s="1" t="n">
        <v>45912</v>
      </c>
      <c r="D295" t="inlineStr">
        <is>
          <t>DALARNAS LÄN</t>
        </is>
      </c>
      <c r="E295" t="inlineStr">
        <is>
          <t>LUDVIKA</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29535-2023</t>
        </is>
      </c>
      <c r="B296" s="1" t="n">
        <v>45106</v>
      </c>
      <c r="C296" s="1" t="n">
        <v>45912</v>
      </c>
      <c r="D296" t="inlineStr">
        <is>
          <t>DALARNAS LÄN</t>
        </is>
      </c>
      <c r="E296" t="inlineStr">
        <is>
          <t>LUDVIKA</t>
        </is>
      </c>
      <c r="G296" t="n">
        <v>2.8</v>
      </c>
      <c r="H296" t="n">
        <v>0</v>
      </c>
      <c r="I296" t="n">
        <v>0</v>
      </c>
      <c r="J296" t="n">
        <v>0</v>
      </c>
      <c r="K296" t="n">
        <v>0</v>
      </c>
      <c r="L296" t="n">
        <v>0</v>
      </c>
      <c r="M296" t="n">
        <v>0</v>
      </c>
      <c r="N296" t="n">
        <v>0</v>
      </c>
      <c r="O296" t="n">
        <v>0</v>
      </c>
      <c r="P296" t="n">
        <v>0</v>
      </c>
      <c r="Q296" t="n">
        <v>0</v>
      </c>
      <c r="R296" s="2" t="inlineStr"/>
    </row>
    <row r="297" ht="15" customHeight="1">
      <c r="A297" t="inlineStr">
        <is>
          <t>A 24848-2025</t>
        </is>
      </c>
      <c r="B297" s="1" t="n">
        <v>45799</v>
      </c>
      <c r="C297" s="1" t="n">
        <v>45912</v>
      </c>
      <c r="D297" t="inlineStr">
        <is>
          <t>DALARNAS LÄN</t>
        </is>
      </c>
      <c r="E297" t="inlineStr">
        <is>
          <t>LUDVIKA</t>
        </is>
      </c>
      <c r="F297" t="inlineStr">
        <is>
          <t>Bergvik skog väst AB</t>
        </is>
      </c>
      <c r="G297" t="n">
        <v>4.4</v>
      </c>
      <c r="H297" t="n">
        <v>0</v>
      </c>
      <c r="I297" t="n">
        <v>0</v>
      </c>
      <c r="J297" t="n">
        <v>0</v>
      </c>
      <c r="K297" t="n">
        <v>0</v>
      </c>
      <c r="L297" t="n">
        <v>0</v>
      </c>
      <c r="M297" t="n">
        <v>0</v>
      </c>
      <c r="N297" t="n">
        <v>0</v>
      </c>
      <c r="O297" t="n">
        <v>0</v>
      </c>
      <c r="P297" t="n">
        <v>0</v>
      </c>
      <c r="Q297" t="n">
        <v>0</v>
      </c>
      <c r="R297" s="2" t="inlineStr"/>
    </row>
    <row r="298" ht="15" customHeight="1">
      <c r="A298" t="inlineStr">
        <is>
          <t>A 43057-2024</t>
        </is>
      </c>
      <c r="B298" s="1" t="n">
        <v>45567.46006944445</v>
      </c>
      <c r="C298" s="1" t="n">
        <v>45912</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24939-2025</t>
        </is>
      </c>
      <c r="B299" s="1" t="n">
        <v>45799</v>
      </c>
      <c r="C299" s="1" t="n">
        <v>45912</v>
      </c>
      <c r="D299" t="inlineStr">
        <is>
          <t>DALARNAS LÄN</t>
        </is>
      </c>
      <c r="E299" t="inlineStr">
        <is>
          <t>LUDVIKA</t>
        </is>
      </c>
      <c r="F299" t="inlineStr">
        <is>
          <t>Bergvik skog väst AB</t>
        </is>
      </c>
      <c r="G299" t="n">
        <v>15.6</v>
      </c>
      <c r="H299" t="n">
        <v>0</v>
      </c>
      <c r="I299" t="n">
        <v>0</v>
      </c>
      <c r="J299" t="n">
        <v>0</v>
      </c>
      <c r="K299" t="n">
        <v>0</v>
      </c>
      <c r="L299" t="n">
        <v>0</v>
      </c>
      <c r="M299" t="n">
        <v>0</v>
      </c>
      <c r="N299" t="n">
        <v>0</v>
      </c>
      <c r="O299" t="n">
        <v>0</v>
      </c>
      <c r="P299" t="n">
        <v>0</v>
      </c>
      <c r="Q299" t="n">
        <v>0</v>
      </c>
      <c r="R299" s="2" t="inlineStr"/>
    </row>
    <row r="300" ht="15" customHeight="1">
      <c r="A300" t="inlineStr">
        <is>
          <t>A 30977-2024</t>
        </is>
      </c>
      <c r="B300" s="1" t="n">
        <v>45499</v>
      </c>
      <c r="C300" s="1" t="n">
        <v>45912</v>
      </c>
      <c r="D300" t="inlineStr">
        <is>
          <t>DALARNAS LÄN</t>
        </is>
      </c>
      <c r="E300" t="inlineStr">
        <is>
          <t>LUDVIKA</t>
        </is>
      </c>
      <c r="G300" t="n">
        <v>3.3</v>
      </c>
      <c r="H300" t="n">
        <v>0</v>
      </c>
      <c r="I300" t="n">
        <v>0</v>
      </c>
      <c r="J300" t="n">
        <v>0</v>
      </c>
      <c r="K300" t="n">
        <v>0</v>
      </c>
      <c r="L300" t="n">
        <v>0</v>
      </c>
      <c r="M300" t="n">
        <v>0</v>
      </c>
      <c r="N300" t="n">
        <v>0</v>
      </c>
      <c r="O300" t="n">
        <v>0</v>
      </c>
      <c r="P300" t="n">
        <v>0</v>
      </c>
      <c r="Q300" t="n">
        <v>0</v>
      </c>
      <c r="R300" s="2" t="inlineStr"/>
    </row>
    <row r="301" ht="15" customHeight="1">
      <c r="A301" t="inlineStr">
        <is>
          <t>A 16807-2025</t>
        </is>
      </c>
      <c r="B301" s="1" t="n">
        <v>45754</v>
      </c>
      <c r="C301" s="1" t="n">
        <v>45912</v>
      </c>
      <c r="D301" t="inlineStr">
        <is>
          <t>DALARNAS LÄN</t>
        </is>
      </c>
      <c r="E301" t="inlineStr">
        <is>
          <t>LUDVIKA</t>
        </is>
      </c>
      <c r="F301" t="inlineStr">
        <is>
          <t>Naturvårdsverket</t>
        </is>
      </c>
      <c r="G301" t="n">
        <v>0.6</v>
      </c>
      <c r="H301" t="n">
        <v>0</v>
      </c>
      <c r="I301" t="n">
        <v>0</v>
      </c>
      <c r="J301" t="n">
        <v>0</v>
      </c>
      <c r="K301" t="n">
        <v>0</v>
      </c>
      <c r="L301" t="n">
        <v>0</v>
      </c>
      <c r="M301" t="n">
        <v>0</v>
      </c>
      <c r="N301" t="n">
        <v>0</v>
      </c>
      <c r="O301" t="n">
        <v>0</v>
      </c>
      <c r="P301" t="n">
        <v>0</v>
      </c>
      <c r="Q301" t="n">
        <v>0</v>
      </c>
      <c r="R301" s="2" t="inlineStr"/>
    </row>
    <row r="302" ht="15" customHeight="1">
      <c r="A302" t="inlineStr">
        <is>
          <t>A 8172-2024</t>
        </is>
      </c>
      <c r="B302" s="1" t="n">
        <v>45349</v>
      </c>
      <c r="C302" s="1" t="n">
        <v>45912</v>
      </c>
      <c r="D302" t="inlineStr">
        <is>
          <t>DALARNAS LÄN</t>
        </is>
      </c>
      <c r="E302" t="inlineStr">
        <is>
          <t>LUDVIKA</t>
        </is>
      </c>
      <c r="F302" t="inlineStr">
        <is>
          <t>Allmännings- och besparingsskogar</t>
        </is>
      </c>
      <c r="G302" t="n">
        <v>2</v>
      </c>
      <c r="H302" t="n">
        <v>0</v>
      </c>
      <c r="I302" t="n">
        <v>0</v>
      </c>
      <c r="J302" t="n">
        <v>0</v>
      </c>
      <c r="K302" t="n">
        <v>0</v>
      </c>
      <c r="L302" t="n">
        <v>0</v>
      </c>
      <c r="M302" t="n">
        <v>0</v>
      </c>
      <c r="N302" t="n">
        <v>0</v>
      </c>
      <c r="O302" t="n">
        <v>0</v>
      </c>
      <c r="P302" t="n">
        <v>0</v>
      </c>
      <c r="Q302" t="n">
        <v>0</v>
      </c>
      <c r="R302" s="2" t="inlineStr"/>
    </row>
    <row r="303" ht="15" customHeight="1">
      <c r="A303" t="inlineStr">
        <is>
          <t>A 8175-2024</t>
        </is>
      </c>
      <c r="B303" s="1" t="n">
        <v>45349</v>
      </c>
      <c r="C303" s="1" t="n">
        <v>45912</v>
      </c>
      <c r="D303" t="inlineStr">
        <is>
          <t>DALARNAS LÄN</t>
        </is>
      </c>
      <c r="E303" t="inlineStr">
        <is>
          <t>LUDVIKA</t>
        </is>
      </c>
      <c r="F303" t="inlineStr">
        <is>
          <t>Allmännings- och besparingsskogar</t>
        </is>
      </c>
      <c r="G303" t="n">
        <v>3.8</v>
      </c>
      <c r="H303" t="n">
        <v>0</v>
      </c>
      <c r="I303" t="n">
        <v>0</v>
      </c>
      <c r="J303" t="n">
        <v>0</v>
      </c>
      <c r="K303" t="n">
        <v>0</v>
      </c>
      <c r="L303" t="n">
        <v>0</v>
      </c>
      <c r="M303" t="n">
        <v>0</v>
      </c>
      <c r="N303" t="n">
        <v>0</v>
      </c>
      <c r="O303" t="n">
        <v>0</v>
      </c>
      <c r="P303" t="n">
        <v>0</v>
      </c>
      <c r="Q303" t="n">
        <v>0</v>
      </c>
      <c r="R303" s="2" t="inlineStr"/>
    </row>
    <row r="304" ht="15" customHeight="1">
      <c r="A304" t="inlineStr">
        <is>
          <t>A 24928-2025</t>
        </is>
      </c>
      <c r="B304" s="1" t="n">
        <v>45799</v>
      </c>
      <c r="C304" s="1" t="n">
        <v>45912</v>
      </c>
      <c r="D304" t="inlineStr">
        <is>
          <t>DALARNAS LÄN</t>
        </is>
      </c>
      <c r="E304" t="inlineStr">
        <is>
          <t>LUDVIKA</t>
        </is>
      </c>
      <c r="F304" t="inlineStr">
        <is>
          <t>Bergvik skog väst AB</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25004-2025</t>
        </is>
      </c>
      <c r="B305" s="1" t="n">
        <v>45799</v>
      </c>
      <c r="C305" s="1" t="n">
        <v>45912</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25006-2025</t>
        </is>
      </c>
      <c r="B306" s="1" t="n">
        <v>45799</v>
      </c>
      <c r="C306" s="1" t="n">
        <v>45912</v>
      </c>
      <c r="D306" t="inlineStr">
        <is>
          <t>DALARNAS LÄN</t>
        </is>
      </c>
      <c r="E306" t="inlineStr">
        <is>
          <t>LUDVIKA</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38170-2023</t>
        </is>
      </c>
      <c r="B307" s="1" t="n">
        <v>45161.42324074074</v>
      </c>
      <c r="C307" s="1" t="n">
        <v>45912</v>
      </c>
      <c r="D307" t="inlineStr">
        <is>
          <t>DALARNAS LÄN</t>
        </is>
      </c>
      <c r="E307" t="inlineStr">
        <is>
          <t>LUDVIKA</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39400-2023</t>
        </is>
      </c>
      <c r="B308" s="1" t="n">
        <v>45166.66240740741</v>
      </c>
      <c r="C308" s="1" t="n">
        <v>45912</v>
      </c>
      <c r="D308" t="inlineStr">
        <is>
          <t>DALARNAS LÄN</t>
        </is>
      </c>
      <c r="E308" t="inlineStr">
        <is>
          <t>LUDVIKA</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31550-2021</t>
        </is>
      </c>
      <c r="B309" s="1" t="n">
        <v>44369</v>
      </c>
      <c r="C309" s="1" t="n">
        <v>45912</v>
      </c>
      <c r="D309" t="inlineStr">
        <is>
          <t>DALARNAS LÄN</t>
        </is>
      </c>
      <c r="E309" t="inlineStr">
        <is>
          <t>LUDVIKA</t>
        </is>
      </c>
      <c r="G309" t="n">
        <v>2.8</v>
      </c>
      <c r="H309" t="n">
        <v>0</v>
      </c>
      <c r="I309" t="n">
        <v>0</v>
      </c>
      <c r="J309" t="n">
        <v>0</v>
      </c>
      <c r="K309" t="n">
        <v>0</v>
      </c>
      <c r="L309" t="n">
        <v>0</v>
      </c>
      <c r="M309" t="n">
        <v>0</v>
      </c>
      <c r="N309" t="n">
        <v>0</v>
      </c>
      <c r="O309" t="n">
        <v>0</v>
      </c>
      <c r="P309" t="n">
        <v>0</v>
      </c>
      <c r="Q309" t="n">
        <v>0</v>
      </c>
      <c r="R309" s="2" t="inlineStr"/>
    </row>
    <row r="310" ht="15" customHeight="1">
      <c r="A310" t="inlineStr">
        <is>
          <t>A 24697-2025</t>
        </is>
      </c>
      <c r="B310" s="1" t="n">
        <v>45798</v>
      </c>
      <c r="C310" s="1" t="n">
        <v>45912</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24974-2025</t>
        </is>
      </c>
      <c r="B311" s="1" t="n">
        <v>45799</v>
      </c>
      <c r="C311" s="1" t="n">
        <v>45912</v>
      </c>
      <c r="D311" t="inlineStr">
        <is>
          <t>DALARNAS LÄN</t>
        </is>
      </c>
      <c r="E311" t="inlineStr">
        <is>
          <t>LUDVIKA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24875-2025</t>
        </is>
      </c>
      <c r="B312" s="1" t="n">
        <v>45799</v>
      </c>
      <c r="C312" s="1" t="n">
        <v>45912</v>
      </c>
      <c r="D312" t="inlineStr">
        <is>
          <t>DALARNAS LÄN</t>
        </is>
      </c>
      <c r="E312" t="inlineStr">
        <is>
          <t>LUDVIKA</t>
        </is>
      </c>
      <c r="F312" t="inlineStr">
        <is>
          <t>Bergvik skog väst AB</t>
        </is>
      </c>
      <c r="G312" t="n">
        <v>10.8</v>
      </c>
      <c r="H312" t="n">
        <v>0</v>
      </c>
      <c r="I312" t="n">
        <v>0</v>
      </c>
      <c r="J312" t="n">
        <v>0</v>
      </c>
      <c r="K312" t="n">
        <v>0</v>
      </c>
      <c r="L312" t="n">
        <v>0</v>
      </c>
      <c r="M312" t="n">
        <v>0</v>
      </c>
      <c r="N312" t="n">
        <v>0</v>
      </c>
      <c r="O312" t="n">
        <v>0</v>
      </c>
      <c r="P312" t="n">
        <v>0</v>
      </c>
      <c r="Q312" t="n">
        <v>0</v>
      </c>
      <c r="R312" s="2" t="inlineStr"/>
    </row>
    <row r="313" ht="15" customHeight="1">
      <c r="A313" t="inlineStr">
        <is>
          <t>A 32119-2023</t>
        </is>
      </c>
      <c r="B313" s="1" t="n">
        <v>45119.6334375</v>
      </c>
      <c r="C313" s="1" t="n">
        <v>45912</v>
      </c>
      <c r="D313" t="inlineStr">
        <is>
          <t>DALARNAS LÄN</t>
        </is>
      </c>
      <c r="E313" t="inlineStr">
        <is>
          <t>LUDVIKA</t>
        </is>
      </c>
      <c r="F313" t="inlineStr">
        <is>
          <t>Naturvårdsverket</t>
        </is>
      </c>
      <c r="G313" t="n">
        <v>1</v>
      </c>
      <c r="H313" t="n">
        <v>0</v>
      </c>
      <c r="I313" t="n">
        <v>0</v>
      </c>
      <c r="J313" t="n">
        <v>0</v>
      </c>
      <c r="K313" t="n">
        <v>0</v>
      </c>
      <c r="L313" t="n">
        <v>0</v>
      </c>
      <c r="M313" t="n">
        <v>0</v>
      </c>
      <c r="N313" t="n">
        <v>0</v>
      </c>
      <c r="O313" t="n">
        <v>0</v>
      </c>
      <c r="P313" t="n">
        <v>0</v>
      </c>
      <c r="Q313" t="n">
        <v>0</v>
      </c>
      <c r="R313" s="2" t="inlineStr"/>
    </row>
    <row r="314" ht="15" customHeight="1">
      <c r="A314" t="inlineStr">
        <is>
          <t>A 24696-2025</t>
        </is>
      </c>
      <c r="B314" s="1" t="n">
        <v>45798</v>
      </c>
      <c r="C314" s="1" t="n">
        <v>45912</v>
      </c>
      <c r="D314" t="inlineStr">
        <is>
          <t>DALARNAS LÄN</t>
        </is>
      </c>
      <c r="E314" t="inlineStr">
        <is>
          <t>LUDVIKA</t>
        </is>
      </c>
      <c r="F314" t="inlineStr">
        <is>
          <t>Bergvik skog väst AB</t>
        </is>
      </c>
      <c r="G314" t="n">
        <v>7.1</v>
      </c>
      <c r="H314" t="n">
        <v>0</v>
      </c>
      <c r="I314" t="n">
        <v>0</v>
      </c>
      <c r="J314" t="n">
        <v>0</v>
      </c>
      <c r="K314" t="n">
        <v>0</v>
      </c>
      <c r="L314" t="n">
        <v>0</v>
      </c>
      <c r="M314" t="n">
        <v>0</v>
      </c>
      <c r="N314" t="n">
        <v>0</v>
      </c>
      <c r="O314" t="n">
        <v>0</v>
      </c>
      <c r="P314" t="n">
        <v>0</v>
      </c>
      <c r="Q314" t="n">
        <v>0</v>
      </c>
      <c r="R314" s="2" t="inlineStr"/>
    </row>
    <row r="315" ht="15" customHeight="1">
      <c r="A315" t="inlineStr">
        <is>
          <t>A 11611-2021</t>
        </is>
      </c>
      <c r="B315" s="1" t="n">
        <v>44264</v>
      </c>
      <c r="C315" s="1" t="n">
        <v>45912</v>
      </c>
      <c r="D315" t="inlineStr">
        <is>
          <t>DALARNAS LÄN</t>
        </is>
      </c>
      <c r="E315" t="inlineStr">
        <is>
          <t>LUDVIKA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55472-2024</t>
        </is>
      </c>
      <c r="B316" s="1" t="n">
        <v>45622.43274305556</v>
      </c>
      <c r="C316" s="1" t="n">
        <v>45912</v>
      </c>
      <c r="D316" t="inlineStr">
        <is>
          <t>DALARNAS LÄN</t>
        </is>
      </c>
      <c r="E316" t="inlineStr">
        <is>
          <t>LUDVIKA</t>
        </is>
      </c>
      <c r="F316" t="inlineStr">
        <is>
          <t>Naturvårdsverket</t>
        </is>
      </c>
      <c r="G316" t="n">
        <v>1.5</v>
      </c>
      <c r="H316" t="n">
        <v>0</v>
      </c>
      <c r="I316" t="n">
        <v>0</v>
      </c>
      <c r="J316" t="n">
        <v>0</v>
      </c>
      <c r="K316" t="n">
        <v>0</v>
      </c>
      <c r="L316" t="n">
        <v>0</v>
      </c>
      <c r="M316" t="n">
        <v>0</v>
      </c>
      <c r="N316" t="n">
        <v>0</v>
      </c>
      <c r="O316" t="n">
        <v>0</v>
      </c>
      <c r="P316" t="n">
        <v>0</v>
      </c>
      <c r="Q316" t="n">
        <v>0</v>
      </c>
      <c r="R316" s="2" t="inlineStr"/>
    </row>
    <row r="317" ht="15" customHeight="1">
      <c r="A317" t="inlineStr">
        <is>
          <t>A 25619-2025</t>
        </is>
      </c>
      <c r="B317" s="1" t="n">
        <v>45803</v>
      </c>
      <c r="C317" s="1" t="n">
        <v>45912</v>
      </c>
      <c r="D317" t="inlineStr">
        <is>
          <t>DALARNAS LÄN</t>
        </is>
      </c>
      <c r="E317" t="inlineStr">
        <is>
          <t>LUDVIKA</t>
        </is>
      </c>
      <c r="F317" t="inlineStr">
        <is>
          <t>Bergvik skog väst AB</t>
        </is>
      </c>
      <c r="G317" t="n">
        <v>2.5</v>
      </c>
      <c r="H317" t="n">
        <v>0</v>
      </c>
      <c r="I317" t="n">
        <v>0</v>
      </c>
      <c r="J317" t="n">
        <v>0</v>
      </c>
      <c r="K317" t="n">
        <v>0</v>
      </c>
      <c r="L317" t="n">
        <v>0</v>
      </c>
      <c r="M317" t="n">
        <v>0</v>
      </c>
      <c r="N317" t="n">
        <v>0</v>
      </c>
      <c r="O317" t="n">
        <v>0</v>
      </c>
      <c r="P317" t="n">
        <v>0</v>
      </c>
      <c r="Q317" t="n">
        <v>0</v>
      </c>
      <c r="R317" s="2" t="inlineStr"/>
    </row>
    <row r="318" ht="15" customHeight="1">
      <c r="A318" t="inlineStr">
        <is>
          <t>A 61384-2024</t>
        </is>
      </c>
      <c r="B318" s="1" t="n">
        <v>45646.40943287037</v>
      </c>
      <c r="C318" s="1" t="n">
        <v>45912</v>
      </c>
      <c r="D318" t="inlineStr">
        <is>
          <t>DALARNAS LÄN</t>
        </is>
      </c>
      <c r="E318" t="inlineStr">
        <is>
          <t>LUDVIKA</t>
        </is>
      </c>
      <c r="G318" t="n">
        <v>0.7</v>
      </c>
      <c r="H318" t="n">
        <v>0</v>
      </c>
      <c r="I318" t="n">
        <v>0</v>
      </c>
      <c r="J318" t="n">
        <v>0</v>
      </c>
      <c r="K318" t="n">
        <v>0</v>
      </c>
      <c r="L318" t="n">
        <v>0</v>
      </c>
      <c r="M318" t="n">
        <v>0</v>
      </c>
      <c r="N318" t="n">
        <v>0</v>
      </c>
      <c r="O318" t="n">
        <v>0</v>
      </c>
      <c r="P318" t="n">
        <v>0</v>
      </c>
      <c r="Q318" t="n">
        <v>0</v>
      </c>
      <c r="R318" s="2" t="inlineStr"/>
    </row>
    <row r="319" ht="15" customHeight="1">
      <c r="A319" t="inlineStr">
        <is>
          <t>A 25644-2025</t>
        </is>
      </c>
      <c r="B319" s="1" t="n">
        <v>45803</v>
      </c>
      <c r="C319" s="1" t="n">
        <v>45912</v>
      </c>
      <c r="D319" t="inlineStr">
        <is>
          <t>DALARNAS LÄN</t>
        </is>
      </c>
      <c r="E319" t="inlineStr">
        <is>
          <t>LUDVIKA</t>
        </is>
      </c>
      <c r="F319" t="inlineStr">
        <is>
          <t>Bergvik skog väst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25627-2025</t>
        </is>
      </c>
      <c r="B320" s="1" t="n">
        <v>45803</v>
      </c>
      <c r="C320" s="1" t="n">
        <v>45912</v>
      </c>
      <c r="D320" t="inlineStr">
        <is>
          <t>DALARNAS LÄN</t>
        </is>
      </c>
      <c r="E320" t="inlineStr">
        <is>
          <t>LUDVIKA</t>
        </is>
      </c>
      <c r="F320" t="inlineStr">
        <is>
          <t>Bergvik skog väst AB</t>
        </is>
      </c>
      <c r="G320" t="n">
        <v>7.7</v>
      </c>
      <c r="H320" t="n">
        <v>0</v>
      </c>
      <c r="I320" t="n">
        <v>0</v>
      </c>
      <c r="J320" t="n">
        <v>0</v>
      </c>
      <c r="K320" t="n">
        <v>0</v>
      </c>
      <c r="L320" t="n">
        <v>0</v>
      </c>
      <c r="M320" t="n">
        <v>0</v>
      </c>
      <c r="N320" t="n">
        <v>0</v>
      </c>
      <c r="O320" t="n">
        <v>0</v>
      </c>
      <c r="P320" t="n">
        <v>0</v>
      </c>
      <c r="Q320" t="n">
        <v>0</v>
      </c>
      <c r="R320" s="2" t="inlineStr"/>
    </row>
    <row r="321" ht="15" customHeight="1">
      <c r="A321" t="inlineStr">
        <is>
          <t>A 25140-2025</t>
        </is>
      </c>
      <c r="B321" s="1" t="n">
        <v>45800</v>
      </c>
      <c r="C321" s="1" t="n">
        <v>45912</v>
      </c>
      <c r="D321" t="inlineStr">
        <is>
          <t>DALARNAS LÄN</t>
        </is>
      </c>
      <c r="E321" t="inlineStr">
        <is>
          <t>LUDVIKA</t>
        </is>
      </c>
      <c r="F321" t="inlineStr">
        <is>
          <t>Bergvik skog väst AB</t>
        </is>
      </c>
      <c r="G321" t="n">
        <v>2</v>
      </c>
      <c r="H321" t="n">
        <v>0</v>
      </c>
      <c r="I321" t="n">
        <v>0</v>
      </c>
      <c r="J321" t="n">
        <v>0</v>
      </c>
      <c r="K321" t="n">
        <v>0</v>
      </c>
      <c r="L321" t="n">
        <v>0</v>
      </c>
      <c r="M321" t="n">
        <v>0</v>
      </c>
      <c r="N321" t="n">
        <v>0</v>
      </c>
      <c r="O321" t="n">
        <v>0</v>
      </c>
      <c r="P321" t="n">
        <v>0</v>
      </c>
      <c r="Q321" t="n">
        <v>0</v>
      </c>
      <c r="R321" s="2" t="inlineStr"/>
    </row>
    <row r="322" ht="15" customHeight="1">
      <c r="A322" t="inlineStr">
        <is>
          <t>A 25133-2025</t>
        </is>
      </c>
      <c r="B322" s="1" t="n">
        <v>45800</v>
      </c>
      <c r="C322" s="1" t="n">
        <v>45912</v>
      </c>
      <c r="D322" t="inlineStr">
        <is>
          <t>DALARNAS LÄN</t>
        </is>
      </c>
      <c r="E322" t="inlineStr">
        <is>
          <t>LUDVIKA</t>
        </is>
      </c>
      <c r="G322" t="n">
        <v>4.1</v>
      </c>
      <c r="H322" t="n">
        <v>0</v>
      </c>
      <c r="I322" t="n">
        <v>0</v>
      </c>
      <c r="J322" t="n">
        <v>0</v>
      </c>
      <c r="K322" t="n">
        <v>0</v>
      </c>
      <c r="L322" t="n">
        <v>0</v>
      </c>
      <c r="M322" t="n">
        <v>0</v>
      </c>
      <c r="N322" t="n">
        <v>0</v>
      </c>
      <c r="O322" t="n">
        <v>0</v>
      </c>
      <c r="P322" t="n">
        <v>0</v>
      </c>
      <c r="Q322" t="n">
        <v>0</v>
      </c>
      <c r="R322" s="2" t="inlineStr"/>
    </row>
    <row r="323" ht="15" customHeight="1">
      <c r="A323" t="inlineStr">
        <is>
          <t>A 25277-2025</t>
        </is>
      </c>
      <c r="B323" s="1" t="n">
        <v>45800</v>
      </c>
      <c r="C323" s="1" t="n">
        <v>45912</v>
      </c>
      <c r="D323" t="inlineStr">
        <is>
          <t>DALARNAS LÄN</t>
        </is>
      </c>
      <c r="E323" t="inlineStr">
        <is>
          <t>LUDVIKA</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25113-2025</t>
        </is>
      </c>
      <c r="B324" s="1" t="n">
        <v>45800</v>
      </c>
      <c r="C324" s="1" t="n">
        <v>45912</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34845-2024</t>
        </is>
      </c>
      <c r="B325" s="1" t="n">
        <v>45526</v>
      </c>
      <c r="C325" s="1" t="n">
        <v>45912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25299-2022</t>
        </is>
      </c>
      <c r="B326" s="1" t="n">
        <v>44730.99318287037</v>
      </c>
      <c r="C326" s="1" t="n">
        <v>45912</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25235-2025</t>
        </is>
      </c>
      <c r="B327" s="1" t="n">
        <v>45800</v>
      </c>
      <c r="C327" s="1" t="n">
        <v>45912</v>
      </c>
      <c r="D327" t="inlineStr">
        <is>
          <t>DALARNAS LÄN</t>
        </is>
      </c>
      <c r="E327" t="inlineStr">
        <is>
          <t>LUDVIKA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25150-2025</t>
        </is>
      </c>
      <c r="B328" s="1" t="n">
        <v>45800</v>
      </c>
      <c r="C328" s="1" t="n">
        <v>45912</v>
      </c>
      <c r="D328" t="inlineStr">
        <is>
          <t>DALARNAS LÄN</t>
        </is>
      </c>
      <c r="E328" t="inlineStr">
        <is>
          <t>LUDVIKA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25157-2025</t>
        </is>
      </c>
      <c r="B329" s="1" t="n">
        <v>45800</v>
      </c>
      <c r="C329" s="1" t="n">
        <v>45912</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11632-2024</t>
        </is>
      </c>
      <c r="B330" s="1" t="n">
        <v>45373.4712037037</v>
      </c>
      <c r="C330" s="1" t="n">
        <v>45912</v>
      </c>
      <c r="D330" t="inlineStr">
        <is>
          <t>DALARNAS LÄN</t>
        </is>
      </c>
      <c r="E330" t="inlineStr">
        <is>
          <t>LUDVIKA</t>
        </is>
      </c>
      <c r="G330" t="n">
        <v>5.1</v>
      </c>
      <c r="H330" t="n">
        <v>0</v>
      </c>
      <c r="I330" t="n">
        <v>0</v>
      </c>
      <c r="J330" t="n">
        <v>0</v>
      </c>
      <c r="K330" t="n">
        <v>0</v>
      </c>
      <c r="L330" t="n">
        <v>0</v>
      </c>
      <c r="M330" t="n">
        <v>0</v>
      </c>
      <c r="N330" t="n">
        <v>0</v>
      </c>
      <c r="O330" t="n">
        <v>0</v>
      </c>
      <c r="P330" t="n">
        <v>0</v>
      </c>
      <c r="Q330" t="n">
        <v>0</v>
      </c>
      <c r="R330" s="2" t="inlineStr"/>
    </row>
    <row r="331" ht="15" customHeight="1">
      <c r="A331" t="inlineStr">
        <is>
          <t>A 25920-2025</t>
        </is>
      </c>
      <c r="B331" s="1" t="n">
        <v>45804</v>
      </c>
      <c r="C331" s="1" t="n">
        <v>45912</v>
      </c>
      <c r="D331" t="inlineStr">
        <is>
          <t>DALARNAS LÄN</t>
        </is>
      </c>
      <c r="E331" t="inlineStr">
        <is>
          <t>LUDVIKA</t>
        </is>
      </c>
      <c r="F331" t="inlineStr">
        <is>
          <t>Bergvik skog väst AB</t>
        </is>
      </c>
      <c r="G331" t="n">
        <v>8.6</v>
      </c>
      <c r="H331" t="n">
        <v>0</v>
      </c>
      <c r="I331" t="n">
        <v>0</v>
      </c>
      <c r="J331" t="n">
        <v>0</v>
      </c>
      <c r="K331" t="n">
        <v>0</v>
      </c>
      <c r="L331" t="n">
        <v>0</v>
      </c>
      <c r="M331" t="n">
        <v>0</v>
      </c>
      <c r="N331" t="n">
        <v>0</v>
      </c>
      <c r="O331" t="n">
        <v>0</v>
      </c>
      <c r="P331" t="n">
        <v>0</v>
      </c>
      <c r="Q331" t="n">
        <v>0</v>
      </c>
      <c r="R331" s="2" t="inlineStr"/>
    </row>
    <row r="332" ht="15" customHeight="1">
      <c r="A332" t="inlineStr">
        <is>
          <t>A 56445-2024</t>
        </is>
      </c>
      <c r="B332" s="1" t="n">
        <v>45625.42575231481</v>
      </c>
      <c r="C332" s="1" t="n">
        <v>45912</v>
      </c>
      <c r="D332" t="inlineStr">
        <is>
          <t>DALARNAS LÄN</t>
        </is>
      </c>
      <c r="E332" t="inlineStr">
        <is>
          <t>LUDVIKA</t>
        </is>
      </c>
      <c r="G332" t="n">
        <v>2.1</v>
      </c>
      <c r="H332" t="n">
        <v>0</v>
      </c>
      <c r="I332" t="n">
        <v>0</v>
      </c>
      <c r="J332" t="n">
        <v>0</v>
      </c>
      <c r="K332" t="n">
        <v>0</v>
      </c>
      <c r="L332" t="n">
        <v>0</v>
      </c>
      <c r="M332" t="n">
        <v>0</v>
      </c>
      <c r="N332" t="n">
        <v>0</v>
      </c>
      <c r="O332" t="n">
        <v>0</v>
      </c>
      <c r="P332" t="n">
        <v>0</v>
      </c>
      <c r="Q332" t="n">
        <v>0</v>
      </c>
      <c r="R332" s="2" t="inlineStr"/>
    </row>
    <row r="333" ht="15" customHeight="1">
      <c r="A333" t="inlineStr">
        <is>
          <t>A 48522-2023</t>
        </is>
      </c>
      <c r="B333" s="1" t="n">
        <v>45208.35689814815</v>
      </c>
      <c r="C333" s="1" t="n">
        <v>45912</v>
      </c>
      <c r="D333" t="inlineStr">
        <is>
          <t>DALARNAS LÄN</t>
        </is>
      </c>
      <c r="E333" t="inlineStr">
        <is>
          <t>LUDVIKA</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56672-2023</t>
        </is>
      </c>
      <c r="B334" s="1" t="n">
        <v>45243.89579861111</v>
      </c>
      <c r="C334" s="1" t="n">
        <v>45912</v>
      </c>
      <c r="D334" t="inlineStr">
        <is>
          <t>DALARNAS LÄN</t>
        </is>
      </c>
      <c r="E334" t="inlineStr">
        <is>
          <t>LUDVIKA</t>
        </is>
      </c>
      <c r="G334" t="n">
        <v>2.9</v>
      </c>
      <c r="H334" t="n">
        <v>0</v>
      </c>
      <c r="I334" t="n">
        <v>0</v>
      </c>
      <c r="J334" t="n">
        <v>0</v>
      </c>
      <c r="K334" t="n">
        <v>0</v>
      </c>
      <c r="L334" t="n">
        <v>0</v>
      </c>
      <c r="M334" t="n">
        <v>0</v>
      </c>
      <c r="N334" t="n">
        <v>0</v>
      </c>
      <c r="O334" t="n">
        <v>0</v>
      </c>
      <c r="P334" t="n">
        <v>0</v>
      </c>
      <c r="Q334" t="n">
        <v>0</v>
      </c>
      <c r="R334" s="2" t="inlineStr"/>
    </row>
    <row r="335" ht="15" customHeight="1">
      <c r="A335" t="inlineStr">
        <is>
          <t>A 20692-2024</t>
        </is>
      </c>
      <c r="B335" s="1" t="n">
        <v>45436.5909837963</v>
      </c>
      <c r="C335" s="1" t="n">
        <v>45912</v>
      </c>
      <c r="D335" t="inlineStr">
        <is>
          <t>DALARNAS LÄN</t>
        </is>
      </c>
      <c r="E335" t="inlineStr">
        <is>
          <t>LUDVIKA</t>
        </is>
      </c>
      <c r="F335" t="inlineStr">
        <is>
          <t>Bergvik skog väst AB</t>
        </is>
      </c>
      <c r="G335" t="n">
        <v>12.8</v>
      </c>
      <c r="H335" t="n">
        <v>0</v>
      </c>
      <c r="I335" t="n">
        <v>0</v>
      </c>
      <c r="J335" t="n">
        <v>0</v>
      </c>
      <c r="K335" t="n">
        <v>0</v>
      </c>
      <c r="L335" t="n">
        <v>0</v>
      </c>
      <c r="M335" t="n">
        <v>0</v>
      </c>
      <c r="N335" t="n">
        <v>0</v>
      </c>
      <c r="O335" t="n">
        <v>0</v>
      </c>
      <c r="P335" t="n">
        <v>0</v>
      </c>
      <c r="Q335" t="n">
        <v>0</v>
      </c>
      <c r="R335" s="2" t="inlineStr"/>
    </row>
    <row r="336" ht="15" customHeight="1">
      <c r="A336" t="inlineStr">
        <is>
          <t>A 48589-2023</t>
        </is>
      </c>
      <c r="B336" s="1" t="n">
        <v>45208</v>
      </c>
      <c r="C336" s="1" t="n">
        <v>45912</v>
      </c>
      <c r="D336" t="inlineStr">
        <is>
          <t>DALARNAS LÄN</t>
        </is>
      </c>
      <c r="E336" t="inlineStr">
        <is>
          <t>LUDVIKA</t>
        </is>
      </c>
      <c r="F336" t="inlineStr">
        <is>
          <t>Naturvårdsverket</t>
        </is>
      </c>
      <c r="G336" t="n">
        <v>0.7</v>
      </c>
      <c r="H336" t="n">
        <v>0</v>
      </c>
      <c r="I336" t="n">
        <v>0</v>
      </c>
      <c r="J336" t="n">
        <v>0</v>
      </c>
      <c r="K336" t="n">
        <v>0</v>
      </c>
      <c r="L336" t="n">
        <v>0</v>
      </c>
      <c r="M336" t="n">
        <v>0</v>
      </c>
      <c r="N336" t="n">
        <v>0</v>
      </c>
      <c r="O336" t="n">
        <v>0</v>
      </c>
      <c r="P336" t="n">
        <v>0</v>
      </c>
      <c r="Q336" t="n">
        <v>0</v>
      </c>
      <c r="R336" s="2" t="inlineStr"/>
    </row>
    <row r="337" ht="15" customHeight="1">
      <c r="A337" t="inlineStr">
        <is>
          <t>A 32305-2024</t>
        </is>
      </c>
      <c r="B337" s="1" t="n">
        <v>45512</v>
      </c>
      <c r="C337" s="1" t="n">
        <v>45912</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26150-2025</t>
        </is>
      </c>
      <c r="B338" s="1" t="n">
        <v>45805</v>
      </c>
      <c r="C338" s="1" t="n">
        <v>45912</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48715-2022</t>
        </is>
      </c>
      <c r="B339" s="1" t="n">
        <v>44859.49887731481</v>
      </c>
      <c r="C339" s="1" t="n">
        <v>45912</v>
      </c>
      <c r="D339" t="inlineStr">
        <is>
          <t>DALARNAS LÄN</t>
        </is>
      </c>
      <c r="E339" t="inlineStr">
        <is>
          <t>LUDVIKA</t>
        </is>
      </c>
      <c r="F339" t="inlineStr">
        <is>
          <t>Naturvårdsverket</t>
        </is>
      </c>
      <c r="G339" t="n">
        <v>1.2</v>
      </c>
      <c r="H339" t="n">
        <v>0</v>
      </c>
      <c r="I339" t="n">
        <v>0</v>
      </c>
      <c r="J339" t="n">
        <v>0</v>
      </c>
      <c r="K339" t="n">
        <v>0</v>
      </c>
      <c r="L339" t="n">
        <v>0</v>
      </c>
      <c r="M339" t="n">
        <v>0</v>
      </c>
      <c r="N339" t="n">
        <v>0</v>
      </c>
      <c r="O339" t="n">
        <v>0</v>
      </c>
      <c r="P339" t="n">
        <v>0</v>
      </c>
      <c r="Q339" t="n">
        <v>0</v>
      </c>
      <c r="R339" s="2" t="inlineStr"/>
    </row>
    <row r="340" ht="15" customHeight="1">
      <c r="A340" t="inlineStr">
        <is>
          <t>A 26320-2025</t>
        </is>
      </c>
      <c r="B340" s="1" t="n">
        <v>45805.65954861111</v>
      </c>
      <c r="C340" s="1" t="n">
        <v>45912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26433-2025</t>
        </is>
      </c>
      <c r="B341" s="1" t="n">
        <v>45807.39702546296</v>
      </c>
      <c r="C341" s="1" t="n">
        <v>45912</v>
      </c>
      <c r="D341" t="inlineStr">
        <is>
          <t>DALARNAS LÄN</t>
        </is>
      </c>
      <c r="E341" t="inlineStr">
        <is>
          <t>LUDVIKA</t>
        </is>
      </c>
      <c r="G341" t="n">
        <v>0.6</v>
      </c>
      <c r="H341" t="n">
        <v>0</v>
      </c>
      <c r="I341" t="n">
        <v>0</v>
      </c>
      <c r="J341" t="n">
        <v>0</v>
      </c>
      <c r="K341" t="n">
        <v>0</v>
      </c>
      <c r="L341" t="n">
        <v>0</v>
      </c>
      <c r="M341" t="n">
        <v>0</v>
      </c>
      <c r="N341" t="n">
        <v>0</v>
      </c>
      <c r="O341" t="n">
        <v>0</v>
      </c>
      <c r="P341" t="n">
        <v>0</v>
      </c>
      <c r="Q341" t="n">
        <v>0</v>
      </c>
      <c r="R341" s="2" t="inlineStr"/>
    </row>
    <row r="342" ht="15" customHeight="1">
      <c r="A342" t="inlineStr">
        <is>
          <t>A 45559-2024</t>
        </is>
      </c>
      <c r="B342" s="1" t="n">
        <v>45579.35708333334</v>
      </c>
      <c r="C342" s="1" t="n">
        <v>45912</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34875-2025</t>
        </is>
      </c>
      <c r="B343" s="1" t="n">
        <v>45849</v>
      </c>
      <c r="C343" s="1" t="n">
        <v>45912</v>
      </c>
      <c r="D343" t="inlineStr">
        <is>
          <t>DALARNAS LÄN</t>
        </is>
      </c>
      <c r="E343" t="inlineStr">
        <is>
          <t>LUDVIKA</t>
        </is>
      </c>
      <c r="F343" t="inlineStr">
        <is>
          <t>Bergvik skog väst AB</t>
        </is>
      </c>
      <c r="G343" t="n">
        <v>5.8</v>
      </c>
      <c r="H343" t="n">
        <v>0</v>
      </c>
      <c r="I343" t="n">
        <v>0</v>
      </c>
      <c r="J343" t="n">
        <v>0</v>
      </c>
      <c r="K343" t="n">
        <v>0</v>
      </c>
      <c r="L343" t="n">
        <v>0</v>
      </c>
      <c r="M343" t="n">
        <v>0</v>
      </c>
      <c r="N343" t="n">
        <v>0</v>
      </c>
      <c r="O343" t="n">
        <v>0</v>
      </c>
      <c r="P343" t="n">
        <v>0</v>
      </c>
      <c r="Q343" t="n">
        <v>0</v>
      </c>
      <c r="R343" s="2" t="inlineStr"/>
    </row>
    <row r="344" ht="15" customHeight="1">
      <c r="A344" t="inlineStr">
        <is>
          <t>A 34555-2023</t>
        </is>
      </c>
      <c r="B344" s="1" t="n">
        <v>45140.50491898148</v>
      </c>
      <c r="C344" s="1" t="n">
        <v>45912</v>
      </c>
      <c r="D344" t="inlineStr">
        <is>
          <t>DALARNAS LÄN</t>
        </is>
      </c>
      <c r="E344" t="inlineStr">
        <is>
          <t>LUDVIKA</t>
        </is>
      </c>
      <c r="F344" t="inlineStr">
        <is>
          <t>Bergvik skog väst AB</t>
        </is>
      </c>
      <c r="G344" t="n">
        <v>3.7</v>
      </c>
      <c r="H344" t="n">
        <v>0</v>
      </c>
      <c r="I344" t="n">
        <v>0</v>
      </c>
      <c r="J344" t="n">
        <v>0</v>
      </c>
      <c r="K344" t="n">
        <v>0</v>
      </c>
      <c r="L344" t="n">
        <v>0</v>
      </c>
      <c r="M344" t="n">
        <v>0</v>
      </c>
      <c r="N344" t="n">
        <v>0</v>
      </c>
      <c r="O344" t="n">
        <v>0</v>
      </c>
      <c r="P344" t="n">
        <v>0</v>
      </c>
      <c r="Q344" t="n">
        <v>0</v>
      </c>
      <c r="R344" s="2" t="inlineStr"/>
    </row>
    <row r="345" ht="15" customHeight="1">
      <c r="A345" t="inlineStr">
        <is>
          <t>A 1047-2023</t>
        </is>
      </c>
      <c r="B345" s="1" t="n">
        <v>44929</v>
      </c>
      <c r="C345" s="1" t="n">
        <v>45912</v>
      </c>
      <c r="D345" t="inlineStr">
        <is>
          <t>DALARNAS LÄN</t>
        </is>
      </c>
      <c r="E345" t="inlineStr">
        <is>
          <t>LUDVIKA</t>
        </is>
      </c>
      <c r="F345" t="inlineStr">
        <is>
          <t>Kommuner</t>
        </is>
      </c>
      <c r="G345" t="n">
        <v>3.2</v>
      </c>
      <c r="H345" t="n">
        <v>0</v>
      </c>
      <c r="I345" t="n">
        <v>0</v>
      </c>
      <c r="J345" t="n">
        <v>0</v>
      </c>
      <c r="K345" t="n">
        <v>0</v>
      </c>
      <c r="L345" t="n">
        <v>0</v>
      </c>
      <c r="M345" t="n">
        <v>0</v>
      </c>
      <c r="N345" t="n">
        <v>0</v>
      </c>
      <c r="O345" t="n">
        <v>0</v>
      </c>
      <c r="P345" t="n">
        <v>0</v>
      </c>
      <c r="Q345" t="n">
        <v>0</v>
      </c>
      <c r="R345" s="2" t="inlineStr"/>
    </row>
    <row r="346" ht="15" customHeight="1">
      <c r="A346" t="inlineStr">
        <is>
          <t>A 26942-2025</t>
        </is>
      </c>
      <c r="B346" s="1" t="n">
        <v>45811.42434027778</v>
      </c>
      <c r="C346" s="1" t="n">
        <v>45912</v>
      </c>
      <c r="D346" t="inlineStr">
        <is>
          <t>DALARNAS LÄN</t>
        </is>
      </c>
      <c r="E346" t="inlineStr">
        <is>
          <t>LUDVIKA</t>
        </is>
      </c>
      <c r="G346" t="n">
        <v>1.5</v>
      </c>
      <c r="H346" t="n">
        <v>0</v>
      </c>
      <c r="I346" t="n">
        <v>0</v>
      </c>
      <c r="J346" t="n">
        <v>0</v>
      </c>
      <c r="K346" t="n">
        <v>0</v>
      </c>
      <c r="L346" t="n">
        <v>0</v>
      </c>
      <c r="M346" t="n">
        <v>0</v>
      </c>
      <c r="N346" t="n">
        <v>0</v>
      </c>
      <c r="O346" t="n">
        <v>0</v>
      </c>
      <c r="P346" t="n">
        <v>0</v>
      </c>
      <c r="Q346" t="n">
        <v>0</v>
      </c>
      <c r="R346" s="2" t="inlineStr"/>
    </row>
    <row r="347" ht="15" customHeight="1">
      <c r="A347" t="inlineStr">
        <is>
          <t>A 30502-2021</t>
        </is>
      </c>
      <c r="B347" s="1" t="n">
        <v>44364.63512731482</v>
      </c>
      <c r="C347" s="1" t="n">
        <v>45912</v>
      </c>
      <c r="D347" t="inlineStr">
        <is>
          <t>DALARNAS LÄN</t>
        </is>
      </c>
      <c r="E347" t="inlineStr">
        <is>
          <t>LUDVIKA</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26698-2025</t>
        </is>
      </c>
      <c r="B348" s="1" t="n">
        <v>45810.44368055555</v>
      </c>
      <c r="C348" s="1" t="n">
        <v>45912</v>
      </c>
      <c r="D348" t="inlineStr">
        <is>
          <t>DALARNAS LÄN</t>
        </is>
      </c>
      <c r="E348" t="inlineStr">
        <is>
          <t>LUDVIKA</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26719-2025</t>
        </is>
      </c>
      <c r="B349" s="1" t="n">
        <v>45810</v>
      </c>
      <c r="C349" s="1" t="n">
        <v>45912</v>
      </c>
      <c r="D349" t="inlineStr">
        <is>
          <t>DALARNAS LÄN</t>
        </is>
      </c>
      <c r="E349" t="inlineStr">
        <is>
          <t>LUDVIKA</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61309-2022</t>
        </is>
      </c>
      <c r="B350" s="1" t="n">
        <v>44915.64177083333</v>
      </c>
      <c r="C350" s="1" t="n">
        <v>45912</v>
      </c>
      <c r="D350" t="inlineStr">
        <is>
          <t>DALARNAS LÄN</t>
        </is>
      </c>
      <c r="E350" t="inlineStr">
        <is>
          <t>LUDVIKA</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29780-2024</t>
        </is>
      </c>
      <c r="B351" s="1" t="n">
        <v>45485.45513888889</v>
      </c>
      <c r="C351" s="1" t="n">
        <v>45912</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60788-2024</t>
        </is>
      </c>
      <c r="B352" s="1" t="n">
        <v>45644.59341435185</v>
      </c>
      <c r="C352" s="1" t="n">
        <v>45912</v>
      </c>
      <c r="D352" t="inlineStr">
        <is>
          <t>DALARNAS LÄN</t>
        </is>
      </c>
      <c r="E352" t="inlineStr">
        <is>
          <t>LUDVIKA</t>
        </is>
      </c>
      <c r="G352" t="n">
        <v>1.9</v>
      </c>
      <c r="H352" t="n">
        <v>0</v>
      </c>
      <c r="I352" t="n">
        <v>0</v>
      </c>
      <c r="J352" t="n">
        <v>0</v>
      </c>
      <c r="K352" t="n">
        <v>0</v>
      </c>
      <c r="L352" t="n">
        <v>0</v>
      </c>
      <c r="M352" t="n">
        <v>0</v>
      </c>
      <c r="N352" t="n">
        <v>0</v>
      </c>
      <c r="O352" t="n">
        <v>0</v>
      </c>
      <c r="P352" t="n">
        <v>0</v>
      </c>
      <c r="Q352" t="n">
        <v>0</v>
      </c>
      <c r="R352" s="2" t="inlineStr"/>
    </row>
    <row r="353" ht="15" customHeight="1">
      <c r="A353" t="inlineStr">
        <is>
          <t>A 26826-2025</t>
        </is>
      </c>
      <c r="B353" s="1" t="n">
        <v>45810</v>
      </c>
      <c r="C353" s="1" t="n">
        <v>45912</v>
      </c>
      <c r="D353" t="inlineStr">
        <is>
          <t>DALARNAS LÄN</t>
        </is>
      </c>
      <c r="E353" t="inlineStr">
        <is>
          <t>LUDVIKA</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26794-2025</t>
        </is>
      </c>
      <c r="B354" s="1" t="n">
        <v>45810.59527777778</v>
      </c>
      <c r="C354" s="1" t="n">
        <v>45912</v>
      </c>
      <c r="D354" t="inlineStr">
        <is>
          <t>DALARNAS LÄN</t>
        </is>
      </c>
      <c r="E354" t="inlineStr">
        <is>
          <t>LUDVIKA</t>
        </is>
      </c>
      <c r="F354" t="inlineStr">
        <is>
          <t>Kommuner</t>
        </is>
      </c>
      <c r="G354" t="n">
        <v>3.1</v>
      </c>
      <c r="H354" t="n">
        <v>0</v>
      </c>
      <c r="I354" t="n">
        <v>0</v>
      </c>
      <c r="J354" t="n">
        <v>0</v>
      </c>
      <c r="K354" t="n">
        <v>0</v>
      </c>
      <c r="L354" t="n">
        <v>0</v>
      </c>
      <c r="M354" t="n">
        <v>0</v>
      </c>
      <c r="N354" t="n">
        <v>0</v>
      </c>
      <c r="O354" t="n">
        <v>0</v>
      </c>
      <c r="P354" t="n">
        <v>0</v>
      </c>
      <c r="Q354" t="n">
        <v>0</v>
      </c>
      <c r="R354" s="2" t="inlineStr"/>
    </row>
    <row r="355" ht="15" customHeight="1">
      <c r="A355" t="inlineStr">
        <is>
          <t>A 50871-2024</t>
        </is>
      </c>
      <c r="B355" s="1" t="n">
        <v>45602.64591435185</v>
      </c>
      <c r="C355" s="1" t="n">
        <v>45912</v>
      </c>
      <c r="D355" t="inlineStr">
        <is>
          <t>DALARNAS LÄN</t>
        </is>
      </c>
      <c r="E355" t="inlineStr">
        <is>
          <t>LUDVIKA</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26628-2025</t>
        </is>
      </c>
      <c r="B356" s="1" t="n">
        <v>45810.34362268518</v>
      </c>
      <c r="C356" s="1" t="n">
        <v>45912</v>
      </c>
      <c r="D356" t="inlineStr">
        <is>
          <t>DALARNAS LÄN</t>
        </is>
      </c>
      <c r="E356" t="inlineStr">
        <is>
          <t>LUDVIKA</t>
        </is>
      </c>
      <c r="F356" t="inlineStr">
        <is>
          <t>Bergvik skog väst AB</t>
        </is>
      </c>
      <c r="G356" t="n">
        <v>0.7</v>
      </c>
      <c r="H356" t="n">
        <v>0</v>
      </c>
      <c r="I356" t="n">
        <v>0</v>
      </c>
      <c r="J356" t="n">
        <v>0</v>
      </c>
      <c r="K356" t="n">
        <v>0</v>
      </c>
      <c r="L356" t="n">
        <v>0</v>
      </c>
      <c r="M356" t="n">
        <v>0</v>
      </c>
      <c r="N356" t="n">
        <v>0</v>
      </c>
      <c r="O356" t="n">
        <v>0</v>
      </c>
      <c r="P356" t="n">
        <v>0</v>
      </c>
      <c r="Q356" t="n">
        <v>0</v>
      </c>
      <c r="R356" s="2" t="inlineStr"/>
    </row>
    <row r="357" ht="15" customHeight="1">
      <c r="A357" t="inlineStr">
        <is>
          <t>A 43115-2021</t>
        </is>
      </c>
      <c r="B357" s="1" t="n">
        <v>44431.63481481482</v>
      </c>
      <c r="C357" s="1" t="n">
        <v>45912</v>
      </c>
      <c r="D357" t="inlineStr">
        <is>
          <t>DALARNAS LÄN</t>
        </is>
      </c>
      <c r="E357" t="inlineStr">
        <is>
          <t>LUDVIKA</t>
        </is>
      </c>
      <c r="G357" t="n">
        <v>3.5</v>
      </c>
      <c r="H357" t="n">
        <v>0</v>
      </c>
      <c r="I357" t="n">
        <v>0</v>
      </c>
      <c r="J357" t="n">
        <v>0</v>
      </c>
      <c r="K357" t="n">
        <v>0</v>
      </c>
      <c r="L357" t="n">
        <v>0</v>
      </c>
      <c r="M357" t="n">
        <v>0</v>
      </c>
      <c r="N357" t="n">
        <v>0</v>
      </c>
      <c r="O357" t="n">
        <v>0</v>
      </c>
      <c r="P357" t="n">
        <v>0</v>
      </c>
      <c r="Q357" t="n">
        <v>0</v>
      </c>
      <c r="R357" s="2" t="inlineStr"/>
    </row>
    <row r="358" ht="15" customHeight="1">
      <c r="A358" t="inlineStr">
        <is>
          <t>A 43700-2024</t>
        </is>
      </c>
      <c r="B358" s="1" t="n">
        <v>45569.59005787037</v>
      </c>
      <c r="C358" s="1" t="n">
        <v>45912</v>
      </c>
      <c r="D358" t="inlineStr">
        <is>
          <t>DALARNAS LÄN</t>
        </is>
      </c>
      <c r="E358" t="inlineStr">
        <is>
          <t>LUDVIKA</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27021-2025</t>
        </is>
      </c>
      <c r="B359" s="1" t="n">
        <v>45811.57329861111</v>
      </c>
      <c r="C359" s="1" t="n">
        <v>45912</v>
      </c>
      <c r="D359" t="inlineStr">
        <is>
          <t>DALARNAS LÄN</t>
        </is>
      </c>
      <c r="E359" t="inlineStr">
        <is>
          <t>LUDVIKA</t>
        </is>
      </c>
      <c r="G359" t="n">
        <v>3.5</v>
      </c>
      <c r="H359" t="n">
        <v>0</v>
      </c>
      <c r="I359" t="n">
        <v>0</v>
      </c>
      <c r="J359" t="n">
        <v>0</v>
      </c>
      <c r="K359" t="n">
        <v>0</v>
      </c>
      <c r="L359" t="n">
        <v>0</v>
      </c>
      <c r="M359" t="n">
        <v>0</v>
      </c>
      <c r="N359" t="n">
        <v>0</v>
      </c>
      <c r="O359" t="n">
        <v>0</v>
      </c>
      <c r="P359" t="n">
        <v>0</v>
      </c>
      <c r="Q359" t="n">
        <v>0</v>
      </c>
      <c r="R359" s="2" t="inlineStr"/>
    </row>
    <row r="360" ht="15" customHeight="1">
      <c r="A360" t="inlineStr">
        <is>
          <t>A 26779-2025</t>
        </is>
      </c>
      <c r="B360" s="1" t="n">
        <v>45810</v>
      </c>
      <c r="C360" s="1" t="n">
        <v>45912</v>
      </c>
      <c r="D360" t="inlineStr">
        <is>
          <t>DALARNAS LÄN</t>
        </is>
      </c>
      <c r="E360" t="inlineStr">
        <is>
          <t>LUDVIKA</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41495-2024</t>
        </is>
      </c>
      <c r="B361" s="1" t="n">
        <v>45560.45458333333</v>
      </c>
      <c r="C361" s="1" t="n">
        <v>45912</v>
      </c>
      <c r="D361" t="inlineStr">
        <is>
          <t>DALARNAS LÄN</t>
        </is>
      </c>
      <c r="E361" t="inlineStr">
        <is>
          <t>LUDVIKA</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41509-2024</t>
        </is>
      </c>
      <c r="B362" s="1" t="n">
        <v>45560.47200231482</v>
      </c>
      <c r="C362" s="1" t="n">
        <v>45912</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45405-2024</t>
        </is>
      </c>
      <c r="B363" s="1" t="n">
        <v>45576</v>
      </c>
      <c r="C363" s="1" t="n">
        <v>45912</v>
      </c>
      <c r="D363" t="inlineStr">
        <is>
          <t>DALARNAS LÄN</t>
        </is>
      </c>
      <c r="E363" t="inlineStr">
        <is>
          <t>LUDVIKA</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51043-2024</t>
        </is>
      </c>
      <c r="B364" s="1" t="n">
        <v>45603.43526620371</v>
      </c>
      <c r="C364" s="1" t="n">
        <v>45912</v>
      </c>
      <c r="D364" t="inlineStr">
        <is>
          <t>DALARNAS LÄN</t>
        </is>
      </c>
      <c r="E364" t="inlineStr">
        <is>
          <t>LUDVIKA</t>
        </is>
      </c>
      <c r="F364" t="inlineStr">
        <is>
          <t>Bergvik skog väst AB</t>
        </is>
      </c>
      <c r="G364" t="n">
        <v>17.9</v>
      </c>
      <c r="H364" t="n">
        <v>0</v>
      </c>
      <c r="I364" t="n">
        <v>0</v>
      </c>
      <c r="J364" t="n">
        <v>0</v>
      </c>
      <c r="K364" t="n">
        <v>0</v>
      </c>
      <c r="L364" t="n">
        <v>0</v>
      </c>
      <c r="M364" t="n">
        <v>0</v>
      </c>
      <c r="N364" t="n">
        <v>0</v>
      </c>
      <c r="O364" t="n">
        <v>0</v>
      </c>
      <c r="P364" t="n">
        <v>0</v>
      </c>
      <c r="Q364" t="n">
        <v>0</v>
      </c>
      <c r="R364" s="2" t="inlineStr"/>
    </row>
    <row r="365" ht="15" customHeight="1">
      <c r="A365" t="inlineStr">
        <is>
          <t>A 55034-2024</t>
        </is>
      </c>
      <c r="B365" s="1" t="n">
        <v>45621.38265046296</v>
      </c>
      <c r="C365" s="1" t="n">
        <v>45912</v>
      </c>
      <c r="D365" t="inlineStr">
        <is>
          <t>DALARNAS LÄN</t>
        </is>
      </c>
      <c r="E365" t="inlineStr">
        <is>
          <t>LUDVIKA</t>
        </is>
      </c>
      <c r="F365" t="inlineStr">
        <is>
          <t>Naturvårdsverket</t>
        </is>
      </c>
      <c r="G365" t="n">
        <v>6.6</v>
      </c>
      <c r="H365" t="n">
        <v>0</v>
      </c>
      <c r="I365" t="n">
        <v>0</v>
      </c>
      <c r="J365" t="n">
        <v>0</v>
      </c>
      <c r="K365" t="n">
        <v>0</v>
      </c>
      <c r="L365" t="n">
        <v>0</v>
      </c>
      <c r="M365" t="n">
        <v>0</v>
      </c>
      <c r="N365" t="n">
        <v>0</v>
      </c>
      <c r="O365" t="n">
        <v>0</v>
      </c>
      <c r="P365" t="n">
        <v>0</v>
      </c>
      <c r="Q365" t="n">
        <v>0</v>
      </c>
      <c r="R365" s="2" t="inlineStr"/>
    </row>
    <row r="366" ht="15" customHeight="1">
      <c r="A366" t="inlineStr">
        <is>
          <t>A 42215-2024</t>
        </is>
      </c>
      <c r="B366" s="1" t="n">
        <v>45562.53986111111</v>
      </c>
      <c r="C366" s="1" t="n">
        <v>45912</v>
      </c>
      <c r="D366" t="inlineStr">
        <is>
          <t>DALARNAS LÄN</t>
        </is>
      </c>
      <c r="E366" t="inlineStr">
        <is>
          <t>LUDVIKA</t>
        </is>
      </c>
      <c r="F366" t="inlineStr">
        <is>
          <t>Bergvik skog väst AB</t>
        </is>
      </c>
      <c r="G366" t="n">
        <v>3.6</v>
      </c>
      <c r="H366" t="n">
        <v>0</v>
      </c>
      <c r="I366" t="n">
        <v>0</v>
      </c>
      <c r="J366" t="n">
        <v>0</v>
      </c>
      <c r="K366" t="n">
        <v>0</v>
      </c>
      <c r="L366" t="n">
        <v>0</v>
      </c>
      <c r="M366" t="n">
        <v>0</v>
      </c>
      <c r="N366" t="n">
        <v>0</v>
      </c>
      <c r="O366" t="n">
        <v>0</v>
      </c>
      <c r="P366" t="n">
        <v>0</v>
      </c>
      <c r="Q366" t="n">
        <v>0</v>
      </c>
      <c r="R366" s="2" t="inlineStr"/>
    </row>
    <row r="367" ht="15" customHeight="1">
      <c r="A367" t="inlineStr">
        <is>
          <t>A 2614-2023</t>
        </is>
      </c>
      <c r="B367" s="1" t="n">
        <v>44942</v>
      </c>
      <c r="C367" s="1" t="n">
        <v>45912</v>
      </c>
      <c r="D367" t="inlineStr">
        <is>
          <t>DALARNAS LÄN</t>
        </is>
      </c>
      <c r="E367" t="inlineStr">
        <is>
          <t>LUDVIKA</t>
        </is>
      </c>
      <c r="G367" t="n">
        <v>13.1</v>
      </c>
      <c r="H367" t="n">
        <v>0</v>
      </c>
      <c r="I367" t="n">
        <v>0</v>
      </c>
      <c r="J367" t="n">
        <v>0</v>
      </c>
      <c r="K367" t="n">
        <v>0</v>
      </c>
      <c r="L367" t="n">
        <v>0</v>
      </c>
      <c r="M367" t="n">
        <v>0</v>
      </c>
      <c r="N367" t="n">
        <v>0</v>
      </c>
      <c r="O367" t="n">
        <v>0</v>
      </c>
      <c r="P367" t="n">
        <v>0</v>
      </c>
      <c r="Q367" t="n">
        <v>0</v>
      </c>
      <c r="R367" s="2" t="inlineStr"/>
    </row>
    <row r="368" ht="15" customHeight="1">
      <c r="A368" t="inlineStr">
        <is>
          <t>A 27644-2025</t>
        </is>
      </c>
      <c r="B368" s="1" t="n">
        <v>45813</v>
      </c>
      <c r="C368" s="1" t="n">
        <v>45912</v>
      </c>
      <c r="D368" t="inlineStr">
        <is>
          <t>DALARNAS LÄN</t>
        </is>
      </c>
      <c r="E368" t="inlineStr">
        <is>
          <t>LUDVIKA</t>
        </is>
      </c>
      <c r="F368" t="inlineStr">
        <is>
          <t>Bergvik skog väst AB</t>
        </is>
      </c>
      <c r="G368" t="n">
        <v>5.1</v>
      </c>
      <c r="H368" t="n">
        <v>0</v>
      </c>
      <c r="I368" t="n">
        <v>0</v>
      </c>
      <c r="J368" t="n">
        <v>0</v>
      </c>
      <c r="K368" t="n">
        <v>0</v>
      </c>
      <c r="L368" t="n">
        <v>0</v>
      </c>
      <c r="M368" t="n">
        <v>0</v>
      </c>
      <c r="N368" t="n">
        <v>0</v>
      </c>
      <c r="O368" t="n">
        <v>0</v>
      </c>
      <c r="P368" t="n">
        <v>0</v>
      </c>
      <c r="Q368" t="n">
        <v>0</v>
      </c>
      <c r="R368" s="2" t="inlineStr"/>
    </row>
    <row r="369" ht="15" customHeight="1">
      <c r="A369" t="inlineStr">
        <is>
          <t>A 27528-2025</t>
        </is>
      </c>
      <c r="B369" s="1" t="n">
        <v>45813</v>
      </c>
      <c r="C369" s="1" t="n">
        <v>45912</v>
      </c>
      <c r="D369" t="inlineStr">
        <is>
          <t>DALARNAS LÄN</t>
        </is>
      </c>
      <c r="E369" t="inlineStr">
        <is>
          <t>LUDVIKA</t>
        </is>
      </c>
      <c r="F369" t="inlineStr">
        <is>
          <t>Bergvik skog väst AB</t>
        </is>
      </c>
      <c r="G369" t="n">
        <v>3.7</v>
      </c>
      <c r="H369" t="n">
        <v>0</v>
      </c>
      <c r="I369" t="n">
        <v>0</v>
      </c>
      <c r="J369" t="n">
        <v>0</v>
      </c>
      <c r="K369" t="n">
        <v>0</v>
      </c>
      <c r="L369" t="n">
        <v>0</v>
      </c>
      <c r="M369" t="n">
        <v>0</v>
      </c>
      <c r="N369" t="n">
        <v>0</v>
      </c>
      <c r="O369" t="n">
        <v>0</v>
      </c>
      <c r="P369" t="n">
        <v>0</v>
      </c>
      <c r="Q369" t="n">
        <v>0</v>
      </c>
      <c r="R369" s="2" t="inlineStr"/>
    </row>
    <row r="370" ht="15" customHeight="1">
      <c r="A370" t="inlineStr">
        <is>
          <t>A 27506-2025</t>
        </is>
      </c>
      <c r="B370" s="1" t="n">
        <v>45813</v>
      </c>
      <c r="C370" s="1" t="n">
        <v>45912</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27616-2025</t>
        </is>
      </c>
      <c r="B371" s="1" t="n">
        <v>45813</v>
      </c>
      <c r="C371" s="1" t="n">
        <v>45912</v>
      </c>
      <c r="D371" t="inlineStr">
        <is>
          <t>DALARNAS LÄN</t>
        </is>
      </c>
      <c r="E371" t="inlineStr">
        <is>
          <t>LUDVIKA</t>
        </is>
      </c>
      <c r="F371" t="inlineStr">
        <is>
          <t>Bergvik skog väst AB</t>
        </is>
      </c>
      <c r="G371" t="n">
        <v>2.9</v>
      </c>
      <c r="H371" t="n">
        <v>0</v>
      </c>
      <c r="I371" t="n">
        <v>0</v>
      </c>
      <c r="J371" t="n">
        <v>0</v>
      </c>
      <c r="K371" t="n">
        <v>0</v>
      </c>
      <c r="L371" t="n">
        <v>0</v>
      </c>
      <c r="M371" t="n">
        <v>0</v>
      </c>
      <c r="N371" t="n">
        <v>0</v>
      </c>
      <c r="O371" t="n">
        <v>0</v>
      </c>
      <c r="P371" t="n">
        <v>0</v>
      </c>
      <c r="Q371" t="n">
        <v>0</v>
      </c>
      <c r="R371" s="2" t="inlineStr"/>
    </row>
    <row r="372" ht="15" customHeight="1">
      <c r="A372" t="inlineStr">
        <is>
          <t>A 27448-2025</t>
        </is>
      </c>
      <c r="B372" s="1" t="n">
        <v>45813</v>
      </c>
      <c r="C372" s="1" t="n">
        <v>45912</v>
      </c>
      <c r="D372" t="inlineStr">
        <is>
          <t>DALARNAS LÄN</t>
        </is>
      </c>
      <c r="E372" t="inlineStr">
        <is>
          <t>LUDVIKA</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27525-2025</t>
        </is>
      </c>
      <c r="B373" s="1" t="n">
        <v>45813</v>
      </c>
      <c r="C373" s="1" t="n">
        <v>45912</v>
      </c>
      <c r="D373" t="inlineStr">
        <is>
          <t>DALARNAS LÄN</t>
        </is>
      </c>
      <c r="E373" t="inlineStr">
        <is>
          <t>LUDVIKA</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27435-2025</t>
        </is>
      </c>
      <c r="B374" s="1" t="n">
        <v>45813</v>
      </c>
      <c r="C374" s="1" t="n">
        <v>45912</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15100-2024</t>
        </is>
      </c>
      <c r="B375" s="1" t="n">
        <v>45399.66118055556</v>
      </c>
      <c r="C375" s="1" t="n">
        <v>45912</v>
      </c>
      <c r="D375" t="inlineStr">
        <is>
          <t>DALARNAS LÄN</t>
        </is>
      </c>
      <c r="E375" t="inlineStr">
        <is>
          <t>LUDVIKA</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27532-2025</t>
        </is>
      </c>
      <c r="B376" s="1" t="n">
        <v>45813</v>
      </c>
      <c r="C376" s="1" t="n">
        <v>45912</v>
      </c>
      <c r="D376" t="inlineStr">
        <is>
          <t>DALARNAS LÄN</t>
        </is>
      </c>
      <c r="E376" t="inlineStr">
        <is>
          <t>LUDVIKA</t>
        </is>
      </c>
      <c r="F376" t="inlineStr">
        <is>
          <t>Bergvik skog väst AB</t>
        </is>
      </c>
      <c r="G376" t="n">
        <v>4.8</v>
      </c>
      <c r="H376" t="n">
        <v>0</v>
      </c>
      <c r="I376" t="n">
        <v>0</v>
      </c>
      <c r="J376" t="n">
        <v>0</v>
      </c>
      <c r="K376" t="n">
        <v>0</v>
      </c>
      <c r="L376" t="n">
        <v>0</v>
      </c>
      <c r="M376" t="n">
        <v>0</v>
      </c>
      <c r="N376" t="n">
        <v>0</v>
      </c>
      <c r="O376" t="n">
        <v>0</v>
      </c>
      <c r="P376" t="n">
        <v>0</v>
      </c>
      <c r="Q376" t="n">
        <v>0</v>
      </c>
      <c r="R376" s="2" t="inlineStr"/>
    </row>
    <row r="377" ht="15" customHeight="1">
      <c r="A377" t="inlineStr">
        <is>
          <t>A 45309-2021</t>
        </is>
      </c>
      <c r="B377" s="1" t="n">
        <v>44439.68940972222</v>
      </c>
      <c r="C377" s="1" t="n">
        <v>45912</v>
      </c>
      <c r="D377" t="inlineStr">
        <is>
          <t>DALARNAS LÄN</t>
        </is>
      </c>
      <c r="E377" t="inlineStr">
        <is>
          <t>LUDVIKA</t>
        </is>
      </c>
      <c r="G377" t="n">
        <v>1.9</v>
      </c>
      <c r="H377" t="n">
        <v>0</v>
      </c>
      <c r="I377" t="n">
        <v>0</v>
      </c>
      <c r="J377" t="n">
        <v>0</v>
      </c>
      <c r="K377" t="n">
        <v>0</v>
      </c>
      <c r="L377" t="n">
        <v>0</v>
      </c>
      <c r="M377" t="n">
        <v>0</v>
      </c>
      <c r="N377" t="n">
        <v>0</v>
      </c>
      <c r="O377" t="n">
        <v>0</v>
      </c>
      <c r="P377" t="n">
        <v>0</v>
      </c>
      <c r="Q377" t="n">
        <v>0</v>
      </c>
      <c r="R377" s="2" t="inlineStr"/>
    </row>
    <row r="378" ht="15" customHeight="1">
      <c r="A378" t="inlineStr">
        <is>
          <t>A 51080-2024</t>
        </is>
      </c>
      <c r="B378" s="1" t="n">
        <v>45603.4574074074</v>
      </c>
      <c r="C378" s="1" t="n">
        <v>45912</v>
      </c>
      <c r="D378" t="inlineStr">
        <is>
          <t>DALARNAS LÄN</t>
        </is>
      </c>
      <c r="E378" t="inlineStr">
        <is>
          <t>LUDVIKA</t>
        </is>
      </c>
      <c r="F378" t="inlineStr">
        <is>
          <t>Naturvårdsverket</t>
        </is>
      </c>
      <c r="G378" t="n">
        <v>0.8</v>
      </c>
      <c r="H378" t="n">
        <v>0</v>
      </c>
      <c r="I378" t="n">
        <v>0</v>
      </c>
      <c r="J378" t="n">
        <v>0</v>
      </c>
      <c r="K378" t="n">
        <v>0</v>
      </c>
      <c r="L378" t="n">
        <v>0</v>
      </c>
      <c r="M378" t="n">
        <v>0</v>
      </c>
      <c r="N378" t="n">
        <v>0</v>
      </c>
      <c r="O378" t="n">
        <v>0</v>
      </c>
      <c r="P378" t="n">
        <v>0</v>
      </c>
      <c r="Q378" t="n">
        <v>0</v>
      </c>
      <c r="R378" s="2" t="inlineStr"/>
    </row>
    <row r="379" ht="15" customHeight="1">
      <c r="A379" t="inlineStr">
        <is>
          <t>A 44732-2024</t>
        </is>
      </c>
      <c r="B379" s="1" t="n">
        <v>45574</v>
      </c>
      <c r="C379" s="1" t="n">
        <v>45912</v>
      </c>
      <c r="D379" t="inlineStr">
        <is>
          <t>DALARNAS LÄN</t>
        </is>
      </c>
      <c r="E379" t="inlineStr">
        <is>
          <t>LUDVIKA</t>
        </is>
      </c>
      <c r="F379" t="inlineStr">
        <is>
          <t>Bergvik skog väst AB</t>
        </is>
      </c>
      <c r="G379" t="n">
        <v>2.3</v>
      </c>
      <c r="H379" t="n">
        <v>0</v>
      </c>
      <c r="I379" t="n">
        <v>0</v>
      </c>
      <c r="J379" t="n">
        <v>0</v>
      </c>
      <c r="K379" t="n">
        <v>0</v>
      </c>
      <c r="L379" t="n">
        <v>0</v>
      </c>
      <c r="M379" t="n">
        <v>0</v>
      </c>
      <c r="N379" t="n">
        <v>0</v>
      </c>
      <c r="O379" t="n">
        <v>0</v>
      </c>
      <c r="P379" t="n">
        <v>0</v>
      </c>
      <c r="Q379" t="n">
        <v>0</v>
      </c>
      <c r="R379" s="2" t="inlineStr"/>
    </row>
    <row r="380" ht="15" customHeight="1">
      <c r="A380" t="inlineStr">
        <is>
          <t>A 2603-2024</t>
        </is>
      </c>
      <c r="B380" s="1" t="n">
        <v>45313.73107638889</v>
      </c>
      <c r="C380" s="1" t="n">
        <v>45912</v>
      </c>
      <c r="D380" t="inlineStr">
        <is>
          <t>DALARNAS LÄN</t>
        </is>
      </c>
      <c r="E380" t="inlineStr">
        <is>
          <t>LUDVIKA</t>
        </is>
      </c>
      <c r="G380" t="n">
        <v>0.8</v>
      </c>
      <c r="H380" t="n">
        <v>0</v>
      </c>
      <c r="I380" t="n">
        <v>0</v>
      </c>
      <c r="J380" t="n">
        <v>0</v>
      </c>
      <c r="K380" t="n">
        <v>0</v>
      </c>
      <c r="L380" t="n">
        <v>0</v>
      </c>
      <c r="M380" t="n">
        <v>0</v>
      </c>
      <c r="N380" t="n">
        <v>0</v>
      </c>
      <c r="O380" t="n">
        <v>0</v>
      </c>
      <c r="P380" t="n">
        <v>0</v>
      </c>
      <c r="Q380" t="n">
        <v>0</v>
      </c>
      <c r="R380" s="2" t="inlineStr"/>
    </row>
    <row r="381" ht="15" customHeight="1">
      <c r="A381" t="inlineStr">
        <is>
          <t>A 56346-2022</t>
        </is>
      </c>
      <c r="B381" s="1" t="n">
        <v>44890</v>
      </c>
      <c r="C381" s="1" t="n">
        <v>45912</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45045-2023</t>
        </is>
      </c>
      <c r="B382" s="1" t="n">
        <v>45191.34273148148</v>
      </c>
      <c r="C382" s="1" t="n">
        <v>45912</v>
      </c>
      <c r="D382" t="inlineStr">
        <is>
          <t>DALARNAS LÄN</t>
        </is>
      </c>
      <c r="E382" t="inlineStr">
        <is>
          <t>LUDVIKA</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44534-2024</t>
        </is>
      </c>
      <c r="B383" s="1" t="n">
        <v>45574.45234953704</v>
      </c>
      <c r="C383" s="1" t="n">
        <v>45912</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44537-2024</t>
        </is>
      </c>
      <c r="B384" s="1" t="n">
        <v>45574.45362268519</v>
      </c>
      <c r="C384" s="1" t="n">
        <v>45912</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51895-2020</t>
        </is>
      </c>
      <c r="B385" s="1" t="n">
        <v>44116</v>
      </c>
      <c r="C385" s="1" t="n">
        <v>45912</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74432-2021</t>
        </is>
      </c>
      <c r="B386" s="1" t="n">
        <v>44560.4366087963</v>
      </c>
      <c r="C386" s="1" t="n">
        <v>45912</v>
      </c>
      <c r="D386" t="inlineStr">
        <is>
          <t>DALARNAS LÄN</t>
        </is>
      </c>
      <c r="E386" t="inlineStr">
        <is>
          <t>LUDVIKA</t>
        </is>
      </c>
      <c r="F386" t="inlineStr">
        <is>
          <t>Kommuner</t>
        </is>
      </c>
      <c r="G386" t="n">
        <v>1</v>
      </c>
      <c r="H386" t="n">
        <v>0</v>
      </c>
      <c r="I386" t="n">
        <v>0</v>
      </c>
      <c r="J386" t="n">
        <v>0</v>
      </c>
      <c r="K386" t="n">
        <v>0</v>
      </c>
      <c r="L386" t="n">
        <v>0</v>
      </c>
      <c r="M386" t="n">
        <v>0</v>
      </c>
      <c r="N386" t="n">
        <v>0</v>
      </c>
      <c r="O386" t="n">
        <v>0</v>
      </c>
      <c r="P386" t="n">
        <v>0</v>
      </c>
      <c r="Q386" t="n">
        <v>0</v>
      </c>
      <c r="R386" s="2" t="inlineStr"/>
    </row>
    <row r="387" ht="15" customHeight="1">
      <c r="A387" t="inlineStr">
        <is>
          <t>A 55961-2024</t>
        </is>
      </c>
      <c r="B387" s="1" t="n">
        <v>45623.64104166667</v>
      </c>
      <c r="C387" s="1" t="n">
        <v>45912</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28435-2025</t>
        </is>
      </c>
      <c r="B388" s="1" t="n">
        <v>45819</v>
      </c>
      <c r="C388" s="1" t="n">
        <v>45912</v>
      </c>
      <c r="D388" t="inlineStr">
        <is>
          <t>DALARNAS LÄN</t>
        </is>
      </c>
      <c r="E388" t="inlineStr">
        <is>
          <t>LUDVIKA</t>
        </is>
      </c>
      <c r="F388" t="inlineStr">
        <is>
          <t>Bergvik skog väst AB</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32054-2021</t>
        </is>
      </c>
      <c r="B389" s="1" t="n">
        <v>44370</v>
      </c>
      <c r="C389" s="1" t="n">
        <v>45912</v>
      </c>
      <c r="D389" t="inlineStr">
        <is>
          <t>DALARNAS LÄN</t>
        </is>
      </c>
      <c r="E389" t="inlineStr">
        <is>
          <t>LUDVIKA</t>
        </is>
      </c>
      <c r="G389" t="n">
        <v>28.7</v>
      </c>
      <c r="H389" t="n">
        <v>0</v>
      </c>
      <c r="I389" t="n">
        <v>0</v>
      </c>
      <c r="J389" t="n">
        <v>0</v>
      </c>
      <c r="K389" t="n">
        <v>0</v>
      </c>
      <c r="L389" t="n">
        <v>0</v>
      </c>
      <c r="M389" t="n">
        <v>0</v>
      </c>
      <c r="N389" t="n">
        <v>0</v>
      </c>
      <c r="O389" t="n">
        <v>0</v>
      </c>
      <c r="P389" t="n">
        <v>0</v>
      </c>
      <c r="Q389" t="n">
        <v>0</v>
      </c>
      <c r="R389" s="2" t="inlineStr"/>
    </row>
    <row r="390" ht="15" customHeight="1">
      <c r="A390" t="inlineStr">
        <is>
          <t>A 28737-2025</t>
        </is>
      </c>
      <c r="B390" s="1" t="n">
        <v>45820.38174768518</v>
      </c>
      <c r="C390" s="1" t="n">
        <v>45912</v>
      </c>
      <c r="D390" t="inlineStr">
        <is>
          <t>DALARNAS LÄN</t>
        </is>
      </c>
      <c r="E390" t="inlineStr">
        <is>
          <t>LUDVIKA</t>
        </is>
      </c>
      <c r="G390" t="n">
        <v>1.4</v>
      </c>
      <c r="H390" t="n">
        <v>0</v>
      </c>
      <c r="I390" t="n">
        <v>0</v>
      </c>
      <c r="J390" t="n">
        <v>0</v>
      </c>
      <c r="K390" t="n">
        <v>0</v>
      </c>
      <c r="L390" t="n">
        <v>0</v>
      </c>
      <c r="M390" t="n">
        <v>0</v>
      </c>
      <c r="N390" t="n">
        <v>0</v>
      </c>
      <c r="O390" t="n">
        <v>0</v>
      </c>
      <c r="P390" t="n">
        <v>0</v>
      </c>
      <c r="Q390" t="n">
        <v>0</v>
      </c>
      <c r="R390" s="2" t="inlineStr"/>
    </row>
    <row r="391" ht="15" customHeight="1">
      <c r="A391" t="inlineStr">
        <is>
          <t>A 15128-2025</t>
        </is>
      </c>
      <c r="B391" s="1" t="n">
        <v>45744.38216435185</v>
      </c>
      <c r="C391" s="1" t="n">
        <v>45912</v>
      </c>
      <c r="D391" t="inlineStr">
        <is>
          <t>DALARNAS LÄN</t>
        </is>
      </c>
      <c r="E391" t="inlineStr">
        <is>
          <t>LUDVIKA</t>
        </is>
      </c>
      <c r="F391" t="inlineStr">
        <is>
          <t>Bergvik skog väst AB</t>
        </is>
      </c>
      <c r="G391" t="n">
        <v>0.5</v>
      </c>
      <c r="H391" t="n">
        <v>0</v>
      </c>
      <c r="I391" t="n">
        <v>0</v>
      </c>
      <c r="J391" t="n">
        <v>0</v>
      </c>
      <c r="K391" t="n">
        <v>0</v>
      </c>
      <c r="L391" t="n">
        <v>0</v>
      </c>
      <c r="M391" t="n">
        <v>0</v>
      </c>
      <c r="N391" t="n">
        <v>0</v>
      </c>
      <c r="O391" t="n">
        <v>0</v>
      </c>
      <c r="P391" t="n">
        <v>0</v>
      </c>
      <c r="Q391" t="n">
        <v>0</v>
      </c>
      <c r="R391" s="2" t="inlineStr"/>
    </row>
    <row r="392" ht="15" customHeight="1">
      <c r="A392" t="inlineStr">
        <is>
          <t>A 52351-2024</t>
        </is>
      </c>
      <c r="B392" s="1" t="n">
        <v>45609</v>
      </c>
      <c r="C392" s="1" t="n">
        <v>45912</v>
      </c>
      <c r="D392" t="inlineStr">
        <is>
          <t>DALARNAS LÄN</t>
        </is>
      </c>
      <c r="E392" t="inlineStr">
        <is>
          <t>LUDVIKA</t>
        </is>
      </c>
      <c r="F392" t="inlineStr">
        <is>
          <t>Bergvik skog väst AB</t>
        </is>
      </c>
      <c r="G392" t="n">
        <v>4.8</v>
      </c>
      <c r="H392" t="n">
        <v>0</v>
      </c>
      <c r="I392" t="n">
        <v>0</v>
      </c>
      <c r="J392" t="n">
        <v>0</v>
      </c>
      <c r="K392" t="n">
        <v>0</v>
      </c>
      <c r="L392" t="n">
        <v>0</v>
      </c>
      <c r="M392" t="n">
        <v>0</v>
      </c>
      <c r="N392" t="n">
        <v>0</v>
      </c>
      <c r="O392" t="n">
        <v>0</v>
      </c>
      <c r="P392" t="n">
        <v>0</v>
      </c>
      <c r="Q392" t="n">
        <v>0</v>
      </c>
      <c r="R392" s="2" t="inlineStr"/>
    </row>
    <row r="393" ht="15" customHeight="1">
      <c r="A393" t="inlineStr">
        <is>
          <t>A 53756-2020</t>
        </is>
      </c>
      <c r="B393" s="1" t="n">
        <v>44124</v>
      </c>
      <c r="C393" s="1" t="n">
        <v>45912</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29578-2025</t>
        </is>
      </c>
      <c r="B394" s="1" t="n">
        <v>45825.37844907407</v>
      </c>
      <c r="C394" s="1" t="n">
        <v>45912</v>
      </c>
      <c r="D394" t="inlineStr">
        <is>
          <t>DALARNAS LÄN</t>
        </is>
      </c>
      <c r="E394" t="inlineStr">
        <is>
          <t>LUDVIKA</t>
        </is>
      </c>
      <c r="G394" t="n">
        <v>3.8</v>
      </c>
      <c r="H394" t="n">
        <v>0</v>
      </c>
      <c r="I394" t="n">
        <v>0</v>
      </c>
      <c r="J394" t="n">
        <v>0</v>
      </c>
      <c r="K394" t="n">
        <v>0</v>
      </c>
      <c r="L394" t="n">
        <v>0</v>
      </c>
      <c r="M394" t="n">
        <v>0</v>
      </c>
      <c r="N394" t="n">
        <v>0</v>
      </c>
      <c r="O394" t="n">
        <v>0</v>
      </c>
      <c r="P394" t="n">
        <v>0</v>
      </c>
      <c r="Q394" t="n">
        <v>0</v>
      </c>
      <c r="R394" s="2" t="inlineStr"/>
    </row>
    <row r="395" ht="15" customHeight="1">
      <c r="A395" t="inlineStr">
        <is>
          <t>A 29443-2025</t>
        </is>
      </c>
      <c r="B395" s="1" t="n">
        <v>45824.66146990741</v>
      </c>
      <c r="C395" s="1" t="n">
        <v>45912</v>
      </c>
      <c r="D395" t="inlineStr">
        <is>
          <t>DALARNAS LÄN</t>
        </is>
      </c>
      <c r="E395" t="inlineStr">
        <is>
          <t>LUDVIKA</t>
        </is>
      </c>
      <c r="G395" t="n">
        <v>1.3</v>
      </c>
      <c r="H395" t="n">
        <v>0</v>
      </c>
      <c r="I395" t="n">
        <v>0</v>
      </c>
      <c r="J395" t="n">
        <v>0</v>
      </c>
      <c r="K395" t="n">
        <v>0</v>
      </c>
      <c r="L395" t="n">
        <v>0</v>
      </c>
      <c r="M395" t="n">
        <v>0</v>
      </c>
      <c r="N395" t="n">
        <v>0</v>
      </c>
      <c r="O395" t="n">
        <v>0</v>
      </c>
      <c r="P395" t="n">
        <v>0</v>
      </c>
      <c r="Q395" t="n">
        <v>0</v>
      </c>
      <c r="R395" s="2" t="inlineStr"/>
    </row>
    <row r="396" ht="15" customHeight="1">
      <c r="A396" t="inlineStr">
        <is>
          <t>A 36297-2023</t>
        </is>
      </c>
      <c r="B396" s="1" t="n">
        <v>45152.36019675926</v>
      </c>
      <c r="C396" s="1" t="n">
        <v>45912</v>
      </c>
      <c r="D396" t="inlineStr">
        <is>
          <t>DALARNAS LÄN</t>
        </is>
      </c>
      <c r="E396" t="inlineStr">
        <is>
          <t>LUDVIKA</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33505-2021</t>
        </is>
      </c>
      <c r="B397" s="1" t="n">
        <v>44377</v>
      </c>
      <c r="C397" s="1" t="n">
        <v>45912</v>
      </c>
      <c r="D397" t="inlineStr">
        <is>
          <t>DALARNAS LÄN</t>
        </is>
      </c>
      <c r="E397" t="inlineStr">
        <is>
          <t>LUDVIKA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16768-2025</t>
        </is>
      </c>
      <c r="B398" s="1" t="n">
        <v>45754</v>
      </c>
      <c r="C398" s="1" t="n">
        <v>45912</v>
      </c>
      <c r="D398" t="inlineStr">
        <is>
          <t>DALARNAS LÄN</t>
        </is>
      </c>
      <c r="E398" t="inlineStr">
        <is>
          <t>LUDVIKA</t>
        </is>
      </c>
      <c r="F398" t="inlineStr">
        <is>
          <t>Naturvårdsverket</t>
        </is>
      </c>
      <c r="G398" t="n">
        <v>4.8</v>
      </c>
      <c r="H398" t="n">
        <v>0</v>
      </c>
      <c r="I398" t="n">
        <v>0</v>
      </c>
      <c r="J398" t="n">
        <v>0</v>
      </c>
      <c r="K398" t="n">
        <v>0</v>
      </c>
      <c r="L398" t="n">
        <v>0</v>
      </c>
      <c r="M398" t="n">
        <v>0</v>
      </c>
      <c r="N398" t="n">
        <v>0</v>
      </c>
      <c r="O398" t="n">
        <v>0</v>
      </c>
      <c r="P398" t="n">
        <v>0</v>
      </c>
      <c r="Q398" t="n">
        <v>0</v>
      </c>
      <c r="R398" s="2" t="inlineStr"/>
    </row>
    <row r="399" ht="15" customHeight="1">
      <c r="A399" t="inlineStr">
        <is>
          <t>A 65195-2021</t>
        </is>
      </c>
      <c r="B399" s="1" t="n">
        <v>44515.48929398148</v>
      </c>
      <c r="C399" s="1" t="n">
        <v>45912</v>
      </c>
      <c r="D399" t="inlineStr">
        <is>
          <t>DALARNAS LÄN</t>
        </is>
      </c>
      <c r="E399" t="inlineStr">
        <is>
          <t>LUDVIKA</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5970-2022</t>
        </is>
      </c>
      <c r="B400" s="1" t="n">
        <v>44599</v>
      </c>
      <c r="C400" s="1" t="n">
        <v>45912</v>
      </c>
      <c r="D400" t="inlineStr">
        <is>
          <t>DALARNAS LÄN</t>
        </is>
      </c>
      <c r="E400" t="inlineStr">
        <is>
          <t>LUDVIKA</t>
        </is>
      </c>
      <c r="G400" t="n">
        <v>8.4</v>
      </c>
      <c r="H400" t="n">
        <v>0</v>
      </c>
      <c r="I400" t="n">
        <v>0</v>
      </c>
      <c r="J400" t="n">
        <v>0</v>
      </c>
      <c r="K400" t="n">
        <v>0</v>
      </c>
      <c r="L400" t="n">
        <v>0</v>
      </c>
      <c r="M400" t="n">
        <v>0</v>
      </c>
      <c r="N400" t="n">
        <v>0</v>
      </c>
      <c r="O400" t="n">
        <v>0</v>
      </c>
      <c r="P400" t="n">
        <v>0</v>
      </c>
      <c r="Q400" t="n">
        <v>0</v>
      </c>
      <c r="R400" s="2" t="inlineStr"/>
    </row>
    <row r="401" ht="15" customHeight="1">
      <c r="A401" t="inlineStr">
        <is>
          <t>A 56685-2022</t>
        </is>
      </c>
      <c r="B401" s="1" t="n">
        <v>44893.675</v>
      </c>
      <c r="C401" s="1" t="n">
        <v>45912</v>
      </c>
      <c r="D401" t="inlineStr">
        <is>
          <t>DALARNAS LÄN</t>
        </is>
      </c>
      <c r="E401" t="inlineStr">
        <is>
          <t>LUDVIKA</t>
        </is>
      </c>
      <c r="G401" t="n">
        <v>0.6</v>
      </c>
      <c r="H401" t="n">
        <v>0</v>
      </c>
      <c r="I401" t="n">
        <v>0</v>
      </c>
      <c r="J401" t="n">
        <v>0</v>
      </c>
      <c r="K401" t="n">
        <v>0</v>
      </c>
      <c r="L401" t="n">
        <v>0</v>
      </c>
      <c r="M401" t="n">
        <v>0</v>
      </c>
      <c r="N401" t="n">
        <v>0</v>
      </c>
      <c r="O401" t="n">
        <v>0</v>
      </c>
      <c r="P401" t="n">
        <v>0</v>
      </c>
      <c r="Q401" t="n">
        <v>0</v>
      </c>
      <c r="R401" s="2" t="inlineStr"/>
    </row>
    <row r="402" ht="15" customHeight="1">
      <c r="A402" t="inlineStr">
        <is>
          <t>A 11797-2023</t>
        </is>
      </c>
      <c r="B402" s="1" t="n">
        <v>44994</v>
      </c>
      <c r="C402" s="1" t="n">
        <v>45912</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30283-2025</t>
        </is>
      </c>
      <c r="B403" s="1" t="n">
        <v>45827</v>
      </c>
      <c r="C403" s="1" t="n">
        <v>45912</v>
      </c>
      <c r="D403" t="inlineStr">
        <is>
          <t>DALARNAS LÄN</t>
        </is>
      </c>
      <c r="E403" t="inlineStr">
        <is>
          <t>LUDVIKA</t>
        </is>
      </c>
      <c r="F403" t="inlineStr">
        <is>
          <t>Bergvik skog väst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30288-2025</t>
        </is>
      </c>
      <c r="B404" s="1" t="n">
        <v>45827</v>
      </c>
      <c r="C404" s="1" t="n">
        <v>45912</v>
      </c>
      <c r="D404" t="inlineStr">
        <is>
          <t>DALARNAS LÄN</t>
        </is>
      </c>
      <c r="E404" t="inlineStr">
        <is>
          <t>LUDVIKA</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30324-2025</t>
        </is>
      </c>
      <c r="B405" s="1" t="n">
        <v>45827</v>
      </c>
      <c r="C405" s="1" t="n">
        <v>45912</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29966-2025</t>
        </is>
      </c>
      <c r="B406" s="1" t="n">
        <v>45826</v>
      </c>
      <c r="C406" s="1" t="n">
        <v>45912</v>
      </c>
      <c r="D406" t="inlineStr">
        <is>
          <t>DALARNAS LÄN</t>
        </is>
      </c>
      <c r="E406" t="inlineStr">
        <is>
          <t>LUDVIKA</t>
        </is>
      </c>
      <c r="F406" t="inlineStr">
        <is>
          <t>Bergvik skog väst AB</t>
        </is>
      </c>
      <c r="G406" t="n">
        <v>4.8</v>
      </c>
      <c r="H406" t="n">
        <v>0</v>
      </c>
      <c r="I406" t="n">
        <v>0</v>
      </c>
      <c r="J406" t="n">
        <v>0</v>
      </c>
      <c r="K406" t="n">
        <v>0</v>
      </c>
      <c r="L406" t="n">
        <v>0</v>
      </c>
      <c r="M406" t="n">
        <v>0</v>
      </c>
      <c r="N406" t="n">
        <v>0</v>
      </c>
      <c r="O406" t="n">
        <v>0</v>
      </c>
      <c r="P406" t="n">
        <v>0</v>
      </c>
      <c r="Q406" t="n">
        <v>0</v>
      </c>
      <c r="R406" s="2" t="inlineStr"/>
    </row>
    <row r="407" ht="15" customHeight="1">
      <c r="A407" t="inlineStr">
        <is>
          <t>A 31100-2024</t>
        </is>
      </c>
      <c r="B407" s="1" t="n">
        <v>45502</v>
      </c>
      <c r="C407" s="1" t="n">
        <v>45912</v>
      </c>
      <c r="D407" t="inlineStr">
        <is>
          <t>DALARNAS LÄN</t>
        </is>
      </c>
      <c r="E407" t="inlineStr">
        <is>
          <t>LUDVIKA</t>
        </is>
      </c>
      <c r="G407" t="n">
        <v>1.7</v>
      </c>
      <c r="H407" t="n">
        <v>0</v>
      </c>
      <c r="I407" t="n">
        <v>0</v>
      </c>
      <c r="J407" t="n">
        <v>0</v>
      </c>
      <c r="K407" t="n">
        <v>0</v>
      </c>
      <c r="L407" t="n">
        <v>0</v>
      </c>
      <c r="M407" t="n">
        <v>0</v>
      </c>
      <c r="N407" t="n">
        <v>0</v>
      </c>
      <c r="O407" t="n">
        <v>0</v>
      </c>
      <c r="P407" t="n">
        <v>0</v>
      </c>
      <c r="Q407" t="n">
        <v>0</v>
      </c>
      <c r="R407" s="2" t="inlineStr"/>
    </row>
    <row r="408" ht="15" customHeight="1">
      <c r="A408" t="inlineStr">
        <is>
          <t>A 38223-2021</t>
        </is>
      </c>
      <c r="B408" s="1" t="n">
        <v>44405.60167824074</v>
      </c>
      <c r="C408" s="1" t="n">
        <v>45912</v>
      </c>
      <c r="D408" t="inlineStr">
        <is>
          <t>DALARNAS LÄN</t>
        </is>
      </c>
      <c r="E408" t="inlineStr">
        <is>
          <t>LUDVIKA</t>
        </is>
      </c>
      <c r="G408" t="n">
        <v>2.3</v>
      </c>
      <c r="H408" t="n">
        <v>0</v>
      </c>
      <c r="I408" t="n">
        <v>0</v>
      </c>
      <c r="J408" t="n">
        <v>0</v>
      </c>
      <c r="K408" t="n">
        <v>0</v>
      </c>
      <c r="L408" t="n">
        <v>0</v>
      </c>
      <c r="M408" t="n">
        <v>0</v>
      </c>
      <c r="N408" t="n">
        <v>0</v>
      </c>
      <c r="O408" t="n">
        <v>0</v>
      </c>
      <c r="P408" t="n">
        <v>0</v>
      </c>
      <c r="Q408" t="n">
        <v>0</v>
      </c>
      <c r="R408" s="2" t="inlineStr"/>
    </row>
    <row r="409" ht="15" customHeight="1">
      <c r="A409" t="inlineStr">
        <is>
          <t>A 54096-2024</t>
        </is>
      </c>
      <c r="B409" s="1" t="n">
        <v>45616.51402777778</v>
      </c>
      <c r="C409" s="1" t="n">
        <v>45912</v>
      </c>
      <c r="D409" t="inlineStr">
        <is>
          <t>DALARNAS LÄN</t>
        </is>
      </c>
      <c r="E409" t="inlineStr">
        <is>
          <t>LUDVIKA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15421-2025</t>
        </is>
      </c>
      <c r="B410" s="1" t="n">
        <v>45747.46331018519</v>
      </c>
      <c r="C410" s="1" t="n">
        <v>45912</v>
      </c>
      <c r="D410" t="inlineStr">
        <is>
          <t>DALARNAS LÄN</t>
        </is>
      </c>
      <c r="E410" t="inlineStr">
        <is>
          <t>LUDVIKA</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29918-2025</t>
        </is>
      </c>
      <c r="B411" s="1" t="n">
        <v>45826</v>
      </c>
      <c r="C411" s="1" t="n">
        <v>45912</v>
      </c>
      <c r="D411" t="inlineStr">
        <is>
          <t>DALARNAS LÄN</t>
        </is>
      </c>
      <c r="E411" t="inlineStr">
        <is>
          <t>LUDVIKA</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30417-2025</t>
        </is>
      </c>
      <c r="B412" s="1" t="n">
        <v>45827</v>
      </c>
      <c r="C412" s="1" t="n">
        <v>45912</v>
      </c>
      <c r="D412" t="inlineStr">
        <is>
          <t>DALARNAS LÄN</t>
        </is>
      </c>
      <c r="E412" t="inlineStr">
        <is>
          <t>LUDVIKA</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30399-2025</t>
        </is>
      </c>
      <c r="B413" s="1" t="n">
        <v>45827</v>
      </c>
      <c r="C413" s="1" t="n">
        <v>45912</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30760-2025</t>
        </is>
      </c>
      <c r="B414" s="1" t="n">
        <v>45831.59947916667</v>
      </c>
      <c r="C414" s="1" t="n">
        <v>45912</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30748-2025</t>
        </is>
      </c>
      <c r="B415" s="1" t="n">
        <v>45831.58627314815</v>
      </c>
      <c r="C415" s="1" t="n">
        <v>45912</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30813-2025</t>
        </is>
      </c>
      <c r="B416" s="1" t="n">
        <v>45831.6599537037</v>
      </c>
      <c r="C416" s="1" t="n">
        <v>45912</v>
      </c>
      <c r="D416" t="inlineStr">
        <is>
          <t>DALARNAS LÄN</t>
        </is>
      </c>
      <c r="E416" t="inlineStr">
        <is>
          <t>LUDVIKA</t>
        </is>
      </c>
      <c r="G416" t="n">
        <v>0.9</v>
      </c>
      <c r="H416" t="n">
        <v>0</v>
      </c>
      <c r="I416" t="n">
        <v>0</v>
      </c>
      <c r="J416" t="n">
        <v>0</v>
      </c>
      <c r="K416" t="n">
        <v>0</v>
      </c>
      <c r="L416" t="n">
        <v>0</v>
      </c>
      <c r="M416" t="n">
        <v>0</v>
      </c>
      <c r="N416" t="n">
        <v>0</v>
      </c>
      <c r="O416" t="n">
        <v>0</v>
      </c>
      <c r="P416" t="n">
        <v>0</v>
      </c>
      <c r="Q416" t="n">
        <v>0</v>
      </c>
      <c r="R416" s="2" t="inlineStr"/>
    </row>
    <row r="417" ht="15" customHeight="1">
      <c r="A417" t="inlineStr">
        <is>
          <t>A 56818-2023</t>
        </is>
      </c>
      <c r="B417" s="1" t="n">
        <v>45244.45287037037</v>
      </c>
      <c r="C417" s="1" t="n">
        <v>45912</v>
      </c>
      <c r="D417" t="inlineStr">
        <is>
          <t>DALARNAS LÄN</t>
        </is>
      </c>
      <c r="E417" t="inlineStr">
        <is>
          <t>LUDVIKA</t>
        </is>
      </c>
      <c r="G417" t="n">
        <v>1.4</v>
      </c>
      <c r="H417" t="n">
        <v>0</v>
      </c>
      <c r="I417" t="n">
        <v>0</v>
      </c>
      <c r="J417" t="n">
        <v>0</v>
      </c>
      <c r="K417" t="n">
        <v>0</v>
      </c>
      <c r="L417" t="n">
        <v>0</v>
      </c>
      <c r="M417" t="n">
        <v>0</v>
      </c>
      <c r="N417" t="n">
        <v>0</v>
      </c>
      <c r="O417" t="n">
        <v>0</v>
      </c>
      <c r="P417" t="n">
        <v>0</v>
      </c>
      <c r="Q417" t="n">
        <v>0</v>
      </c>
      <c r="R417" s="2" t="inlineStr"/>
    </row>
    <row r="418" ht="15" customHeight="1">
      <c r="A418" t="inlineStr">
        <is>
          <t>A 7173-2023</t>
        </is>
      </c>
      <c r="B418" s="1" t="n">
        <v>44970.50298611111</v>
      </c>
      <c r="C418" s="1" t="n">
        <v>45912</v>
      </c>
      <c r="D418" t="inlineStr">
        <is>
          <t>DALARNAS LÄN</t>
        </is>
      </c>
      <c r="E418" t="inlineStr">
        <is>
          <t>LUDVIKA</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46656-2023</t>
        </is>
      </c>
      <c r="B419" s="1" t="n">
        <v>45198.46518518519</v>
      </c>
      <c r="C419" s="1" t="n">
        <v>45912</v>
      </c>
      <c r="D419" t="inlineStr">
        <is>
          <t>DALARNAS LÄN</t>
        </is>
      </c>
      <c r="E419" t="inlineStr">
        <is>
          <t>LUDVIKA</t>
        </is>
      </c>
      <c r="F419" t="inlineStr">
        <is>
          <t>Bergvik skog väst AB</t>
        </is>
      </c>
      <c r="G419" t="n">
        <v>2.1</v>
      </c>
      <c r="H419" t="n">
        <v>0</v>
      </c>
      <c r="I419" t="n">
        <v>0</v>
      </c>
      <c r="J419" t="n">
        <v>0</v>
      </c>
      <c r="K419" t="n">
        <v>0</v>
      </c>
      <c r="L419" t="n">
        <v>0</v>
      </c>
      <c r="M419" t="n">
        <v>0</v>
      </c>
      <c r="N419" t="n">
        <v>0</v>
      </c>
      <c r="O419" t="n">
        <v>0</v>
      </c>
      <c r="P419" t="n">
        <v>0</v>
      </c>
      <c r="Q419" t="n">
        <v>0</v>
      </c>
      <c r="R419" s="2" t="inlineStr"/>
    </row>
    <row r="420" ht="15" customHeight="1">
      <c r="A420" t="inlineStr">
        <is>
          <t>A 30562-2025</t>
        </is>
      </c>
      <c r="B420" s="1" t="n">
        <v>45831</v>
      </c>
      <c r="C420" s="1" t="n">
        <v>45912</v>
      </c>
      <c r="D420" t="inlineStr">
        <is>
          <t>DALARNAS LÄN</t>
        </is>
      </c>
      <c r="E420" t="inlineStr">
        <is>
          <t>LUDVIKA</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21369-2023</t>
        </is>
      </c>
      <c r="B421" s="1" t="n">
        <v>45063</v>
      </c>
      <c r="C421" s="1" t="n">
        <v>45912</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4170-2025</t>
        </is>
      </c>
      <c r="B422" s="1" t="n">
        <v>45685.42325231482</v>
      </c>
      <c r="C422" s="1" t="n">
        <v>45912</v>
      </c>
      <c r="D422" t="inlineStr">
        <is>
          <t>DALARNAS LÄN</t>
        </is>
      </c>
      <c r="E422" t="inlineStr">
        <is>
          <t>LUDVIKA</t>
        </is>
      </c>
      <c r="G422" t="n">
        <v>0.9</v>
      </c>
      <c r="H422" t="n">
        <v>0</v>
      </c>
      <c r="I422" t="n">
        <v>0</v>
      </c>
      <c r="J422" t="n">
        <v>0</v>
      </c>
      <c r="K422" t="n">
        <v>0</v>
      </c>
      <c r="L422" t="n">
        <v>0</v>
      </c>
      <c r="M422" t="n">
        <v>0</v>
      </c>
      <c r="N422" t="n">
        <v>0</v>
      </c>
      <c r="O422" t="n">
        <v>0</v>
      </c>
      <c r="P422" t="n">
        <v>0</v>
      </c>
      <c r="Q422" t="n">
        <v>0</v>
      </c>
      <c r="R422" s="2" t="inlineStr"/>
    </row>
    <row r="423" ht="15" customHeight="1">
      <c r="A423" t="inlineStr">
        <is>
          <t>A 6151-2024</t>
        </is>
      </c>
      <c r="B423" s="1" t="n">
        <v>45337</v>
      </c>
      <c r="C423" s="1" t="n">
        <v>45912</v>
      </c>
      <c r="D423" t="inlineStr">
        <is>
          <t>DALARNAS LÄN</t>
        </is>
      </c>
      <c r="E423" t="inlineStr">
        <is>
          <t>LUDVIKA</t>
        </is>
      </c>
      <c r="G423" t="n">
        <v>1.7</v>
      </c>
      <c r="H423" t="n">
        <v>0</v>
      </c>
      <c r="I423" t="n">
        <v>0</v>
      </c>
      <c r="J423" t="n">
        <v>0</v>
      </c>
      <c r="K423" t="n">
        <v>0</v>
      </c>
      <c r="L423" t="n">
        <v>0</v>
      </c>
      <c r="M423" t="n">
        <v>0</v>
      </c>
      <c r="N423" t="n">
        <v>0</v>
      </c>
      <c r="O423" t="n">
        <v>0</v>
      </c>
      <c r="P423" t="n">
        <v>0</v>
      </c>
      <c r="Q423" t="n">
        <v>0</v>
      </c>
      <c r="R423" s="2" t="inlineStr"/>
    </row>
    <row r="424" ht="15" customHeight="1">
      <c r="A424" t="inlineStr">
        <is>
          <t>A 37129-2025</t>
        </is>
      </c>
      <c r="B424" s="1" t="n">
        <v>45875.54314814815</v>
      </c>
      <c r="C424" s="1" t="n">
        <v>45912</v>
      </c>
      <c r="D424" t="inlineStr">
        <is>
          <t>DALARNAS LÄN</t>
        </is>
      </c>
      <c r="E424" t="inlineStr">
        <is>
          <t>LUDVIKA</t>
        </is>
      </c>
      <c r="G424" t="n">
        <v>3.9</v>
      </c>
      <c r="H424" t="n">
        <v>0</v>
      </c>
      <c r="I424" t="n">
        <v>0</v>
      </c>
      <c r="J424" t="n">
        <v>0</v>
      </c>
      <c r="K424" t="n">
        <v>0</v>
      </c>
      <c r="L424" t="n">
        <v>0</v>
      </c>
      <c r="M424" t="n">
        <v>0</v>
      </c>
      <c r="N424" t="n">
        <v>0</v>
      </c>
      <c r="O424" t="n">
        <v>0</v>
      </c>
      <c r="P424" t="n">
        <v>0</v>
      </c>
      <c r="Q424" t="n">
        <v>0</v>
      </c>
      <c r="R424" s="2" t="inlineStr"/>
    </row>
    <row r="425" ht="15" customHeight="1">
      <c r="A425" t="inlineStr">
        <is>
          <t>A 31001-2025</t>
        </is>
      </c>
      <c r="B425" s="1" t="n">
        <v>45832</v>
      </c>
      <c r="C425" s="1" t="n">
        <v>45912</v>
      </c>
      <c r="D425" t="inlineStr">
        <is>
          <t>DALARNAS LÄN</t>
        </is>
      </c>
      <c r="E425" t="inlineStr">
        <is>
          <t>LUDVIKA</t>
        </is>
      </c>
      <c r="F425" t="inlineStr">
        <is>
          <t>Bergvik skog väst AB</t>
        </is>
      </c>
      <c r="G425" t="n">
        <v>1</v>
      </c>
      <c r="H425" t="n">
        <v>0</v>
      </c>
      <c r="I425" t="n">
        <v>0</v>
      </c>
      <c r="J425" t="n">
        <v>0</v>
      </c>
      <c r="K425" t="n">
        <v>0</v>
      </c>
      <c r="L425" t="n">
        <v>0</v>
      </c>
      <c r="M425" t="n">
        <v>0</v>
      </c>
      <c r="N425" t="n">
        <v>0</v>
      </c>
      <c r="O425" t="n">
        <v>0</v>
      </c>
      <c r="P425" t="n">
        <v>0</v>
      </c>
      <c r="Q425" t="n">
        <v>0</v>
      </c>
      <c r="R425" s="2" t="inlineStr"/>
    </row>
    <row r="426" ht="15" customHeight="1">
      <c r="A426" t="inlineStr">
        <is>
          <t>A 31039-2025</t>
        </is>
      </c>
      <c r="B426" s="1" t="n">
        <v>45832</v>
      </c>
      <c r="C426" s="1" t="n">
        <v>45912</v>
      </c>
      <c r="D426" t="inlineStr">
        <is>
          <t>DALARNAS LÄN</t>
        </is>
      </c>
      <c r="E426" t="inlineStr">
        <is>
          <t>LUDVIKA</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3687-2024</t>
        </is>
      </c>
      <c r="B427" s="1" t="n">
        <v>45321</v>
      </c>
      <c r="C427" s="1" t="n">
        <v>45912</v>
      </c>
      <c r="D427" t="inlineStr">
        <is>
          <t>DALARNAS LÄN</t>
        </is>
      </c>
      <c r="E427" t="inlineStr">
        <is>
          <t>LUDVIKA</t>
        </is>
      </c>
      <c r="G427" t="n">
        <v>5</v>
      </c>
      <c r="H427" t="n">
        <v>0</v>
      </c>
      <c r="I427" t="n">
        <v>0</v>
      </c>
      <c r="J427" t="n">
        <v>0</v>
      </c>
      <c r="K427" t="n">
        <v>0</v>
      </c>
      <c r="L427" t="n">
        <v>0</v>
      </c>
      <c r="M427" t="n">
        <v>0</v>
      </c>
      <c r="N427" t="n">
        <v>0</v>
      </c>
      <c r="O427" t="n">
        <v>0</v>
      </c>
      <c r="P427" t="n">
        <v>0</v>
      </c>
      <c r="Q427" t="n">
        <v>0</v>
      </c>
      <c r="R427" s="2" t="inlineStr"/>
    </row>
    <row r="428" ht="15" customHeight="1">
      <c r="A428" t="inlineStr">
        <is>
          <t>A 37121-2025</t>
        </is>
      </c>
      <c r="B428" s="1" t="n">
        <v>45875.51950231481</v>
      </c>
      <c r="C428" s="1" t="n">
        <v>45912</v>
      </c>
      <c r="D428" t="inlineStr">
        <is>
          <t>DALARNAS LÄN</t>
        </is>
      </c>
      <c r="E428" t="inlineStr">
        <is>
          <t>LUDVIKA</t>
        </is>
      </c>
      <c r="G428" t="n">
        <v>0.9</v>
      </c>
      <c r="H428" t="n">
        <v>0</v>
      </c>
      <c r="I428" t="n">
        <v>0</v>
      </c>
      <c r="J428" t="n">
        <v>0</v>
      </c>
      <c r="K428" t="n">
        <v>0</v>
      </c>
      <c r="L428" t="n">
        <v>0</v>
      </c>
      <c r="M428" t="n">
        <v>0</v>
      </c>
      <c r="N428" t="n">
        <v>0</v>
      </c>
      <c r="O428" t="n">
        <v>0</v>
      </c>
      <c r="P428" t="n">
        <v>0</v>
      </c>
      <c r="Q428" t="n">
        <v>0</v>
      </c>
      <c r="R428" s="2" t="inlineStr"/>
    </row>
    <row r="429" ht="15" customHeight="1">
      <c r="A429" t="inlineStr">
        <is>
          <t>A 31380-2025</t>
        </is>
      </c>
      <c r="B429" s="1" t="n">
        <v>45833</v>
      </c>
      <c r="C429" s="1" t="n">
        <v>45912</v>
      </c>
      <c r="D429" t="inlineStr">
        <is>
          <t>DALARNAS LÄN</t>
        </is>
      </c>
      <c r="E429" t="inlineStr">
        <is>
          <t>LUDVIKA</t>
        </is>
      </c>
      <c r="G429" t="n">
        <v>2.6</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44879.81773148148</v>
      </c>
      <c r="C430" s="1" t="n">
        <v>45912</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31144-2025</t>
        </is>
      </c>
      <c r="B431" s="1" t="n">
        <v>45832</v>
      </c>
      <c r="C431" s="1" t="n">
        <v>45912</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33560-2023</t>
        </is>
      </c>
      <c r="B432" s="1" t="n">
        <v>45131</v>
      </c>
      <c r="C432" s="1" t="n">
        <v>45912</v>
      </c>
      <c r="D432" t="inlineStr">
        <is>
          <t>DALARNAS LÄN</t>
        </is>
      </c>
      <c r="E432" t="inlineStr">
        <is>
          <t>LUDVIKA</t>
        </is>
      </c>
      <c r="G432" t="n">
        <v>7</v>
      </c>
      <c r="H432" t="n">
        <v>0</v>
      </c>
      <c r="I432" t="n">
        <v>0</v>
      </c>
      <c r="J432" t="n">
        <v>0</v>
      </c>
      <c r="K432" t="n">
        <v>0</v>
      </c>
      <c r="L432" t="n">
        <v>0</v>
      </c>
      <c r="M432" t="n">
        <v>0</v>
      </c>
      <c r="N432" t="n">
        <v>0</v>
      </c>
      <c r="O432" t="n">
        <v>0</v>
      </c>
      <c r="P432" t="n">
        <v>0</v>
      </c>
      <c r="Q432" t="n">
        <v>0</v>
      </c>
      <c r="R432" s="2" t="inlineStr"/>
    </row>
    <row r="433" ht="15" customHeight="1">
      <c r="A433" t="inlineStr">
        <is>
          <t>A 31818-2025</t>
        </is>
      </c>
      <c r="B433" s="1" t="n">
        <v>45834.57716435185</v>
      </c>
      <c r="C433" s="1" t="n">
        <v>45912</v>
      </c>
      <c r="D433" t="inlineStr">
        <is>
          <t>DALARNAS LÄN</t>
        </is>
      </c>
      <c r="E433" t="inlineStr">
        <is>
          <t>LUDVIKA</t>
        </is>
      </c>
      <c r="G433" t="n">
        <v>2.5</v>
      </c>
      <c r="H433" t="n">
        <v>0</v>
      </c>
      <c r="I433" t="n">
        <v>0</v>
      </c>
      <c r="J433" t="n">
        <v>0</v>
      </c>
      <c r="K433" t="n">
        <v>0</v>
      </c>
      <c r="L433" t="n">
        <v>0</v>
      </c>
      <c r="M433" t="n">
        <v>0</v>
      </c>
      <c r="N433" t="n">
        <v>0</v>
      </c>
      <c r="O433" t="n">
        <v>0</v>
      </c>
      <c r="P433" t="n">
        <v>0</v>
      </c>
      <c r="Q433" t="n">
        <v>0</v>
      </c>
      <c r="R433" s="2" t="inlineStr"/>
    </row>
    <row r="434" ht="15" customHeight="1">
      <c r="A434" t="inlineStr">
        <is>
          <t>A 59351-2023</t>
        </is>
      </c>
      <c r="B434" s="1" t="n">
        <v>45253.65673611111</v>
      </c>
      <c r="C434" s="1" t="n">
        <v>45912</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32224-2025</t>
        </is>
      </c>
      <c r="B435" s="1" t="n">
        <v>45835</v>
      </c>
      <c r="C435" s="1" t="n">
        <v>45912</v>
      </c>
      <c r="D435" t="inlineStr">
        <is>
          <t>DALARNAS LÄN</t>
        </is>
      </c>
      <c r="E435" t="inlineStr">
        <is>
          <t>LUDVIKA</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48683-2023</t>
        </is>
      </c>
      <c r="B436" s="1" t="n">
        <v>45208.65275462963</v>
      </c>
      <c r="C436" s="1" t="n">
        <v>45912</v>
      </c>
      <c r="D436" t="inlineStr">
        <is>
          <t>DALARNAS LÄN</t>
        </is>
      </c>
      <c r="E436" t="inlineStr">
        <is>
          <t>LUDVIKA</t>
        </is>
      </c>
      <c r="G436" t="n">
        <v>1.3</v>
      </c>
      <c r="H436" t="n">
        <v>0</v>
      </c>
      <c r="I436" t="n">
        <v>0</v>
      </c>
      <c r="J436" t="n">
        <v>0</v>
      </c>
      <c r="K436" t="n">
        <v>0</v>
      </c>
      <c r="L436" t="n">
        <v>0</v>
      </c>
      <c r="M436" t="n">
        <v>0</v>
      </c>
      <c r="N436" t="n">
        <v>0</v>
      </c>
      <c r="O436" t="n">
        <v>0</v>
      </c>
      <c r="P436" t="n">
        <v>0</v>
      </c>
      <c r="Q436" t="n">
        <v>0</v>
      </c>
      <c r="R436" s="2" t="inlineStr"/>
    </row>
    <row r="437" ht="15" customHeight="1">
      <c r="A437" t="inlineStr">
        <is>
          <t>A 32019-2025</t>
        </is>
      </c>
      <c r="B437" s="1" t="n">
        <v>45835</v>
      </c>
      <c r="C437" s="1" t="n">
        <v>45912</v>
      </c>
      <c r="D437" t="inlineStr">
        <is>
          <t>DALARNAS LÄN</t>
        </is>
      </c>
      <c r="E437" t="inlineStr">
        <is>
          <t>LUDVIKA</t>
        </is>
      </c>
      <c r="F437" t="inlineStr">
        <is>
          <t>Bergvik skog väst AB</t>
        </is>
      </c>
      <c r="G437" t="n">
        <v>0.5</v>
      </c>
      <c r="H437" t="n">
        <v>0</v>
      </c>
      <c r="I437" t="n">
        <v>0</v>
      </c>
      <c r="J437" t="n">
        <v>0</v>
      </c>
      <c r="K437" t="n">
        <v>0</v>
      </c>
      <c r="L437" t="n">
        <v>0</v>
      </c>
      <c r="M437" t="n">
        <v>0</v>
      </c>
      <c r="N437" t="n">
        <v>0</v>
      </c>
      <c r="O437" t="n">
        <v>0</v>
      </c>
      <c r="P437" t="n">
        <v>0</v>
      </c>
      <c r="Q437" t="n">
        <v>0</v>
      </c>
      <c r="R437" s="2" t="inlineStr"/>
    </row>
    <row r="438" ht="15" customHeight="1">
      <c r="A438" t="inlineStr">
        <is>
          <t>A 32332-2024</t>
        </is>
      </c>
      <c r="B438" s="1" t="n">
        <v>45512.48011574074</v>
      </c>
      <c r="C438" s="1" t="n">
        <v>45912</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41449-2024</t>
        </is>
      </c>
      <c r="B439" s="1" t="n">
        <v>45560.40314814815</v>
      </c>
      <c r="C439" s="1" t="n">
        <v>45912</v>
      </c>
      <c r="D439" t="inlineStr">
        <is>
          <t>DALARNAS LÄN</t>
        </is>
      </c>
      <c r="E439" t="inlineStr">
        <is>
          <t>LUDVIKA</t>
        </is>
      </c>
      <c r="F439" t="inlineStr">
        <is>
          <t>Bergvik skog väst AB</t>
        </is>
      </c>
      <c r="G439" t="n">
        <v>2.9</v>
      </c>
      <c r="H439" t="n">
        <v>0</v>
      </c>
      <c r="I439" t="n">
        <v>0</v>
      </c>
      <c r="J439" t="n">
        <v>0</v>
      </c>
      <c r="K439" t="n">
        <v>0</v>
      </c>
      <c r="L439" t="n">
        <v>0</v>
      </c>
      <c r="M439" t="n">
        <v>0</v>
      </c>
      <c r="N439" t="n">
        <v>0</v>
      </c>
      <c r="O439" t="n">
        <v>0</v>
      </c>
      <c r="P439" t="n">
        <v>0</v>
      </c>
      <c r="Q439" t="n">
        <v>0</v>
      </c>
      <c r="R439" s="2" t="inlineStr"/>
    </row>
    <row r="440" ht="15" customHeight="1">
      <c r="A440" t="inlineStr">
        <is>
          <t>A 60787-2024</t>
        </is>
      </c>
      <c r="B440" s="1" t="n">
        <v>45644.59155092593</v>
      </c>
      <c r="C440" s="1" t="n">
        <v>45912</v>
      </c>
      <c r="D440" t="inlineStr">
        <is>
          <t>DALARNAS LÄN</t>
        </is>
      </c>
      <c r="E440" t="inlineStr">
        <is>
          <t>LUDVIKA</t>
        </is>
      </c>
      <c r="G440" t="n">
        <v>1.9</v>
      </c>
      <c r="H440" t="n">
        <v>0</v>
      </c>
      <c r="I440" t="n">
        <v>0</v>
      </c>
      <c r="J440" t="n">
        <v>0</v>
      </c>
      <c r="K440" t="n">
        <v>0</v>
      </c>
      <c r="L440" t="n">
        <v>0</v>
      </c>
      <c r="M440" t="n">
        <v>0</v>
      </c>
      <c r="N440" t="n">
        <v>0</v>
      </c>
      <c r="O440" t="n">
        <v>0</v>
      </c>
      <c r="P440" t="n">
        <v>0</v>
      </c>
      <c r="Q440" t="n">
        <v>0</v>
      </c>
      <c r="R440" s="2" t="inlineStr"/>
    </row>
    <row r="441" ht="15" customHeight="1">
      <c r="A441" t="inlineStr">
        <is>
          <t>A 57557-2023</t>
        </is>
      </c>
      <c r="B441" s="1" t="n">
        <v>45246</v>
      </c>
      <c r="C441" s="1" t="n">
        <v>45912</v>
      </c>
      <c r="D441" t="inlineStr">
        <is>
          <t>DALARNAS LÄN</t>
        </is>
      </c>
      <c r="E441" t="inlineStr">
        <is>
          <t>LUDVIKA</t>
        </is>
      </c>
      <c r="G441" t="n">
        <v>12.7</v>
      </c>
      <c r="H441" t="n">
        <v>0</v>
      </c>
      <c r="I441" t="n">
        <v>0</v>
      </c>
      <c r="J441" t="n">
        <v>0</v>
      </c>
      <c r="K441" t="n">
        <v>0</v>
      </c>
      <c r="L441" t="n">
        <v>0</v>
      </c>
      <c r="M441" t="n">
        <v>0</v>
      </c>
      <c r="N441" t="n">
        <v>0</v>
      </c>
      <c r="O441" t="n">
        <v>0</v>
      </c>
      <c r="P441" t="n">
        <v>0</v>
      </c>
      <c r="Q441" t="n">
        <v>0</v>
      </c>
      <c r="R441" s="2" t="inlineStr"/>
    </row>
    <row r="442" ht="15" customHeight="1">
      <c r="A442" t="inlineStr">
        <is>
          <t>A 57969-2024</t>
        </is>
      </c>
      <c r="B442" s="1" t="n">
        <v>45631.60126157408</v>
      </c>
      <c r="C442" s="1" t="n">
        <v>45912</v>
      </c>
      <c r="D442" t="inlineStr">
        <is>
          <t>DALARNAS LÄN</t>
        </is>
      </c>
      <c r="E442" t="inlineStr">
        <is>
          <t>LUDVIKA</t>
        </is>
      </c>
      <c r="F442" t="inlineStr">
        <is>
          <t>Bergvik skog väst AB</t>
        </is>
      </c>
      <c r="G442" t="n">
        <v>2.2</v>
      </c>
      <c r="H442" t="n">
        <v>0</v>
      </c>
      <c r="I442" t="n">
        <v>0</v>
      </c>
      <c r="J442" t="n">
        <v>0</v>
      </c>
      <c r="K442" t="n">
        <v>0</v>
      </c>
      <c r="L442" t="n">
        <v>0</v>
      </c>
      <c r="M442" t="n">
        <v>0</v>
      </c>
      <c r="N442" t="n">
        <v>0</v>
      </c>
      <c r="O442" t="n">
        <v>0</v>
      </c>
      <c r="P442" t="n">
        <v>0</v>
      </c>
      <c r="Q442" t="n">
        <v>0</v>
      </c>
      <c r="R442" s="2" t="inlineStr"/>
    </row>
    <row r="443" ht="15" customHeight="1">
      <c r="A443" t="inlineStr">
        <is>
          <t>A 39761-2022</t>
        </is>
      </c>
      <c r="B443" s="1" t="n">
        <v>44819.43425925926</v>
      </c>
      <c r="C443" s="1" t="n">
        <v>45912</v>
      </c>
      <c r="D443" t="inlineStr">
        <is>
          <t>DALARNAS LÄN</t>
        </is>
      </c>
      <c r="E443" t="inlineStr">
        <is>
          <t>LUDVIKA</t>
        </is>
      </c>
      <c r="F443" t="inlineStr">
        <is>
          <t>Naturvårdsverket</t>
        </is>
      </c>
      <c r="G443" t="n">
        <v>1</v>
      </c>
      <c r="H443" t="n">
        <v>0</v>
      </c>
      <c r="I443" t="n">
        <v>0</v>
      </c>
      <c r="J443" t="n">
        <v>0</v>
      </c>
      <c r="K443" t="n">
        <v>0</v>
      </c>
      <c r="L443" t="n">
        <v>0</v>
      </c>
      <c r="M443" t="n">
        <v>0</v>
      </c>
      <c r="N443" t="n">
        <v>0</v>
      </c>
      <c r="O443" t="n">
        <v>0</v>
      </c>
      <c r="P443" t="n">
        <v>0</v>
      </c>
      <c r="Q443" t="n">
        <v>0</v>
      </c>
      <c r="R443" s="2" t="inlineStr"/>
    </row>
    <row r="444" ht="15" customHeight="1">
      <c r="A444" t="inlineStr">
        <is>
          <t>A 53106-2024</t>
        </is>
      </c>
      <c r="B444" s="1" t="n">
        <v>45611.55626157407</v>
      </c>
      <c r="C444" s="1" t="n">
        <v>45912</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49177-2024</t>
        </is>
      </c>
      <c r="B445" s="1" t="n">
        <v>45595.33203703703</v>
      </c>
      <c r="C445" s="1" t="n">
        <v>45912</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49676-2024</t>
        </is>
      </c>
      <c r="B446" s="1" t="n">
        <v>45596.66278935185</v>
      </c>
      <c r="C446" s="1" t="n">
        <v>45912</v>
      </c>
      <c r="D446" t="inlineStr">
        <is>
          <t>DALARNAS LÄN</t>
        </is>
      </c>
      <c r="E446" t="inlineStr">
        <is>
          <t>LUDVIKA</t>
        </is>
      </c>
      <c r="F446" t="inlineStr">
        <is>
          <t>Bergvik skog väst AB</t>
        </is>
      </c>
      <c r="G446" t="n">
        <v>3.5</v>
      </c>
      <c r="H446" t="n">
        <v>0</v>
      </c>
      <c r="I446" t="n">
        <v>0</v>
      </c>
      <c r="J446" t="n">
        <v>0</v>
      </c>
      <c r="K446" t="n">
        <v>0</v>
      </c>
      <c r="L446" t="n">
        <v>0</v>
      </c>
      <c r="M446" t="n">
        <v>0</v>
      </c>
      <c r="N446" t="n">
        <v>0</v>
      </c>
      <c r="O446" t="n">
        <v>0</v>
      </c>
      <c r="P446" t="n">
        <v>0</v>
      </c>
      <c r="Q446" t="n">
        <v>0</v>
      </c>
      <c r="R446" s="2" t="inlineStr"/>
    </row>
    <row r="447" ht="15" customHeight="1">
      <c r="A447" t="inlineStr">
        <is>
          <t>A 32424-2025</t>
        </is>
      </c>
      <c r="B447" s="1" t="n">
        <v>45838</v>
      </c>
      <c r="C447" s="1" t="n">
        <v>45912</v>
      </c>
      <c r="D447" t="inlineStr">
        <is>
          <t>DALARNAS LÄN</t>
        </is>
      </c>
      <c r="E447" t="inlineStr">
        <is>
          <t>LUDVIKA</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42213-2024</t>
        </is>
      </c>
      <c r="B448" s="1" t="n">
        <v>45562.53810185185</v>
      </c>
      <c r="C448" s="1" t="n">
        <v>45912</v>
      </c>
      <c r="D448" t="inlineStr">
        <is>
          <t>DALARNAS LÄN</t>
        </is>
      </c>
      <c r="E448" t="inlineStr">
        <is>
          <t>LUDVIKA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42254-2024</t>
        </is>
      </c>
      <c r="B449" s="1" t="n">
        <v>45562.58427083334</v>
      </c>
      <c r="C449" s="1" t="n">
        <v>45912</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49035-2024</t>
        </is>
      </c>
      <c r="B450" s="1" t="n">
        <v>45594.55173611111</v>
      </c>
      <c r="C450" s="1" t="n">
        <v>45912</v>
      </c>
      <c r="D450" t="inlineStr">
        <is>
          <t>DALARNAS LÄN</t>
        </is>
      </c>
      <c r="E450" t="inlineStr">
        <is>
          <t>LUDVIKA</t>
        </is>
      </c>
      <c r="F450" t="inlineStr">
        <is>
          <t>Naturvårdsverket</t>
        </is>
      </c>
      <c r="G450" t="n">
        <v>2</v>
      </c>
      <c r="H450" t="n">
        <v>0</v>
      </c>
      <c r="I450" t="n">
        <v>0</v>
      </c>
      <c r="J450" t="n">
        <v>0</v>
      </c>
      <c r="K450" t="n">
        <v>0</v>
      </c>
      <c r="L450" t="n">
        <v>0</v>
      </c>
      <c r="M450" t="n">
        <v>0</v>
      </c>
      <c r="N450" t="n">
        <v>0</v>
      </c>
      <c r="O450" t="n">
        <v>0</v>
      </c>
      <c r="P450" t="n">
        <v>0</v>
      </c>
      <c r="Q450" t="n">
        <v>0</v>
      </c>
      <c r="R450" s="2" t="inlineStr"/>
    </row>
    <row r="451" ht="15" customHeight="1">
      <c r="A451" t="inlineStr">
        <is>
          <t>A 52929-2020</t>
        </is>
      </c>
      <c r="B451" s="1" t="n">
        <v>44120</v>
      </c>
      <c r="C451" s="1" t="n">
        <v>45912</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33249-2025</t>
        </is>
      </c>
      <c r="B452" s="1" t="n">
        <v>45840</v>
      </c>
      <c r="C452" s="1" t="n">
        <v>45912</v>
      </c>
      <c r="D452" t="inlineStr">
        <is>
          <t>DALARNAS LÄN</t>
        </is>
      </c>
      <c r="E452" t="inlineStr">
        <is>
          <t>LUDVIKA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61621-2022</t>
        </is>
      </c>
      <c r="B453" s="1" t="n">
        <v>44916.67578703703</v>
      </c>
      <c r="C453" s="1" t="n">
        <v>45912</v>
      </c>
      <c r="D453" t="inlineStr">
        <is>
          <t>DALARNAS LÄN</t>
        </is>
      </c>
      <c r="E453" t="inlineStr">
        <is>
          <t>LUDVIKA</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33063-2025</t>
        </is>
      </c>
      <c r="B454" s="1" t="n">
        <v>45840</v>
      </c>
      <c r="C454" s="1" t="n">
        <v>45912</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21145-2023</t>
        </is>
      </c>
      <c r="B455" s="1" t="n">
        <v>45062.37524305555</v>
      </c>
      <c r="C455" s="1" t="n">
        <v>45912</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49060-2023</t>
        </is>
      </c>
      <c r="B456" s="1" t="n">
        <v>45210</v>
      </c>
      <c r="C456" s="1" t="n">
        <v>45912</v>
      </c>
      <c r="D456" t="inlineStr">
        <is>
          <t>DALARNAS LÄN</t>
        </is>
      </c>
      <c r="E456" t="inlineStr">
        <is>
          <t>LUDVIKA</t>
        </is>
      </c>
      <c r="F456" t="inlineStr">
        <is>
          <t>Naturvårdsverket</t>
        </is>
      </c>
      <c r="G456" t="n">
        <v>0.8</v>
      </c>
      <c r="H456" t="n">
        <v>0</v>
      </c>
      <c r="I456" t="n">
        <v>0</v>
      </c>
      <c r="J456" t="n">
        <v>0</v>
      </c>
      <c r="K456" t="n">
        <v>0</v>
      </c>
      <c r="L456" t="n">
        <v>0</v>
      </c>
      <c r="M456" t="n">
        <v>0</v>
      </c>
      <c r="N456" t="n">
        <v>0</v>
      </c>
      <c r="O456" t="n">
        <v>0</v>
      </c>
      <c r="P456" t="n">
        <v>0</v>
      </c>
      <c r="Q456" t="n">
        <v>0</v>
      </c>
      <c r="R456" s="2" t="inlineStr"/>
    </row>
    <row r="457" ht="15" customHeight="1">
      <c r="A457" t="inlineStr">
        <is>
          <t>A 15851-2024</t>
        </is>
      </c>
      <c r="B457" s="1" t="n">
        <v>45404.89207175926</v>
      </c>
      <c r="C457" s="1" t="n">
        <v>45912</v>
      </c>
      <c r="D457" t="inlineStr">
        <is>
          <t>DALARNAS LÄN</t>
        </is>
      </c>
      <c r="E457" t="inlineStr">
        <is>
          <t>LUDVIKA</t>
        </is>
      </c>
      <c r="G457" t="n">
        <v>5.2</v>
      </c>
      <c r="H457" t="n">
        <v>0</v>
      </c>
      <c r="I457" t="n">
        <v>0</v>
      </c>
      <c r="J457" t="n">
        <v>0</v>
      </c>
      <c r="K457" t="n">
        <v>0</v>
      </c>
      <c r="L457" t="n">
        <v>0</v>
      </c>
      <c r="M457" t="n">
        <v>0</v>
      </c>
      <c r="N457" t="n">
        <v>0</v>
      </c>
      <c r="O457" t="n">
        <v>0</v>
      </c>
      <c r="P457" t="n">
        <v>0</v>
      </c>
      <c r="Q457" t="n">
        <v>0</v>
      </c>
      <c r="R457" s="2" t="inlineStr"/>
    </row>
    <row r="458" ht="15" customHeight="1">
      <c r="A458" t="inlineStr">
        <is>
          <t>A 49114-2023</t>
        </is>
      </c>
      <c r="B458" s="1" t="n">
        <v>45210</v>
      </c>
      <c r="C458" s="1" t="n">
        <v>45912</v>
      </c>
      <c r="D458" t="inlineStr">
        <is>
          <t>DALARNAS LÄN</t>
        </is>
      </c>
      <c r="E458" t="inlineStr">
        <is>
          <t>LUDVIKA</t>
        </is>
      </c>
      <c r="F458" t="inlineStr">
        <is>
          <t>Naturvårdsverket</t>
        </is>
      </c>
      <c r="G458" t="n">
        <v>4</v>
      </c>
      <c r="H458" t="n">
        <v>0</v>
      </c>
      <c r="I458" t="n">
        <v>0</v>
      </c>
      <c r="J458" t="n">
        <v>0</v>
      </c>
      <c r="K458" t="n">
        <v>0</v>
      </c>
      <c r="L458" t="n">
        <v>0</v>
      </c>
      <c r="M458" t="n">
        <v>0</v>
      </c>
      <c r="N458" t="n">
        <v>0</v>
      </c>
      <c r="O458" t="n">
        <v>0</v>
      </c>
      <c r="P458" t="n">
        <v>0</v>
      </c>
      <c r="Q458" t="n">
        <v>0</v>
      </c>
      <c r="R458" s="2" t="inlineStr"/>
    </row>
    <row r="459" ht="15" customHeight="1">
      <c r="A459" t="inlineStr">
        <is>
          <t>A 47366-2023</t>
        </is>
      </c>
      <c r="B459" s="1" t="n">
        <v>45202.59850694444</v>
      </c>
      <c r="C459" s="1" t="n">
        <v>45912</v>
      </c>
      <c r="D459" t="inlineStr">
        <is>
          <t>DALARNAS LÄN</t>
        </is>
      </c>
      <c r="E459" t="inlineStr">
        <is>
          <t>LUDVIKA</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41400-2022</t>
        </is>
      </c>
      <c r="B460" s="1" t="n">
        <v>44826</v>
      </c>
      <c r="C460" s="1" t="n">
        <v>45912</v>
      </c>
      <c r="D460" t="inlineStr">
        <is>
          <t>DALARNAS LÄN</t>
        </is>
      </c>
      <c r="E460" t="inlineStr">
        <is>
          <t>LUDVIKA</t>
        </is>
      </c>
      <c r="F460" t="inlineStr">
        <is>
          <t>Bergvik skog väst AB</t>
        </is>
      </c>
      <c r="G460" t="n">
        <v>3.5</v>
      </c>
      <c r="H460" t="n">
        <v>0</v>
      </c>
      <c r="I460" t="n">
        <v>0</v>
      </c>
      <c r="J460" t="n">
        <v>0</v>
      </c>
      <c r="K460" t="n">
        <v>0</v>
      </c>
      <c r="L460" t="n">
        <v>0</v>
      </c>
      <c r="M460" t="n">
        <v>0</v>
      </c>
      <c r="N460" t="n">
        <v>0</v>
      </c>
      <c r="O460" t="n">
        <v>0</v>
      </c>
      <c r="P460" t="n">
        <v>0</v>
      </c>
      <c r="Q460" t="n">
        <v>0</v>
      </c>
      <c r="R460" s="2" t="inlineStr"/>
    </row>
    <row r="461" ht="15" customHeight="1">
      <c r="A461" t="inlineStr">
        <is>
          <t>A 38446-2025</t>
        </is>
      </c>
      <c r="B461" s="1" t="n">
        <v>45883.65762731482</v>
      </c>
      <c r="C461" s="1" t="n">
        <v>45912</v>
      </c>
      <c r="D461" t="inlineStr">
        <is>
          <t>DALARNAS LÄN</t>
        </is>
      </c>
      <c r="E461" t="inlineStr">
        <is>
          <t>LUDVIKA</t>
        </is>
      </c>
      <c r="G461" t="n">
        <v>0.8</v>
      </c>
      <c r="H461" t="n">
        <v>0</v>
      </c>
      <c r="I461" t="n">
        <v>0</v>
      </c>
      <c r="J461" t="n">
        <v>0</v>
      </c>
      <c r="K461" t="n">
        <v>0</v>
      </c>
      <c r="L461" t="n">
        <v>0</v>
      </c>
      <c r="M461" t="n">
        <v>0</v>
      </c>
      <c r="N461" t="n">
        <v>0</v>
      </c>
      <c r="O461" t="n">
        <v>0</v>
      </c>
      <c r="P461" t="n">
        <v>0</v>
      </c>
      <c r="Q461" t="n">
        <v>0</v>
      </c>
      <c r="R461" s="2" t="inlineStr"/>
    </row>
    <row r="462" ht="15" customHeight="1">
      <c r="A462" t="inlineStr">
        <is>
          <t>A 33244-2025</t>
        </is>
      </c>
      <c r="B462" s="1" t="n">
        <v>45840</v>
      </c>
      <c r="C462" s="1" t="n">
        <v>45912</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12836-2025</t>
        </is>
      </c>
      <c r="B463" s="1" t="n">
        <v>45733.63777777777</v>
      </c>
      <c r="C463" s="1" t="n">
        <v>45912</v>
      </c>
      <c r="D463" t="inlineStr">
        <is>
          <t>DALARNAS LÄN</t>
        </is>
      </c>
      <c r="E463" t="inlineStr">
        <is>
          <t>LUDVIKA</t>
        </is>
      </c>
      <c r="G463" t="n">
        <v>4.7</v>
      </c>
      <c r="H463" t="n">
        <v>0</v>
      </c>
      <c r="I463" t="n">
        <v>0</v>
      </c>
      <c r="J463" t="n">
        <v>0</v>
      </c>
      <c r="K463" t="n">
        <v>0</v>
      </c>
      <c r="L463" t="n">
        <v>0</v>
      </c>
      <c r="M463" t="n">
        <v>0</v>
      </c>
      <c r="N463" t="n">
        <v>0</v>
      </c>
      <c r="O463" t="n">
        <v>0</v>
      </c>
      <c r="P463" t="n">
        <v>0</v>
      </c>
      <c r="Q463" t="n">
        <v>0</v>
      </c>
      <c r="R463" s="2" t="inlineStr"/>
    </row>
    <row r="464" ht="15" customHeight="1">
      <c r="A464" t="inlineStr">
        <is>
          <t>A 55281-2024</t>
        </is>
      </c>
      <c r="B464" s="1" t="n">
        <v>45621.62696759259</v>
      </c>
      <c r="C464" s="1" t="n">
        <v>45912</v>
      </c>
      <c r="D464" t="inlineStr">
        <is>
          <t>DALARNAS LÄN</t>
        </is>
      </c>
      <c r="E464" t="inlineStr">
        <is>
          <t>LUDVIKA</t>
        </is>
      </c>
      <c r="F464" t="inlineStr">
        <is>
          <t>Naturvårdsverket</t>
        </is>
      </c>
      <c r="G464" t="n">
        <v>1.3</v>
      </c>
      <c r="H464" t="n">
        <v>0</v>
      </c>
      <c r="I464" t="n">
        <v>0</v>
      </c>
      <c r="J464" t="n">
        <v>0</v>
      </c>
      <c r="K464" t="n">
        <v>0</v>
      </c>
      <c r="L464" t="n">
        <v>0</v>
      </c>
      <c r="M464" t="n">
        <v>0</v>
      </c>
      <c r="N464" t="n">
        <v>0</v>
      </c>
      <c r="O464" t="n">
        <v>0</v>
      </c>
      <c r="P464" t="n">
        <v>0</v>
      </c>
      <c r="Q464" t="n">
        <v>0</v>
      </c>
      <c r="R464" s="2" t="inlineStr"/>
    </row>
    <row r="465" ht="15" customHeight="1">
      <c r="A465" t="inlineStr">
        <is>
          <t>A 60660-2024</t>
        </is>
      </c>
      <c r="B465" s="1" t="n">
        <v>45644.44615740741</v>
      </c>
      <c r="C465" s="1" t="n">
        <v>45912</v>
      </c>
      <c r="D465" t="inlineStr">
        <is>
          <t>DALARNAS LÄN</t>
        </is>
      </c>
      <c r="E465" t="inlineStr">
        <is>
          <t>LUDVIKA</t>
        </is>
      </c>
      <c r="G465" t="n">
        <v>0.7</v>
      </c>
      <c r="H465" t="n">
        <v>0</v>
      </c>
      <c r="I465" t="n">
        <v>0</v>
      </c>
      <c r="J465" t="n">
        <v>0</v>
      </c>
      <c r="K465" t="n">
        <v>0</v>
      </c>
      <c r="L465" t="n">
        <v>0</v>
      </c>
      <c r="M465" t="n">
        <v>0</v>
      </c>
      <c r="N465" t="n">
        <v>0</v>
      </c>
      <c r="O465" t="n">
        <v>0</v>
      </c>
      <c r="P465" t="n">
        <v>0</v>
      </c>
      <c r="Q465" t="n">
        <v>0</v>
      </c>
      <c r="R465" s="2" t="inlineStr"/>
    </row>
    <row r="466" ht="15" customHeight="1">
      <c r="A466" t="inlineStr">
        <is>
          <t>A 9725-2025</t>
        </is>
      </c>
      <c r="B466" s="1" t="n">
        <v>45716.41461805555</v>
      </c>
      <c r="C466" s="1" t="n">
        <v>45912</v>
      </c>
      <c r="D466" t="inlineStr">
        <is>
          <t>DALARNAS LÄN</t>
        </is>
      </c>
      <c r="E466" t="inlineStr">
        <is>
          <t>LUDVIKA</t>
        </is>
      </c>
      <c r="F466" t="inlineStr">
        <is>
          <t>Bergvik skog väst AB</t>
        </is>
      </c>
      <c r="G466" t="n">
        <v>6</v>
      </c>
      <c r="H466" t="n">
        <v>0</v>
      </c>
      <c r="I466" t="n">
        <v>0</v>
      </c>
      <c r="J466" t="n">
        <v>0</v>
      </c>
      <c r="K466" t="n">
        <v>0</v>
      </c>
      <c r="L466" t="n">
        <v>0</v>
      </c>
      <c r="M466" t="n">
        <v>0</v>
      </c>
      <c r="N466" t="n">
        <v>0</v>
      </c>
      <c r="O466" t="n">
        <v>0</v>
      </c>
      <c r="P466" t="n">
        <v>0</v>
      </c>
      <c r="Q466" t="n">
        <v>0</v>
      </c>
      <c r="R466" s="2" t="inlineStr"/>
    </row>
    <row r="467" ht="15" customHeight="1">
      <c r="A467" t="inlineStr">
        <is>
          <t>A 38921-2025</t>
        </is>
      </c>
      <c r="B467" s="1" t="n">
        <v>45887.62774305556</v>
      </c>
      <c r="C467" s="1" t="n">
        <v>45912</v>
      </c>
      <c r="D467" t="inlineStr">
        <is>
          <t>DALARNAS LÄN</t>
        </is>
      </c>
      <c r="E467" t="inlineStr">
        <is>
          <t>LUDVIKA</t>
        </is>
      </c>
      <c r="F467" t="inlineStr">
        <is>
          <t>Bergvik skog väst AB</t>
        </is>
      </c>
      <c r="G467" t="n">
        <v>3.2</v>
      </c>
      <c r="H467" t="n">
        <v>0</v>
      </c>
      <c r="I467" t="n">
        <v>0</v>
      </c>
      <c r="J467" t="n">
        <v>0</v>
      </c>
      <c r="K467" t="n">
        <v>0</v>
      </c>
      <c r="L467" t="n">
        <v>0</v>
      </c>
      <c r="M467" t="n">
        <v>0</v>
      </c>
      <c r="N467" t="n">
        <v>0</v>
      </c>
      <c r="O467" t="n">
        <v>0</v>
      </c>
      <c r="P467" t="n">
        <v>0</v>
      </c>
      <c r="Q467" t="n">
        <v>0</v>
      </c>
      <c r="R467" s="2" t="inlineStr"/>
    </row>
    <row r="468" ht="15" customHeight="1">
      <c r="A468" t="inlineStr">
        <is>
          <t>A 34067-2025</t>
        </is>
      </c>
      <c r="B468" s="1" t="n">
        <v>45845</v>
      </c>
      <c r="C468" s="1" t="n">
        <v>45912</v>
      </c>
      <c r="D468" t="inlineStr">
        <is>
          <t>DALARNAS LÄN</t>
        </is>
      </c>
      <c r="E468" t="inlineStr">
        <is>
          <t>LUDVIKA</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53104-2024</t>
        </is>
      </c>
      <c r="B469" s="1" t="n">
        <v>45611.551875</v>
      </c>
      <c r="C469" s="1" t="n">
        <v>45912</v>
      </c>
      <c r="D469" t="inlineStr">
        <is>
          <t>DALARNAS LÄN</t>
        </is>
      </c>
      <c r="E469" t="inlineStr">
        <is>
          <t>LUDVIKA</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31043-2024</t>
        </is>
      </c>
      <c r="B470" s="1" t="n">
        <v>45502.30283564814</v>
      </c>
      <c r="C470" s="1" t="n">
        <v>45912</v>
      </c>
      <c r="D470" t="inlineStr">
        <is>
          <t>DALARNAS LÄN</t>
        </is>
      </c>
      <c r="E470" t="inlineStr">
        <is>
          <t>LUDVIKA</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59346-2024</t>
        </is>
      </c>
      <c r="B471" s="1" t="n">
        <v>45637.99482638889</v>
      </c>
      <c r="C471" s="1" t="n">
        <v>45912</v>
      </c>
      <c r="D471" t="inlineStr">
        <is>
          <t>DALARNAS LÄN</t>
        </is>
      </c>
      <c r="E471" t="inlineStr">
        <is>
          <t>LUDVIKA</t>
        </is>
      </c>
      <c r="G471" t="n">
        <v>0.5</v>
      </c>
      <c r="H471" t="n">
        <v>0</v>
      </c>
      <c r="I471" t="n">
        <v>0</v>
      </c>
      <c r="J471" t="n">
        <v>0</v>
      </c>
      <c r="K471" t="n">
        <v>0</v>
      </c>
      <c r="L471" t="n">
        <v>0</v>
      </c>
      <c r="M471" t="n">
        <v>0</v>
      </c>
      <c r="N471" t="n">
        <v>0</v>
      </c>
      <c r="O471" t="n">
        <v>0</v>
      </c>
      <c r="P471" t="n">
        <v>0</v>
      </c>
      <c r="Q471" t="n">
        <v>0</v>
      </c>
      <c r="R471" s="2" t="inlineStr"/>
    </row>
    <row r="472" ht="15" customHeight="1">
      <c r="A472" t="inlineStr">
        <is>
          <t>A 48642-2022</t>
        </is>
      </c>
      <c r="B472" s="1" t="n">
        <v>44859.42164351852</v>
      </c>
      <c r="C472" s="1" t="n">
        <v>45912</v>
      </c>
      <c r="D472" t="inlineStr">
        <is>
          <t>DALARNAS LÄN</t>
        </is>
      </c>
      <c r="E472" t="inlineStr">
        <is>
          <t>LUDVIKA</t>
        </is>
      </c>
      <c r="F472" t="inlineStr">
        <is>
          <t>Naturvårdsverket</t>
        </is>
      </c>
      <c r="G472" t="n">
        <v>1.5</v>
      </c>
      <c r="H472" t="n">
        <v>0</v>
      </c>
      <c r="I472" t="n">
        <v>0</v>
      </c>
      <c r="J472" t="n">
        <v>0</v>
      </c>
      <c r="K472" t="n">
        <v>0</v>
      </c>
      <c r="L472" t="n">
        <v>0</v>
      </c>
      <c r="M472" t="n">
        <v>0</v>
      </c>
      <c r="N472" t="n">
        <v>0</v>
      </c>
      <c r="O472" t="n">
        <v>0</v>
      </c>
      <c r="P472" t="n">
        <v>0</v>
      </c>
      <c r="Q472" t="n">
        <v>0</v>
      </c>
      <c r="R472" s="2" t="inlineStr"/>
    </row>
    <row r="473" ht="15" customHeight="1">
      <c r="A473" t="inlineStr">
        <is>
          <t>A 38630-2025</t>
        </is>
      </c>
      <c r="B473" s="1" t="n">
        <v>45884</v>
      </c>
      <c r="C473" s="1" t="n">
        <v>45912</v>
      </c>
      <c r="D473" t="inlineStr">
        <is>
          <t>DALARNAS LÄN</t>
        </is>
      </c>
      <c r="E473" t="inlineStr">
        <is>
          <t>LUDVIKA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18724-2022</t>
        </is>
      </c>
      <c r="B474" s="1" t="n">
        <v>44687.67511574074</v>
      </c>
      <c r="C474" s="1" t="n">
        <v>45912</v>
      </c>
      <c r="D474" t="inlineStr">
        <is>
          <t>DALARNAS LÄN</t>
        </is>
      </c>
      <c r="E474" t="inlineStr">
        <is>
          <t>LUDVIKA</t>
        </is>
      </c>
      <c r="G474" t="n">
        <v>4.3</v>
      </c>
      <c r="H474" t="n">
        <v>0</v>
      </c>
      <c r="I474" t="n">
        <v>0</v>
      </c>
      <c r="J474" t="n">
        <v>0</v>
      </c>
      <c r="K474" t="n">
        <v>0</v>
      </c>
      <c r="L474" t="n">
        <v>0</v>
      </c>
      <c r="M474" t="n">
        <v>0</v>
      </c>
      <c r="N474" t="n">
        <v>0</v>
      </c>
      <c r="O474" t="n">
        <v>0</v>
      </c>
      <c r="P474" t="n">
        <v>0</v>
      </c>
      <c r="Q474" t="n">
        <v>0</v>
      </c>
      <c r="R474" s="2" t="inlineStr"/>
    </row>
    <row r="475" ht="15" customHeight="1">
      <c r="A475" t="inlineStr">
        <is>
          <t>A 9292-2021</t>
        </is>
      </c>
      <c r="B475" s="1" t="n">
        <v>44249</v>
      </c>
      <c r="C475" s="1" t="n">
        <v>45912</v>
      </c>
      <c r="D475" t="inlineStr">
        <is>
          <t>DALARNAS LÄN</t>
        </is>
      </c>
      <c r="E475" t="inlineStr">
        <is>
          <t>LUDVIKA</t>
        </is>
      </c>
      <c r="G475" t="n">
        <v>5.1</v>
      </c>
      <c r="H475" t="n">
        <v>0</v>
      </c>
      <c r="I475" t="n">
        <v>0</v>
      </c>
      <c r="J475" t="n">
        <v>0</v>
      </c>
      <c r="K475" t="n">
        <v>0</v>
      </c>
      <c r="L475" t="n">
        <v>0</v>
      </c>
      <c r="M475" t="n">
        <v>0</v>
      </c>
      <c r="N475" t="n">
        <v>0</v>
      </c>
      <c r="O475" t="n">
        <v>0</v>
      </c>
      <c r="P475" t="n">
        <v>0</v>
      </c>
      <c r="Q475" t="n">
        <v>0</v>
      </c>
      <c r="R475" s="2" t="inlineStr"/>
    </row>
    <row r="476" ht="15" customHeight="1">
      <c r="A476" t="inlineStr">
        <is>
          <t>A 48774-2024</t>
        </is>
      </c>
      <c r="B476" s="1" t="n">
        <v>45593</v>
      </c>
      <c r="C476" s="1" t="n">
        <v>45912</v>
      </c>
      <c r="D476" t="inlineStr">
        <is>
          <t>DALARNAS LÄN</t>
        </is>
      </c>
      <c r="E476" t="inlineStr">
        <is>
          <t>LUDVIKA</t>
        </is>
      </c>
      <c r="F476" t="inlineStr">
        <is>
          <t>Bergvik skog väst AB</t>
        </is>
      </c>
      <c r="G476" t="n">
        <v>5.7</v>
      </c>
      <c r="H476" t="n">
        <v>0</v>
      </c>
      <c r="I476" t="n">
        <v>0</v>
      </c>
      <c r="J476" t="n">
        <v>0</v>
      </c>
      <c r="K476" t="n">
        <v>0</v>
      </c>
      <c r="L476" t="n">
        <v>0</v>
      </c>
      <c r="M476" t="n">
        <v>0</v>
      </c>
      <c r="N476" t="n">
        <v>0</v>
      </c>
      <c r="O476" t="n">
        <v>0</v>
      </c>
      <c r="P476" t="n">
        <v>0</v>
      </c>
      <c r="Q476" t="n">
        <v>0</v>
      </c>
      <c r="R476" s="2" t="inlineStr"/>
    </row>
    <row r="477" ht="15" customHeight="1">
      <c r="A477" t="inlineStr">
        <is>
          <t>A 37392-2023</t>
        </is>
      </c>
      <c r="B477" s="1" t="n">
        <v>45156</v>
      </c>
      <c r="C477" s="1" t="n">
        <v>45912</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34070-2025</t>
        </is>
      </c>
      <c r="B478" s="1" t="n">
        <v>45845</v>
      </c>
      <c r="C478" s="1" t="n">
        <v>45912</v>
      </c>
      <c r="D478" t="inlineStr">
        <is>
          <t>DALARNAS LÄN</t>
        </is>
      </c>
      <c r="E478" t="inlineStr">
        <is>
          <t>LUDVIKA</t>
        </is>
      </c>
      <c r="F478" t="inlineStr">
        <is>
          <t>Bergvik skog väst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38625-2025</t>
        </is>
      </c>
      <c r="B479" s="1" t="n">
        <v>45884</v>
      </c>
      <c r="C479" s="1" t="n">
        <v>45912</v>
      </c>
      <c r="D479" t="inlineStr">
        <is>
          <t>DALARNAS LÄN</t>
        </is>
      </c>
      <c r="E479" t="inlineStr">
        <is>
          <t>LUDVIKA</t>
        </is>
      </c>
      <c r="F479" t="inlineStr">
        <is>
          <t>Bergvik skog väst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34403-2025</t>
        </is>
      </c>
      <c r="B480" s="1" t="n">
        <v>45846</v>
      </c>
      <c r="C480" s="1" t="n">
        <v>45912</v>
      </c>
      <c r="D480" t="inlineStr">
        <is>
          <t>DALARNAS LÄN</t>
        </is>
      </c>
      <c r="E480" t="inlineStr">
        <is>
          <t>LUDVIKA</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34522-2025</t>
        </is>
      </c>
      <c r="B481" s="1" t="n">
        <v>45847</v>
      </c>
      <c r="C481" s="1" t="n">
        <v>45912</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34492-2025</t>
        </is>
      </c>
      <c r="B482" s="1" t="n">
        <v>45847</v>
      </c>
      <c r="C482" s="1" t="n">
        <v>45912</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11436-2024</t>
        </is>
      </c>
      <c r="B483" s="1" t="n">
        <v>45372.5358912037</v>
      </c>
      <c r="C483" s="1" t="n">
        <v>45912</v>
      </c>
      <c r="D483" t="inlineStr">
        <is>
          <t>DALARNAS LÄN</t>
        </is>
      </c>
      <c r="E483" t="inlineStr">
        <is>
          <t>LUDVIKA</t>
        </is>
      </c>
      <c r="G483" t="n">
        <v>0.5</v>
      </c>
      <c r="H483" t="n">
        <v>0</v>
      </c>
      <c r="I483" t="n">
        <v>0</v>
      </c>
      <c r="J483" t="n">
        <v>0</v>
      </c>
      <c r="K483" t="n">
        <v>0</v>
      </c>
      <c r="L483" t="n">
        <v>0</v>
      </c>
      <c r="M483" t="n">
        <v>0</v>
      </c>
      <c r="N483" t="n">
        <v>0</v>
      </c>
      <c r="O483" t="n">
        <v>0</v>
      </c>
      <c r="P483" t="n">
        <v>0</v>
      </c>
      <c r="Q483" t="n">
        <v>0</v>
      </c>
      <c r="R483" s="2" t="inlineStr"/>
    </row>
    <row r="484" ht="15" customHeight="1">
      <c r="A484" t="inlineStr">
        <is>
          <t>A 42128-2024</t>
        </is>
      </c>
      <c r="B484" s="1" t="n">
        <v>45562.40503472222</v>
      </c>
      <c r="C484" s="1" t="n">
        <v>45912</v>
      </c>
      <c r="D484" t="inlineStr">
        <is>
          <t>DALARNAS LÄN</t>
        </is>
      </c>
      <c r="E484" t="inlineStr">
        <is>
          <t>LUDVIKA</t>
        </is>
      </c>
      <c r="G484" t="n">
        <v>3.1</v>
      </c>
      <c r="H484" t="n">
        <v>0</v>
      </c>
      <c r="I484" t="n">
        <v>0</v>
      </c>
      <c r="J484" t="n">
        <v>0</v>
      </c>
      <c r="K484" t="n">
        <v>0</v>
      </c>
      <c r="L484" t="n">
        <v>0</v>
      </c>
      <c r="M484" t="n">
        <v>0</v>
      </c>
      <c r="N484" t="n">
        <v>0</v>
      </c>
      <c r="O484" t="n">
        <v>0</v>
      </c>
      <c r="P484" t="n">
        <v>0</v>
      </c>
      <c r="Q484" t="n">
        <v>0</v>
      </c>
      <c r="R484" s="2" t="inlineStr"/>
    </row>
    <row r="485" ht="15" customHeight="1">
      <c r="A485" t="inlineStr">
        <is>
          <t>A 33673-2022</t>
        </is>
      </c>
      <c r="B485" s="1" t="n">
        <v>44789</v>
      </c>
      <c r="C485" s="1" t="n">
        <v>45912</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34868-2025</t>
        </is>
      </c>
      <c r="B486" s="1" t="n">
        <v>45849</v>
      </c>
      <c r="C486" s="1" t="n">
        <v>45912</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56680-2022</t>
        </is>
      </c>
      <c r="B487" s="1" t="n">
        <v>44893.67267361111</v>
      </c>
      <c r="C487" s="1" t="n">
        <v>45912</v>
      </c>
      <c r="D487" t="inlineStr">
        <is>
          <t>DALARNAS LÄN</t>
        </is>
      </c>
      <c r="E487" t="inlineStr">
        <is>
          <t>LUDVIKA</t>
        </is>
      </c>
      <c r="G487" t="n">
        <v>0.4</v>
      </c>
      <c r="H487" t="n">
        <v>0</v>
      </c>
      <c r="I487" t="n">
        <v>0</v>
      </c>
      <c r="J487" t="n">
        <v>0</v>
      </c>
      <c r="K487" t="n">
        <v>0</v>
      </c>
      <c r="L487" t="n">
        <v>0</v>
      </c>
      <c r="M487" t="n">
        <v>0</v>
      </c>
      <c r="N487" t="n">
        <v>0</v>
      </c>
      <c r="O487" t="n">
        <v>0</v>
      </c>
      <c r="P487" t="n">
        <v>0</v>
      </c>
      <c r="Q487" t="n">
        <v>0</v>
      </c>
      <c r="R487" s="2" t="inlineStr"/>
    </row>
    <row r="488" ht="15" customHeight="1">
      <c r="A488" t="inlineStr">
        <is>
          <t>A 39828-2025</t>
        </is>
      </c>
      <c r="B488" s="1" t="n">
        <v>45891.55704861111</v>
      </c>
      <c r="C488" s="1" t="n">
        <v>45912</v>
      </c>
      <c r="D488" t="inlineStr">
        <is>
          <t>DALARNAS LÄN</t>
        </is>
      </c>
      <c r="E488" t="inlineStr">
        <is>
          <t>LUDVIKA</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34862-2025</t>
        </is>
      </c>
      <c r="B489" s="1" t="n">
        <v>45849</v>
      </c>
      <c r="C489" s="1" t="n">
        <v>45912</v>
      </c>
      <c r="D489" t="inlineStr">
        <is>
          <t>DALARNAS LÄN</t>
        </is>
      </c>
      <c r="E489" t="inlineStr">
        <is>
          <t>LUDVIKA</t>
        </is>
      </c>
      <c r="F489" t="inlineStr">
        <is>
          <t>Bergvik skog väst AB</t>
        </is>
      </c>
      <c r="G489" t="n">
        <v>3.6</v>
      </c>
      <c r="H489" t="n">
        <v>0</v>
      </c>
      <c r="I489" t="n">
        <v>0</v>
      </c>
      <c r="J489" t="n">
        <v>0</v>
      </c>
      <c r="K489" t="n">
        <v>0</v>
      </c>
      <c r="L489" t="n">
        <v>0</v>
      </c>
      <c r="M489" t="n">
        <v>0</v>
      </c>
      <c r="N489" t="n">
        <v>0</v>
      </c>
      <c r="O489" t="n">
        <v>0</v>
      </c>
      <c r="P489" t="n">
        <v>0</v>
      </c>
      <c r="Q489" t="n">
        <v>0</v>
      </c>
      <c r="R489" s="2" t="inlineStr"/>
    </row>
    <row r="490" ht="15" customHeight="1">
      <c r="A490" t="inlineStr">
        <is>
          <t>A 73703-2021</t>
        </is>
      </c>
      <c r="B490" s="1" t="n">
        <v>44552</v>
      </c>
      <c r="C490" s="1" t="n">
        <v>45912</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31041-2024</t>
        </is>
      </c>
      <c r="B491" s="1" t="n">
        <v>45502.30125</v>
      </c>
      <c r="C491" s="1" t="n">
        <v>45912</v>
      </c>
      <c r="D491" t="inlineStr">
        <is>
          <t>DALARNAS LÄN</t>
        </is>
      </c>
      <c r="E491" t="inlineStr">
        <is>
          <t>LUDVIKA</t>
        </is>
      </c>
      <c r="F491" t="inlineStr">
        <is>
          <t>Bergvik skog väst AB</t>
        </is>
      </c>
      <c r="G491" t="n">
        <v>4.6</v>
      </c>
      <c r="H491" t="n">
        <v>0</v>
      </c>
      <c r="I491" t="n">
        <v>0</v>
      </c>
      <c r="J491" t="n">
        <v>0</v>
      </c>
      <c r="K491" t="n">
        <v>0</v>
      </c>
      <c r="L491" t="n">
        <v>0</v>
      </c>
      <c r="M491" t="n">
        <v>0</v>
      </c>
      <c r="N491" t="n">
        <v>0</v>
      </c>
      <c r="O491" t="n">
        <v>0</v>
      </c>
      <c r="P491" t="n">
        <v>0</v>
      </c>
      <c r="Q491" t="n">
        <v>0</v>
      </c>
      <c r="R491" s="2" t="inlineStr"/>
    </row>
    <row r="492" ht="15" customHeight="1">
      <c r="A492" t="inlineStr">
        <is>
          <t>A 27389-2024</t>
        </is>
      </c>
      <c r="B492" s="1" t="n">
        <v>45474.31796296296</v>
      </c>
      <c r="C492" s="1" t="n">
        <v>45912</v>
      </c>
      <c r="D492" t="inlineStr">
        <is>
          <t>DALARNAS LÄN</t>
        </is>
      </c>
      <c r="E492" t="inlineStr">
        <is>
          <t>LUDVIKA</t>
        </is>
      </c>
      <c r="G492" t="n">
        <v>0.6</v>
      </c>
      <c r="H492" t="n">
        <v>0</v>
      </c>
      <c r="I492" t="n">
        <v>0</v>
      </c>
      <c r="J492" t="n">
        <v>0</v>
      </c>
      <c r="K492" t="n">
        <v>0</v>
      </c>
      <c r="L492" t="n">
        <v>0</v>
      </c>
      <c r="M492" t="n">
        <v>0</v>
      </c>
      <c r="N492" t="n">
        <v>0</v>
      </c>
      <c r="O492" t="n">
        <v>0</v>
      </c>
      <c r="P492" t="n">
        <v>0</v>
      </c>
      <c r="Q492" t="n">
        <v>0</v>
      </c>
      <c r="R492" s="2" t="inlineStr"/>
    </row>
    <row r="493" ht="15" customHeight="1">
      <c r="A493" t="inlineStr">
        <is>
          <t>A 44520-2023</t>
        </is>
      </c>
      <c r="B493" s="1" t="n">
        <v>45189</v>
      </c>
      <c r="C493" s="1" t="n">
        <v>45912</v>
      </c>
      <c r="D493" t="inlineStr">
        <is>
          <t>DALARNAS LÄN</t>
        </is>
      </c>
      <c r="E493" t="inlineStr">
        <is>
          <t>LUDVIKA</t>
        </is>
      </c>
      <c r="G493" t="n">
        <v>0.7</v>
      </c>
      <c r="H493" t="n">
        <v>0</v>
      </c>
      <c r="I493" t="n">
        <v>0</v>
      </c>
      <c r="J493" t="n">
        <v>0</v>
      </c>
      <c r="K493" t="n">
        <v>0</v>
      </c>
      <c r="L493" t="n">
        <v>0</v>
      </c>
      <c r="M493" t="n">
        <v>0</v>
      </c>
      <c r="N493" t="n">
        <v>0</v>
      </c>
      <c r="O493" t="n">
        <v>0</v>
      </c>
      <c r="P493" t="n">
        <v>0</v>
      </c>
      <c r="Q493" t="n">
        <v>0</v>
      </c>
      <c r="R493" s="2" t="inlineStr"/>
    </row>
    <row r="494" ht="15" customHeight="1">
      <c r="A494" t="inlineStr">
        <is>
          <t>A 57217-2024</t>
        </is>
      </c>
      <c r="B494" s="1" t="n">
        <v>45629</v>
      </c>
      <c r="C494" s="1" t="n">
        <v>45912</v>
      </c>
      <c r="D494" t="inlineStr">
        <is>
          <t>DALARNAS LÄN</t>
        </is>
      </c>
      <c r="E494" t="inlineStr">
        <is>
          <t>LUDVIKA</t>
        </is>
      </c>
      <c r="F494" t="inlineStr">
        <is>
          <t>Bergvik skog väst AB</t>
        </is>
      </c>
      <c r="G494" t="n">
        <v>17.3</v>
      </c>
      <c r="H494" t="n">
        <v>0</v>
      </c>
      <c r="I494" t="n">
        <v>0</v>
      </c>
      <c r="J494" t="n">
        <v>0</v>
      </c>
      <c r="K494" t="n">
        <v>0</v>
      </c>
      <c r="L494" t="n">
        <v>0</v>
      </c>
      <c r="M494" t="n">
        <v>0</v>
      </c>
      <c r="N494" t="n">
        <v>0</v>
      </c>
      <c r="O494" t="n">
        <v>0</v>
      </c>
      <c r="P494" t="n">
        <v>0</v>
      </c>
      <c r="Q494" t="n">
        <v>0</v>
      </c>
      <c r="R494" s="2" t="inlineStr"/>
    </row>
    <row r="495" ht="15" customHeight="1">
      <c r="A495" t="inlineStr">
        <is>
          <t>A 39754-2025</t>
        </is>
      </c>
      <c r="B495" s="1" t="n">
        <v>45891.41975694444</v>
      </c>
      <c r="C495" s="1" t="n">
        <v>45912</v>
      </c>
      <c r="D495" t="inlineStr">
        <is>
          <t>DALARNAS LÄN</t>
        </is>
      </c>
      <c r="E495" t="inlineStr">
        <is>
          <t>LUDVIKA</t>
        </is>
      </c>
      <c r="F495" t="inlineStr">
        <is>
          <t>Bergvik skog väst AB</t>
        </is>
      </c>
      <c r="G495" t="n">
        <v>0.4</v>
      </c>
      <c r="H495" t="n">
        <v>0</v>
      </c>
      <c r="I495" t="n">
        <v>0</v>
      </c>
      <c r="J495" t="n">
        <v>0</v>
      </c>
      <c r="K495" t="n">
        <v>0</v>
      </c>
      <c r="L495" t="n">
        <v>0</v>
      </c>
      <c r="M495" t="n">
        <v>0</v>
      </c>
      <c r="N495" t="n">
        <v>0</v>
      </c>
      <c r="O495" t="n">
        <v>0</v>
      </c>
      <c r="P495" t="n">
        <v>0</v>
      </c>
      <c r="Q495" t="n">
        <v>0</v>
      </c>
      <c r="R495" s="2" t="inlineStr"/>
    </row>
    <row r="496" ht="15" customHeight="1">
      <c r="A496" t="inlineStr">
        <is>
          <t>A 34860-2025</t>
        </is>
      </c>
      <c r="B496" s="1" t="n">
        <v>45849</v>
      </c>
      <c r="C496" s="1" t="n">
        <v>45912</v>
      </c>
      <c r="D496" t="inlineStr">
        <is>
          <t>DALARNAS LÄN</t>
        </is>
      </c>
      <c r="E496" t="inlineStr">
        <is>
          <t>LUDVIKA</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34861-2025</t>
        </is>
      </c>
      <c r="B497" s="1" t="n">
        <v>45849</v>
      </c>
      <c r="C497" s="1" t="n">
        <v>45912</v>
      </c>
      <c r="D497" t="inlineStr">
        <is>
          <t>DALARNAS LÄN</t>
        </is>
      </c>
      <c r="E497" t="inlineStr">
        <is>
          <t>LUDVIKA</t>
        </is>
      </c>
      <c r="F497" t="inlineStr">
        <is>
          <t>Bergvik skog väst AB</t>
        </is>
      </c>
      <c r="G497" t="n">
        <v>0.5</v>
      </c>
      <c r="H497" t="n">
        <v>0</v>
      </c>
      <c r="I497" t="n">
        <v>0</v>
      </c>
      <c r="J497" t="n">
        <v>0</v>
      </c>
      <c r="K497" t="n">
        <v>0</v>
      </c>
      <c r="L497" t="n">
        <v>0</v>
      </c>
      <c r="M497" t="n">
        <v>0</v>
      </c>
      <c r="N497" t="n">
        <v>0</v>
      </c>
      <c r="O497" t="n">
        <v>0</v>
      </c>
      <c r="P497" t="n">
        <v>0</v>
      </c>
      <c r="Q497" t="n">
        <v>0</v>
      </c>
      <c r="R497" s="2" t="inlineStr"/>
    </row>
    <row r="498" ht="15" customHeight="1">
      <c r="A498" t="inlineStr">
        <is>
          <t>A 40142-2022</t>
        </is>
      </c>
      <c r="B498" s="1" t="n">
        <v>44820.5415162037</v>
      </c>
      <c r="C498" s="1" t="n">
        <v>45912</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40151-2022</t>
        </is>
      </c>
      <c r="B499" s="1" t="n">
        <v>44820.55396990741</v>
      </c>
      <c r="C499" s="1" t="n">
        <v>45912</v>
      </c>
      <c r="D499" t="inlineStr">
        <is>
          <t>DALARNAS LÄN</t>
        </is>
      </c>
      <c r="E499" t="inlineStr">
        <is>
          <t>LUDVIKA</t>
        </is>
      </c>
      <c r="F499" t="inlineStr">
        <is>
          <t>Bergvik skog väst AB</t>
        </is>
      </c>
      <c r="G499" t="n">
        <v>0.8</v>
      </c>
      <c r="H499" t="n">
        <v>0</v>
      </c>
      <c r="I499" t="n">
        <v>0</v>
      </c>
      <c r="J499" t="n">
        <v>0</v>
      </c>
      <c r="K499" t="n">
        <v>0</v>
      </c>
      <c r="L499" t="n">
        <v>0</v>
      </c>
      <c r="M499" t="n">
        <v>0</v>
      </c>
      <c r="N499" t="n">
        <v>0</v>
      </c>
      <c r="O499" t="n">
        <v>0</v>
      </c>
      <c r="P499" t="n">
        <v>0</v>
      </c>
      <c r="Q499" t="n">
        <v>0</v>
      </c>
      <c r="R499" s="2" t="inlineStr"/>
    </row>
    <row r="500" ht="15" customHeight="1">
      <c r="A500" t="inlineStr">
        <is>
          <t>A 47999-2024</t>
        </is>
      </c>
      <c r="B500" s="1" t="n">
        <v>45589.44649305556</v>
      </c>
      <c r="C500" s="1" t="n">
        <v>45912</v>
      </c>
      <c r="D500" t="inlineStr">
        <is>
          <t>DALARNAS LÄN</t>
        </is>
      </c>
      <c r="E500" t="inlineStr">
        <is>
          <t>LUDVIKA</t>
        </is>
      </c>
      <c r="G500" t="n">
        <v>2.1</v>
      </c>
      <c r="H500" t="n">
        <v>0</v>
      </c>
      <c r="I500" t="n">
        <v>0</v>
      </c>
      <c r="J500" t="n">
        <v>0</v>
      </c>
      <c r="K500" t="n">
        <v>0</v>
      </c>
      <c r="L500" t="n">
        <v>0</v>
      </c>
      <c r="M500" t="n">
        <v>0</v>
      </c>
      <c r="N500" t="n">
        <v>0</v>
      </c>
      <c r="O500" t="n">
        <v>0</v>
      </c>
      <c r="P500" t="n">
        <v>0</v>
      </c>
      <c r="Q500" t="n">
        <v>0</v>
      </c>
      <c r="R500" s="2" t="inlineStr"/>
    </row>
    <row r="501" ht="15" customHeight="1">
      <c r="A501" t="inlineStr">
        <is>
          <t>A 21741-2022</t>
        </is>
      </c>
      <c r="B501" s="1" t="n">
        <v>44708.380625</v>
      </c>
      <c r="C501" s="1" t="n">
        <v>45912</v>
      </c>
      <c r="D501" t="inlineStr">
        <is>
          <t>DALARNAS LÄN</t>
        </is>
      </c>
      <c r="E501" t="inlineStr">
        <is>
          <t>LUDVIKA</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39772-2025</t>
        </is>
      </c>
      <c r="B502" s="1" t="n">
        <v>45891.45390046296</v>
      </c>
      <c r="C502" s="1" t="n">
        <v>45912</v>
      </c>
      <c r="D502" t="inlineStr">
        <is>
          <t>DALARNAS LÄN</t>
        </is>
      </c>
      <c r="E502" t="inlineStr">
        <is>
          <t>LUDVIKA</t>
        </is>
      </c>
      <c r="F502" t="inlineStr">
        <is>
          <t>Bergvik skog väst AB</t>
        </is>
      </c>
      <c r="G502" t="n">
        <v>14.1</v>
      </c>
      <c r="H502" t="n">
        <v>0</v>
      </c>
      <c r="I502" t="n">
        <v>0</v>
      </c>
      <c r="J502" t="n">
        <v>0</v>
      </c>
      <c r="K502" t="n">
        <v>0</v>
      </c>
      <c r="L502" t="n">
        <v>0</v>
      </c>
      <c r="M502" t="n">
        <v>0</v>
      </c>
      <c r="N502" t="n">
        <v>0</v>
      </c>
      <c r="O502" t="n">
        <v>0</v>
      </c>
      <c r="P502" t="n">
        <v>0</v>
      </c>
      <c r="Q502" t="n">
        <v>0</v>
      </c>
      <c r="R502" s="2" t="inlineStr"/>
    </row>
    <row r="503" ht="15" customHeight="1">
      <c r="A503" t="inlineStr">
        <is>
          <t>A 39833-2025</t>
        </is>
      </c>
      <c r="B503" s="1" t="n">
        <v>45891.56180555555</v>
      </c>
      <c r="C503" s="1" t="n">
        <v>45912</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34455-2024</t>
        </is>
      </c>
      <c r="B504" s="1" t="n">
        <v>45525.56513888889</v>
      </c>
      <c r="C504" s="1" t="n">
        <v>45912</v>
      </c>
      <c r="D504" t="inlineStr">
        <is>
          <t>DALARNAS LÄN</t>
        </is>
      </c>
      <c r="E504" t="inlineStr">
        <is>
          <t>LUDVIKA</t>
        </is>
      </c>
      <c r="G504" t="n">
        <v>0.9</v>
      </c>
      <c r="H504" t="n">
        <v>0</v>
      </c>
      <c r="I504" t="n">
        <v>0</v>
      </c>
      <c r="J504" t="n">
        <v>0</v>
      </c>
      <c r="K504" t="n">
        <v>0</v>
      </c>
      <c r="L504" t="n">
        <v>0</v>
      </c>
      <c r="M504" t="n">
        <v>0</v>
      </c>
      <c r="N504" t="n">
        <v>0</v>
      </c>
      <c r="O504" t="n">
        <v>0</v>
      </c>
      <c r="P504" t="n">
        <v>0</v>
      </c>
      <c r="Q504" t="n">
        <v>0</v>
      </c>
      <c r="R504" s="2" t="inlineStr"/>
    </row>
    <row r="505" ht="15" customHeight="1">
      <c r="A505" t="inlineStr">
        <is>
          <t>A 51015-2023</t>
        </is>
      </c>
      <c r="B505" s="1" t="n">
        <v>45218.58079861111</v>
      </c>
      <c r="C505" s="1" t="n">
        <v>45912</v>
      </c>
      <c r="D505" t="inlineStr">
        <is>
          <t>DALARNAS LÄN</t>
        </is>
      </c>
      <c r="E505" t="inlineStr">
        <is>
          <t>LUDVIKA</t>
        </is>
      </c>
      <c r="G505" t="n">
        <v>5.9</v>
      </c>
      <c r="H505" t="n">
        <v>0</v>
      </c>
      <c r="I505" t="n">
        <v>0</v>
      </c>
      <c r="J505" t="n">
        <v>0</v>
      </c>
      <c r="K505" t="n">
        <v>0</v>
      </c>
      <c r="L505" t="n">
        <v>0</v>
      </c>
      <c r="M505" t="n">
        <v>0</v>
      </c>
      <c r="N505" t="n">
        <v>0</v>
      </c>
      <c r="O505" t="n">
        <v>0</v>
      </c>
      <c r="P505" t="n">
        <v>0</v>
      </c>
      <c r="Q505" t="n">
        <v>0</v>
      </c>
      <c r="R505" s="2" t="inlineStr"/>
    </row>
    <row r="506" ht="15" customHeight="1">
      <c r="A506" t="inlineStr">
        <is>
          <t>A 62275-2022</t>
        </is>
      </c>
      <c r="B506" s="1" t="n">
        <v>44923.35560185185</v>
      </c>
      <c r="C506" s="1" t="n">
        <v>45912</v>
      </c>
      <c r="D506" t="inlineStr">
        <is>
          <t>DALARNAS LÄN</t>
        </is>
      </c>
      <c r="E506" t="inlineStr">
        <is>
          <t>LUDVIKA</t>
        </is>
      </c>
      <c r="G506" t="n">
        <v>4.6</v>
      </c>
      <c r="H506" t="n">
        <v>0</v>
      </c>
      <c r="I506" t="n">
        <v>0</v>
      </c>
      <c r="J506" t="n">
        <v>0</v>
      </c>
      <c r="K506" t="n">
        <v>0</v>
      </c>
      <c r="L506" t="n">
        <v>0</v>
      </c>
      <c r="M506" t="n">
        <v>0</v>
      </c>
      <c r="N506" t="n">
        <v>0</v>
      </c>
      <c r="O506" t="n">
        <v>0</v>
      </c>
      <c r="P506" t="n">
        <v>0</v>
      </c>
      <c r="Q506" t="n">
        <v>0</v>
      </c>
      <c r="R506" s="2" t="inlineStr"/>
    </row>
    <row r="507" ht="15" customHeight="1">
      <c r="A507" t="inlineStr">
        <is>
          <t>A 40246-2025</t>
        </is>
      </c>
      <c r="B507" s="1" t="n">
        <v>45895.00098379629</v>
      </c>
      <c r="C507" s="1" t="n">
        <v>45912</v>
      </c>
      <c r="D507" t="inlineStr">
        <is>
          <t>DALARNAS LÄN</t>
        </is>
      </c>
      <c r="E507" t="inlineStr">
        <is>
          <t>LUDVIKA</t>
        </is>
      </c>
      <c r="G507" t="n">
        <v>1</v>
      </c>
      <c r="H507" t="n">
        <v>0</v>
      </c>
      <c r="I507" t="n">
        <v>0</v>
      </c>
      <c r="J507" t="n">
        <v>0</v>
      </c>
      <c r="K507" t="n">
        <v>0</v>
      </c>
      <c r="L507" t="n">
        <v>0</v>
      </c>
      <c r="M507" t="n">
        <v>0</v>
      </c>
      <c r="N507" t="n">
        <v>0</v>
      </c>
      <c r="O507" t="n">
        <v>0</v>
      </c>
      <c r="P507" t="n">
        <v>0</v>
      </c>
      <c r="Q507" t="n">
        <v>0</v>
      </c>
      <c r="R507" s="2" t="inlineStr"/>
    </row>
    <row r="508" ht="15" customHeight="1">
      <c r="A508" t="inlineStr">
        <is>
          <t>A 58072-2024</t>
        </is>
      </c>
      <c r="B508" s="1" t="n">
        <v>45632.01575231482</v>
      </c>
      <c r="C508" s="1" t="n">
        <v>45912</v>
      </c>
      <c r="D508" t="inlineStr">
        <is>
          <t>DALARNAS LÄN</t>
        </is>
      </c>
      <c r="E508" t="inlineStr">
        <is>
          <t>LUDVIKA</t>
        </is>
      </c>
      <c r="G508" t="n">
        <v>0.8</v>
      </c>
      <c r="H508" t="n">
        <v>0</v>
      </c>
      <c r="I508" t="n">
        <v>0</v>
      </c>
      <c r="J508" t="n">
        <v>0</v>
      </c>
      <c r="K508" t="n">
        <v>0</v>
      </c>
      <c r="L508" t="n">
        <v>0</v>
      </c>
      <c r="M508" t="n">
        <v>0</v>
      </c>
      <c r="N508" t="n">
        <v>0</v>
      </c>
      <c r="O508" t="n">
        <v>0</v>
      </c>
      <c r="P508" t="n">
        <v>0</v>
      </c>
      <c r="Q508" t="n">
        <v>0</v>
      </c>
      <c r="R508" s="2" t="inlineStr"/>
    </row>
    <row r="509" ht="15" customHeight="1">
      <c r="A509" t="inlineStr">
        <is>
          <t>A 58090-2024</t>
        </is>
      </c>
      <c r="B509" s="1" t="n">
        <v>45632.35070601852</v>
      </c>
      <c r="C509" s="1" t="n">
        <v>45912</v>
      </c>
      <c r="D509" t="inlineStr">
        <is>
          <t>DALARNAS LÄN</t>
        </is>
      </c>
      <c r="E509" t="inlineStr">
        <is>
          <t>LUDVIKA</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41090-2022</t>
        </is>
      </c>
      <c r="B510" s="1" t="n">
        <v>44825.64709490741</v>
      </c>
      <c r="C510" s="1" t="n">
        <v>45912</v>
      </c>
      <c r="D510" t="inlineStr">
        <is>
          <t>DALARNAS LÄN</t>
        </is>
      </c>
      <c r="E510" t="inlineStr">
        <is>
          <t>LUDVIKA</t>
        </is>
      </c>
      <c r="F510" t="inlineStr">
        <is>
          <t>Bergvik skog väst AB</t>
        </is>
      </c>
      <c r="G510" t="n">
        <v>2.5</v>
      </c>
      <c r="H510" t="n">
        <v>0</v>
      </c>
      <c r="I510" t="n">
        <v>0</v>
      </c>
      <c r="J510" t="n">
        <v>0</v>
      </c>
      <c r="K510" t="n">
        <v>0</v>
      </c>
      <c r="L510" t="n">
        <v>0</v>
      </c>
      <c r="M510" t="n">
        <v>0</v>
      </c>
      <c r="N510" t="n">
        <v>0</v>
      </c>
      <c r="O510" t="n">
        <v>0</v>
      </c>
      <c r="P510" t="n">
        <v>0</v>
      </c>
      <c r="Q510" t="n">
        <v>0</v>
      </c>
      <c r="R510" s="2" t="inlineStr"/>
    </row>
    <row r="511" ht="15" customHeight="1">
      <c r="A511" t="inlineStr">
        <is>
          <t>A 46329-2020</t>
        </is>
      </c>
      <c r="B511" s="1" t="n">
        <v>44092</v>
      </c>
      <c r="C511" s="1" t="n">
        <v>45912</v>
      </c>
      <c r="D511" t="inlineStr">
        <is>
          <t>DALARNAS LÄN</t>
        </is>
      </c>
      <c r="E511" t="inlineStr">
        <is>
          <t>LUDVIKA</t>
        </is>
      </c>
      <c r="F511" t="inlineStr">
        <is>
          <t>Sveaskog</t>
        </is>
      </c>
      <c r="G511" t="n">
        <v>4.6</v>
      </c>
      <c r="H511" t="n">
        <v>0</v>
      </c>
      <c r="I511" t="n">
        <v>0</v>
      </c>
      <c r="J511" t="n">
        <v>0</v>
      </c>
      <c r="K511" t="n">
        <v>0</v>
      </c>
      <c r="L511" t="n">
        <v>0</v>
      </c>
      <c r="M511" t="n">
        <v>0</v>
      </c>
      <c r="N511" t="n">
        <v>0</v>
      </c>
      <c r="O511" t="n">
        <v>0</v>
      </c>
      <c r="P511" t="n">
        <v>0</v>
      </c>
      <c r="Q511" t="n">
        <v>0</v>
      </c>
      <c r="R511" s="2" t="inlineStr"/>
    </row>
    <row r="512" ht="15" customHeight="1">
      <c r="A512" t="inlineStr">
        <is>
          <t>A 45443-2024</t>
        </is>
      </c>
      <c r="B512" s="1" t="n">
        <v>45576</v>
      </c>
      <c r="C512" s="1" t="n">
        <v>45912</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26823-2025</t>
        </is>
      </c>
      <c r="B513" s="1" t="n">
        <v>45810</v>
      </c>
      <c r="C513" s="1" t="n">
        <v>45912</v>
      </c>
      <c r="D513" t="inlineStr">
        <is>
          <t>DALARNAS LÄN</t>
        </is>
      </c>
      <c r="E513" t="inlineStr">
        <is>
          <t>LUDVIKA</t>
        </is>
      </c>
      <c r="F513" t="inlineStr">
        <is>
          <t>Bergvik skog väst AB</t>
        </is>
      </c>
      <c r="G513" t="n">
        <v>0.8</v>
      </c>
      <c r="H513" t="n">
        <v>0</v>
      </c>
      <c r="I513" t="n">
        <v>0</v>
      </c>
      <c r="J513" t="n">
        <v>0</v>
      </c>
      <c r="K513" t="n">
        <v>0</v>
      </c>
      <c r="L513" t="n">
        <v>0</v>
      </c>
      <c r="M513" t="n">
        <v>0</v>
      </c>
      <c r="N513" t="n">
        <v>0</v>
      </c>
      <c r="O513" t="n">
        <v>0</v>
      </c>
      <c r="P513" t="n">
        <v>0</v>
      </c>
      <c r="Q513" t="n">
        <v>0</v>
      </c>
      <c r="R513" s="2" t="inlineStr"/>
    </row>
    <row r="514" ht="15" customHeight="1">
      <c r="A514" t="inlineStr">
        <is>
          <t>A 29654-2025</t>
        </is>
      </c>
      <c r="B514" s="1" t="n">
        <v>45825</v>
      </c>
      <c r="C514" s="1" t="n">
        <v>45912</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50347-2021</t>
        </is>
      </c>
      <c r="B515" s="1" t="n">
        <v>44459</v>
      </c>
      <c r="C515" s="1" t="n">
        <v>45912</v>
      </c>
      <c r="D515" t="inlineStr">
        <is>
          <t>DALARNAS LÄN</t>
        </is>
      </c>
      <c r="E515" t="inlineStr">
        <is>
          <t>LUDVIKA</t>
        </is>
      </c>
      <c r="G515" t="n">
        <v>1.1</v>
      </c>
      <c r="H515" t="n">
        <v>0</v>
      </c>
      <c r="I515" t="n">
        <v>0</v>
      </c>
      <c r="J515" t="n">
        <v>0</v>
      </c>
      <c r="K515" t="n">
        <v>0</v>
      </c>
      <c r="L515" t="n">
        <v>0</v>
      </c>
      <c r="M515" t="n">
        <v>0</v>
      </c>
      <c r="N515" t="n">
        <v>0</v>
      </c>
      <c r="O515" t="n">
        <v>0</v>
      </c>
      <c r="P515" t="n">
        <v>0</v>
      </c>
      <c r="Q515" t="n">
        <v>0</v>
      </c>
      <c r="R515" s="2" t="inlineStr"/>
    </row>
    <row r="516" ht="15" customHeight="1">
      <c r="A516" t="inlineStr">
        <is>
          <t>A 56621-2023</t>
        </is>
      </c>
      <c r="B516" s="1" t="n">
        <v>45243.68557870371</v>
      </c>
      <c r="C516" s="1" t="n">
        <v>45912</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41616-2024</t>
        </is>
      </c>
      <c r="B517" s="1" t="n">
        <v>45560.59856481481</v>
      </c>
      <c r="C517" s="1" t="n">
        <v>45912</v>
      </c>
      <c r="D517" t="inlineStr">
        <is>
          <t>DALARNAS LÄN</t>
        </is>
      </c>
      <c r="E517" t="inlineStr">
        <is>
          <t>LUDVIKA</t>
        </is>
      </c>
      <c r="F517" t="inlineStr">
        <is>
          <t>Bergvik skog väst AB</t>
        </is>
      </c>
      <c r="G517" t="n">
        <v>4.4</v>
      </c>
      <c r="H517" t="n">
        <v>0</v>
      </c>
      <c r="I517" t="n">
        <v>0</v>
      </c>
      <c r="J517" t="n">
        <v>0</v>
      </c>
      <c r="K517" t="n">
        <v>0</v>
      </c>
      <c r="L517" t="n">
        <v>0</v>
      </c>
      <c r="M517" t="n">
        <v>0</v>
      </c>
      <c r="N517" t="n">
        <v>0</v>
      </c>
      <c r="O517" t="n">
        <v>0</v>
      </c>
      <c r="P517" t="n">
        <v>0</v>
      </c>
      <c r="Q517" t="n">
        <v>0</v>
      </c>
      <c r="R517" s="2" t="inlineStr"/>
    </row>
    <row r="518" ht="15" customHeight="1">
      <c r="A518" t="inlineStr">
        <is>
          <t>A 918-2024</t>
        </is>
      </c>
      <c r="B518" s="1" t="n">
        <v>45301</v>
      </c>
      <c r="C518" s="1" t="n">
        <v>45912</v>
      </c>
      <c r="D518" t="inlineStr">
        <is>
          <t>DALARNAS LÄN</t>
        </is>
      </c>
      <c r="E518" t="inlineStr">
        <is>
          <t>LUDVIKA</t>
        </is>
      </c>
      <c r="G518" t="n">
        <v>6</v>
      </c>
      <c r="H518" t="n">
        <v>0</v>
      </c>
      <c r="I518" t="n">
        <v>0</v>
      </c>
      <c r="J518" t="n">
        <v>0</v>
      </c>
      <c r="K518" t="n">
        <v>0</v>
      </c>
      <c r="L518" t="n">
        <v>0</v>
      </c>
      <c r="M518" t="n">
        <v>0</v>
      </c>
      <c r="N518" t="n">
        <v>0</v>
      </c>
      <c r="O518" t="n">
        <v>0</v>
      </c>
      <c r="P518" t="n">
        <v>0</v>
      </c>
      <c r="Q518" t="n">
        <v>0</v>
      </c>
      <c r="R518" s="2" t="inlineStr"/>
    </row>
    <row r="519" ht="15" customHeight="1">
      <c r="A519" t="inlineStr">
        <is>
          <t>A 923-2024</t>
        </is>
      </c>
      <c r="B519" s="1" t="n">
        <v>45301</v>
      </c>
      <c r="C519" s="1" t="n">
        <v>45912</v>
      </c>
      <c r="D519" t="inlineStr">
        <is>
          <t>DALARNAS LÄN</t>
        </is>
      </c>
      <c r="E519" t="inlineStr">
        <is>
          <t>LUDVIKA</t>
        </is>
      </c>
      <c r="G519" t="n">
        <v>0.3</v>
      </c>
      <c r="H519" t="n">
        <v>0</v>
      </c>
      <c r="I519" t="n">
        <v>0</v>
      </c>
      <c r="J519" t="n">
        <v>0</v>
      </c>
      <c r="K519" t="n">
        <v>0</v>
      </c>
      <c r="L519" t="n">
        <v>0</v>
      </c>
      <c r="M519" t="n">
        <v>0</v>
      </c>
      <c r="N519" t="n">
        <v>0</v>
      </c>
      <c r="O519" t="n">
        <v>0</v>
      </c>
      <c r="P519" t="n">
        <v>0</v>
      </c>
      <c r="Q519" t="n">
        <v>0</v>
      </c>
      <c r="R519" s="2" t="inlineStr"/>
    </row>
    <row r="520" ht="15" customHeight="1">
      <c r="A520" t="inlineStr">
        <is>
          <t>A 33345-2024</t>
        </is>
      </c>
      <c r="B520" s="1" t="n">
        <v>45519</v>
      </c>
      <c r="C520" s="1" t="n">
        <v>45912</v>
      </c>
      <c r="D520" t="inlineStr">
        <is>
          <t>DALARNAS LÄN</t>
        </is>
      </c>
      <c r="E520" t="inlineStr">
        <is>
          <t>LUDVIKA</t>
        </is>
      </c>
      <c r="G520" t="n">
        <v>0.5</v>
      </c>
      <c r="H520" t="n">
        <v>0</v>
      </c>
      <c r="I520" t="n">
        <v>0</v>
      </c>
      <c r="J520" t="n">
        <v>0</v>
      </c>
      <c r="K520" t="n">
        <v>0</v>
      </c>
      <c r="L520" t="n">
        <v>0</v>
      </c>
      <c r="M520" t="n">
        <v>0</v>
      </c>
      <c r="N520" t="n">
        <v>0</v>
      </c>
      <c r="O520" t="n">
        <v>0</v>
      </c>
      <c r="P520" t="n">
        <v>0</v>
      </c>
      <c r="Q520" t="n">
        <v>0</v>
      </c>
      <c r="R520" s="2" t="inlineStr"/>
    </row>
    <row r="521" ht="15" customHeight="1">
      <c r="A521" t="inlineStr">
        <is>
          <t>A 35544-2025</t>
        </is>
      </c>
      <c r="B521" s="1" t="n">
        <v>45856</v>
      </c>
      <c r="C521" s="1" t="n">
        <v>45912</v>
      </c>
      <c r="D521" t="inlineStr">
        <is>
          <t>DALARNAS LÄN</t>
        </is>
      </c>
      <c r="E521" t="inlineStr">
        <is>
          <t>LUDVIKA</t>
        </is>
      </c>
      <c r="F521" t="inlineStr">
        <is>
          <t>Bergvik skog väst AB</t>
        </is>
      </c>
      <c r="G521" t="n">
        <v>8</v>
      </c>
      <c r="H521" t="n">
        <v>0</v>
      </c>
      <c r="I521" t="n">
        <v>0</v>
      </c>
      <c r="J521" t="n">
        <v>0</v>
      </c>
      <c r="K521" t="n">
        <v>0</v>
      </c>
      <c r="L521" t="n">
        <v>0</v>
      </c>
      <c r="M521" t="n">
        <v>0</v>
      </c>
      <c r="N521" t="n">
        <v>0</v>
      </c>
      <c r="O521" t="n">
        <v>0</v>
      </c>
      <c r="P521" t="n">
        <v>0</v>
      </c>
      <c r="Q521" t="n">
        <v>0</v>
      </c>
      <c r="R521" s="2" t="inlineStr"/>
    </row>
    <row r="522" ht="15" customHeight="1">
      <c r="A522" t="inlineStr">
        <is>
          <t>A 478-2024</t>
        </is>
      </c>
      <c r="B522" s="1" t="n">
        <v>45297</v>
      </c>
      <c r="C522" s="1" t="n">
        <v>45912</v>
      </c>
      <c r="D522" t="inlineStr">
        <is>
          <t>DALARNAS LÄN</t>
        </is>
      </c>
      <c r="E522" t="inlineStr">
        <is>
          <t>LUDVIKA</t>
        </is>
      </c>
      <c r="G522" t="n">
        <v>3.2</v>
      </c>
      <c r="H522" t="n">
        <v>0</v>
      </c>
      <c r="I522" t="n">
        <v>0</v>
      </c>
      <c r="J522" t="n">
        <v>0</v>
      </c>
      <c r="K522" t="n">
        <v>0</v>
      </c>
      <c r="L522" t="n">
        <v>0</v>
      </c>
      <c r="M522" t="n">
        <v>0</v>
      </c>
      <c r="N522" t="n">
        <v>0</v>
      </c>
      <c r="O522" t="n">
        <v>0</v>
      </c>
      <c r="P522" t="n">
        <v>0</v>
      </c>
      <c r="Q522" t="n">
        <v>0</v>
      </c>
      <c r="R522" s="2" t="inlineStr"/>
    </row>
    <row r="523" ht="15" customHeight="1">
      <c r="A523" t="inlineStr">
        <is>
          <t>A 41394-2025</t>
        </is>
      </c>
      <c r="B523" s="1" t="n">
        <v>45901.31774305556</v>
      </c>
      <c r="C523" s="1" t="n">
        <v>45912</v>
      </c>
      <c r="D523" t="inlineStr">
        <is>
          <t>DALARNAS LÄN</t>
        </is>
      </c>
      <c r="E523" t="inlineStr">
        <is>
          <t>LUDVIKA</t>
        </is>
      </c>
      <c r="F523" t="inlineStr">
        <is>
          <t>Bergvik skog väst AB</t>
        </is>
      </c>
      <c r="G523" t="n">
        <v>0.9</v>
      </c>
      <c r="H523" t="n">
        <v>0</v>
      </c>
      <c r="I523" t="n">
        <v>0</v>
      </c>
      <c r="J523" t="n">
        <v>0</v>
      </c>
      <c r="K523" t="n">
        <v>0</v>
      </c>
      <c r="L523" t="n">
        <v>0</v>
      </c>
      <c r="M523" t="n">
        <v>0</v>
      </c>
      <c r="N523" t="n">
        <v>0</v>
      </c>
      <c r="O523" t="n">
        <v>0</v>
      </c>
      <c r="P523" t="n">
        <v>0</v>
      </c>
      <c r="Q523" t="n">
        <v>0</v>
      </c>
      <c r="R523" s="2" t="inlineStr"/>
    </row>
    <row r="524" ht="15" customHeight="1">
      <c r="A524" t="inlineStr">
        <is>
          <t>A 22555-2023</t>
        </is>
      </c>
      <c r="B524" s="1" t="n">
        <v>45071.44364583334</v>
      </c>
      <c r="C524" s="1" t="n">
        <v>45912</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41254-2025</t>
        </is>
      </c>
      <c r="B525" s="1" t="n">
        <v>45898.60778935185</v>
      </c>
      <c r="C525" s="1" t="n">
        <v>45912</v>
      </c>
      <c r="D525" t="inlineStr">
        <is>
          <t>DALARNAS LÄN</t>
        </is>
      </c>
      <c r="E525" t="inlineStr">
        <is>
          <t>LUDVIKA</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47671-2024</t>
        </is>
      </c>
      <c r="B526" s="1" t="n">
        <v>45588.39844907408</v>
      </c>
      <c r="C526" s="1" t="n">
        <v>45912</v>
      </c>
      <c r="D526" t="inlineStr">
        <is>
          <t>DALARNAS LÄN</t>
        </is>
      </c>
      <c r="E526" t="inlineStr">
        <is>
          <t>LUDVIKA</t>
        </is>
      </c>
      <c r="G526" t="n">
        <v>2.9</v>
      </c>
      <c r="H526" t="n">
        <v>0</v>
      </c>
      <c r="I526" t="n">
        <v>0</v>
      </c>
      <c r="J526" t="n">
        <v>0</v>
      </c>
      <c r="K526" t="n">
        <v>0</v>
      </c>
      <c r="L526" t="n">
        <v>0</v>
      </c>
      <c r="M526" t="n">
        <v>0</v>
      </c>
      <c r="N526" t="n">
        <v>0</v>
      </c>
      <c r="O526" t="n">
        <v>0</v>
      </c>
      <c r="P526" t="n">
        <v>0</v>
      </c>
      <c r="Q526" t="n">
        <v>0</v>
      </c>
      <c r="R526" s="2" t="inlineStr"/>
    </row>
    <row r="527" ht="15" customHeight="1">
      <c r="A527" t="inlineStr">
        <is>
          <t>A 59634-2024</t>
        </is>
      </c>
      <c r="B527" s="1" t="n">
        <v>45638.99978009259</v>
      </c>
      <c r="C527" s="1" t="n">
        <v>45912</v>
      </c>
      <c r="D527" t="inlineStr">
        <is>
          <t>DALARNAS LÄN</t>
        </is>
      </c>
      <c r="E527" t="inlineStr">
        <is>
          <t>LUDVIKA</t>
        </is>
      </c>
      <c r="G527" t="n">
        <v>4.1</v>
      </c>
      <c r="H527" t="n">
        <v>0</v>
      </c>
      <c r="I527" t="n">
        <v>0</v>
      </c>
      <c r="J527" t="n">
        <v>0</v>
      </c>
      <c r="K527" t="n">
        <v>0</v>
      </c>
      <c r="L527" t="n">
        <v>0</v>
      </c>
      <c r="M527" t="n">
        <v>0</v>
      </c>
      <c r="N527" t="n">
        <v>0</v>
      </c>
      <c r="O527" t="n">
        <v>0</v>
      </c>
      <c r="P527" t="n">
        <v>0</v>
      </c>
      <c r="Q527" t="n">
        <v>0</v>
      </c>
      <c r="R527" s="2" t="inlineStr"/>
    </row>
    <row r="528" ht="15" customHeight="1">
      <c r="A528" t="inlineStr">
        <is>
          <t>A 55218-2024</t>
        </is>
      </c>
      <c r="B528" s="1" t="n">
        <v>45621.57195601852</v>
      </c>
      <c r="C528" s="1" t="n">
        <v>45912</v>
      </c>
      <c r="D528" t="inlineStr">
        <is>
          <t>DALARNAS LÄN</t>
        </is>
      </c>
      <c r="E528" t="inlineStr">
        <is>
          <t>LUDVIKA</t>
        </is>
      </c>
      <c r="F528" t="inlineStr">
        <is>
          <t>Naturvårdsverket</t>
        </is>
      </c>
      <c r="G528" t="n">
        <v>1.6</v>
      </c>
      <c r="H528" t="n">
        <v>0</v>
      </c>
      <c r="I528" t="n">
        <v>0</v>
      </c>
      <c r="J528" t="n">
        <v>0</v>
      </c>
      <c r="K528" t="n">
        <v>0</v>
      </c>
      <c r="L528" t="n">
        <v>0</v>
      </c>
      <c r="M528" t="n">
        <v>0</v>
      </c>
      <c r="N528" t="n">
        <v>0</v>
      </c>
      <c r="O528" t="n">
        <v>0</v>
      </c>
      <c r="P528" t="n">
        <v>0</v>
      </c>
      <c r="Q528" t="n">
        <v>0</v>
      </c>
      <c r="R528" s="2" t="inlineStr"/>
    </row>
    <row r="529" ht="15" customHeight="1">
      <c r="A529" t="inlineStr">
        <is>
          <t>A 3280-2024</t>
        </is>
      </c>
      <c r="B529" s="1" t="n">
        <v>45317</v>
      </c>
      <c r="C529" s="1" t="n">
        <v>45912</v>
      </c>
      <c r="D529" t="inlineStr">
        <is>
          <t>DALARNAS LÄN</t>
        </is>
      </c>
      <c r="E529" t="inlineStr">
        <is>
          <t>LUDVIKA</t>
        </is>
      </c>
      <c r="G529" t="n">
        <v>0.4</v>
      </c>
      <c r="H529" t="n">
        <v>0</v>
      </c>
      <c r="I529" t="n">
        <v>0</v>
      </c>
      <c r="J529" t="n">
        <v>0</v>
      </c>
      <c r="K529" t="n">
        <v>0</v>
      </c>
      <c r="L529" t="n">
        <v>0</v>
      </c>
      <c r="M529" t="n">
        <v>0</v>
      </c>
      <c r="N529" t="n">
        <v>0</v>
      </c>
      <c r="O529" t="n">
        <v>0</v>
      </c>
      <c r="P529" t="n">
        <v>0</v>
      </c>
      <c r="Q529" t="n">
        <v>0</v>
      </c>
      <c r="R529" s="2" t="inlineStr"/>
    </row>
    <row r="530" ht="15" customHeight="1">
      <c r="A530" t="inlineStr">
        <is>
          <t>A 5841-2024</t>
        </is>
      </c>
      <c r="B530" s="1" t="n">
        <v>45335.60587962963</v>
      </c>
      <c r="C530" s="1" t="n">
        <v>45912</v>
      </c>
      <c r="D530" t="inlineStr">
        <is>
          <t>DALARNAS LÄN</t>
        </is>
      </c>
      <c r="E530" t="inlineStr">
        <is>
          <t>LUDVIKA</t>
        </is>
      </c>
      <c r="G530" t="n">
        <v>1.6</v>
      </c>
      <c r="H530" t="n">
        <v>0</v>
      </c>
      <c r="I530" t="n">
        <v>0</v>
      </c>
      <c r="J530" t="n">
        <v>0</v>
      </c>
      <c r="K530" t="n">
        <v>0</v>
      </c>
      <c r="L530" t="n">
        <v>0</v>
      </c>
      <c r="M530" t="n">
        <v>0</v>
      </c>
      <c r="N530" t="n">
        <v>0</v>
      </c>
      <c r="O530" t="n">
        <v>0</v>
      </c>
      <c r="P530" t="n">
        <v>0</v>
      </c>
      <c r="Q530" t="n">
        <v>0</v>
      </c>
      <c r="R530" s="2" t="inlineStr"/>
    </row>
    <row r="531" ht="15" customHeight="1">
      <c r="A531" t="inlineStr">
        <is>
          <t>A 41848-2025</t>
        </is>
      </c>
      <c r="B531" s="1" t="n">
        <v>45902.78278935186</v>
      </c>
      <c r="C531" s="1" t="n">
        <v>45912</v>
      </c>
      <c r="D531" t="inlineStr">
        <is>
          <t>DALARNAS LÄN</t>
        </is>
      </c>
      <c r="E531" t="inlineStr">
        <is>
          <t>LUDVIKA</t>
        </is>
      </c>
      <c r="G531" t="n">
        <v>2.9</v>
      </c>
      <c r="H531" t="n">
        <v>0</v>
      </c>
      <c r="I531" t="n">
        <v>0</v>
      </c>
      <c r="J531" t="n">
        <v>0</v>
      </c>
      <c r="K531" t="n">
        <v>0</v>
      </c>
      <c r="L531" t="n">
        <v>0</v>
      </c>
      <c r="M531" t="n">
        <v>0</v>
      </c>
      <c r="N531" t="n">
        <v>0</v>
      </c>
      <c r="O531" t="n">
        <v>0</v>
      </c>
      <c r="P531" t="n">
        <v>0</v>
      </c>
      <c r="Q531" t="n">
        <v>0</v>
      </c>
      <c r="R531" s="2" t="inlineStr"/>
    </row>
    <row r="532" ht="15" customHeight="1">
      <c r="A532" t="inlineStr">
        <is>
          <t>A 41916-2025</t>
        </is>
      </c>
      <c r="B532" s="1" t="n">
        <v>45903.41763888889</v>
      </c>
      <c r="C532" s="1" t="n">
        <v>45912</v>
      </c>
      <c r="D532" t="inlineStr">
        <is>
          <t>DALARNAS LÄN</t>
        </is>
      </c>
      <c r="E532" t="inlineStr">
        <is>
          <t>LUDVIKA</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3470-2025</t>
        </is>
      </c>
      <c r="B533" s="1" t="n">
        <v>45680.5206712963</v>
      </c>
      <c r="C533" s="1" t="n">
        <v>45912</v>
      </c>
      <c r="D533" t="inlineStr">
        <is>
          <t>DALARNAS LÄN</t>
        </is>
      </c>
      <c r="E533" t="inlineStr">
        <is>
          <t>LUDVIKA</t>
        </is>
      </c>
      <c r="G533" t="n">
        <v>0.7</v>
      </c>
      <c r="H533" t="n">
        <v>0</v>
      </c>
      <c r="I533" t="n">
        <v>0</v>
      </c>
      <c r="J533" t="n">
        <v>0</v>
      </c>
      <c r="K533" t="n">
        <v>0</v>
      </c>
      <c r="L533" t="n">
        <v>0</v>
      </c>
      <c r="M533" t="n">
        <v>0</v>
      </c>
      <c r="N533" t="n">
        <v>0</v>
      </c>
      <c r="O533" t="n">
        <v>0</v>
      </c>
      <c r="P533" t="n">
        <v>0</v>
      </c>
      <c r="Q533" t="n">
        <v>0</v>
      </c>
      <c r="R533" s="2" t="inlineStr"/>
    </row>
    <row r="534" ht="15" customHeight="1">
      <c r="A534" t="inlineStr">
        <is>
          <t>A 36296-2023</t>
        </is>
      </c>
      <c r="B534" s="1" t="n">
        <v>45152.3591087963</v>
      </c>
      <c r="C534" s="1" t="n">
        <v>45912</v>
      </c>
      <c r="D534" t="inlineStr">
        <is>
          <t>DALARNAS LÄN</t>
        </is>
      </c>
      <c r="E534" t="inlineStr">
        <is>
          <t>LUDVIKA</t>
        </is>
      </c>
      <c r="F534" t="inlineStr">
        <is>
          <t>Bergvik skog väst AB</t>
        </is>
      </c>
      <c r="G534" t="n">
        <v>2.4</v>
      </c>
      <c r="H534" t="n">
        <v>0</v>
      </c>
      <c r="I534" t="n">
        <v>0</v>
      </c>
      <c r="J534" t="n">
        <v>0</v>
      </c>
      <c r="K534" t="n">
        <v>0</v>
      </c>
      <c r="L534" t="n">
        <v>0</v>
      </c>
      <c r="M534" t="n">
        <v>0</v>
      </c>
      <c r="N534" t="n">
        <v>0</v>
      </c>
      <c r="O534" t="n">
        <v>0</v>
      </c>
      <c r="P534" t="n">
        <v>0</v>
      </c>
      <c r="Q534" t="n">
        <v>0</v>
      </c>
      <c r="R534" s="2" t="inlineStr"/>
    </row>
    <row r="535" ht="15" customHeight="1">
      <c r="A535" t="inlineStr">
        <is>
          <t>A 48288-2023</t>
        </is>
      </c>
      <c r="B535" s="1" t="n">
        <v>45205.5616087963</v>
      </c>
      <c r="C535" s="1" t="n">
        <v>45912</v>
      </c>
      <c r="D535" t="inlineStr">
        <is>
          <t>DALARNAS LÄN</t>
        </is>
      </c>
      <c r="E535" t="inlineStr">
        <is>
          <t>LUDVIKA</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57307-2024</t>
        </is>
      </c>
      <c r="B536" s="1" t="n">
        <v>45629.60449074074</v>
      </c>
      <c r="C536" s="1" t="n">
        <v>45912</v>
      </c>
      <c r="D536" t="inlineStr">
        <is>
          <t>DALARNAS LÄN</t>
        </is>
      </c>
      <c r="E536" t="inlineStr">
        <is>
          <t>LUDVIKA</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42005-2025</t>
        </is>
      </c>
      <c r="B537" s="1" t="n">
        <v>45903.55486111111</v>
      </c>
      <c r="C537" s="1" t="n">
        <v>45912</v>
      </c>
      <c r="D537" t="inlineStr">
        <is>
          <t>DALARNAS LÄN</t>
        </is>
      </c>
      <c r="E537" t="inlineStr">
        <is>
          <t>LUDVIKA</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48352-2023</t>
        </is>
      </c>
      <c r="B538" s="1" t="n">
        <v>45205</v>
      </c>
      <c r="C538" s="1" t="n">
        <v>45912</v>
      </c>
      <c r="D538" t="inlineStr">
        <is>
          <t>DALARNAS LÄN</t>
        </is>
      </c>
      <c r="E538" t="inlineStr">
        <is>
          <t>LUDVIKA</t>
        </is>
      </c>
      <c r="F538" t="inlineStr">
        <is>
          <t>Bergvik skog väst AB</t>
        </is>
      </c>
      <c r="G538" t="n">
        <v>12.8</v>
      </c>
      <c r="H538" t="n">
        <v>0</v>
      </c>
      <c r="I538" t="n">
        <v>0</v>
      </c>
      <c r="J538" t="n">
        <v>0</v>
      </c>
      <c r="K538" t="n">
        <v>0</v>
      </c>
      <c r="L538" t="n">
        <v>0</v>
      </c>
      <c r="M538" t="n">
        <v>0</v>
      </c>
      <c r="N538" t="n">
        <v>0</v>
      </c>
      <c r="O538" t="n">
        <v>0</v>
      </c>
      <c r="P538" t="n">
        <v>0</v>
      </c>
      <c r="Q538" t="n">
        <v>0</v>
      </c>
      <c r="R538" s="2" t="inlineStr"/>
    </row>
    <row r="539" ht="15" customHeight="1">
      <c r="A539" t="inlineStr">
        <is>
          <t>A 59667-2024</t>
        </is>
      </c>
      <c r="B539" s="1" t="n">
        <v>45639</v>
      </c>
      <c r="C539" s="1" t="n">
        <v>45912</v>
      </c>
      <c r="D539" t="inlineStr">
        <is>
          <t>DALARNAS LÄN</t>
        </is>
      </c>
      <c r="E539" t="inlineStr">
        <is>
          <t>LUDVIKA</t>
        </is>
      </c>
      <c r="F539" t="inlineStr">
        <is>
          <t>Bergvik skog väst AB</t>
        </is>
      </c>
      <c r="G539" t="n">
        <v>1.6</v>
      </c>
      <c r="H539" t="n">
        <v>0</v>
      </c>
      <c r="I539" t="n">
        <v>0</v>
      </c>
      <c r="J539" t="n">
        <v>0</v>
      </c>
      <c r="K539" t="n">
        <v>0</v>
      </c>
      <c r="L539" t="n">
        <v>0</v>
      </c>
      <c r="M539" t="n">
        <v>0</v>
      </c>
      <c r="N539" t="n">
        <v>0</v>
      </c>
      <c r="O539" t="n">
        <v>0</v>
      </c>
      <c r="P539" t="n">
        <v>0</v>
      </c>
      <c r="Q539" t="n">
        <v>0</v>
      </c>
      <c r="R539" s="2" t="inlineStr"/>
    </row>
    <row r="540" ht="15" customHeight="1">
      <c r="A540" t="inlineStr">
        <is>
          <t>A 32329-2024</t>
        </is>
      </c>
      <c r="B540" s="1" t="n">
        <v>45512</v>
      </c>
      <c r="C540" s="1" t="n">
        <v>45912</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41900-2025</t>
        </is>
      </c>
      <c r="B541" s="1" t="n">
        <v>45903.39708333334</v>
      </c>
      <c r="C541" s="1" t="n">
        <v>45912</v>
      </c>
      <c r="D541" t="inlineStr">
        <is>
          <t>DALARNAS LÄN</t>
        </is>
      </c>
      <c r="E541" t="inlineStr">
        <is>
          <t>LUDVIKA</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2838-2022</t>
        </is>
      </c>
      <c r="B542" s="1" t="n">
        <v>44581</v>
      </c>
      <c r="C542" s="1" t="n">
        <v>45912</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41828-2025</t>
        </is>
      </c>
      <c r="B543" s="1" t="n">
        <v>45902.67721064815</v>
      </c>
      <c r="C543" s="1" t="n">
        <v>45912</v>
      </c>
      <c r="D543" t="inlineStr">
        <is>
          <t>DALARNAS LÄN</t>
        </is>
      </c>
      <c r="E543" t="inlineStr">
        <is>
          <t>LUDVIKA</t>
        </is>
      </c>
      <c r="G543" t="n">
        <v>1.7</v>
      </c>
      <c r="H543" t="n">
        <v>0</v>
      </c>
      <c r="I543" t="n">
        <v>0</v>
      </c>
      <c r="J543" t="n">
        <v>0</v>
      </c>
      <c r="K543" t="n">
        <v>0</v>
      </c>
      <c r="L543" t="n">
        <v>0</v>
      </c>
      <c r="M543" t="n">
        <v>0</v>
      </c>
      <c r="N543" t="n">
        <v>0</v>
      </c>
      <c r="O543" t="n">
        <v>0</v>
      </c>
      <c r="P543" t="n">
        <v>0</v>
      </c>
      <c r="Q543" t="n">
        <v>0</v>
      </c>
      <c r="R543" s="2" t="inlineStr"/>
    </row>
    <row r="544" ht="15" customHeight="1">
      <c r="A544" t="inlineStr">
        <is>
          <t>A 32277-2024</t>
        </is>
      </c>
      <c r="B544" s="1" t="n">
        <v>45512.3703125</v>
      </c>
      <c r="C544" s="1" t="n">
        <v>45912</v>
      </c>
      <c r="D544" t="inlineStr">
        <is>
          <t>DALARNAS LÄN</t>
        </is>
      </c>
      <c r="E544" t="inlineStr">
        <is>
          <t>LUDVIKA</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46074-2023</t>
        </is>
      </c>
      <c r="B545" s="1" t="n">
        <v>45196.46915509259</v>
      </c>
      <c r="C545" s="1" t="n">
        <v>45912</v>
      </c>
      <c r="D545" t="inlineStr">
        <is>
          <t>DALARNAS LÄN</t>
        </is>
      </c>
      <c r="E545" t="inlineStr">
        <is>
          <t>LUDVIKA</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51029-2024</t>
        </is>
      </c>
      <c r="B546" s="1" t="n">
        <v>45603.42096064815</v>
      </c>
      <c r="C546" s="1" t="n">
        <v>45912</v>
      </c>
      <c r="D546" t="inlineStr">
        <is>
          <t>DALARNAS LÄN</t>
        </is>
      </c>
      <c r="E546" t="inlineStr">
        <is>
          <t>LUDVIKA</t>
        </is>
      </c>
      <c r="F546" t="inlineStr">
        <is>
          <t>Bergvik skog väst AB</t>
        </is>
      </c>
      <c r="G546" t="n">
        <v>3.4</v>
      </c>
      <c r="H546" t="n">
        <v>0</v>
      </c>
      <c r="I546" t="n">
        <v>0</v>
      </c>
      <c r="J546" t="n">
        <v>0</v>
      </c>
      <c r="K546" t="n">
        <v>0</v>
      </c>
      <c r="L546" t="n">
        <v>0</v>
      </c>
      <c r="M546" t="n">
        <v>0</v>
      </c>
      <c r="N546" t="n">
        <v>0</v>
      </c>
      <c r="O546" t="n">
        <v>0</v>
      </c>
      <c r="P546" t="n">
        <v>0</v>
      </c>
      <c r="Q546" t="n">
        <v>0</v>
      </c>
      <c r="R546" s="2" t="inlineStr"/>
    </row>
    <row r="547" ht="15" customHeight="1">
      <c r="A547" t="inlineStr">
        <is>
          <t>A 40125-2024</t>
        </is>
      </c>
      <c r="B547" s="1" t="n">
        <v>45554.46881944445</v>
      </c>
      <c r="C547" s="1" t="n">
        <v>45912</v>
      </c>
      <c r="D547" t="inlineStr">
        <is>
          <t>DALARNAS LÄN</t>
        </is>
      </c>
      <c r="E547" t="inlineStr">
        <is>
          <t>LUDVIKA</t>
        </is>
      </c>
      <c r="G547" t="n">
        <v>1</v>
      </c>
      <c r="H547" t="n">
        <v>0</v>
      </c>
      <c r="I547" t="n">
        <v>0</v>
      </c>
      <c r="J547" t="n">
        <v>0</v>
      </c>
      <c r="K547" t="n">
        <v>0</v>
      </c>
      <c r="L547" t="n">
        <v>0</v>
      </c>
      <c r="M547" t="n">
        <v>0</v>
      </c>
      <c r="N547" t="n">
        <v>0</v>
      </c>
      <c r="O547" t="n">
        <v>0</v>
      </c>
      <c r="P547" t="n">
        <v>0</v>
      </c>
      <c r="Q547" t="n">
        <v>0</v>
      </c>
      <c r="R547" s="2" t="inlineStr"/>
    </row>
    <row r="548" ht="15" customHeight="1">
      <c r="A548" t="inlineStr">
        <is>
          <t>A 16187-2021</t>
        </is>
      </c>
      <c r="B548" s="1" t="n">
        <v>44292</v>
      </c>
      <c r="C548" s="1" t="n">
        <v>45912</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59206-2023</t>
        </is>
      </c>
      <c r="B549" s="1" t="n">
        <v>45253.47579861111</v>
      </c>
      <c r="C549" s="1" t="n">
        <v>45912</v>
      </c>
      <c r="D549" t="inlineStr">
        <is>
          <t>DALARNAS LÄN</t>
        </is>
      </c>
      <c r="E549" t="inlineStr">
        <is>
          <t>LUDVIKA</t>
        </is>
      </c>
      <c r="F549" t="inlineStr">
        <is>
          <t>Bergvik skog väst AB</t>
        </is>
      </c>
      <c r="G549" t="n">
        <v>2.2</v>
      </c>
      <c r="H549" t="n">
        <v>0</v>
      </c>
      <c r="I549" t="n">
        <v>0</v>
      </c>
      <c r="J549" t="n">
        <v>0</v>
      </c>
      <c r="K549" t="n">
        <v>0</v>
      </c>
      <c r="L549" t="n">
        <v>0</v>
      </c>
      <c r="M549" t="n">
        <v>0</v>
      </c>
      <c r="N549" t="n">
        <v>0</v>
      </c>
      <c r="O549" t="n">
        <v>0</v>
      </c>
      <c r="P549" t="n">
        <v>0</v>
      </c>
      <c r="Q549" t="n">
        <v>0</v>
      </c>
      <c r="R549" s="2" t="inlineStr"/>
    </row>
    <row r="550" ht="15" customHeight="1">
      <c r="A550" t="inlineStr">
        <is>
          <t>A 20368-2025</t>
        </is>
      </c>
      <c r="B550" s="1" t="n">
        <v>45775.41047453704</v>
      </c>
      <c r="C550" s="1" t="n">
        <v>45912</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42264-2025</t>
        </is>
      </c>
      <c r="B551" s="1" t="n">
        <v>45904.59947916667</v>
      </c>
      <c r="C551" s="1" t="n">
        <v>45912</v>
      </c>
      <c r="D551" t="inlineStr">
        <is>
          <t>DALARNAS LÄN</t>
        </is>
      </c>
      <c r="E551" t="inlineStr">
        <is>
          <t>LUDVIKA</t>
        </is>
      </c>
      <c r="F551" t="inlineStr">
        <is>
          <t>Bergvik skog väst AB</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18435-2025</t>
        </is>
      </c>
      <c r="B552" s="1" t="n">
        <v>45762</v>
      </c>
      <c r="C552" s="1" t="n">
        <v>45912</v>
      </c>
      <c r="D552" t="inlineStr">
        <is>
          <t>DALARNAS LÄN</t>
        </is>
      </c>
      <c r="E552" t="inlineStr">
        <is>
          <t>LUDVIKA</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52230-2023</t>
        </is>
      </c>
      <c r="B553" s="1" t="n">
        <v>45224</v>
      </c>
      <c r="C553" s="1" t="n">
        <v>45912</v>
      </c>
      <c r="D553" t="inlineStr">
        <is>
          <t>DALARNAS LÄN</t>
        </is>
      </c>
      <c r="E553" t="inlineStr">
        <is>
          <t>LUDVIKA</t>
        </is>
      </c>
      <c r="G553" t="n">
        <v>3.5</v>
      </c>
      <c r="H553" t="n">
        <v>0</v>
      </c>
      <c r="I553" t="n">
        <v>0</v>
      </c>
      <c r="J553" t="n">
        <v>0</v>
      </c>
      <c r="K553" t="n">
        <v>0</v>
      </c>
      <c r="L553" t="n">
        <v>0</v>
      </c>
      <c r="M553" t="n">
        <v>0</v>
      </c>
      <c r="N553" t="n">
        <v>0</v>
      </c>
      <c r="O553" t="n">
        <v>0</v>
      </c>
      <c r="P553" t="n">
        <v>0</v>
      </c>
      <c r="Q553" t="n">
        <v>0</v>
      </c>
      <c r="R553" s="2" t="inlineStr"/>
    </row>
    <row r="554" ht="15" customHeight="1">
      <c r="A554" t="inlineStr">
        <is>
          <t>A 19030-2024</t>
        </is>
      </c>
      <c r="B554" s="1" t="n">
        <v>45427.67321759259</v>
      </c>
      <c r="C554" s="1" t="n">
        <v>45912</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35958-2025</t>
        </is>
      </c>
      <c r="B555" s="1" t="n">
        <v>45863</v>
      </c>
      <c r="C555" s="1" t="n">
        <v>45912</v>
      </c>
      <c r="D555" t="inlineStr">
        <is>
          <t>DALARNAS LÄN</t>
        </is>
      </c>
      <c r="E555" t="inlineStr">
        <is>
          <t>LUDVIKA</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35962-2025</t>
        </is>
      </c>
      <c r="B556" s="1" t="n">
        <v>45863</v>
      </c>
      <c r="C556" s="1" t="n">
        <v>45912</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43839-2023</t>
        </is>
      </c>
      <c r="B557" s="1" t="n">
        <v>45187.58707175926</v>
      </c>
      <c r="C557" s="1" t="n">
        <v>45912</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36527-2024</t>
        </is>
      </c>
      <c r="B558" s="1" t="n">
        <v>45537.44119212963</v>
      </c>
      <c r="C558" s="1" t="n">
        <v>45912</v>
      </c>
      <c r="D558" t="inlineStr">
        <is>
          <t>DALARNAS LÄN</t>
        </is>
      </c>
      <c r="E558" t="inlineStr">
        <is>
          <t>LUDVIKA</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35876-2025</t>
        </is>
      </c>
      <c r="B559" s="1" t="n">
        <v>45862</v>
      </c>
      <c r="C559" s="1" t="n">
        <v>45912</v>
      </c>
      <c r="D559" t="inlineStr">
        <is>
          <t>DALARNAS LÄN</t>
        </is>
      </c>
      <c r="E559" t="inlineStr">
        <is>
          <t>LUDVIKA</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35957-2025</t>
        </is>
      </c>
      <c r="B560" s="1" t="n">
        <v>45863</v>
      </c>
      <c r="C560" s="1" t="n">
        <v>45912</v>
      </c>
      <c r="D560" t="inlineStr">
        <is>
          <t>DALARNAS LÄN</t>
        </is>
      </c>
      <c r="E560" t="inlineStr">
        <is>
          <t>LUDVIKA</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42337-2025</t>
        </is>
      </c>
      <c r="B561" s="1" t="n">
        <v>45904.70763888889</v>
      </c>
      <c r="C561" s="1" t="n">
        <v>45912</v>
      </c>
      <c r="D561" t="inlineStr">
        <is>
          <t>DALARNAS LÄN</t>
        </is>
      </c>
      <c r="E561" t="inlineStr">
        <is>
          <t>LUDVIKA</t>
        </is>
      </c>
      <c r="G561" t="n">
        <v>9.4</v>
      </c>
      <c r="H561" t="n">
        <v>0</v>
      </c>
      <c r="I561" t="n">
        <v>0</v>
      </c>
      <c r="J561" t="n">
        <v>0</v>
      </c>
      <c r="K561" t="n">
        <v>0</v>
      </c>
      <c r="L561" t="n">
        <v>0</v>
      </c>
      <c r="M561" t="n">
        <v>0</v>
      </c>
      <c r="N561" t="n">
        <v>0</v>
      </c>
      <c r="O561" t="n">
        <v>0</v>
      </c>
      <c r="P561" t="n">
        <v>0</v>
      </c>
      <c r="Q561" t="n">
        <v>0</v>
      </c>
      <c r="R561" s="2" t="inlineStr"/>
    </row>
    <row r="562" ht="15" customHeight="1">
      <c r="A562" t="inlineStr">
        <is>
          <t>A 42346-2025</t>
        </is>
      </c>
      <c r="B562" s="1" t="n">
        <v>45904.75224537037</v>
      </c>
      <c r="C562" s="1" t="n">
        <v>45912</v>
      </c>
      <c r="D562" t="inlineStr">
        <is>
          <t>DALARNAS LÄN</t>
        </is>
      </c>
      <c r="E562" t="inlineStr">
        <is>
          <t>LUDVIKA</t>
        </is>
      </c>
      <c r="G562" t="n">
        <v>3</v>
      </c>
      <c r="H562" t="n">
        <v>0</v>
      </c>
      <c r="I562" t="n">
        <v>0</v>
      </c>
      <c r="J562" t="n">
        <v>0</v>
      </c>
      <c r="K562" t="n">
        <v>0</v>
      </c>
      <c r="L562" t="n">
        <v>0</v>
      </c>
      <c r="M562" t="n">
        <v>0</v>
      </c>
      <c r="N562" t="n">
        <v>0</v>
      </c>
      <c r="O562" t="n">
        <v>0</v>
      </c>
      <c r="P562" t="n">
        <v>0</v>
      </c>
      <c r="Q562" t="n">
        <v>0</v>
      </c>
      <c r="R562" s="2" t="inlineStr"/>
    </row>
    <row r="563" ht="15" customHeight="1">
      <c r="A563" t="inlineStr">
        <is>
          <t>A 58071-2024</t>
        </is>
      </c>
      <c r="B563" s="1" t="n">
        <v>45631.99221064815</v>
      </c>
      <c r="C563" s="1" t="n">
        <v>45912</v>
      </c>
      <c r="D563" t="inlineStr">
        <is>
          <t>DALARNAS LÄN</t>
        </is>
      </c>
      <c r="E563" t="inlineStr">
        <is>
          <t>LUDVIKA</t>
        </is>
      </c>
      <c r="G563" t="n">
        <v>1.6</v>
      </c>
      <c r="H563" t="n">
        <v>0</v>
      </c>
      <c r="I563" t="n">
        <v>0</v>
      </c>
      <c r="J563" t="n">
        <v>0</v>
      </c>
      <c r="K563" t="n">
        <v>0</v>
      </c>
      <c r="L563" t="n">
        <v>0</v>
      </c>
      <c r="M563" t="n">
        <v>0</v>
      </c>
      <c r="N563" t="n">
        <v>0</v>
      </c>
      <c r="O563" t="n">
        <v>0</v>
      </c>
      <c r="P563" t="n">
        <v>0</v>
      </c>
      <c r="Q563" t="n">
        <v>0</v>
      </c>
      <c r="R563" s="2" t="inlineStr"/>
    </row>
    <row r="564" ht="15" customHeight="1">
      <c r="A564" t="inlineStr">
        <is>
          <t>A 31010-2025</t>
        </is>
      </c>
      <c r="B564" s="1" t="n">
        <v>45832</v>
      </c>
      <c r="C564" s="1" t="n">
        <v>45912</v>
      </c>
      <c r="D564" t="inlineStr">
        <is>
          <t>DALARNAS LÄN</t>
        </is>
      </c>
      <c r="E564" t="inlineStr">
        <is>
          <t>LUDVIKA</t>
        </is>
      </c>
      <c r="F564" t="inlineStr">
        <is>
          <t>Bergvik skog väst AB</t>
        </is>
      </c>
      <c r="G564" t="n">
        <v>5.6</v>
      </c>
      <c r="H564" t="n">
        <v>0</v>
      </c>
      <c r="I564" t="n">
        <v>0</v>
      </c>
      <c r="J564" t="n">
        <v>0</v>
      </c>
      <c r="K564" t="n">
        <v>0</v>
      </c>
      <c r="L564" t="n">
        <v>0</v>
      </c>
      <c r="M564" t="n">
        <v>0</v>
      </c>
      <c r="N564" t="n">
        <v>0</v>
      </c>
      <c r="O564" t="n">
        <v>0</v>
      </c>
      <c r="P564" t="n">
        <v>0</v>
      </c>
      <c r="Q564" t="n">
        <v>0</v>
      </c>
      <c r="R564" s="2" t="inlineStr"/>
    </row>
    <row r="565" ht="15" customHeight="1">
      <c r="A565" t="inlineStr">
        <is>
          <t>A 31057-2025</t>
        </is>
      </c>
      <c r="B565" s="1" t="n">
        <v>45832</v>
      </c>
      <c r="C565" s="1" t="n">
        <v>45912</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30113-2023</t>
        </is>
      </c>
      <c r="B566" s="1" t="n">
        <v>45110</v>
      </c>
      <c r="C566" s="1" t="n">
        <v>45912</v>
      </c>
      <c r="D566" t="inlineStr">
        <is>
          <t>DALARNAS LÄN</t>
        </is>
      </c>
      <c r="E566" t="inlineStr">
        <is>
          <t>LUDVIKA</t>
        </is>
      </c>
      <c r="G566" t="n">
        <v>3.3</v>
      </c>
      <c r="H566" t="n">
        <v>0</v>
      </c>
      <c r="I566" t="n">
        <v>0</v>
      </c>
      <c r="J566" t="n">
        <v>0</v>
      </c>
      <c r="K566" t="n">
        <v>0</v>
      </c>
      <c r="L566" t="n">
        <v>0</v>
      </c>
      <c r="M566" t="n">
        <v>0</v>
      </c>
      <c r="N566" t="n">
        <v>0</v>
      </c>
      <c r="O566" t="n">
        <v>0</v>
      </c>
      <c r="P566" t="n">
        <v>0</v>
      </c>
      <c r="Q566" t="n">
        <v>0</v>
      </c>
      <c r="R566" s="2" t="inlineStr"/>
    </row>
    <row r="567" ht="15" customHeight="1">
      <c r="A567" t="inlineStr">
        <is>
          <t>A 25273-2022</t>
        </is>
      </c>
      <c r="B567" s="1" t="n">
        <v>44729.99359953704</v>
      </c>
      <c r="C567" s="1" t="n">
        <v>45912</v>
      </c>
      <c r="D567" t="inlineStr">
        <is>
          <t>DALARNAS LÄN</t>
        </is>
      </c>
      <c r="E567" t="inlineStr">
        <is>
          <t>LUDVIKA</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51208-2023</t>
        </is>
      </c>
      <c r="B568" s="1" t="n">
        <v>45219.4410300926</v>
      </c>
      <c r="C568" s="1" t="n">
        <v>45912</v>
      </c>
      <c r="D568" t="inlineStr">
        <is>
          <t>DALARNAS LÄN</t>
        </is>
      </c>
      <c r="E568" t="inlineStr">
        <is>
          <t>LUDVIKA</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31050-2025</t>
        </is>
      </c>
      <c r="B569" s="1" t="n">
        <v>45832</v>
      </c>
      <c r="C569" s="1" t="n">
        <v>45912</v>
      </c>
      <c r="D569" t="inlineStr">
        <is>
          <t>DALARNAS LÄN</t>
        </is>
      </c>
      <c r="E569" t="inlineStr">
        <is>
          <t>LUDVIKA</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33001-2025</t>
        </is>
      </c>
      <c r="B570" s="1" t="n">
        <v>45840</v>
      </c>
      <c r="C570" s="1" t="n">
        <v>45912</v>
      </c>
      <c r="D570" t="inlineStr">
        <is>
          <t>DALARNAS LÄN</t>
        </is>
      </c>
      <c r="E570" t="inlineStr">
        <is>
          <t>LUDVIKA</t>
        </is>
      </c>
      <c r="F570" t="inlineStr">
        <is>
          <t>Bergvik skog väst AB</t>
        </is>
      </c>
      <c r="G570" t="n">
        <v>4.1</v>
      </c>
      <c r="H570" t="n">
        <v>0</v>
      </c>
      <c r="I570" t="n">
        <v>0</v>
      </c>
      <c r="J570" t="n">
        <v>0</v>
      </c>
      <c r="K570" t="n">
        <v>0</v>
      </c>
      <c r="L570" t="n">
        <v>0</v>
      </c>
      <c r="M570" t="n">
        <v>0</v>
      </c>
      <c r="N570" t="n">
        <v>0</v>
      </c>
      <c r="O570" t="n">
        <v>0</v>
      </c>
      <c r="P570" t="n">
        <v>0</v>
      </c>
      <c r="Q570" t="n">
        <v>0</v>
      </c>
      <c r="R570" s="2" t="inlineStr"/>
    </row>
    <row r="571" ht="15" customHeight="1">
      <c r="A571" t="inlineStr">
        <is>
          <t>A 33122-2025</t>
        </is>
      </c>
      <c r="B571" s="1" t="n">
        <v>45840</v>
      </c>
      <c r="C571" s="1" t="n">
        <v>45912</v>
      </c>
      <c r="D571" t="inlineStr">
        <is>
          <t>DALARNAS LÄN</t>
        </is>
      </c>
      <c r="E571" t="inlineStr">
        <is>
          <t>LUDVIKA</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42996-2025</t>
        </is>
      </c>
      <c r="B572" s="1" t="n">
        <v>45909.45607638889</v>
      </c>
      <c r="C572" s="1" t="n">
        <v>45912</v>
      </c>
      <c r="D572" t="inlineStr">
        <is>
          <t>DALARNAS LÄN</t>
        </is>
      </c>
      <c r="E572" t="inlineStr">
        <is>
          <t>LUDVIKA</t>
        </is>
      </c>
      <c r="G572" t="n">
        <v>0.5</v>
      </c>
      <c r="H572" t="n">
        <v>0</v>
      </c>
      <c r="I572" t="n">
        <v>0</v>
      </c>
      <c r="J572" t="n">
        <v>0</v>
      </c>
      <c r="K572" t="n">
        <v>0</v>
      </c>
      <c r="L572" t="n">
        <v>0</v>
      </c>
      <c r="M572" t="n">
        <v>0</v>
      </c>
      <c r="N572" t="n">
        <v>0</v>
      </c>
      <c r="O572" t="n">
        <v>0</v>
      </c>
      <c r="P572" t="n">
        <v>0</v>
      </c>
      <c r="Q572" t="n">
        <v>0</v>
      </c>
      <c r="R572" s="2" t="inlineStr"/>
    </row>
    <row r="573" ht="15" customHeight="1">
      <c r="A573" t="inlineStr">
        <is>
          <t>A 5673-2023</t>
        </is>
      </c>
      <c r="B573" s="1" t="n">
        <v>44960.65702546296</v>
      </c>
      <c r="C573" s="1" t="n">
        <v>45912</v>
      </c>
      <c r="D573" t="inlineStr">
        <is>
          <t>DALARNAS LÄN</t>
        </is>
      </c>
      <c r="E573" t="inlineStr">
        <is>
          <t>LUDVIKA</t>
        </is>
      </c>
      <c r="F573" t="inlineStr">
        <is>
          <t>Naturvårdsverket</t>
        </is>
      </c>
      <c r="G573" t="n">
        <v>0.7</v>
      </c>
      <c r="H573" t="n">
        <v>0</v>
      </c>
      <c r="I573" t="n">
        <v>0</v>
      </c>
      <c r="J573" t="n">
        <v>0</v>
      </c>
      <c r="K573" t="n">
        <v>0</v>
      </c>
      <c r="L573" t="n">
        <v>0</v>
      </c>
      <c r="M573" t="n">
        <v>0</v>
      </c>
      <c r="N573" t="n">
        <v>0</v>
      </c>
      <c r="O573" t="n">
        <v>0</v>
      </c>
      <c r="P573" t="n">
        <v>0</v>
      </c>
      <c r="Q573" t="n">
        <v>0</v>
      </c>
      <c r="R573" s="2" t="inlineStr"/>
    </row>
    <row r="574" ht="15" customHeight="1">
      <c r="A574" t="inlineStr">
        <is>
          <t>A 23245-2021</t>
        </is>
      </c>
      <c r="B574" s="1" t="n">
        <v>44333</v>
      </c>
      <c r="C574" s="1" t="n">
        <v>45912</v>
      </c>
      <c r="D574" t="inlineStr">
        <is>
          <t>DALARNAS LÄN</t>
        </is>
      </c>
      <c r="E574" t="inlineStr">
        <is>
          <t>LUDVIKA</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34823-2025</t>
        </is>
      </c>
      <c r="B575" s="1" t="n">
        <v>45849</v>
      </c>
      <c r="C575" s="1" t="n">
        <v>45912</v>
      </c>
      <c r="D575" t="inlineStr">
        <is>
          <t>DALARNAS LÄN</t>
        </is>
      </c>
      <c r="E575" t="inlineStr">
        <is>
          <t>LUDVIKA</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5576-2024</t>
        </is>
      </c>
      <c r="B576" s="1" t="n">
        <v>45334</v>
      </c>
      <c r="C576" s="1" t="n">
        <v>45912</v>
      </c>
      <c r="D576" t="inlineStr">
        <is>
          <t>DALARNAS LÄN</t>
        </is>
      </c>
      <c r="E576" t="inlineStr">
        <is>
          <t>LUDVIKA</t>
        </is>
      </c>
      <c r="G576" t="n">
        <v>7</v>
      </c>
      <c r="H576" t="n">
        <v>0</v>
      </c>
      <c r="I576" t="n">
        <v>0</v>
      </c>
      <c r="J576" t="n">
        <v>0</v>
      </c>
      <c r="K576" t="n">
        <v>0</v>
      </c>
      <c r="L576" t="n">
        <v>0</v>
      </c>
      <c r="M576" t="n">
        <v>0</v>
      </c>
      <c r="N576" t="n">
        <v>0</v>
      </c>
      <c r="O576" t="n">
        <v>0</v>
      </c>
      <c r="P576" t="n">
        <v>0</v>
      </c>
      <c r="Q576" t="n">
        <v>0</v>
      </c>
      <c r="R576" s="2" t="inlineStr"/>
    </row>
    <row r="577" ht="15" customHeight="1">
      <c r="A577" t="inlineStr">
        <is>
          <t>A 42985-2025</t>
        </is>
      </c>
      <c r="B577" s="1" t="n">
        <v>45909.44322916667</v>
      </c>
      <c r="C577" s="1" t="n">
        <v>45912</v>
      </c>
      <c r="D577" t="inlineStr">
        <is>
          <t>DALARNAS LÄN</t>
        </is>
      </c>
      <c r="E577" t="inlineStr">
        <is>
          <t>LUDVIKA</t>
        </is>
      </c>
      <c r="G577" t="n">
        <v>1.7</v>
      </c>
      <c r="H577" t="n">
        <v>0</v>
      </c>
      <c r="I577" t="n">
        <v>0</v>
      </c>
      <c r="J577" t="n">
        <v>0</v>
      </c>
      <c r="K577" t="n">
        <v>0</v>
      </c>
      <c r="L577" t="n">
        <v>0</v>
      </c>
      <c r="M577" t="n">
        <v>0</v>
      </c>
      <c r="N577" t="n">
        <v>0</v>
      </c>
      <c r="O577" t="n">
        <v>0</v>
      </c>
      <c r="P577" t="n">
        <v>0</v>
      </c>
      <c r="Q577" t="n">
        <v>0</v>
      </c>
      <c r="R577" s="2" t="inlineStr"/>
    </row>
    <row r="578" ht="15" customHeight="1">
      <c r="A578" t="inlineStr">
        <is>
          <t>A 33127-2025</t>
        </is>
      </c>
      <c r="B578" s="1" t="n">
        <v>45840</v>
      </c>
      <c r="C578" s="1" t="n">
        <v>45912</v>
      </c>
      <c r="D578" t="inlineStr">
        <is>
          <t>DALARNAS LÄN</t>
        </is>
      </c>
      <c r="E578" t="inlineStr">
        <is>
          <t>LUDVIKA</t>
        </is>
      </c>
      <c r="F578" t="inlineStr">
        <is>
          <t>Bergvik skog väst AB</t>
        </is>
      </c>
      <c r="G578" t="n">
        <v>0.9</v>
      </c>
      <c r="H578" t="n">
        <v>0</v>
      </c>
      <c r="I578" t="n">
        <v>0</v>
      </c>
      <c r="J578" t="n">
        <v>0</v>
      </c>
      <c r="K578" t="n">
        <v>0</v>
      </c>
      <c r="L578" t="n">
        <v>0</v>
      </c>
      <c r="M578" t="n">
        <v>0</v>
      </c>
      <c r="N578" t="n">
        <v>0</v>
      </c>
      <c r="O578" t="n">
        <v>0</v>
      </c>
      <c r="P578" t="n">
        <v>0</v>
      </c>
      <c r="Q578" t="n">
        <v>0</v>
      </c>
      <c r="R578" s="2" t="inlineStr"/>
    </row>
    <row r="579" ht="15" customHeight="1">
      <c r="A579" t="inlineStr">
        <is>
          <t>A 17677-2022</t>
        </is>
      </c>
      <c r="B579" s="1" t="n">
        <v>44680</v>
      </c>
      <c r="C579" s="1" t="n">
        <v>45912</v>
      </c>
      <c r="D579" t="inlineStr">
        <is>
          <t>DALARNAS LÄN</t>
        </is>
      </c>
      <c r="E579" t="inlineStr">
        <is>
          <t>LUDVIKA</t>
        </is>
      </c>
      <c r="F579" t="inlineStr">
        <is>
          <t>Bergvik skog väst AB</t>
        </is>
      </c>
      <c r="G579" t="n">
        <v>5.5</v>
      </c>
      <c r="H579" t="n">
        <v>0</v>
      </c>
      <c r="I579" t="n">
        <v>0</v>
      </c>
      <c r="J579" t="n">
        <v>0</v>
      </c>
      <c r="K579" t="n">
        <v>0</v>
      </c>
      <c r="L579" t="n">
        <v>0</v>
      </c>
      <c r="M579" t="n">
        <v>0</v>
      </c>
      <c r="N579" t="n">
        <v>0</v>
      </c>
      <c r="O579" t="n">
        <v>0</v>
      </c>
      <c r="P579" t="n">
        <v>0</v>
      </c>
      <c r="Q579" t="n">
        <v>0</v>
      </c>
      <c r="R579" s="2" t="inlineStr"/>
    </row>
    <row r="580" ht="15" customHeight="1">
      <c r="A580" t="inlineStr">
        <is>
          <t>A 12497-2024</t>
        </is>
      </c>
      <c r="B580" s="1" t="n">
        <v>45379.57112268519</v>
      </c>
      <c r="C580" s="1" t="n">
        <v>45912</v>
      </c>
      <c r="D580" t="inlineStr">
        <is>
          <t>DALARNAS LÄN</t>
        </is>
      </c>
      <c r="E580" t="inlineStr">
        <is>
          <t>LUDVIKA</t>
        </is>
      </c>
      <c r="F580" t="inlineStr">
        <is>
          <t>Naturvårdsverket</t>
        </is>
      </c>
      <c r="G580" t="n">
        <v>0.4</v>
      </c>
      <c r="H580" t="n">
        <v>0</v>
      </c>
      <c r="I580" t="n">
        <v>0</v>
      </c>
      <c r="J580" t="n">
        <v>0</v>
      </c>
      <c r="K580" t="n">
        <v>0</v>
      </c>
      <c r="L580" t="n">
        <v>0</v>
      </c>
      <c r="M580" t="n">
        <v>0</v>
      </c>
      <c r="N580" t="n">
        <v>0</v>
      </c>
      <c r="O580" t="n">
        <v>0</v>
      </c>
      <c r="P580" t="n">
        <v>0</v>
      </c>
      <c r="Q580" t="n">
        <v>0</v>
      </c>
      <c r="R580" s="2" t="inlineStr"/>
    </row>
    <row r="581" ht="15" customHeight="1">
      <c r="A581" t="inlineStr">
        <is>
          <t>A 36523-2025</t>
        </is>
      </c>
      <c r="B581" s="1" t="n">
        <v>45869</v>
      </c>
      <c r="C581" s="1" t="n">
        <v>45912</v>
      </c>
      <c r="D581" t="inlineStr">
        <is>
          <t>DALARNAS LÄN</t>
        </is>
      </c>
      <c r="E581" t="inlineStr">
        <is>
          <t>LUDVIKA</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36338-2025</t>
        </is>
      </c>
      <c r="B582" s="1" t="n">
        <v>45868.4570949074</v>
      </c>
      <c r="C582" s="1" t="n">
        <v>45912</v>
      </c>
      <c r="D582" t="inlineStr">
        <is>
          <t>DALARNAS LÄN</t>
        </is>
      </c>
      <c r="E582" t="inlineStr">
        <is>
          <t>LUDVIKA</t>
        </is>
      </c>
      <c r="G582" t="n">
        <v>0.2</v>
      </c>
      <c r="H582" t="n">
        <v>0</v>
      </c>
      <c r="I582" t="n">
        <v>0</v>
      </c>
      <c r="J582" t="n">
        <v>0</v>
      </c>
      <c r="K582" t="n">
        <v>0</v>
      </c>
      <c r="L582" t="n">
        <v>0</v>
      </c>
      <c r="M582" t="n">
        <v>0</v>
      </c>
      <c r="N582" t="n">
        <v>0</v>
      </c>
      <c r="O582" t="n">
        <v>0</v>
      </c>
      <c r="P582" t="n">
        <v>0</v>
      </c>
      <c r="Q582" t="n">
        <v>0</v>
      </c>
      <c r="R582" s="2" t="inlineStr"/>
    </row>
    <row r="583" ht="15" customHeight="1">
      <c r="A583" t="inlineStr">
        <is>
          <t>A 36435-2025</t>
        </is>
      </c>
      <c r="B583" s="1" t="n">
        <v>45869</v>
      </c>
      <c r="C583" s="1" t="n">
        <v>45912</v>
      </c>
      <c r="D583" t="inlineStr">
        <is>
          <t>DALARNAS LÄN</t>
        </is>
      </c>
      <c r="E583" t="inlineStr">
        <is>
          <t>LUDVIKA</t>
        </is>
      </c>
      <c r="F583" t="inlineStr">
        <is>
          <t>Bergvik skog väst AB</t>
        </is>
      </c>
      <c r="G583" t="n">
        <v>7.1</v>
      </c>
      <c r="H583" t="n">
        <v>0</v>
      </c>
      <c r="I583" t="n">
        <v>0</v>
      </c>
      <c r="J583" t="n">
        <v>0</v>
      </c>
      <c r="K583" t="n">
        <v>0</v>
      </c>
      <c r="L583" t="n">
        <v>0</v>
      </c>
      <c r="M583" t="n">
        <v>0</v>
      </c>
      <c r="N583" t="n">
        <v>0</v>
      </c>
      <c r="O583" t="n">
        <v>0</v>
      </c>
      <c r="P583" t="n">
        <v>0</v>
      </c>
      <c r="Q583" t="n">
        <v>0</v>
      </c>
      <c r="R583" s="2" t="inlineStr"/>
    </row>
    <row r="584" ht="15" customHeight="1">
      <c r="A584" t="inlineStr">
        <is>
          <t>A 36437-2025</t>
        </is>
      </c>
      <c r="B584" s="1" t="n">
        <v>45869</v>
      </c>
      <c r="C584" s="1" t="n">
        <v>45912</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41890-2025</t>
        </is>
      </c>
      <c r="B585" s="1" t="n">
        <v>45903</v>
      </c>
      <c r="C585" s="1" t="n">
        <v>45912</v>
      </c>
      <c r="D585" t="inlineStr">
        <is>
          <t>DALARNAS LÄN</t>
        </is>
      </c>
      <c r="E585" t="inlineStr">
        <is>
          <t>LUDVIKA</t>
        </is>
      </c>
      <c r="F585" t="inlineStr">
        <is>
          <t>Bergvik skog väst AB</t>
        </is>
      </c>
      <c r="G585" t="n">
        <v>1.7</v>
      </c>
      <c r="H585" t="n">
        <v>0</v>
      </c>
      <c r="I585" t="n">
        <v>0</v>
      </c>
      <c r="J585" t="n">
        <v>0</v>
      </c>
      <c r="K585" t="n">
        <v>0</v>
      </c>
      <c r="L585" t="n">
        <v>0</v>
      </c>
      <c r="M585" t="n">
        <v>0</v>
      </c>
      <c r="N585" t="n">
        <v>0</v>
      </c>
      <c r="O585" t="n">
        <v>0</v>
      </c>
      <c r="P585" t="n">
        <v>0</v>
      </c>
      <c r="Q585" t="n">
        <v>0</v>
      </c>
      <c r="R585" s="2" t="inlineStr"/>
    </row>
    <row r="586" ht="15" customHeight="1">
      <c r="A586" t="inlineStr">
        <is>
          <t>A 43348-2025</t>
        </is>
      </c>
      <c r="B586" s="1" t="n">
        <v>45910.91788194444</v>
      </c>
      <c r="C586" s="1" t="n">
        <v>45912</v>
      </c>
      <c r="D586" t="inlineStr">
        <is>
          <t>DALARNAS LÄN</t>
        </is>
      </c>
      <c r="E586" t="inlineStr">
        <is>
          <t>LUDVIKA</t>
        </is>
      </c>
      <c r="G586" t="n">
        <v>4.3</v>
      </c>
      <c r="H586" t="n">
        <v>0</v>
      </c>
      <c r="I586" t="n">
        <v>0</v>
      </c>
      <c r="J586" t="n">
        <v>0</v>
      </c>
      <c r="K586" t="n">
        <v>0</v>
      </c>
      <c r="L586" t="n">
        <v>0</v>
      </c>
      <c r="M586" t="n">
        <v>0</v>
      </c>
      <c r="N586" t="n">
        <v>0</v>
      </c>
      <c r="O586" t="n">
        <v>0</v>
      </c>
      <c r="P586" t="n">
        <v>0</v>
      </c>
      <c r="Q586" t="n">
        <v>0</v>
      </c>
      <c r="R586" s="2" t="inlineStr"/>
    </row>
    <row r="587" ht="15" customHeight="1">
      <c r="A587" t="inlineStr">
        <is>
          <t>A 43473-2025</t>
        </is>
      </c>
      <c r="B587" s="1" t="n">
        <v>45911.48769675926</v>
      </c>
      <c r="C587" s="1" t="n">
        <v>45912</v>
      </c>
      <c r="D587" t="inlineStr">
        <is>
          <t>DALARNAS LÄN</t>
        </is>
      </c>
      <c r="E587" t="inlineStr">
        <is>
          <t>LUDVIKA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43449-2025</t>
        </is>
      </c>
      <c r="B588" s="1" t="n">
        <v>45911</v>
      </c>
      <c r="C588" s="1" t="n">
        <v>45912</v>
      </c>
      <c r="D588" t="inlineStr">
        <is>
          <t>DALARNAS LÄN</t>
        </is>
      </c>
      <c r="E588" t="inlineStr">
        <is>
          <t>LUDVIKA</t>
        </is>
      </c>
      <c r="F588" t="inlineStr">
        <is>
          <t>Bergvik skog väst AB</t>
        </is>
      </c>
      <c r="G588" t="n">
        <v>6.2</v>
      </c>
      <c r="H588" t="n">
        <v>0</v>
      </c>
      <c r="I588" t="n">
        <v>0</v>
      </c>
      <c r="J588" t="n">
        <v>0</v>
      </c>
      <c r="K588" t="n">
        <v>0</v>
      </c>
      <c r="L588" t="n">
        <v>0</v>
      </c>
      <c r="M588" t="n">
        <v>0</v>
      </c>
      <c r="N588" t="n">
        <v>0</v>
      </c>
      <c r="O588" t="n">
        <v>0</v>
      </c>
      <c r="P588" t="n">
        <v>0</v>
      </c>
      <c r="Q588" t="n">
        <v>0</v>
      </c>
      <c r="R588" s="2" t="inlineStr"/>
    </row>
    <row r="589" ht="15" customHeight="1">
      <c r="A589" t="inlineStr">
        <is>
          <t>A 43479-2025</t>
        </is>
      </c>
      <c r="B589" s="1" t="n">
        <v>45911.49506944444</v>
      </c>
      <c r="C589" s="1" t="n">
        <v>45912</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35708-2025</t>
        </is>
      </c>
      <c r="B590" s="1" t="n">
        <v>45860</v>
      </c>
      <c r="C590" s="1" t="n">
        <v>45912</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43539-2025</t>
        </is>
      </c>
      <c r="B591" s="1" t="n">
        <v>45911</v>
      </c>
      <c r="C591" s="1" t="n">
        <v>45912</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6975-2023</t>
        </is>
      </c>
      <c r="B592" s="1" t="n">
        <v>44967.64229166666</v>
      </c>
      <c r="C592" s="1" t="n">
        <v>45912</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43253-2025</t>
        </is>
      </c>
      <c r="B593" s="1" t="n">
        <v>45910</v>
      </c>
      <c r="C593" s="1" t="n">
        <v>45912</v>
      </c>
      <c r="D593" t="inlineStr">
        <is>
          <t>DALARNAS LÄN</t>
        </is>
      </c>
      <c r="E593" t="inlineStr">
        <is>
          <t>LUDVIKA</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69165-2020</t>
        </is>
      </c>
      <c r="B594" s="1" t="n">
        <v>44188</v>
      </c>
      <c r="C594" s="1" t="n">
        <v>45912</v>
      </c>
      <c r="D594" t="inlineStr">
        <is>
          <t>DALARNAS LÄN</t>
        </is>
      </c>
      <c r="E594" t="inlineStr">
        <is>
          <t>LUDVIKA</t>
        </is>
      </c>
      <c r="F594" t="inlineStr">
        <is>
          <t>Kommuner</t>
        </is>
      </c>
      <c r="G594" t="n">
        <v>1.4</v>
      </c>
      <c r="H594" t="n">
        <v>0</v>
      </c>
      <c r="I594" t="n">
        <v>0</v>
      </c>
      <c r="J594" t="n">
        <v>0</v>
      </c>
      <c r="K594" t="n">
        <v>0</v>
      </c>
      <c r="L594" t="n">
        <v>0</v>
      </c>
      <c r="M594" t="n">
        <v>0</v>
      </c>
      <c r="N594" t="n">
        <v>0</v>
      </c>
      <c r="O594" t="n">
        <v>0</v>
      </c>
      <c r="P594" t="n">
        <v>0</v>
      </c>
      <c r="Q594" t="n">
        <v>0</v>
      </c>
      <c r="R594" s="2" t="inlineStr"/>
    </row>
    <row r="595" ht="15" customHeight="1">
      <c r="A595" t="inlineStr">
        <is>
          <t>A 43439-2025</t>
        </is>
      </c>
      <c r="B595" s="1" t="n">
        <v>45911.43902777778</v>
      </c>
      <c r="C595" s="1" t="n">
        <v>45912</v>
      </c>
      <c r="D595" t="inlineStr">
        <is>
          <t>DALARNAS LÄN</t>
        </is>
      </c>
      <c r="E595" t="inlineStr">
        <is>
          <t>LUDVIKA</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41249-2025</t>
        </is>
      </c>
      <c r="B596" s="1" t="n">
        <v>45898</v>
      </c>
      <c r="C596" s="1" t="n">
        <v>45912</v>
      </c>
      <c r="D596" t="inlineStr">
        <is>
          <t>DALARNAS LÄN</t>
        </is>
      </c>
      <c r="E596" t="inlineStr">
        <is>
          <t>LUDVIKA</t>
        </is>
      </c>
      <c r="F596" t="inlineStr">
        <is>
          <t>Bergvik skog väst AB</t>
        </is>
      </c>
      <c r="G596" t="n">
        <v>2.5</v>
      </c>
      <c r="H596" t="n">
        <v>0</v>
      </c>
      <c r="I596" t="n">
        <v>0</v>
      </c>
      <c r="J596" t="n">
        <v>0</v>
      </c>
      <c r="K596" t="n">
        <v>0</v>
      </c>
      <c r="L596" t="n">
        <v>0</v>
      </c>
      <c r="M596" t="n">
        <v>0</v>
      </c>
      <c r="N596" t="n">
        <v>0</v>
      </c>
      <c r="O596" t="n">
        <v>0</v>
      </c>
      <c r="P596" t="n">
        <v>0</v>
      </c>
      <c r="Q596" t="n">
        <v>0</v>
      </c>
      <c r="R596" s="2" t="inlineStr"/>
    </row>
    <row r="597" ht="15" customHeight="1">
      <c r="A597" t="inlineStr">
        <is>
          <t>A 41737-2025</t>
        </is>
      </c>
      <c r="B597" s="1" t="n">
        <v>45902</v>
      </c>
      <c r="C597" s="1" t="n">
        <v>45912</v>
      </c>
      <c r="D597" t="inlineStr">
        <is>
          <t>DALARNAS LÄN</t>
        </is>
      </c>
      <c r="E597" t="inlineStr">
        <is>
          <t>LUDVIKA</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43055-2024</t>
        </is>
      </c>
      <c r="B598" s="1" t="n">
        <v>45567.45354166667</v>
      </c>
      <c r="C598" s="1" t="n">
        <v>45912</v>
      </c>
      <c r="D598" t="inlineStr">
        <is>
          <t>DALARNAS LÄN</t>
        </is>
      </c>
      <c r="E598" t="inlineStr">
        <is>
          <t>LUDVIKA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28157-2023</t>
        </is>
      </c>
      <c r="B599" s="1" t="n">
        <v>45099.49403935186</v>
      </c>
      <c r="C599" s="1" t="n">
        <v>45912</v>
      </c>
      <c r="D599" t="inlineStr">
        <is>
          <t>DALARNAS LÄN</t>
        </is>
      </c>
      <c r="E599" t="inlineStr">
        <is>
          <t>LUDVIKA</t>
        </is>
      </c>
      <c r="F599" t="inlineStr">
        <is>
          <t>Bergvik skog väst AB</t>
        </is>
      </c>
      <c r="G599" t="n">
        <v>0.8</v>
      </c>
      <c r="H599" t="n">
        <v>0</v>
      </c>
      <c r="I599" t="n">
        <v>0</v>
      </c>
      <c r="J599" t="n">
        <v>0</v>
      </c>
      <c r="K599" t="n">
        <v>0</v>
      </c>
      <c r="L599" t="n">
        <v>0</v>
      </c>
      <c r="M599" t="n">
        <v>0</v>
      </c>
      <c r="N599" t="n">
        <v>0</v>
      </c>
      <c r="O599" t="n">
        <v>0</v>
      </c>
      <c r="P599" t="n">
        <v>0</v>
      </c>
      <c r="Q599" t="n">
        <v>0</v>
      </c>
      <c r="R599" s="2" t="inlineStr"/>
    </row>
    <row r="600" ht="15" customHeight="1">
      <c r="A600" t="inlineStr">
        <is>
          <t>A 43437-2025</t>
        </is>
      </c>
      <c r="B600" s="1" t="n">
        <v>45911.43200231482</v>
      </c>
      <c r="C600" s="1" t="n">
        <v>45912</v>
      </c>
      <c r="D600" t="inlineStr">
        <is>
          <t>DALARNAS LÄN</t>
        </is>
      </c>
      <c r="E600" t="inlineStr">
        <is>
          <t>LUDVIKA</t>
        </is>
      </c>
      <c r="F600" t="inlineStr">
        <is>
          <t>Bergvik skog väst AB</t>
        </is>
      </c>
      <c r="G600" t="n">
        <v>0.7</v>
      </c>
      <c r="H600" t="n">
        <v>0</v>
      </c>
      <c r="I600" t="n">
        <v>0</v>
      </c>
      <c r="J600" t="n">
        <v>0</v>
      </c>
      <c r="K600" t="n">
        <v>0</v>
      </c>
      <c r="L600" t="n">
        <v>0</v>
      </c>
      <c r="M600" t="n">
        <v>0</v>
      </c>
      <c r="N600" t="n">
        <v>0</v>
      </c>
      <c r="O600" t="n">
        <v>0</v>
      </c>
      <c r="P600" t="n">
        <v>0</v>
      </c>
      <c r="Q600" t="n">
        <v>0</v>
      </c>
      <c r="R600" s="2" t="inlineStr"/>
    </row>
    <row r="601" ht="15" customHeight="1">
      <c r="A601" t="inlineStr">
        <is>
          <t>A 41099-2025</t>
        </is>
      </c>
      <c r="B601" s="1" t="n">
        <v>45898</v>
      </c>
      <c r="C601" s="1" t="n">
        <v>45912</v>
      </c>
      <c r="D601" t="inlineStr">
        <is>
          <t>DALARNAS LÄN</t>
        </is>
      </c>
      <c r="E601" t="inlineStr">
        <is>
          <t>LUDVIKA</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41109-2025</t>
        </is>
      </c>
      <c r="B602" s="1" t="n">
        <v>45898</v>
      </c>
      <c r="C602" s="1" t="n">
        <v>45912</v>
      </c>
      <c r="D602" t="inlineStr">
        <is>
          <t>DALARNAS LÄN</t>
        </is>
      </c>
      <c r="E602" t="inlineStr">
        <is>
          <t>LUDVIKA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35713-2025</t>
        </is>
      </c>
      <c r="B603" s="1" t="n">
        <v>45860</v>
      </c>
      <c r="C603" s="1" t="n">
        <v>45912</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36436-2025</t>
        </is>
      </c>
      <c r="B604" s="1" t="n">
        <v>45869</v>
      </c>
      <c r="C604" s="1" t="n">
        <v>45912</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43145-2025</t>
        </is>
      </c>
      <c r="B605" s="1" t="n">
        <v>45910.3044212963</v>
      </c>
      <c r="C605" s="1" t="n">
        <v>45912</v>
      </c>
      <c r="D605" t="inlineStr">
        <is>
          <t>DALARNAS LÄN</t>
        </is>
      </c>
      <c r="E605" t="inlineStr">
        <is>
          <t>LUDVIKA</t>
        </is>
      </c>
      <c r="F605" t="inlineStr">
        <is>
          <t>Bergvik skog väst AB</t>
        </is>
      </c>
      <c r="G605" t="n">
        <v>2.2</v>
      </c>
      <c r="H605" t="n">
        <v>0</v>
      </c>
      <c r="I605" t="n">
        <v>0</v>
      </c>
      <c r="J605" t="n">
        <v>0</v>
      </c>
      <c r="K605" t="n">
        <v>0</v>
      </c>
      <c r="L605" t="n">
        <v>0</v>
      </c>
      <c r="M605" t="n">
        <v>0</v>
      </c>
      <c r="N605" t="n">
        <v>0</v>
      </c>
      <c r="O605" t="n">
        <v>0</v>
      </c>
      <c r="P605" t="n">
        <v>0</v>
      </c>
      <c r="Q605" t="n">
        <v>0</v>
      </c>
      <c r="R605" s="2" t="inlineStr"/>
    </row>
    <row r="606" ht="15" customHeight="1">
      <c r="A606" t="inlineStr">
        <is>
          <t>A 37535-2024</t>
        </is>
      </c>
      <c r="B606" s="1" t="n">
        <v>45541.41155092593</v>
      </c>
      <c r="C606" s="1" t="n">
        <v>45912</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43345-2025</t>
        </is>
      </c>
      <c r="B607" s="1" t="n">
        <v>45910.86336805556</v>
      </c>
      <c r="C607" s="1" t="n">
        <v>45912</v>
      </c>
      <c r="D607" t="inlineStr">
        <is>
          <t>DALARNAS LÄN</t>
        </is>
      </c>
      <c r="E607" t="inlineStr">
        <is>
          <t>LUDVIKA</t>
        </is>
      </c>
      <c r="G607" t="n">
        <v>4.6</v>
      </c>
      <c r="H607" t="n">
        <v>0</v>
      </c>
      <c r="I607" t="n">
        <v>0</v>
      </c>
      <c r="J607" t="n">
        <v>0</v>
      </c>
      <c r="K607" t="n">
        <v>0</v>
      </c>
      <c r="L607" t="n">
        <v>0</v>
      </c>
      <c r="M607" t="n">
        <v>0</v>
      </c>
      <c r="N607" t="n">
        <v>0</v>
      </c>
      <c r="O607" t="n">
        <v>0</v>
      </c>
      <c r="P607" t="n">
        <v>0</v>
      </c>
      <c r="Q607" t="n">
        <v>0</v>
      </c>
      <c r="R607" s="2" t="inlineStr"/>
    </row>
    <row r="608" ht="15" customHeight="1">
      <c r="A608" t="inlineStr">
        <is>
          <t>A 41269-2025</t>
        </is>
      </c>
      <c r="B608" s="1" t="n">
        <v>45898</v>
      </c>
      <c r="C608" s="1" t="n">
        <v>45912</v>
      </c>
      <c r="D608" t="inlineStr">
        <is>
          <t>DALARNAS LÄN</t>
        </is>
      </c>
      <c r="E608" t="inlineStr">
        <is>
          <t>LUDVIKA</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20596-2021</t>
        </is>
      </c>
      <c r="B609" s="1" t="n">
        <v>44316</v>
      </c>
      <c r="C609" s="1" t="n">
        <v>45912</v>
      </c>
      <c r="D609" t="inlineStr">
        <is>
          <t>DALARNAS LÄN</t>
        </is>
      </c>
      <c r="E609" t="inlineStr">
        <is>
          <t>LUDVIKA</t>
        </is>
      </c>
      <c r="F609" t="inlineStr">
        <is>
          <t>Naturvårdsverket</t>
        </is>
      </c>
      <c r="G609" t="n">
        <v>2.3</v>
      </c>
      <c r="H609" t="n">
        <v>0</v>
      </c>
      <c r="I609" t="n">
        <v>0</v>
      </c>
      <c r="J609" t="n">
        <v>0</v>
      </c>
      <c r="K609" t="n">
        <v>0</v>
      </c>
      <c r="L609" t="n">
        <v>0</v>
      </c>
      <c r="M609" t="n">
        <v>0</v>
      </c>
      <c r="N609" t="n">
        <v>0</v>
      </c>
      <c r="O609" t="n">
        <v>0</v>
      </c>
      <c r="P609" t="n">
        <v>0</v>
      </c>
      <c r="Q609" t="n">
        <v>0</v>
      </c>
      <c r="R609" s="2" t="inlineStr"/>
    </row>
    <row r="610" ht="15" customHeight="1">
      <c r="A610" t="inlineStr">
        <is>
          <t>A 32995-2023</t>
        </is>
      </c>
      <c r="B610" s="1" t="n">
        <v>45113</v>
      </c>
      <c r="C610" s="1" t="n">
        <v>45912</v>
      </c>
      <c r="D610" t="inlineStr">
        <is>
          <t>DALARNAS LÄN</t>
        </is>
      </c>
      <c r="E610" t="inlineStr">
        <is>
          <t>LUDVIKA</t>
        </is>
      </c>
      <c r="F610" t="inlineStr">
        <is>
          <t>Kommuner</t>
        </is>
      </c>
      <c r="G610" t="n">
        <v>5.8</v>
      </c>
      <c r="H610" t="n">
        <v>0</v>
      </c>
      <c r="I610" t="n">
        <v>0</v>
      </c>
      <c r="J610" t="n">
        <v>0</v>
      </c>
      <c r="K610" t="n">
        <v>0</v>
      </c>
      <c r="L610" t="n">
        <v>0</v>
      </c>
      <c r="M610" t="n">
        <v>0</v>
      </c>
      <c r="N610" t="n">
        <v>0</v>
      </c>
      <c r="O610" t="n">
        <v>0</v>
      </c>
      <c r="P610" t="n">
        <v>0</v>
      </c>
      <c r="Q610" t="n">
        <v>0</v>
      </c>
      <c r="R610" s="2" t="inlineStr"/>
    </row>
    <row r="611" ht="15" customHeight="1">
      <c r="A611" t="inlineStr">
        <is>
          <t>A 18180-2025</t>
        </is>
      </c>
      <c r="B611" s="1" t="n">
        <v>45761</v>
      </c>
      <c r="C611" s="1" t="n">
        <v>45912</v>
      </c>
      <c r="D611" t="inlineStr">
        <is>
          <t>DALARNAS LÄN</t>
        </is>
      </c>
      <c r="E611" t="inlineStr">
        <is>
          <t>LUDVIKA</t>
        </is>
      </c>
      <c r="G611" t="n">
        <v>6.5</v>
      </c>
      <c r="H611" t="n">
        <v>0</v>
      </c>
      <c r="I611" t="n">
        <v>0</v>
      </c>
      <c r="J611" t="n">
        <v>0</v>
      </c>
      <c r="K611" t="n">
        <v>0</v>
      </c>
      <c r="L611" t="n">
        <v>0</v>
      </c>
      <c r="M611" t="n">
        <v>0</v>
      </c>
      <c r="N611" t="n">
        <v>0</v>
      </c>
      <c r="O611" t="n">
        <v>0</v>
      </c>
      <c r="P611" t="n">
        <v>0</v>
      </c>
      <c r="Q611" t="n">
        <v>0</v>
      </c>
      <c r="R611" s="2" t="inlineStr"/>
    </row>
    <row r="612" ht="15" customHeight="1">
      <c r="A612" t="inlineStr">
        <is>
          <t>A 41731-2025</t>
        </is>
      </c>
      <c r="B612" s="1" t="n">
        <v>45902</v>
      </c>
      <c r="C612" s="1" t="n">
        <v>45912</v>
      </c>
      <c r="D612" t="inlineStr">
        <is>
          <t>DALARNAS LÄN</t>
        </is>
      </c>
      <c r="E612" t="inlineStr">
        <is>
          <t>LUDVIKA</t>
        </is>
      </c>
      <c r="F612" t="inlineStr">
        <is>
          <t>Bergvik skog väst AB</t>
        </is>
      </c>
      <c r="G612" t="n">
        <v>4.6</v>
      </c>
      <c r="H612" t="n">
        <v>0</v>
      </c>
      <c r="I612" t="n">
        <v>0</v>
      </c>
      <c r="J612" t="n">
        <v>0</v>
      </c>
      <c r="K612" t="n">
        <v>0</v>
      </c>
      <c r="L612" t="n">
        <v>0</v>
      </c>
      <c r="M612" t="n">
        <v>0</v>
      </c>
      <c r="N612" t="n">
        <v>0</v>
      </c>
      <c r="O612" t="n">
        <v>0</v>
      </c>
      <c r="P612" t="n">
        <v>0</v>
      </c>
      <c r="Q612" t="n">
        <v>0</v>
      </c>
      <c r="R612" s="2" t="inlineStr"/>
    </row>
    <row r="613" ht="15" customHeight="1">
      <c r="A613" t="inlineStr">
        <is>
          <t>A 41866-2025</t>
        </is>
      </c>
      <c r="B613" s="1" t="n">
        <v>45903</v>
      </c>
      <c r="C613" s="1" t="n">
        <v>45912</v>
      </c>
      <c r="D613" t="inlineStr">
        <is>
          <t>DALARNAS LÄN</t>
        </is>
      </c>
      <c r="E613" t="inlineStr">
        <is>
          <t>LUDVIKA</t>
        </is>
      </c>
      <c r="F613" t="inlineStr">
        <is>
          <t>Bergvik skog väst AB</t>
        </is>
      </c>
      <c r="G613" t="n">
        <v>2.9</v>
      </c>
      <c r="H613" t="n">
        <v>0</v>
      </c>
      <c r="I613" t="n">
        <v>0</v>
      </c>
      <c r="J613" t="n">
        <v>0</v>
      </c>
      <c r="K613" t="n">
        <v>0</v>
      </c>
      <c r="L613" t="n">
        <v>0</v>
      </c>
      <c r="M613" t="n">
        <v>0</v>
      </c>
      <c r="N613" t="n">
        <v>0</v>
      </c>
      <c r="O613" t="n">
        <v>0</v>
      </c>
      <c r="P613" t="n">
        <v>0</v>
      </c>
      <c r="Q613" t="n">
        <v>0</v>
      </c>
      <c r="R613" s="2" t="inlineStr"/>
    </row>
    <row r="614" ht="15" customHeight="1">
      <c r="A614" t="inlineStr">
        <is>
          <t>A 37538-2024</t>
        </is>
      </c>
      <c r="B614" s="1" t="n">
        <v>45541.41780092593</v>
      </c>
      <c r="C614" s="1" t="n">
        <v>45912</v>
      </c>
      <c r="D614" t="inlineStr">
        <is>
          <t>DALARNAS LÄN</t>
        </is>
      </c>
      <c r="E614" t="inlineStr">
        <is>
          <t>LUDVIKA</t>
        </is>
      </c>
      <c r="F614" t="inlineStr">
        <is>
          <t>Bergvik skog väst AB</t>
        </is>
      </c>
      <c r="G614" t="n">
        <v>6</v>
      </c>
      <c r="H614" t="n">
        <v>0</v>
      </c>
      <c r="I614" t="n">
        <v>0</v>
      </c>
      <c r="J614" t="n">
        <v>0</v>
      </c>
      <c r="K614" t="n">
        <v>0</v>
      </c>
      <c r="L614" t="n">
        <v>0</v>
      </c>
      <c r="M614" t="n">
        <v>0</v>
      </c>
      <c r="N614" t="n">
        <v>0</v>
      </c>
      <c r="O614" t="n">
        <v>0</v>
      </c>
      <c r="P614" t="n">
        <v>0</v>
      </c>
      <c r="Q614" t="n">
        <v>0</v>
      </c>
      <c r="R614" s="2" t="inlineStr"/>
    </row>
    <row r="615" ht="15" customHeight="1">
      <c r="A615" t="inlineStr">
        <is>
          <t>A 11755-2023</t>
        </is>
      </c>
      <c r="B615" s="1" t="n">
        <v>44994</v>
      </c>
      <c r="C615" s="1" t="n">
        <v>45912</v>
      </c>
      <c r="D615" t="inlineStr">
        <is>
          <t>DALARNAS LÄN</t>
        </is>
      </c>
      <c r="E615" t="inlineStr">
        <is>
          <t>LUDVIKA</t>
        </is>
      </c>
      <c r="F615" t="inlineStr">
        <is>
          <t>Övriga Aktiebolag</t>
        </is>
      </c>
      <c r="G615" t="n">
        <v>7</v>
      </c>
      <c r="H615" t="n">
        <v>0</v>
      </c>
      <c r="I615" t="n">
        <v>0</v>
      </c>
      <c r="J615" t="n">
        <v>0</v>
      </c>
      <c r="K615" t="n">
        <v>0</v>
      </c>
      <c r="L615" t="n">
        <v>0</v>
      </c>
      <c r="M615" t="n">
        <v>0</v>
      </c>
      <c r="N615" t="n">
        <v>0</v>
      </c>
      <c r="O615" t="n">
        <v>0</v>
      </c>
      <c r="P615" t="n">
        <v>0</v>
      </c>
      <c r="Q615" t="n">
        <v>0</v>
      </c>
      <c r="R615" s="2" t="inlineStr"/>
    </row>
    <row r="616" ht="15" customHeight="1">
      <c r="A616" t="inlineStr">
        <is>
          <t>A 60138-2023</t>
        </is>
      </c>
      <c r="B616" s="1" t="n">
        <v>45258.49928240741</v>
      </c>
      <c r="C616" s="1" t="n">
        <v>45912</v>
      </c>
      <c r="D616" t="inlineStr">
        <is>
          <t>DALARNAS LÄN</t>
        </is>
      </c>
      <c r="E616" t="inlineStr">
        <is>
          <t>LUDVIKA</t>
        </is>
      </c>
      <c r="G616" t="n">
        <v>1.3</v>
      </c>
      <c r="H616" t="n">
        <v>0</v>
      </c>
      <c r="I616" t="n">
        <v>0</v>
      </c>
      <c r="J616" t="n">
        <v>0</v>
      </c>
      <c r="K616" t="n">
        <v>0</v>
      </c>
      <c r="L616" t="n">
        <v>0</v>
      </c>
      <c r="M616" t="n">
        <v>0</v>
      </c>
      <c r="N616" t="n">
        <v>0</v>
      </c>
      <c r="O616" t="n">
        <v>0</v>
      </c>
      <c r="P616" t="n">
        <v>0</v>
      </c>
      <c r="Q616" t="n">
        <v>0</v>
      </c>
      <c r="R616" s="2" t="inlineStr"/>
    </row>
    <row r="617" ht="15" customHeight="1">
      <c r="A617" t="inlineStr">
        <is>
          <t>A 30039-2024</t>
        </is>
      </c>
      <c r="B617" s="1" t="n">
        <v>45488</v>
      </c>
      <c r="C617" s="1" t="n">
        <v>45912</v>
      </c>
      <c r="D617" t="inlineStr">
        <is>
          <t>DALARNAS LÄN</t>
        </is>
      </c>
      <c r="E617" t="inlineStr">
        <is>
          <t>LUDVIKA</t>
        </is>
      </c>
      <c r="G617" t="n">
        <v>1.3</v>
      </c>
      <c r="H617" t="n">
        <v>0</v>
      </c>
      <c r="I617" t="n">
        <v>0</v>
      </c>
      <c r="J617" t="n">
        <v>0</v>
      </c>
      <c r="K617" t="n">
        <v>0</v>
      </c>
      <c r="L617" t="n">
        <v>0</v>
      </c>
      <c r="M617" t="n">
        <v>0</v>
      </c>
      <c r="N617" t="n">
        <v>0</v>
      </c>
      <c r="O617" t="n">
        <v>0</v>
      </c>
      <c r="P617" t="n">
        <v>0</v>
      </c>
      <c r="Q617" t="n">
        <v>0</v>
      </c>
      <c r="R617" s="2" t="inlineStr"/>
    </row>
    <row r="618" ht="15" customHeight="1">
      <c r="A618" t="inlineStr">
        <is>
          <t>A 15939-2024</t>
        </is>
      </c>
      <c r="B618" s="1" t="n">
        <v>45405</v>
      </c>
      <c r="C618" s="1" t="n">
        <v>45912</v>
      </c>
      <c r="D618" t="inlineStr">
        <is>
          <t>DALARNAS LÄN</t>
        </is>
      </c>
      <c r="E618" t="inlineStr">
        <is>
          <t>LUDVIKA</t>
        </is>
      </c>
      <c r="G618" t="n">
        <v>1.3</v>
      </c>
      <c r="H618" t="n">
        <v>0</v>
      </c>
      <c r="I618" t="n">
        <v>0</v>
      </c>
      <c r="J618" t="n">
        <v>0</v>
      </c>
      <c r="K618" t="n">
        <v>0</v>
      </c>
      <c r="L618" t="n">
        <v>0</v>
      </c>
      <c r="M618" t="n">
        <v>0</v>
      </c>
      <c r="N618" t="n">
        <v>0</v>
      </c>
      <c r="O618" t="n">
        <v>0</v>
      </c>
      <c r="P618" t="n">
        <v>0</v>
      </c>
      <c r="Q618" t="n">
        <v>0</v>
      </c>
      <c r="R618" s="2" t="inlineStr"/>
      <c r="U618">
        <f>HYPERLINK("https://klasma.github.io/Logging_2085/knärot/A 15939-2024 karta knärot.png", "A 15939-2024")</f>
        <v/>
      </c>
      <c r="V618">
        <f>HYPERLINK("https://klasma.github.io/Logging_2085/klagomål/A 15939-2024 FSC-klagomål.docx", "A 15939-2024")</f>
        <v/>
      </c>
      <c r="W618">
        <f>HYPERLINK("https://klasma.github.io/Logging_2085/klagomålsmail/A 15939-2024 FSC-klagomål mail.docx", "A 15939-2024")</f>
        <v/>
      </c>
      <c r="X618">
        <f>HYPERLINK("https://klasma.github.io/Logging_2085/tillsyn/A 15939-2024 tillsynsbegäran.docx", "A 15939-2024")</f>
        <v/>
      </c>
      <c r="Y618">
        <f>HYPERLINK("https://klasma.github.io/Logging_2085/tillsynsmail/A 15939-2024 tillsynsbegäran mail.docx", "A 15939-2024")</f>
        <v/>
      </c>
    </row>
    <row r="619" ht="15" customHeight="1">
      <c r="A619" t="inlineStr">
        <is>
          <t>A 7238-2023</t>
        </is>
      </c>
      <c r="B619" s="1" t="n">
        <v>44970.60710648148</v>
      </c>
      <c r="C619" s="1" t="n">
        <v>45912</v>
      </c>
      <c r="D619" t="inlineStr">
        <is>
          <t>DALARNAS LÄN</t>
        </is>
      </c>
      <c r="E619" t="inlineStr">
        <is>
          <t>LUDVIKA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7243-2023</t>
        </is>
      </c>
      <c r="B620" s="1" t="n">
        <v>44970.61488425926</v>
      </c>
      <c r="C620" s="1" t="n">
        <v>45912</v>
      </c>
      <c r="D620" t="inlineStr">
        <is>
          <t>DALARNAS LÄN</t>
        </is>
      </c>
      <c r="E620" t="inlineStr">
        <is>
          <t>LUDVIKA</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50529-2024</t>
        </is>
      </c>
      <c r="B621" s="1" t="n">
        <v>45601.56384259259</v>
      </c>
      <c r="C621" s="1" t="n">
        <v>45912</v>
      </c>
      <c r="D621" t="inlineStr">
        <is>
          <t>DALARNAS LÄN</t>
        </is>
      </c>
      <c r="E621" t="inlineStr">
        <is>
          <t>LUDVIKA</t>
        </is>
      </c>
      <c r="G621" t="n">
        <v>0.2</v>
      </c>
      <c r="H621" t="n">
        <v>0</v>
      </c>
      <c r="I621" t="n">
        <v>0</v>
      </c>
      <c r="J621" t="n">
        <v>0</v>
      </c>
      <c r="K621" t="n">
        <v>0</v>
      </c>
      <c r="L621" t="n">
        <v>0</v>
      </c>
      <c r="M621" t="n">
        <v>0</v>
      </c>
      <c r="N621" t="n">
        <v>0</v>
      </c>
      <c r="O621" t="n">
        <v>0</v>
      </c>
      <c r="P621" t="n">
        <v>0</v>
      </c>
      <c r="Q621" t="n">
        <v>0</v>
      </c>
      <c r="R621" s="2" t="inlineStr"/>
    </row>
    <row r="622" ht="15" customHeight="1">
      <c r="A622" t="inlineStr">
        <is>
          <t>A 35354-2024</t>
        </is>
      </c>
      <c r="B622" s="1" t="n">
        <v>45531.30974537037</v>
      </c>
      <c r="C622" s="1" t="n">
        <v>45912</v>
      </c>
      <c r="D622" t="inlineStr">
        <is>
          <t>DALARNAS LÄN</t>
        </is>
      </c>
      <c r="E622" t="inlineStr">
        <is>
          <t>LUDVIKA</t>
        </is>
      </c>
      <c r="F622" t="inlineStr">
        <is>
          <t>Bergvik skog väst AB</t>
        </is>
      </c>
      <c r="G622" t="n">
        <v>2</v>
      </c>
      <c r="H622" t="n">
        <v>0</v>
      </c>
      <c r="I622" t="n">
        <v>0</v>
      </c>
      <c r="J622" t="n">
        <v>0</v>
      </c>
      <c r="K622" t="n">
        <v>0</v>
      </c>
      <c r="L622" t="n">
        <v>0</v>
      </c>
      <c r="M622" t="n">
        <v>0</v>
      </c>
      <c r="N622" t="n">
        <v>0</v>
      </c>
      <c r="O622" t="n">
        <v>0</v>
      </c>
      <c r="P622" t="n">
        <v>0</v>
      </c>
      <c r="Q622" t="n">
        <v>0</v>
      </c>
      <c r="R622" s="2" t="inlineStr"/>
    </row>
    <row r="623" ht="15" customHeight="1">
      <c r="A623" t="inlineStr">
        <is>
          <t>A 39519-2024</t>
        </is>
      </c>
      <c r="B623" s="1" t="n">
        <v>45551.76079861111</v>
      </c>
      <c r="C623" s="1" t="n">
        <v>45912</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48615-2023</t>
        </is>
      </c>
      <c r="B624" s="1" t="n">
        <v>45208</v>
      </c>
      <c r="C624" s="1" t="n">
        <v>45912</v>
      </c>
      <c r="D624" t="inlineStr">
        <is>
          <t>DALARNAS LÄN</t>
        </is>
      </c>
      <c r="E624" t="inlineStr">
        <is>
          <t>LUDVIKA</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37586-2024</t>
        </is>
      </c>
      <c r="B625" s="1" t="n">
        <v>45541.46269675926</v>
      </c>
      <c r="C625" s="1" t="n">
        <v>45912</v>
      </c>
      <c r="D625" t="inlineStr">
        <is>
          <t>DALARNAS LÄN</t>
        </is>
      </c>
      <c r="E625" t="inlineStr">
        <is>
          <t>LUDVIKA</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55551-2024</t>
        </is>
      </c>
      <c r="B626" s="1" t="n">
        <v>45622.51221064815</v>
      </c>
      <c r="C626" s="1" t="n">
        <v>45912</v>
      </c>
      <c r="D626" t="inlineStr">
        <is>
          <t>DALARNAS LÄN</t>
        </is>
      </c>
      <c r="E626" t="inlineStr">
        <is>
          <t>LUDVIKA</t>
        </is>
      </c>
      <c r="F626" t="inlineStr">
        <is>
          <t>Bergvik skog väst AB</t>
        </is>
      </c>
      <c r="G626" t="n">
        <v>6.2</v>
      </c>
      <c r="H626" t="n">
        <v>0</v>
      </c>
      <c r="I626" t="n">
        <v>0</v>
      </c>
      <c r="J626" t="n">
        <v>0</v>
      </c>
      <c r="K626" t="n">
        <v>0</v>
      </c>
      <c r="L626" t="n">
        <v>0</v>
      </c>
      <c r="M626" t="n">
        <v>0</v>
      </c>
      <c r="N626" t="n">
        <v>0</v>
      </c>
      <c r="O626" t="n">
        <v>0</v>
      </c>
      <c r="P626" t="n">
        <v>0</v>
      </c>
      <c r="Q626" t="n">
        <v>0</v>
      </c>
      <c r="R626" s="2" t="inlineStr"/>
    </row>
    <row r="627" ht="15" customHeight="1">
      <c r="A627" t="inlineStr">
        <is>
          <t>A 47496-2022</t>
        </is>
      </c>
      <c r="B627" s="1" t="n">
        <v>44853</v>
      </c>
      <c r="C627" s="1" t="n">
        <v>45912</v>
      </c>
      <c r="D627" t="inlineStr">
        <is>
          <t>DALARNAS LÄN</t>
        </is>
      </c>
      <c r="E627" t="inlineStr">
        <is>
          <t>LUDVIKA</t>
        </is>
      </c>
      <c r="F627" t="inlineStr">
        <is>
          <t>Bergvik skog väst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50528-2024</t>
        </is>
      </c>
      <c r="B628" s="1" t="n">
        <v>45601.56344907408</v>
      </c>
      <c r="C628" s="1" t="n">
        <v>45912</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64171-2023</t>
        </is>
      </c>
      <c r="B629" s="1" t="n">
        <v>45279</v>
      </c>
      <c r="C629" s="1" t="n">
        <v>45912</v>
      </c>
      <c r="D629" t="inlineStr">
        <is>
          <t>DALARNAS LÄN</t>
        </is>
      </c>
      <c r="E629" t="inlineStr">
        <is>
          <t>LUDVIKA</t>
        </is>
      </c>
      <c r="G629" t="n">
        <v>8.6</v>
      </c>
      <c r="H629" t="n">
        <v>0</v>
      </c>
      <c r="I629" t="n">
        <v>0</v>
      </c>
      <c r="J629" t="n">
        <v>0</v>
      </c>
      <c r="K629" t="n">
        <v>0</v>
      </c>
      <c r="L629" t="n">
        <v>0</v>
      </c>
      <c r="M629" t="n">
        <v>0</v>
      </c>
      <c r="N629" t="n">
        <v>0</v>
      </c>
      <c r="O629" t="n">
        <v>0</v>
      </c>
      <c r="P629" t="n">
        <v>0</v>
      </c>
      <c r="Q629" t="n">
        <v>0</v>
      </c>
      <c r="R629" s="2" t="inlineStr"/>
    </row>
    <row r="630" ht="15" customHeight="1">
      <c r="A630" t="inlineStr">
        <is>
          <t>A 28134-2023</t>
        </is>
      </c>
      <c r="B630" s="1" t="n">
        <v>45099.48079861111</v>
      </c>
      <c r="C630" s="1" t="n">
        <v>45912</v>
      </c>
      <c r="D630" t="inlineStr">
        <is>
          <t>DALARNAS LÄN</t>
        </is>
      </c>
      <c r="E630" t="inlineStr">
        <is>
          <t>LUDVIKA</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43240-2024</t>
        </is>
      </c>
      <c r="B631" s="1" t="n">
        <v>45568.00373842593</v>
      </c>
      <c r="C631" s="1" t="n">
        <v>45912</v>
      </c>
      <c r="D631" t="inlineStr">
        <is>
          <t>DALARNAS LÄN</t>
        </is>
      </c>
      <c r="E631" t="inlineStr">
        <is>
          <t>LUDVIKA</t>
        </is>
      </c>
      <c r="G631" t="n">
        <v>0.9</v>
      </c>
      <c r="H631" t="n">
        <v>0</v>
      </c>
      <c r="I631" t="n">
        <v>0</v>
      </c>
      <c r="J631" t="n">
        <v>0</v>
      </c>
      <c r="K631" t="n">
        <v>0</v>
      </c>
      <c r="L631" t="n">
        <v>0</v>
      </c>
      <c r="M631" t="n">
        <v>0</v>
      </c>
      <c r="N631" t="n">
        <v>0</v>
      </c>
      <c r="O631" t="n">
        <v>0</v>
      </c>
      <c r="P631" t="n">
        <v>0</v>
      </c>
      <c r="Q631" t="n">
        <v>0</v>
      </c>
      <c r="R631" s="2" t="inlineStr"/>
    </row>
    <row r="632" ht="15" customHeight="1">
      <c r="A632" t="inlineStr">
        <is>
          <t>A 30844-2024</t>
        </is>
      </c>
      <c r="B632" s="1" t="n">
        <v>45497</v>
      </c>
      <c r="C632" s="1" t="n">
        <v>45912</v>
      </c>
      <c r="D632" t="inlineStr">
        <is>
          <t>DALARNAS LÄN</t>
        </is>
      </c>
      <c r="E632" t="inlineStr">
        <is>
          <t>LUDVIKA</t>
        </is>
      </c>
      <c r="G632" t="n">
        <v>1.1</v>
      </c>
      <c r="H632" t="n">
        <v>0</v>
      </c>
      <c r="I632" t="n">
        <v>0</v>
      </c>
      <c r="J632" t="n">
        <v>0</v>
      </c>
      <c r="K632" t="n">
        <v>0</v>
      </c>
      <c r="L632" t="n">
        <v>0</v>
      </c>
      <c r="M632" t="n">
        <v>0</v>
      </c>
      <c r="N632" t="n">
        <v>0</v>
      </c>
      <c r="O632" t="n">
        <v>0</v>
      </c>
      <c r="P632" t="n">
        <v>0</v>
      </c>
      <c r="Q632" t="n">
        <v>0</v>
      </c>
      <c r="R632" s="2" t="inlineStr"/>
    </row>
    <row r="633" ht="15" customHeight="1">
      <c r="A633" t="inlineStr">
        <is>
          <t>A 20411-2023</t>
        </is>
      </c>
      <c r="B633" s="1" t="n">
        <v>45056.64452546297</v>
      </c>
      <c r="C633" s="1" t="n">
        <v>45912</v>
      </c>
      <c r="D633" t="inlineStr">
        <is>
          <t>DALARNAS LÄN</t>
        </is>
      </c>
      <c r="E633" t="inlineStr">
        <is>
          <t>LUDVIKA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24033-2021</t>
        </is>
      </c>
      <c r="B634" s="1" t="n">
        <v>44336.3533912037</v>
      </c>
      <c r="C634" s="1" t="n">
        <v>45912</v>
      </c>
      <c r="D634" t="inlineStr">
        <is>
          <t>DALARNAS LÄN</t>
        </is>
      </c>
      <c r="E634" t="inlineStr">
        <is>
          <t>LUDVIKA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59347-2024</t>
        </is>
      </c>
      <c r="B635" s="1" t="n">
        <v>45638.00060185185</v>
      </c>
      <c r="C635" s="1" t="n">
        <v>45912</v>
      </c>
      <c r="D635" t="inlineStr">
        <is>
          <t>DALARNAS LÄN</t>
        </is>
      </c>
      <c r="E635" t="inlineStr">
        <is>
          <t>LUDVIKA</t>
        </is>
      </c>
      <c r="G635" t="n">
        <v>1</v>
      </c>
      <c r="H635" t="n">
        <v>0</v>
      </c>
      <c r="I635" t="n">
        <v>0</v>
      </c>
      <c r="J635" t="n">
        <v>0</v>
      </c>
      <c r="K635" t="n">
        <v>0</v>
      </c>
      <c r="L635" t="n">
        <v>0</v>
      </c>
      <c r="M635" t="n">
        <v>0</v>
      </c>
      <c r="N635" t="n">
        <v>0</v>
      </c>
      <c r="O635" t="n">
        <v>0</v>
      </c>
      <c r="P635" t="n">
        <v>0</v>
      </c>
      <c r="Q635" t="n">
        <v>0</v>
      </c>
      <c r="R635" s="2" t="inlineStr"/>
    </row>
    <row r="636" ht="15" customHeight="1">
      <c r="A636" t="inlineStr">
        <is>
          <t>A 41158-2022</t>
        </is>
      </c>
      <c r="B636" s="1" t="n">
        <v>44825.88506944444</v>
      </c>
      <c r="C636" s="1" t="n">
        <v>45912</v>
      </c>
      <c r="D636" t="inlineStr">
        <is>
          <t>DALARNAS LÄN</t>
        </is>
      </c>
      <c r="E636" t="inlineStr">
        <is>
          <t>LUDVIKA</t>
        </is>
      </c>
      <c r="G636" t="n">
        <v>2.1</v>
      </c>
      <c r="H636" t="n">
        <v>0</v>
      </c>
      <c r="I636" t="n">
        <v>0</v>
      </c>
      <c r="J636" t="n">
        <v>0</v>
      </c>
      <c r="K636" t="n">
        <v>0</v>
      </c>
      <c r="L636" t="n">
        <v>0</v>
      </c>
      <c r="M636" t="n">
        <v>0</v>
      </c>
      <c r="N636" t="n">
        <v>0</v>
      </c>
      <c r="O636" t="n">
        <v>0</v>
      </c>
      <c r="P636" t="n">
        <v>0</v>
      </c>
      <c r="Q636" t="n">
        <v>0</v>
      </c>
      <c r="R636" s="2" t="inlineStr"/>
    </row>
    <row r="637" ht="15" customHeight="1">
      <c r="A637" t="inlineStr">
        <is>
          <t>A 45402-2024</t>
        </is>
      </c>
      <c r="B637" s="1" t="n">
        <v>45576</v>
      </c>
      <c r="C637" s="1" t="n">
        <v>45912</v>
      </c>
      <c r="D637" t="inlineStr">
        <is>
          <t>DALARNAS LÄN</t>
        </is>
      </c>
      <c r="E637" t="inlineStr">
        <is>
          <t>LUDVIKA</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57803-2023</t>
        </is>
      </c>
      <c r="B638" s="1" t="n">
        <v>45246</v>
      </c>
      <c r="C638" s="1" t="n">
        <v>45912</v>
      </c>
      <c r="D638" t="inlineStr">
        <is>
          <t>DALARNAS LÄN</t>
        </is>
      </c>
      <c r="E638" t="inlineStr">
        <is>
          <t>LUDVIKA</t>
        </is>
      </c>
      <c r="G638" t="n">
        <v>3.3</v>
      </c>
      <c r="H638" t="n">
        <v>0</v>
      </c>
      <c r="I638" t="n">
        <v>0</v>
      </c>
      <c r="J638" t="n">
        <v>0</v>
      </c>
      <c r="K638" t="n">
        <v>0</v>
      </c>
      <c r="L638" t="n">
        <v>0</v>
      </c>
      <c r="M638" t="n">
        <v>0</v>
      </c>
      <c r="N638" t="n">
        <v>0</v>
      </c>
      <c r="O638" t="n">
        <v>0</v>
      </c>
      <c r="P638" t="n">
        <v>0</v>
      </c>
      <c r="Q638" t="n">
        <v>0</v>
      </c>
      <c r="R638" s="2" t="inlineStr"/>
    </row>
    <row r="639" ht="15" customHeight="1">
      <c r="A639" t="inlineStr">
        <is>
          <t>A 18708-2023</t>
        </is>
      </c>
      <c r="B639" s="1" t="n">
        <v>45043</v>
      </c>
      <c r="C639" s="1" t="n">
        <v>45912</v>
      </c>
      <c r="D639" t="inlineStr">
        <is>
          <t>DALARNAS LÄN</t>
        </is>
      </c>
      <c r="E639" t="inlineStr">
        <is>
          <t>LUDVIKA</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51704-2024</t>
        </is>
      </c>
      <c r="B640" s="1" t="n">
        <v>45607.36243055556</v>
      </c>
      <c r="C640" s="1" t="n">
        <v>45912</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50777-2024</t>
        </is>
      </c>
      <c r="B641" s="1" t="n">
        <v>45602.4575</v>
      </c>
      <c r="C641" s="1" t="n">
        <v>45912</v>
      </c>
      <c r="D641" t="inlineStr">
        <is>
          <t>DALARNAS LÄN</t>
        </is>
      </c>
      <c r="E641" t="inlineStr">
        <is>
          <t>LUDVIKA</t>
        </is>
      </c>
      <c r="G641" t="n">
        <v>1.3</v>
      </c>
      <c r="H641" t="n">
        <v>0</v>
      </c>
      <c r="I641" t="n">
        <v>0</v>
      </c>
      <c r="J641" t="n">
        <v>0</v>
      </c>
      <c r="K641" t="n">
        <v>0</v>
      </c>
      <c r="L641" t="n">
        <v>0</v>
      </c>
      <c r="M641" t="n">
        <v>0</v>
      </c>
      <c r="N641" t="n">
        <v>0</v>
      </c>
      <c r="O641" t="n">
        <v>0</v>
      </c>
      <c r="P641" t="n">
        <v>0</v>
      </c>
      <c r="Q641" t="n">
        <v>0</v>
      </c>
      <c r="R641" s="2" t="inlineStr"/>
    </row>
    <row r="642" ht="15" customHeight="1">
      <c r="A642" t="inlineStr">
        <is>
          <t>A 69154-2020</t>
        </is>
      </c>
      <c r="B642" s="1" t="n">
        <v>44188</v>
      </c>
      <c r="C642" s="1" t="n">
        <v>45912</v>
      </c>
      <c r="D642" t="inlineStr">
        <is>
          <t>DALARNAS LÄN</t>
        </is>
      </c>
      <c r="E642" t="inlineStr">
        <is>
          <t>LUDVIKA</t>
        </is>
      </c>
      <c r="F642" t="inlineStr">
        <is>
          <t>Kommuner</t>
        </is>
      </c>
      <c r="G642" t="n">
        <v>13.3</v>
      </c>
      <c r="H642" t="n">
        <v>0</v>
      </c>
      <c r="I642" t="n">
        <v>0</v>
      </c>
      <c r="J642" t="n">
        <v>0</v>
      </c>
      <c r="K642" t="n">
        <v>0</v>
      </c>
      <c r="L642" t="n">
        <v>0</v>
      </c>
      <c r="M642" t="n">
        <v>0</v>
      </c>
      <c r="N642" t="n">
        <v>0</v>
      </c>
      <c r="O642" t="n">
        <v>0</v>
      </c>
      <c r="P642" t="n">
        <v>0</v>
      </c>
      <c r="Q642" t="n">
        <v>0</v>
      </c>
      <c r="R642" s="2" t="inlineStr"/>
    </row>
    <row r="643" ht="15" customHeight="1">
      <c r="A643" t="inlineStr">
        <is>
          <t>A 14986-2024</t>
        </is>
      </c>
      <c r="B643" s="1" t="n">
        <v>45399.34371527778</v>
      </c>
      <c r="C643" s="1" t="n">
        <v>45912</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15008-2024</t>
        </is>
      </c>
      <c r="B644" s="1" t="n">
        <v>45399.42689814815</v>
      </c>
      <c r="C644" s="1" t="n">
        <v>45912</v>
      </c>
      <c r="D644" t="inlineStr">
        <is>
          <t>DALARNAS LÄN</t>
        </is>
      </c>
      <c r="E644" t="inlineStr">
        <is>
          <t>LUDVIKA</t>
        </is>
      </c>
      <c r="G644" t="n">
        <v>1.3</v>
      </c>
      <c r="H644" t="n">
        <v>0</v>
      </c>
      <c r="I644" t="n">
        <v>0</v>
      </c>
      <c r="J644" t="n">
        <v>0</v>
      </c>
      <c r="K644" t="n">
        <v>0</v>
      </c>
      <c r="L644" t="n">
        <v>0</v>
      </c>
      <c r="M644" t="n">
        <v>0</v>
      </c>
      <c r="N644" t="n">
        <v>0</v>
      </c>
      <c r="O644" t="n">
        <v>0</v>
      </c>
      <c r="P644" t="n">
        <v>0</v>
      </c>
      <c r="Q644" t="n">
        <v>0</v>
      </c>
      <c r="R644" s="2" t="inlineStr"/>
    </row>
    <row r="645" ht="15" customHeight="1">
      <c r="A645" t="inlineStr">
        <is>
          <t>A 41668-2023</t>
        </is>
      </c>
      <c r="B645" s="1" t="n">
        <v>45176.30253472222</v>
      </c>
      <c r="C645" s="1" t="n">
        <v>45912</v>
      </c>
      <c r="D645" t="inlineStr">
        <is>
          <t>DALARNAS LÄN</t>
        </is>
      </c>
      <c r="E645" t="inlineStr">
        <is>
          <t>LUDVIKA</t>
        </is>
      </c>
      <c r="G645" t="n">
        <v>1.4</v>
      </c>
      <c r="H645" t="n">
        <v>0</v>
      </c>
      <c r="I645" t="n">
        <v>0</v>
      </c>
      <c r="J645" t="n">
        <v>0</v>
      </c>
      <c r="K645" t="n">
        <v>0</v>
      </c>
      <c r="L645" t="n">
        <v>0</v>
      </c>
      <c r="M645" t="n">
        <v>0</v>
      </c>
      <c r="N645" t="n">
        <v>0</v>
      </c>
      <c r="O645" t="n">
        <v>0</v>
      </c>
      <c r="P645" t="n">
        <v>0</v>
      </c>
      <c r="Q645" t="n">
        <v>0</v>
      </c>
      <c r="R645" s="2" t="inlineStr"/>
    </row>
    <row r="646" ht="15" customHeight="1">
      <c r="A646" t="inlineStr">
        <is>
          <t>A 60843-2024</t>
        </is>
      </c>
      <c r="B646" s="1" t="n">
        <v>45644.65412037037</v>
      </c>
      <c r="C646" s="1" t="n">
        <v>45912</v>
      </c>
      <c r="D646" t="inlineStr">
        <is>
          <t>DALARNAS LÄN</t>
        </is>
      </c>
      <c r="E646" t="inlineStr">
        <is>
          <t>LUDVIKA</t>
        </is>
      </c>
      <c r="F646" t="inlineStr">
        <is>
          <t>Bergvik skog väst AB</t>
        </is>
      </c>
      <c r="G646" t="n">
        <v>3.4</v>
      </c>
      <c r="H646" t="n">
        <v>0</v>
      </c>
      <c r="I646" t="n">
        <v>0</v>
      </c>
      <c r="J646" t="n">
        <v>0</v>
      </c>
      <c r="K646" t="n">
        <v>0</v>
      </c>
      <c r="L646" t="n">
        <v>0</v>
      </c>
      <c r="M646" t="n">
        <v>0</v>
      </c>
      <c r="N646" t="n">
        <v>0</v>
      </c>
      <c r="O646" t="n">
        <v>0</v>
      </c>
      <c r="P646" t="n">
        <v>0</v>
      </c>
      <c r="Q646" t="n">
        <v>0</v>
      </c>
      <c r="R646" s="2" t="inlineStr"/>
    </row>
    <row r="647" ht="15" customHeight="1">
      <c r="A647" t="inlineStr">
        <is>
          <t>A 36294-2023</t>
        </is>
      </c>
      <c r="B647" s="1" t="n">
        <v>45152.35784722222</v>
      </c>
      <c r="C647" s="1" t="n">
        <v>45912</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48925-2024</t>
        </is>
      </c>
      <c r="B648" s="1" t="n">
        <v>45594.37643518519</v>
      </c>
      <c r="C648" s="1" t="n">
        <v>45912</v>
      </c>
      <c r="D648" t="inlineStr">
        <is>
          <t>DALARNAS LÄN</t>
        </is>
      </c>
      <c r="E648" t="inlineStr">
        <is>
          <t>LUDVIKA</t>
        </is>
      </c>
      <c r="F648" t="inlineStr">
        <is>
          <t>Bergvik skog väst AB</t>
        </is>
      </c>
      <c r="G648" t="n">
        <v>5.9</v>
      </c>
      <c r="H648" t="n">
        <v>0</v>
      </c>
      <c r="I648" t="n">
        <v>0</v>
      </c>
      <c r="J648" t="n">
        <v>0</v>
      </c>
      <c r="K648" t="n">
        <v>0</v>
      </c>
      <c r="L648" t="n">
        <v>0</v>
      </c>
      <c r="M648" t="n">
        <v>0</v>
      </c>
      <c r="N648" t="n">
        <v>0</v>
      </c>
      <c r="O648" t="n">
        <v>0</v>
      </c>
      <c r="P648" t="n">
        <v>0</v>
      </c>
      <c r="Q648" t="n">
        <v>0</v>
      </c>
      <c r="R648" s="2" t="inlineStr"/>
    </row>
    <row r="649" ht="15" customHeight="1">
      <c r="A649" t="inlineStr">
        <is>
          <t>A 55462-2024</t>
        </is>
      </c>
      <c r="B649" s="1" t="n">
        <v>45622.42880787037</v>
      </c>
      <c r="C649" s="1" t="n">
        <v>45912</v>
      </c>
      <c r="D649" t="inlineStr">
        <is>
          <t>DALARNAS LÄN</t>
        </is>
      </c>
      <c r="E649" t="inlineStr">
        <is>
          <t>LUDVIKA</t>
        </is>
      </c>
      <c r="F649" t="inlineStr">
        <is>
          <t>Naturvårdsverket</t>
        </is>
      </c>
      <c r="G649" t="n">
        <v>2.6</v>
      </c>
      <c r="H649" t="n">
        <v>0</v>
      </c>
      <c r="I649" t="n">
        <v>0</v>
      </c>
      <c r="J649" t="n">
        <v>0</v>
      </c>
      <c r="K649" t="n">
        <v>0</v>
      </c>
      <c r="L649" t="n">
        <v>0</v>
      </c>
      <c r="M649" t="n">
        <v>0</v>
      </c>
      <c r="N649" t="n">
        <v>0</v>
      </c>
      <c r="O649" t="n">
        <v>0</v>
      </c>
      <c r="P649" t="n">
        <v>0</v>
      </c>
      <c r="Q649" t="n">
        <v>0</v>
      </c>
      <c r="R649" s="2" t="inlineStr"/>
    </row>
    <row r="650" ht="15" customHeight="1">
      <c r="A650" t="inlineStr">
        <is>
          <t>A 55474-2024</t>
        </is>
      </c>
      <c r="B650" s="1" t="n">
        <v>45622.43456018518</v>
      </c>
      <c r="C650" s="1" t="n">
        <v>45912</v>
      </c>
      <c r="D650" t="inlineStr">
        <is>
          <t>DALARNAS LÄN</t>
        </is>
      </c>
      <c r="E650" t="inlineStr">
        <is>
          <t>LUDVIKA</t>
        </is>
      </c>
      <c r="F650" t="inlineStr">
        <is>
          <t>Naturvårdsverket</t>
        </is>
      </c>
      <c r="G650" t="n">
        <v>2.4</v>
      </c>
      <c r="H650" t="n">
        <v>0</v>
      </c>
      <c r="I650" t="n">
        <v>0</v>
      </c>
      <c r="J650" t="n">
        <v>0</v>
      </c>
      <c r="K650" t="n">
        <v>0</v>
      </c>
      <c r="L650" t="n">
        <v>0</v>
      </c>
      <c r="M650" t="n">
        <v>0</v>
      </c>
      <c r="N650" t="n">
        <v>0</v>
      </c>
      <c r="O650" t="n">
        <v>0</v>
      </c>
      <c r="P650" t="n">
        <v>0</v>
      </c>
      <c r="Q650" t="n">
        <v>0</v>
      </c>
      <c r="R650" s="2" t="inlineStr"/>
    </row>
    <row r="651" ht="15" customHeight="1">
      <c r="A651" t="inlineStr">
        <is>
          <t>A 55510-2024</t>
        </is>
      </c>
      <c r="B651" s="1" t="n">
        <v>45622.46479166667</v>
      </c>
      <c r="C651" s="1" t="n">
        <v>45912</v>
      </c>
      <c r="D651" t="inlineStr">
        <is>
          <t>DALARNAS LÄN</t>
        </is>
      </c>
      <c r="E651" t="inlineStr">
        <is>
          <t>LUDVIKA</t>
        </is>
      </c>
      <c r="F651" t="inlineStr">
        <is>
          <t>Naturvårdsverket</t>
        </is>
      </c>
      <c r="G651" t="n">
        <v>3.8</v>
      </c>
      <c r="H651" t="n">
        <v>0</v>
      </c>
      <c r="I651" t="n">
        <v>0</v>
      </c>
      <c r="J651" t="n">
        <v>0</v>
      </c>
      <c r="K651" t="n">
        <v>0</v>
      </c>
      <c r="L651" t="n">
        <v>0</v>
      </c>
      <c r="M651" t="n">
        <v>0</v>
      </c>
      <c r="N651" t="n">
        <v>0</v>
      </c>
      <c r="O651" t="n">
        <v>0</v>
      </c>
      <c r="P651" t="n">
        <v>0</v>
      </c>
      <c r="Q651" t="n">
        <v>0</v>
      </c>
      <c r="R651" s="2" t="inlineStr"/>
    </row>
    <row r="652" ht="15" customHeight="1">
      <c r="A652" t="inlineStr">
        <is>
          <t>A 16108-2021</t>
        </is>
      </c>
      <c r="B652" s="1" t="n">
        <v>44291</v>
      </c>
      <c r="C652" s="1" t="n">
        <v>45912</v>
      </c>
      <c r="D652" t="inlineStr">
        <is>
          <t>DALARNAS LÄN</t>
        </is>
      </c>
      <c r="E652" t="inlineStr">
        <is>
          <t>LUDVIKA</t>
        </is>
      </c>
      <c r="G652" t="n">
        <v>2.9</v>
      </c>
      <c r="H652" t="n">
        <v>0</v>
      </c>
      <c r="I652" t="n">
        <v>0</v>
      </c>
      <c r="J652" t="n">
        <v>0</v>
      </c>
      <c r="K652" t="n">
        <v>0</v>
      </c>
      <c r="L652" t="n">
        <v>0</v>
      </c>
      <c r="M652" t="n">
        <v>0</v>
      </c>
      <c r="N652" t="n">
        <v>0</v>
      </c>
      <c r="O652" t="n">
        <v>0</v>
      </c>
      <c r="P652" t="n">
        <v>0</v>
      </c>
      <c r="Q652" t="n">
        <v>0</v>
      </c>
      <c r="R652" s="2" t="inlineStr"/>
    </row>
    <row r="653" ht="15" customHeight="1">
      <c r="A653" t="inlineStr">
        <is>
          <t>A 65104-2023</t>
        </is>
      </c>
      <c r="B653" s="1" t="n">
        <v>45288</v>
      </c>
      <c r="C653" s="1" t="n">
        <v>45912</v>
      </c>
      <c r="D653" t="inlineStr">
        <is>
          <t>DALARNAS LÄN</t>
        </is>
      </c>
      <c r="E653" t="inlineStr">
        <is>
          <t>LUDVIKA</t>
        </is>
      </c>
      <c r="G653" t="n">
        <v>1.3</v>
      </c>
      <c r="H653" t="n">
        <v>0</v>
      </c>
      <c r="I653" t="n">
        <v>0</v>
      </c>
      <c r="J653" t="n">
        <v>0</v>
      </c>
      <c r="K653" t="n">
        <v>0</v>
      </c>
      <c r="L653" t="n">
        <v>0</v>
      </c>
      <c r="M653" t="n">
        <v>0</v>
      </c>
      <c r="N653" t="n">
        <v>0</v>
      </c>
      <c r="O653" t="n">
        <v>0</v>
      </c>
      <c r="P653" t="n">
        <v>0</v>
      </c>
      <c r="Q653" t="n">
        <v>0</v>
      </c>
      <c r="R653" s="2" t="inlineStr"/>
    </row>
    <row r="654" ht="15" customHeight="1">
      <c r="A654" t="inlineStr">
        <is>
          <t>A 4550-2025</t>
        </is>
      </c>
      <c r="B654" s="1" t="n">
        <v>45687.40626157408</v>
      </c>
      <c r="C654" s="1" t="n">
        <v>45912</v>
      </c>
      <c r="D654" t="inlineStr">
        <is>
          <t>DALARNAS LÄN</t>
        </is>
      </c>
      <c r="E654" t="inlineStr">
        <is>
          <t>LUDVIKA</t>
        </is>
      </c>
      <c r="G654" t="n">
        <v>0.8</v>
      </c>
      <c r="H654" t="n">
        <v>0</v>
      </c>
      <c r="I654" t="n">
        <v>0</v>
      </c>
      <c r="J654" t="n">
        <v>0</v>
      </c>
      <c r="K654" t="n">
        <v>0</v>
      </c>
      <c r="L654" t="n">
        <v>0</v>
      </c>
      <c r="M654" t="n">
        <v>0</v>
      </c>
      <c r="N654" t="n">
        <v>0</v>
      </c>
      <c r="O654" t="n">
        <v>0</v>
      </c>
      <c r="P654" t="n">
        <v>0</v>
      </c>
      <c r="Q654" t="n">
        <v>0</v>
      </c>
      <c r="R654" s="2" t="inlineStr"/>
    </row>
    <row r="655" ht="15" customHeight="1">
      <c r="A655" t="inlineStr">
        <is>
          <t>A 18421-2025</t>
        </is>
      </c>
      <c r="B655" s="1" t="n">
        <v>45762.61923611111</v>
      </c>
      <c r="C655" s="1" t="n">
        <v>45912</v>
      </c>
      <c r="D655" t="inlineStr">
        <is>
          <t>DALARNAS LÄN</t>
        </is>
      </c>
      <c r="E655" t="inlineStr">
        <is>
          <t>LUDVIKA</t>
        </is>
      </c>
      <c r="G655" t="n">
        <v>0.9</v>
      </c>
      <c r="H655" t="n">
        <v>0</v>
      </c>
      <c r="I655" t="n">
        <v>0</v>
      </c>
      <c r="J655" t="n">
        <v>0</v>
      </c>
      <c r="K655" t="n">
        <v>0</v>
      </c>
      <c r="L655" t="n">
        <v>0</v>
      </c>
      <c r="M655" t="n">
        <v>0</v>
      </c>
      <c r="N655" t="n">
        <v>0</v>
      </c>
      <c r="O655" t="n">
        <v>0</v>
      </c>
      <c r="P655" t="n">
        <v>0</v>
      </c>
      <c r="Q655" t="n">
        <v>0</v>
      </c>
      <c r="R655" s="2" t="inlineStr"/>
    </row>
    <row r="656" ht="15" customHeight="1">
      <c r="A656" t="inlineStr">
        <is>
          <t>A 50714-2024</t>
        </is>
      </c>
      <c r="B656" s="1" t="n">
        <v>45602</v>
      </c>
      <c r="C656" s="1" t="n">
        <v>45912</v>
      </c>
      <c r="D656" t="inlineStr">
        <is>
          <t>DALARNAS LÄN</t>
        </is>
      </c>
      <c r="E656" t="inlineStr">
        <is>
          <t>LUDVIKA</t>
        </is>
      </c>
      <c r="G656" t="n">
        <v>0.8</v>
      </c>
      <c r="H656" t="n">
        <v>0</v>
      </c>
      <c r="I656" t="n">
        <v>0</v>
      </c>
      <c r="J656" t="n">
        <v>0</v>
      </c>
      <c r="K656" t="n">
        <v>0</v>
      </c>
      <c r="L656" t="n">
        <v>0</v>
      </c>
      <c r="M656" t="n">
        <v>0</v>
      </c>
      <c r="N656" t="n">
        <v>0</v>
      </c>
      <c r="O656" t="n">
        <v>0</v>
      </c>
      <c r="P656" t="n">
        <v>0</v>
      </c>
      <c r="Q656" t="n">
        <v>0</v>
      </c>
      <c r="R656" s="2" t="inlineStr"/>
    </row>
    <row r="657" ht="15" customHeight="1">
      <c r="A657" t="inlineStr">
        <is>
          <t>A 46185-2024</t>
        </is>
      </c>
      <c r="B657" s="1" t="n">
        <v>45581</v>
      </c>
      <c r="C657" s="1" t="n">
        <v>45912</v>
      </c>
      <c r="D657" t="inlineStr">
        <is>
          <t>DALARNAS LÄN</t>
        </is>
      </c>
      <c r="E657" t="inlineStr">
        <is>
          <t>LUDVIKA</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69094-2020</t>
        </is>
      </c>
      <c r="B658" s="1" t="n">
        <v>44188</v>
      </c>
      <c r="C658" s="1" t="n">
        <v>45912</v>
      </c>
      <c r="D658" t="inlineStr">
        <is>
          <t>DALARNAS LÄN</t>
        </is>
      </c>
      <c r="E658" t="inlineStr">
        <is>
          <t>LUDVIKA</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14881-2025</t>
        </is>
      </c>
      <c r="B659" s="1" t="n">
        <v>45743.4653587963</v>
      </c>
      <c r="C659" s="1" t="n">
        <v>45912</v>
      </c>
      <c r="D659" t="inlineStr">
        <is>
          <t>DALARNAS LÄN</t>
        </is>
      </c>
      <c r="E659" t="inlineStr">
        <is>
          <t>LUDVIKA</t>
        </is>
      </c>
      <c r="G659" t="n">
        <v>0.5</v>
      </c>
      <c r="H659" t="n">
        <v>0</v>
      </c>
      <c r="I659" t="n">
        <v>0</v>
      </c>
      <c r="J659" t="n">
        <v>0</v>
      </c>
      <c r="K659" t="n">
        <v>0</v>
      </c>
      <c r="L659" t="n">
        <v>0</v>
      </c>
      <c r="M659" t="n">
        <v>0</v>
      </c>
      <c r="N659" t="n">
        <v>0</v>
      </c>
      <c r="O659" t="n">
        <v>0</v>
      </c>
      <c r="P659" t="n">
        <v>0</v>
      </c>
      <c r="Q659" t="n">
        <v>0</v>
      </c>
      <c r="R659" s="2" t="inlineStr"/>
    </row>
    <row r="660" ht="15" customHeight="1">
      <c r="A660" t="inlineStr">
        <is>
          <t>A 8703-2023</t>
        </is>
      </c>
      <c r="B660" s="1" t="n">
        <v>44978</v>
      </c>
      <c r="C660" s="1" t="n">
        <v>45912</v>
      </c>
      <c r="D660" t="inlineStr">
        <is>
          <t>DALARNAS LÄN</t>
        </is>
      </c>
      <c r="E660" t="inlineStr">
        <is>
          <t>LUDVIKA</t>
        </is>
      </c>
      <c r="G660" t="n">
        <v>0.5</v>
      </c>
      <c r="H660" t="n">
        <v>0</v>
      </c>
      <c r="I660" t="n">
        <v>0</v>
      </c>
      <c r="J660" t="n">
        <v>0</v>
      </c>
      <c r="K660" t="n">
        <v>0</v>
      </c>
      <c r="L660" t="n">
        <v>0</v>
      </c>
      <c r="M660" t="n">
        <v>0</v>
      </c>
      <c r="N660" t="n">
        <v>0</v>
      </c>
      <c r="O660" t="n">
        <v>0</v>
      </c>
      <c r="P660" t="n">
        <v>0</v>
      </c>
      <c r="Q660" t="n">
        <v>0</v>
      </c>
      <c r="R660" s="2" t="inlineStr"/>
    </row>
    <row r="661" ht="15" customHeight="1">
      <c r="A661" t="inlineStr">
        <is>
          <t>A 18585-2023</t>
        </is>
      </c>
      <c r="B661" s="1" t="n">
        <v>45043.39247685186</v>
      </c>
      <c r="C661" s="1" t="n">
        <v>45912</v>
      </c>
      <c r="D661" t="inlineStr">
        <is>
          <t>DALARNAS LÄN</t>
        </is>
      </c>
      <c r="E661" t="inlineStr">
        <is>
          <t>LUDVIKA</t>
        </is>
      </c>
      <c r="F661" t="inlineStr">
        <is>
          <t>Bergvik skog väst AB</t>
        </is>
      </c>
      <c r="G661" t="n">
        <v>4.8</v>
      </c>
      <c r="H661" t="n">
        <v>0</v>
      </c>
      <c r="I661" t="n">
        <v>0</v>
      </c>
      <c r="J661" t="n">
        <v>0</v>
      </c>
      <c r="K661" t="n">
        <v>0</v>
      </c>
      <c r="L661" t="n">
        <v>0</v>
      </c>
      <c r="M661" t="n">
        <v>0</v>
      </c>
      <c r="N661" t="n">
        <v>0</v>
      </c>
      <c r="O661" t="n">
        <v>0</v>
      </c>
      <c r="P661" t="n">
        <v>0</v>
      </c>
      <c r="Q661" t="n">
        <v>0</v>
      </c>
      <c r="R661" s="2" t="inlineStr"/>
    </row>
    <row r="662" ht="15" customHeight="1">
      <c r="A662" t="inlineStr">
        <is>
          <t>A 59050-2022</t>
        </is>
      </c>
      <c r="B662" s="1" t="n">
        <v>44903</v>
      </c>
      <c r="C662" s="1" t="n">
        <v>45912</v>
      </c>
      <c r="D662" t="inlineStr">
        <is>
          <t>DALARNAS LÄN</t>
        </is>
      </c>
      <c r="E662" t="inlineStr">
        <is>
          <t>LUDVIKA</t>
        </is>
      </c>
      <c r="G662" t="n">
        <v>2.8</v>
      </c>
      <c r="H662" t="n">
        <v>0</v>
      </c>
      <c r="I662" t="n">
        <v>0</v>
      </c>
      <c r="J662" t="n">
        <v>0</v>
      </c>
      <c r="K662" t="n">
        <v>0</v>
      </c>
      <c r="L662" t="n">
        <v>0</v>
      </c>
      <c r="M662" t="n">
        <v>0</v>
      </c>
      <c r="N662" t="n">
        <v>0</v>
      </c>
      <c r="O662" t="n">
        <v>0</v>
      </c>
      <c r="P662" t="n">
        <v>0</v>
      </c>
      <c r="Q662" t="n">
        <v>0</v>
      </c>
      <c r="R662" s="2" t="inlineStr"/>
    </row>
    <row r="663" ht="15" customHeight="1">
      <c r="A663" t="inlineStr">
        <is>
          <t>A 45543-2024</t>
        </is>
      </c>
      <c r="B663" s="1" t="n">
        <v>45579.33577546296</v>
      </c>
      <c r="C663" s="1" t="n">
        <v>45912</v>
      </c>
      <c r="D663" t="inlineStr">
        <is>
          <t>DALARNAS LÄN</t>
        </is>
      </c>
      <c r="E663" t="inlineStr">
        <is>
          <t>LUDVIKA</t>
        </is>
      </c>
      <c r="G663" t="n">
        <v>0.5</v>
      </c>
      <c r="H663" t="n">
        <v>0</v>
      </c>
      <c r="I663" t="n">
        <v>0</v>
      </c>
      <c r="J663" t="n">
        <v>0</v>
      </c>
      <c r="K663" t="n">
        <v>0</v>
      </c>
      <c r="L663" t="n">
        <v>0</v>
      </c>
      <c r="M663" t="n">
        <v>0</v>
      </c>
      <c r="N663" t="n">
        <v>0</v>
      </c>
      <c r="O663" t="n">
        <v>0</v>
      </c>
      <c r="P663" t="n">
        <v>0</v>
      </c>
      <c r="Q663" t="n">
        <v>0</v>
      </c>
      <c r="R663" s="2" t="inlineStr"/>
    </row>
    <row r="664" ht="15" customHeight="1">
      <c r="A664" t="inlineStr">
        <is>
          <t>A 45544-2024</t>
        </is>
      </c>
      <c r="B664" s="1" t="n">
        <v>45579.33912037037</v>
      </c>
      <c r="C664" s="1" t="n">
        <v>45912</v>
      </c>
      <c r="D664" t="inlineStr">
        <is>
          <t>DALARNAS LÄN</t>
        </is>
      </c>
      <c r="E664" t="inlineStr">
        <is>
          <t>LUDVIKA</t>
        </is>
      </c>
      <c r="G664" t="n">
        <v>1.5</v>
      </c>
      <c r="H664" t="n">
        <v>0</v>
      </c>
      <c r="I664" t="n">
        <v>0</v>
      </c>
      <c r="J664" t="n">
        <v>0</v>
      </c>
      <c r="K664" t="n">
        <v>0</v>
      </c>
      <c r="L664" t="n">
        <v>0</v>
      </c>
      <c r="M664" t="n">
        <v>0</v>
      </c>
      <c r="N664" t="n">
        <v>0</v>
      </c>
      <c r="O664" t="n">
        <v>0</v>
      </c>
      <c r="P664" t="n">
        <v>0</v>
      </c>
      <c r="Q664" t="n">
        <v>0</v>
      </c>
      <c r="R664" s="2" t="inlineStr"/>
    </row>
    <row r="665" ht="15" customHeight="1">
      <c r="A665" t="inlineStr">
        <is>
          <t>A 45547-2024</t>
        </is>
      </c>
      <c r="B665" s="1" t="n">
        <v>45579.34377314815</v>
      </c>
      <c r="C665" s="1" t="n">
        <v>45912</v>
      </c>
      <c r="D665" t="inlineStr">
        <is>
          <t>DALARNAS LÄN</t>
        </is>
      </c>
      <c r="E665" t="inlineStr">
        <is>
          <t>LUDVIKA</t>
        </is>
      </c>
      <c r="G665" t="n">
        <v>2.5</v>
      </c>
      <c r="H665" t="n">
        <v>0</v>
      </c>
      <c r="I665" t="n">
        <v>0</v>
      </c>
      <c r="J665" t="n">
        <v>0</v>
      </c>
      <c r="K665" t="n">
        <v>0</v>
      </c>
      <c r="L665" t="n">
        <v>0</v>
      </c>
      <c r="M665" t="n">
        <v>0</v>
      </c>
      <c r="N665" t="n">
        <v>0</v>
      </c>
      <c r="O665" t="n">
        <v>0</v>
      </c>
      <c r="P665" t="n">
        <v>0</v>
      </c>
      <c r="Q665" t="n">
        <v>0</v>
      </c>
      <c r="R665" s="2" t="inlineStr"/>
    </row>
    <row r="666">
      <c r="A666" t="inlineStr">
        <is>
          <t>A 54089-2024</t>
        </is>
      </c>
      <c r="B666" s="1" t="n">
        <v>45616.50763888889</v>
      </c>
      <c r="C666" s="1" t="n">
        <v>45912</v>
      </c>
      <c r="D666" t="inlineStr">
        <is>
          <t>DALARNAS LÄN</t>
        </is>
      </c>
      <c r="E666" t="inlineStr">
        <is>
          <t>LUDVIKA</t>
        </is>
      </c>
      <c r="F666" t="inlineStr">
        <is>
          <t>Bergvik skog väst AB</t>
        </is>
      </c>
      <c r="G666" t="n">
        <v>1.5</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2025-09-12T08:54:37Z</dcterms:created>
  <dcterms:modified xmlns:dcterms="http://purl.org/dc/terms/" xmlns:xsi="http://www.w3.org/2001/XMLSchema-instance" xsi:type="dcterms:W3CDTF">2025-09-12T08:54:37Z</dcterms:modified>
</cp:coreProperties>
</file>
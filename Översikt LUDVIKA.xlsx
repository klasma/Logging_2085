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45667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45667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45667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45667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45667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45667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45667</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45667</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45667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45667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45667</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45667</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55855-2023</t>
        </is>
      </c>
      <c r="B14" s="1" t="n">
        <v>45239</v>
      </c>
      <c r="C14" s="1" t="n">
        <v>45667</v>
      </c>
      <c r="D14" t="inlineStr">
        <is>
          <t>DALARNAS LÄN</t>
        </is>
      </c>
      <c r="E14" t="inlineStr">
        <is>
          <t>LUDVIKA</t>
        </is>
      </c>
      <c r="F14" t="inlineStr">
        <is>
          <t>Bergvik skog väst AB</t>
        </is>
      </c>
      <c r="G14" t="n">
        <v>11.8</v>
      </c>
      <c r="H14" t="n">
        <v>4</v>
      </c>
      <c r="I14" t="n">
        <v>0</v>
      </c>
      <c r="J14" t="n">
        <v>4</v>
      </c>
      <c r="K14" t="n">
        <v>0</v>
      </c>
      <c r="L14" t="n">
        <v>0</v>
      </c>
      <c r="M14" t="n">
        <v>0</v>
      </c>
      <c r="N14" t="n">
        <v>0</v>
      </c>
      <c r="O14" t="n">
        <v>4</v>
      </c>
      <c r="P14" t="n">
        <v>0</v>
      </c>
      <c r="Q14" t="n">
        <v>5</v>
      </c>
      <c r="R14" s="2" t="inlineStr">
        <is>
          <t>Brunklöver
Duvhök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53053-2024</t>
        </is>
      </c>
      <c r="B15" s="1" t="n">
        <v>45611</v>
      </c>
      <c r="C15" s="1" t="n">
        <v>45667</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29285-2020</t>
        </is>
      </c>
      <c r="B16" s="1" t="n">
        <v>44000</v>
      </c>
      <c r="C16" s="1" t="n">
        <v>45667</v>
      </c>
      <c r="D16" t="inlineStr">
        <is>
          <t>DALARNAS LÄN</t>
        </is>
      </c>
      <c r="E16" t="inlineStr">
        <is>
          <t>LUDVIKA</t>
        </is>
      </c>
      <c r="G16" t="n">
        <v>2.5</v>
      </c>
      <c r="H16" t="n">
        <v>1</v>
      </c>
      <c r="I16" t="n">
        <v>1</v>
      </c>
      <c r="J16" t="n">
        <v>2</v>
      </c>
      <c r="K16" t="n">
        <v>0</v>
      </c>
      <c r="L16" t="n">
        <v>0</v>
      </c>
      <c r="M16" t="n">
        <v>0</v>
      </c>
      <c r="N16" t="n">
        <v>0</v>
      </c>
      <c r="O16" t="n">
        <v>2</v>
      </c>
      <c r="P16" t="n">
        <v>0</v>
      </c>
      <c r="Q16" t="n">
        <v>4</v>
      </c>
      <c r="R16" s="2" t="inlineStr">
        <is>
          <t>Violettgrå tagellav
Vitgrynig nållav
Nästlav
Fläcknycklar</t>
        </is>
      </c>
      <c r="S16">
        <f>HYPERLINK("https://klasma.github.io/Logging_2085/artfynd/A 29285-2020 artfynd.xlsx", "A 29285-2020")</f>
        <v/>
      </c>
      <c r="T16">
        <f>HYPERLINK("https://klasma.github.io/Logging_2085/kartor/A 29285-2020 karta.png", "A 29285-2020")</f>
        <v/>
      </c>
      <c r="V16">
        <f>HYPERLINK("https://klasma.github.io/Logging_2085/klagomål/A 29285-2020 FSC-klagomål.docx", "A 29285-2020")</f>
        <v/>
      </c>
      <c r="W16">
        <f>HYPERLINK("https://klasma.github.io/Logging_2085/klagomålsmail/A 29285-2020 FSC-klagomål mail.docx", "A 29285-2020")</f>
        <v/>
      </c>
      <c r="X16">
        <f>HYPERLINK("https://klasma.github.io/Logging_2085/tillsyn/A 29285-2020 tillsynsbegäran.docx", "A 29285-2020")</f>
        <v/>
      </c>
      <c r="Y16">
        <f>HYPERLINK("https://klasma.github.io/Logging_2085/tillsynsmail/A 29285-2020 tillsynsbegäran mail.docx", "A 29285-2020")</f>
        <v/>
      </c>
    </row>
    <row r="17" ht="15" customHeight="1">
      <c r="A17" t="inlineStr">
        <is>
          <t>A 54639-2020</t>
        </is>
      </c>
      <c r="B17" s="1" t="n">
        <v>44127</v>
      </c>
      <c r="C17" s="1" t="n">
        <v>45667</v>
      </c>
      <c r="D17" t="inlineStr">
        <is>
          <t>DALARNAS LÄN</t>
        </is>
      </c>
      <c r="E17" t="inlineStr">
        <is>
          <t>LUDVIKA</t>
        </is>
      </c>
      <c r="F17" t="inlineStr">
        <is>
          <t>Övriga Aktiebolag</t>
        </is>
      </c>
      <c r="G17" t="n">
        <v>25.9</v>
      </c>
      <c r="H17" t="n">
        <v>2</v>
      </c>
      <c r="I17" t="n">
        <v>2</v>
      </c>
      <c r="J17" t="n">
        <v>2</v>
      </c>
      <c r="K17" t="n">
        <v>0</v>
      </c>
      <c r="L17" t="n">
        <v>0</v>
      </c>
      <c r="M17" t="n">
        <v>0</v>
      </c>
      <c r="N17" t="n">
        <v>0</v>
      </c>
      <c r="O17" t="n">
        <v>2</v>
      </c>
      <c r="P17" t="n">
        <v>0</v>
      </c>
      <c r="Q17" t="n">
        <v>4</v>
      </c>
      <c r="R17" s="2" t="inlineStr">
        <is>
          <t>Tretåig hackspett
Ullticka
Bronshjon
Korallrot</t>
        </is>
      </c>
      <c r="S17">
        <f>HYPERLINK("https://klasma.github.io/Logging_2085/artfynd/A 54639-2020 artfynd.xlsx", "A 54639-2020")</f>
        <v/>
      </c>
      <c r="T17">
        <f>HYPERLINK("https://klasma.github.io/Logging_2085/kartor/A 54639-2020 karta.png", "A 54639-2020")</f>
        <v/>
      </c>
      <c r="U17">
        <f>HYPERLINK("https://klasma.github.io/Logging_2085/knärot/A 54639-2020 karta knärot.png", "A 54639-2020")</f>
        <v/>
      </c>
      <c r="V17">
        <f>HYPERLINK("https://klasma.github.io/Logging_2085/klagomål/A 54639-2020 FSC-klagomål.docx", "A 54639-2020")</f>
        <v/>
      </c>
      <c r="W17">
        <f>HYPERLINK("https://klasma.github.io/Logging_2085/klagomålsmail/A 54639-2020 FSC-klagomål mail.docx", "A 54639-2020")</f>
        <v/>
      </c>
      <c r="X17">
        <f>HYPERLINK("https://klasma.github.io/Logging_2085/tillsyn/A 54639-2020 tillsynsbegäran.docx", "A 54639-2020")</f>
        <v/>
      </c>
      <c r="Y17">
        <f>HYPERLINK("https://klasma.github.io/Logging_2085/tillsynsmail/A 54639-2020 tillsynsbegäran mail.docx", "A 54639-2020")</f>
        <v/>
      </c>
      <c r="Z17">
        <f>HYPERLINK("https://klasma.github.io/Logging_2085/fåglar/A 54639-2020 prioriterade fågelarter.docx", "A 54639-2020")</f>
        <v/>
      </c>
    </row>
    <row r="18" ht="15" customHeight="1">
      <c r="A18" t="inlineStr">
        <is>
          <t>A 44535-2021</t>
        </is>
      </c>
      <c r="B18" s="1" t="n">
        <v>44435</v>
      </c>
      <c r="C18" s="1" t="n">
        <v>45667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45667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45667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45667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45667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45667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45667</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45667</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45667</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45667</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45667</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45667</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45667</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45667</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45667</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42558-2022</t>
        </is>
      </c>
      <c r="B33" s="1" t="n">
        <v>44831</v>
      </c>
      <c r="C33" s="1" t="n">
        <v>45667</v>
      </c>
      <c r="D33" t="inlineStr">
        <is>
          <t>DALARNAS LÄN</t>
        </is>
      </c>
      <c r="E33" t="inlineStr">
        <is>
          <t>LUDVIKA</t>
        </is>
      </c>
      <c r="F33" t="inlineStr">
        <is>
          <t>Naturvårdsverket</t>
        </is>
      </c>
      <c r="G33" t="n">
        <v>4.9</v>
      </c>
      <c r="H33" t="n">
        <v>1</v>
      </c>
      <c r="I33" t="n">
        <v>0</v>
      </c>
      <c r="J33" t="n">
        <v>0</v>
      </c>
      <c r="K33" t="n">
        <v>1</v>
      </c>
      <c r="L33" t="n">
        <v>0</v>
      </c>
      <c r="M33" t="n">
        <v>0</v>
      </c>
      <c r="N33" t="n">
        <v>0</v>
      </c>
      <c r="O33" t="n">
        <v>1</v>
      </c>
      <c r="P33" t="n">
        <v>1</v>
      </c>
      <c r="Q33" t="n">
        <v>2</v>
      </c>
      <c r="R33" s="2" t="inlineStr">
        <is>
          <t>Gräddporing
Lopplummer</t>
        </is>
      </c>
      <c r="S33">
        <f>HYPERLINK("https://klasma.github.io/Logging_2085/artfynd/A 42558-2022 artfynd.xlsx", "A 42558-2022")</f>
        <v/>
      </c>
      <c r="T33">
        <f>HYPERLINK("https://klasma.github.io/Logging_2085/kartor/A 42558-2022 karta.png", "A 42558-2022")</f>
        <v/>
      </c>
      <c r="V33">
        <f>HYPERLINK("https://klasma.github.io/Logging_2085/klagomål/A 42558-2022 FSC-klagomål.docx", "A 42558-2022")</f>
        <v/>
      </c>
      <c r="W33">
        <f>HYPERLINK("https://klasma.github.io/Logging_2085/klagomålsmail/A 42558-2022 FSC-klagomål mail.docx", "A 42558-2022")</f>
        <v/>
      </c>
      <c r="X33">
        <f>HYPERLINK("https://klasma.github.io/Logging_2085/tillsyn/A 42558-2022 tillsynsbegäran.docx", "A 42558-2022")</f>
        <v/>
      </c>
      <c r="Y33">
        <f>HYPERLINK("https://klasma.github.io/Logging_2085/tillsynsmail/A 42558-2022 tillsynsbegäran mail.docx", "A 42558-2022")</f>
        <v/>
      </c>
    </row>
    <row r="34" ht="15" customHeight="1">
      <c r="A34" t="inlineStr">
        <is>
          <t>A 12093-2023</t>
        </is>
      </c>
      <c r="B34" s="1" t="n">
        <v>44998</v>
      </c>
      <c r="C34" s="1" t="n">
        <v>45667</v>
      </c>
      <c r="D34" t="inlineStr">
        <is>
          <t>DALARNAS LÄN</t>
        </is>
      </c>
      <c r="E34" t="inlineStr">
        <is>
          <t>LUDVIKA</t>
        </is>
      </c>
      <c r="G34" t="n">
        <v>3.2</v>
      </c>
      <c r="H34" t="n">
        <v>0</v>
      </c>
      <c r="I34" t="n">
        <v>0</v>
      </c>
      <c r="J34" t="n">
        <v>1</v>
      </c>
      <c r="K34" t="n">
        <v>1</v>
      </c>
      <c r="L34" t="n">
        <v>0</v>
      </c>
      <c r="M34" t="n">
        <v>0</v>
      </c>
      <c r="N34" t="n">
        <v>0</v>
      </c>
      <c r="O34" t="n">
        <v>2</v>
      </c>
      <c r="P34" t="n">
        <v>1</v>
      </c>
      <c r="Q34" t="n">
        <v>2</v>
      </c>
      <c r="R34" s="2" t="inlineStr">
        <is>
          <t>Bitter taggsvamp
Solfjäderlav</t>
        </is>
      </c>
      <c r="S34">
        <f>HYPERLINK("https://klasma.github.io/Logging_2085/artfynd/A 12093-2023 artfynd.xlsx", "A 12093-2023")</f>
        <v/>
      </c>
      <c r="T34">
        <f>HYPERLINK("https://klasma.github.io/Logging_2085/kartor/A 12093-2023 karta.png", "A 12093-2023")</f>
        <v/>
      </c>
      <c r="V34">
        <f>HYPERLINK("https://klasma.github.io/Logging_2085/klagomål/A 12093-2023 FSC-klagomål.docx", "A 12093-2023")</f>
        <v/>
      </c>
      <c r="W34">
        <f>HYPERLINK("https://klasma.github.io/Logging_2085/klagomålsmail/A 12093-2023 FSC-klagomål mail.docx", "A 12093-2023")</f>
        <v/>
      </c>
      <c r="X34">
        <f>HYPERLINK("https://klasma.github.io/Logging_2085/tillsyn/A 12093-2023 tillsynsbegäran.docx", "A 12093-2023")</f>
        <v/>
      </c>
      <c r="Y34">
        <f>HYPERLINK("https://klasma.github.io/Logging_2085/tillsynsmail/A 12093-2023 tillsynsbegäran mail.docx", "A 12093-2023")</f>
        <v/>
      </c>
    </row>
    <row r="35" ht="15" customHeight="1">
      <c r="A35" t="inlineStr">
        <is>
          <t>A 19338-2023</t>
        </is>
      </c>
      <c r="B35" s="1" t="n">
        <v>45049</v>
      </c>
      <c r="C35" s="1" t="n">
        <v>45667</v>
      </c>
      <c r="D35" t="inlineStr">
        <is>
          <t>DALARNAS LÄN</t>
        </is>
      </c>
      <c r="E35" t="inlineStr">
        <is>
          <t>LUDVIKA</t>
        </is>
      </c>
      <c r="G35" t="n">
        <v>13.7</v>
      </c>
      <c r="H35" t="n">
        <v>0</v>
      </c>
      <c r="I35" t="n">
        <v>1</v>
      </c>
      <c r="J35" t="n">
        <v>1</v>
      </c>
      <c r="K35" t="n">
        <v>0</v>
      </c>
      <c r="L35" t="n">
        <v>0</v>
      </c>
      <c r="M35" t="n">
        <v>0</v>
      </c>
      <c r="N35" t="n">
        <v>0</v>
      </c>
      <c r="O35" t="n">
        <v>1</v>
      </c>
      <c r="P35" t="n">
        <v>0</v>
      </c>
      <c r="Q35" t="n">
        <v>2</v>
      </c>
      <c r="R35" s="2" t="inlineStr">
        <is>
          <t>Motaggsvamp
Dropptaggsvamp</t>
        </is>
      </c>
      <c r="S35">
        <f>HYPERLINK("https://klasma.github.io/Logging_2085/artfynd/A 19338-2023 artfynd.xlsx", "A 19338-2023")</f>
        <v/>
      </c>
      <c r="T35">
        <f>HYPERLINK("https://klasma.github.io/Logging_2085/kartor/A 19338-2023 karta.png", "A 19338-2023")</f>
        <v/>
      </c>
      <c r="V35">
        <f>HYPERLINK("https://klasma.github.io/Logging_2085/klagomål/A 19338-2023 FSC-klagomål.docx", "A 19338-2023")</f>
        <v/>
      </c>
      <c r="W35">
        <f>HYPERLINK("https://klasma.github.io/Logging_2085/klagomålsmail/A 19338-2023 FSC-klagomål mail.docx", "A 19338-2023")</f>
        <v/>
      </c>
      <c r="X35">
        <f>HYPERLINK("https://klasma.github.io/Logging_2085/tillsyn/A 19338-2023 tillsynsbegäran.docx", "A 19338-2023")</f>
        <v/>
      </c>
      <c r="Y35">
        <f>HYPERLINK("https://klasma.github.io/Logging_2085/tillsynsmail/A 19338-2023 tillsynsbegäran mail.docx", "A 19338-2023")</f>
        <v/>
      </c>
    </row>
    <row r="36" ht="15" customHeight="1">
      <c r="A36" t="inlineStr">
        <is>
          <t>A 21074-2023</t>
        </is>
      </c>
      <c r="B36" s="1" t="n">
        <v>45061</v>
      </c>
      <c r="C36" s="1" t="n">
        <v>45667</v>
      </c>
      <c r="D36" t="inlineStr">
        <is>
          <t>DALARNAS LÄN</t>
        </is>
      </c>
      <c r="E36" t="inlineStr">
        <is>
          <t>LUDVIKA</t>
        </is>
      </c>
      <c r="F36" t="inlineStr">
        <is>
          <t>Bergvik skog väst AB</t>
        </is>
      </c>
      <c r="G36" t="n">
        <v>12</v>
      </c>
      <c r="H36" t="n">
        <v>0</v>
      </c>
      <c r="I36" t="n">
        <v>2</v>
      </c>
      <c r="J36" t="n">
        <v>0</v>
      </c>
      <c r="K36" t="n">
        <v>0</v>
      </c>
      <c r="L36" t="n">
        <v>0</v>
      </c>
      <c r="M36" t="n">
        <v>0</v>
      </c>
      <c r="N36" t="n">
        <v>0</v>
      </c>
      <c r="O36" t="n">
        <v>0</v>
      </c>
      <c r="P36" t="n">
        <v>0</v>
      </c>
      <c r="Q36" t="n">
        <v>2</v>
      </c>
      <c r="R36" s="2" t="inlineStr">
        <is>
          <t>Bårdlav
Korallblylav</t>
        </is>
      </c>
      <c r="S36">
        <f>HYPERLINK("https://klasma.github.io/Logging_2085/artfynd/A 21074-2023 artfynd.xlsx", "A 21074-2023")</f>
        <v/>
      </c>
      <c r="T36">
        <f>HYPERLINK("https://klasma.github.io/Logging_2085/kartor/A 21074-2023 karta.png", "A 21074-2023")</f>
        <v/>
      </c>
      <c r="V36">
        <f>HYPERLINK("https://klasma.github.io/Logging_2085/klagomål/A 21074-2023 FSC-klagomål.docx", "A 21074-2023")</f>
        <v/>
      </c>
      <c r="W36">
        <f>HYPERLINK("https://klasma.github.io/Logging_2085/klagomålsmail/A 21074-2023 FSC-klagomål mail.docx", "A 21074-2023")</f>
        <v/>
      </c>
      <c r="X36">
        <f>HYPERLINK("https://klasma.github.io/Logging_2085/tillsyn/A 21074-2023 tillsynsbegäran.docx", "A 21074-2023")</f>
        <v/>
      </c>
      <c r="Y36">
        <f>HYPERLINK("https://klasma.github.io/Logging_2085/tillsynsmail/A 21074-2023 tillsynsbegäran mail.docx", "A 21074-2023")</f>
        <v/>
      </c>
    </row>
    <row r="37" ht="15" customHeight="1">
      <c r="A37" t="inlineStr">
        <is>
          <t>A 49390-2023</t>
        </is>
      </c>
      <c r="B37" s="1" t="n">
        <v>45211</v>
      </c>
      <c r="C37" s="1" t="n">
        <v>45667</v>
      </c>
      <c r="D37" t="inlineStr">
        <is>
          <t>DALARNAS LÄN</t>
        </is>
      </c>
      <c r="E37" t="inlineStr">
        <is>
          <t>LUDVIKA</t>
        </is>
      </c>
      <c r="F37" t="inlineStr">
        <is>
          <t>Bergvik skog väst AB</t>
        </is>
      </c>
      <c r="G37" t="n">
        <v>12.7</v>
      </c>
      <c r="H37" t="n">
        <v>0</v>
      </c>
      <c r="I37" t="n">
        <v>2</v>
      </c>
      <c r="J37" t="n">
        <v>0</v>
      </c>
      <c r="K37" t="n">
        <v>0</v>
      </c>
      <c r="L37" t="n">
        <v>0</v>
      </c>
      <c r="M37" t="n">
        <v>0</v>
      </c>
      <c r="N37" t="n">
        <v>0</v>
      </c>
      <c r="O37" t="n">
        <v>0</v>
      </c>
      <c r="P37" t="n">
        <v>0</v>
      </c>
      <c r="Q37" t="n">
        <v>2</v>
      </c>
      <c r="R37" s="2" t="inlineStr">
        <is>
          <t>Sotriska
Svart trolldruva</t>
        </is>
      </c>
      <c r="S37">
        <f>HYPERLINK("https://klasma.github.io/Logging_2085/artfynd/A 49390-2023 artfynd.xlsx", "A 49390-2023")</f>
        <v/>
      </c>
      <c r="T37">
        <f>HYPERLINK("https://klasma.github.io/Logging_2085/kartor/A 49390-2023 karta.png", "A 49390-2023")</f>
        <v/>
      </c>
      <c r="V37">
        <f>HYPERLINK("https://klasma.github.io/Logging_2085/klagomål/A 49390-2023 FSC-klagomål.docx", "A 49390-2023")</f>
        <v/>
      </c>
      <c r="W37">
        <f>HYPERLINK("https://klasma.github.io/Logging_2085/klagomålsmail/A 49390-2023 FSC-klagomål mail.docx", "A 49390-2023")</f>
        <v/>
      </c>
      <c r="X37">
        <f>HYPERLINK("https://klasma.github.io/Logging_2085/tillsyn/A 49390-2023 tillsynsbegäran.docx", "A 49390-2023")</f>
        <v/>
      </c>
      <c r="Y37">
        <f>HYPERLINK("https://klasma.github.io/Logging_2085/tillsynsmail/A 49390-2023 tillsynsbegäran mail.docx", "A 49390-2023")</f>
        <v/>
      </c>
    </row>
    <row r="38" ht="15" customHeight="1">
      <c r="A38" t="inlineStr">
        <is>
          <t>A 25448-2024</t>
        </is>
      </c>
      <c r="B38" s="1" t="n">
        <v>45463</v>
      </c>
      <c r="C38" s="1" t="n">
        <v>45667</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29758-2024</t>
        </is>
      </c>
      <c r="B39" s="1" t="n">
        <v>45485</v>
      </c>
      <c r="C39" s="1" t="n">
        <v>45667</v>
      </c>
      <c r="D39" t="inlineStr">
        <is>
          <t>DALARNAS LÄN</t>
        </is>
      </c>
      <c r="E39" t="inlineStr">
        <is>
          <t>LUDVIKA</t>
        </is>
      </c>
      <c r="F39" t="inlineStr">
        <is>
          <t>Övriga Aktiebolag</t>
        </is>
      </c>
      <c r="G39" t="n">
        <v>8.699999999999999</v>
      </c>
      <c r="H39" t="n">
        <v>1</v>
      </c>
      <c r="I39" t="n">
        <v>1</v>
      </c>
      <c r="J39" t="n">
        <v>0</v>
      </c>
      <c r="K39" t="n">
        <v>1</v>
      </c>
      <c r="L39" t="n">
        <v>0</v>
      </c>
      <c r="M39" t="n">
        <v>0</v>
      </c>
      <c r="N39" t="n">
        <v>0</v>
      </c>
      <c r="O39" t="n">
        <v>1</v>
      </c>
      <c r="P39" t="n">
        <v>1</v>
      </c>
      <c r="Q39" t="n">
        <v>2</v>
      </c>
      <c r="R39" s="2" t="inlineStr">
        <is>
          <t>Knärot
Dropptaggsvamp</t>
        </is>
      </c>
      <c r="S39">
        <f>HYPERLINK("https://klasma.github.io/Logging_2085/artfynd/A 29758-2024 artfynd.xlsx", "A 29758-2024")</f>
        <v/>
      </c>
      <c r="T39">
        <f>HYPERLINK("https://klasma.github.io/Logging_2085/kartor/A 29758-2024 karta.png", "A 29758-2024")</f>
        <v/>
      </c>
      <c r="U39">
        <f>HYPERLINK("https://klasma.github.io/Logging_2085/knärot/A 29758-2024 karta knärot.png", "A 29758-2024")</f>
        <v/>
      </c>
      <c r="V39">
        <f>HYPERLINK("https://klasma.github.io/Logging_2085/klagomål/A 29758-2024 FSC-klagomål.docx", "A 29758-2024")</f>
        <v/>
      </c>
      <c r="W39">
        <f>HYPERLINK("https://klasma.github.io/Logging_2085/klagomålsmail/A 29758-2024 FSC-klagomål mail.docx", "A 29758-2024")</f>
        <v/>
      </c>
      <c r="X39">
        <f>HYPERLINK("https://klasma.github.io/Logging_2085/tillsyn/A 29758-2024 tillsynsbegäran.docx", "A 29758-2024")</f>
        <v/>
      </c>
      <c r="Y39">
        <f>HYPERLINK("https://klasma.github.io/Logging_2085/tillsynsmail/A 29758-2024 tillsynsbegäran mail.docx", "A 29758-2024")</f>
        <v/>
      </c>
    </row>
    <row r="40" ht="15" customHeight="1">
      <c r="A40" t="inlineStr">
        <is>
          <t>A 21672-2019</t>
        </is>
      </c>
      <c r="B40" s="1" t="n">
        <v>43581</v>
      </c>
      <c r="C40" s="1" t="n">
        <v>45667</v>
      </c>
      <c r="D40" t="inlineStr">
        <is>
          <t>DALARNAS LÄN</t>
        </is>
      </c>
      <c r="E40" t="inlineStr">
        <is>
          <t>LUDVIKA</t>
        </is>
      </c>
      <c r="G40" t="n">
        <v>6.3</v>
      </c>
      <c r="H40" t="n">
        <v>1</v>
      </c>
      <c r="I40" t="n">
        <v>0</v>
      </c>
      <c r="J40" t="n">
        <v>0</v>
      </c>
      <c r="K40" t="n">
        <v>0</v>
      </c>
      <c r="L40" t="n">
        <v>1</v>
      </c>
      <c r="M40" t="n">
        <v>0</v>
      </c>
      <c r="N40" t="n">
        <v>0</v>
      </c>
      <c r="O40" t="n">
        <v>1</v>
      </c>
      <c r="P40" t="n">
        <v>1</v>
      </c>
      <c r="Q40" t="n">
        <v>1</v>
      </c>
      <c r="R40" s="2" t="inlineStr">
        <is>
          <t>Mosippa</t>
        </is>
      </c>
      <c r="S40">
        <f>HYPERLINK("https://klasma.github.io/Logging_2085/artfynd/A 21672-2019 artfynd.xlsx", "A 21672-2019")</f>
        <v/>
      </c>
      <c r="T40">
        <f>HYPERLINK("https://klasma.github.io/Logging_2085/kartor/A 21672-2019 karta.png", "A 21672-2019")</f>
        <v/>
      </c>
      <c r="V40">
        <f>HYPERLINK("https://klasma.github.io/Logging_2085/klagomål/A 21672-2019 FSC-klagomål.docx", "A 21672-2019")</f>
        <v/>
      </c>
      <c r="W40">
        <f>HYPERLINK("https://klasma.github.io/Logging_2085/klagomålsmail/A 21672-2019 FSC-klagomål mail.docx", "A 21672-2019")</f>
        <v/>
      </c>
      <c r="X40">
        <f>HYPERLINK("https://klasma.github.io/Logging_2085/tillsyn/A 21672-2019 tillsynsbegäran.docx", "A 21672-2019")</f>
        <v/>
      </c>
      <c r="Y40">
        <f>HYPERLINK("https://klasma.github.io/Logging_2085/tillsynsmail/A 21672-2019 tillsynsbegäran mail.docx", "A 21672-2019")</f>
        <v/>
      </c>
    </row>
    <row r="41" ht="15" customHeight="1">
      <c r="A41" t="inlineStr">
        <is>
          <t>A 27562-2020</t>
        </is>
      </c>
      <c r="B41" s="1" t="n">
        <v>43993</v>
      </c>
      <c r="C41" s="1" t="n">
        <v>45667</v>
      </c>
      <c r="D41" t="inlineStr">
        <is>
          <t>DALARNAS LÄN</t>
        </is>
      </c>
      <c r="E41" t="inlineStr">
        <is>
          <t>LUDVIKA</t>
        </is>
      </c>
      <c r="F41" t="inlineStr">
        <is>
          <t>Bergvik skog väst AB</t>
        </is>
      </c>
      <c r="G41" t="n">
        <v>2</v>
      </c>
      <c r="H41" t="n">
        <v>0</v>
      </c>
      <c r="I41" t="n">
        <v>1</v>
      </c>
      <c r="J41" t="n">
        <v>0</v>
      </c>
      <c r="K41" t="n">
        <v>0</v>
      </c>
      <c r="L41" t="n">
        <v>0</v>
      </c>
      <c r="M41" t="n">
        <v>0</v>
      </c>
      <c r="N41" t="n">
        <v>0</v>
      </c>
      <c r="O41" t="n">
        <v>0</v>
      </c>
      <c r="P41" t="n">
        <v>0</v>
      </c>
      <c r="Q41" t="n">
        <v>1</v>
      </c>
      <c r="R41" s="2" t="inlineStr">
        <is>
          <t>Skinnlav</t>
        </is>
      </c>
      <c r="S41">
        <f>HYPERLINK("https://klasma.github.io/Logging_2085/artfynd/A 27562-2020 artfynd.xlsx", "A 27562-2020")</f>
        <v/>
      </c>
      <c r="T41">
        <f>HYPERLINK("https://klasma.github.io/Logging_2085/kartor/A 27562-2020 karta.png", "A 27562-2020")</f>
        <v/>
      </c>
      <c r="V41">
        <f>HYPERLINK("https://klasma.github.io/Logging_2085/klagomål/A 27562-2020 FSC-klagomål.docx", "A 27562-2020")</f>
        <v/>
      </c>
      <c r="W41">
        <f>HYPERLINK("https://klasma.github.io/Logging_2085/klagomålsmail/A 27562-2020 FSC-klagomål mail.docx", "A 27562-2020")</f>
        <v/>
      </c>
      <c r="X41">
        <f>HYPERLINK("https://klasma.github.io/Logging_2085/tillsyn/A 27562-2020 tillsynsbegäran.docx", "A 27562-2020")</f>
        <v/>
      </c>
      <c r="Y41">
        <f>HYPERLINK("https://klasma.github.io/Logging_2085/tillsynsmail/A 27562-2020 tillsynsbegäran mail.docx", "A 27562-2020")</f>
        <v/>
      </c>
    </row>
    <row r="42" ht="15" customHeight="1">
      <c r="A42" t="inlineStr">
        <is>
          <t>A 54641-2020</t>
        </is>
      </c>
      <c r="B42" s="1" t="n">
        <v>44127</v>
      </c>
      <c r="C42" s="1" t="n">
        <v>45667</v>
      </c>
      <c r="D42" t="inlineStr">
        <is>
          <t>DALARNAS LÄN</t>
        </is>
      </c>
      <c r="E42" t="inlineStr">
        <is>
          <t>LUDVIKA</t>
        </is>
      </c>
      <c r="F42" t="inlineStr">
        <is>
          <t>Övriga Aktiebolag</t>
        </is>
      </c>
      <c r="G42" t="n">
        <v>38.7</v>
      </c>
      <c r="H42" t="n">
        <v>0</v>
      </c>
      <c r="I42" t="n">
        <v>1</v>
      </c>
      <c r="J42" t="n">
        <v>0</v>
      </c>
      <c r="K42" t="n">
        <v>0</v>
      </c>
      <c r="L42" t="n">
        <v>0</v>
      </c>
      <c r="M42" t="n">
        <v>0</v>
      </c>
      <c r="N42" t="n">
        <v>0</v>
      </c>
      <c r="O42" t="n">
        <v>0</v>
      </c>
      <c r="P42" t="n">
        <v>0</v>
      </c>
      <c r="Q42" t="n">
        <v>1</v>
      </c>
      <c r="R42" s="2" t="inlineStr">
        <is>
          <t>Bronshjon</t>
        </is>
      </c>
      <c r="S42">
        <f>HYPERLINK("https://klasma.github.io/Logging_2085/artfynd/A 54641-2020 artfynd.xlsx", "A 54641-2020")</f>
        <v/>
      </c>
      <c r="T42">
        <f>HYPERLINK("https://klasma.github.io/Logging_2085/kartor/A 54641-2020 karta.png", "A 54641-2020")</f>
        <v/>
      </c>
      <c r="V42">
        <f>HYPERLINK("https://klasma.github.io/Logging_2085/klagomål/A 54641-2020 FSC-klagomål.docx", "A 54641-2020")</f>
        <v/>
      </c>
      <c r="W42">
        <f>HYPERLINK("https://klasma.github.io/Logging_2085/klagomålsmail/A 54641-2020 FSC-klagomål mail.docx", "A 54641-2020")</f>
        <v/>
      </c>
      <c r="X42">
        <f>HYPERLINK("https://klasma.github.io/Logging_2085/tillsyn/A 54641-2020 tillsynsbegäran.docx", "A 54641-2020")</f>
        <v/>
      </c>
      <c r="Y42">
        <f>HYPERLINK("https://klasma.github.io/Logging_2085/tillsynsmail/A 54641-2020 tillsynsbegäran mail.docx", "A 54641-2020")</f>
        <v/>
      </c>
    </row>
    <row r="43" ht="15" customHeight="1">
      <c r="A43" t="inlineStr">
        <is>
          <t>A 64068-2020</t>
        </is>
      </c>
      <c r="B43" s="1" t="n">
        <v>44167</v>
      </c>
      <c r="C43" s="1" t="n">
        <v>45667</v>
      </c>
      <c r="D43" t="inlineStr">
        <is>
          <t>DALARNAS LÄN</t>
        </is>
      </c>
      <c r="E43" t="inlineStr">
        <is>
          <t>LUDVIKA</t>
        </is>
      </c>
      <c r="F43" t="inlineStr">
        <is>
          <t>Kommuner</t>
        </is>
      </c>
      <c r="G43" t="n">
        <v>4.5</v>
      </c>
      <c r="H43" t="n">
        <v>0</v>
      </c>
      <c r="I43" t="n">
        <v>0</v>
      </c>
      <c r="J43" t="n">
        <v>1</v>
      </c>
      <c r="K43" t="n">
        <v>0</v>
      </c>
      <c r="L43" t="n">
        <v>0</v>
      </c>
      <c r="M43" t="n">
        <v>0</v>
      </c>
      <c r="N43" t="n">
        <v>0</v>
      </c>
      <c r="O43" t="n">
        <v>1</v>
      </c>
      <c r="P43" t="n">
        <v>0</v>
      </c>
      <c r="Q43" t="n">
        <v>1</v>
      </c>
      <c r="R43" s="2" t="inlineStr">
        <is>
          <t>Garnlav</t>
        </is>
      </c>
      <c r="S43">
        <f>HYPERLINK("https://klasma.github.io/Logging_2085/artfynd/A 64068-2020 artfynd.xlsx", "A 64068-2020")</f>
        <v/>
      </c>
      <c r="T43">
        <f>HYPERLINK("https://klasma.github.io/Logging_2085/kartor/A 64068-2020 karta.png", "A 64068-2020")</f>
        <v/>
      </c>
      <c r="U43">
        <f>HYPERLINK("https://klasma.github.io/Logging_2085/knärot/A 64068-2020 karta knärot.png", "A 64068-2020")</f>
        <v/>
      </c>
      <c r="V43">
        <f>HYPERLINK("https://klasma.github.io/Logging_2085/klagomål/A 64068-2020 FSC-klagomål.docx", "A 64068-2020")</f>
        <v/>
      </c>
      <c r="W43">
        <f>HYPERLINK("https://klasma.github.io/Logging_2085/klagomålsmail/A 64068-2020 FSC-klagomål mail.docx", "A 64068-2020")</f>
        <v/>
      </c>
      <c r="X43">
        <f>HYPERLINK("https://klasma.github.io/Logging_2085/tillsyn/A 64068-2020 tillsynsbegäran.docx", "A 64068-2020")</f>
        <v/>
      </c>
      <c r="Y43">
        <f>HYPERLINK("https://klasma.github.io/Logging_2085/tillsynsmail/A 64068-2020 tillsynsbegäran mail.docx", "A 64068-2020")</f>
        <v/>
      </c>
    </row>
    <row r="44" ht="15" customHeight="1">
      <c r="A44" t="inlineStr">
        <is>
          <t>A 69166-2020</t>
        </is>
      </c>
      <c r="B44" s="1" t="n">
        <v>44188</v>
      </c>
      <c r="C44" s="1" t="n">
        <v>45667</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38674-2021</t>
        </is>
      </c>
      <c r="B45" s="1" t="n">
        <v>44410</v>
      </c>
      <c r="C45" s="1" t="n">
        <v>45667</v>
      </c>
      <c r="D45" t="inlineStr">
        <is>
          <t>DALARNAS LÄN</t>
        </is>
      </c>
      <c r="E45" t="inlineStr">
        <is>
          <t>LUDVIKA</t>
        </is>
      </c>
      <c r="G45" t="n">
        <v>6.3</v>
      </c>
      <c r="H45" t="n">
        <v>0</v>
      </c>
      <c r="I45" t="n">
        <v>0</v>
      </c>
      <c r="J45" t="n">
        <v>1</v>
      </c>
      <c r="K45" t="n">
        <v>0</v>
      </c>
      <c r="L45" t="n">
        <v>0</v>
      </c>
      <c r="M45" t="n">
        <v>0</v>
      </c>
      <c r="N45" t="n">
        <v>0</v>
      </c>
      <c r="O45" t="n">
        <v>1</v>
      </c>
      <c r="P45" t="n">
        <v>0</v>
      </c>
      <c r="Q45" t="n">
        <v>1</v>
      </c>
      <c r="R45" s="2" t="inlineStr">
        <is>
          <t>Dvärgbägarlav</t>
        </is>
      </c>
      <c r="S45">
        <f>HYPERLINK("https://klasma.github.io/Logging_2085/artfynd/A 38674-2021 artfynd.xlsx", "A 38674-2021")</f>
        <v/>
      </c>
      <c r="T45">
        <f>HYPERLINK("https://klasma.github.io/Logging_2085/kartor/A 38674-2021 karta.png", "A 38674-2021")</f>
        <v/>
      </c>
      <c r="V45">
        <f>HYPERLINK("https://klasma.github.io/Logging_2085/klagomål/A 38674-2021 FSC-klagomål.docx", "A 38674-2021")</f>
        <v/>
      </c>
      <c r="W45">
        <f>HYPERLINK("https://klasma.github.io/Logging_2085/klagomålsmail/A 38674-2021 FSC-klagomål mail.docx", "A 38674-2021")</f>
        <v/>
      </c>
      <c r="X45">
        <f>HYPERLINK("https://klasma.github.io/Logging_2085/tillsyn/A 38674-2021 tillsynsbegäran.docx", "A 38674-2021")</f>
        <v/>
      </c>
      <c r="Y45">
        <f>HYPERLINK("https://klasma.github.io/Logging_2085/tillsynsmail/A 38674-2021 tillsynsbegäran mail.docx", "A 38674-2021")</f>
        <v/>
      </c>
    </row>
    <row r="46" ht="15" customHeight="1">
      <c r="A46" t="inlineStr">
        <is>
          <t>A 45995-2021</t>
        </is>
      </c>
      <c r="B46" s="1" t="n">
        <v>44441</v>
      </c>
      <c r="C46" s="1" t="n">
        <v>45667</v>
      </c>
      <c r="D46" t="inlineStr">
        <is>
          <t>DALARNAS LÄN</t>
        </is>
      </c>
      <c r="E46" t="inlineStr">
        <is>
          <t>LUDVIKA</t>
        </is>
      </c>
      <c r="G46" t="n">
        <v>1.2</v>
      </c>
      <c r="H46" t="n">
        <v>1</v>
      </c>
      <c r="I46" t="n">
        <v>0</v>
      </c>
      <c r="J46" t="n">
        <v>1</v>
      </c>
      <c r="K46" t="n">
        <v>0</v>
      </c>
      <c r="L46" t="n">
        <v>0</v>
      </c>
      <c r="M46" t="n">
        <v>0</v>
      </c>
      <c r="N46" t="n">
        <v>0</v>
      </c>
      <c r="O46" t="n">
        <v>1</v>
      </c>
      <c r="P46" t="n">
        <v>0</v>
      </c>
      <c r="Q46" t="n">
        <v>1</v>
      </c>
      <c r="R46" s="2" t="inlineStr">
        <is>
          <t>Nordfladdermus</t>
        </is>
      </c>
      <c r="S46">
        <f>HYPERLINK("https://klasma.github.io/Logging_2085/artfynd/A 45995-2021 artfynd.xlsx", "A 45995-2021")</f>
        <v/>
      </c>
      <c r="T46">
        <f>HYPERLINK("https://klasma.github.io/Logging_2085/kartor/A 45995-2021 karta.png", "A 45995-2021")</f>
        <v/>
      </c>
      <c r="V46">
        <f>HYPERLINK("https://klasma.github.io/Logging_2085/klagomål/A 45995-2021 FSC-klagomål.docx", "A 45995-2021")</f>
        <v/>
      </c>
      <c r="W46">
        <f>HYPERLINK("https://klasma.github.io/Logging_2085/klagomålsmail/A 45995-2021 FSC-klagomål mail.docx", "A 45995-2021")</f>
        <v/>
      </c>
      <c r="X46">
        <f>HYPERLINK("https://klasma.github.io/Logging_2085/tillsyn/A 45995-2021 tillsynsbegäran.docx", "A 45995-2021")</f>
        <v/>
      </c>
      <c r="Y46">
        <f>HYPERLINK("https://klasma.github.io/Logging_2085/tillsynsmail/A 45995-2021 tillsynsbegäran mail.docx", "A 45995-2021")</f>
        <v/>
      </c>
    </row>
    <row r="47" ht="15" customHeight="1">
      <c r="A47" t="inlineStr">
        <is>
          <t>A 50052-2021</t>
        </is>
      </c>
      <c r="B47" s="1" t="n">
        <v>44456</v>
      </c>
      <c r="C47" s="1" t="n">
        <v>45667</v>
      </c>
      <c r="D47" t="inlineStr">
        <is>
          <t>DALARNAS LÄN</t>
        </is>
      </c>
      <c r="E47" t="inlineStr">
        <is>
          <t>LUDVIKA</t>
        </is>
      </c>
      <c r="F47" t="inlineStr">
        <is>
          <t>Bergvik skog väst AB</t>
        </is>
      </c>
      <c r="G47" t="n">
        <v>2</v>
      </c>
      <c r="H47" t="n">
        <v>1</v>
      </c>
      <c r="I47" t="n">
        <v>0</v>
      </c>
      <c r="J47" t="n">
        <v>0</v>
      </c>
      <c r="K47" t="n">
        <v>0</v>
      </c>
      <c r="L47" t="n">
        <v>0</v>
      </c>
      <c r="M47" t="n">
        <v>0</v>
      </c>
      <c r="N47" t="n">
        <v>0</v>
      </c>
      <c r="O47" t="n">
        <v>0</v>
      </c>
      <c r="P47" t="n">
        <v>0</v>
      </c>
      <c r="Q47" t="n">
        <v>1</v>
      </c>
      <c r="R47" s="2" t="inlineStr">
        <is>
          <t>Buskmus</t>
        </is>
      </c>
      <c r="S47">
        <f>HYPERLINK("https://klasma.github.io/Logging_2085/artfynd/A 50052-2021 artfynd.xlsx", "A 50052-2021")</f>
        <v/>
      </c>
      <c r="T47">
        <f>HYPERLINK("https://klasma.github.io/Logging_2085/kartor/A 50052-2021 karta.png", "A 50052-2021")</f>
        <v/>
      </c>
      <c r="V47">
        <f>HYPERLINK("https://klasma.github.io/Logging_2085/klagomål/A 50052-2021 FSC-klagomål.docx", "A 50052-2021")</f>
        <v/>
      </c>
      <c r="W47">
        <f>HYPERLINK("https://klasma.github.io/Logging_2085/klagomålsmail/A 50052-2021 FSC-klagomål mail.docx", "A 50052-2021")</f>
        <v/>
      </c>
      <c r="X47">
        <f>HYPERLINK("https://klasma.github.io/Logging_2085/tillsyn/A 50052-2021 tillsynsbegäran.docx", "A 50052-2021")</f>
        <v/>
      </c>
      <c r="Y47">
        <f>HYPERLINK("https://klasma.github.io/Logging_2085/tillsynsmail/A 50052-2021 tillsynsbegäran mail.docx", "A 50052-2021")</f>
        <v/>
      </c>
    </row>
    <row r="48" ht="15" customHeight="1">
      <c r="A48" t="inlineStr">
        <is>
          <t>A 72858-2021</t>
        </is>
      </c>
      <c r="B48" s="1" t="n">
        <v>44547</v>
      </c>
      <c r="C48" s="1" t="n">
        <v>45667</v>
      </c>
      <c r="D48" t="inlineStr">
        <is>
          <t>DALARNAS LÄN</t>
        </is>
      </c>
      <c r="E48" t="inlineStr">
        <is>
          <t>LUDVIKA</t>
        </is>
      </c>
      <c r="F48" t="inlineStr">
        <is>
          <t>Kommuner</t>
        </is>
      </c>
      <c r="G48" t="n">
        <v>7</v>
      </c>
      <c r="H48" t="n">
        <v>0</v>
      </c>
      <c r="I48" t="n">
        <v>0</v>
      </c>
      <c r="J48" t="n">
        <v>0</v>
      </c>
      <c r="K48" t="n">
        <v>1</v>
      </c>
      <c r="L48" t="n">
        <v>0</v>
      </c>
      <c r="M48" t="n">
        <v>0</v>
      </c>
      <c r="N48" t="n">
        <v>0</v>
      </c>
      <c r="O48" t="n">
        <v>1</v>
      </c>
      <c r="P48" t="n">
        <v>1</v>
      </c>
      <c r="Q48" t="n">
        <v>1</v>
      </c>
      <c r="R48" s="2" t="inlineStr">
        <is>
          <t>Rynkskinn</t>
        </is>
      </c>
      <c r="S48">
        <f>HYPERLINK("https://klasma.github.io/Logging_2085/artfynd/A 72858-2021 artfynd.xlsx", "A 72858-2021")</f>
        <v/>
      </c>
      <c r="T48">
        <f>HYPERLINK("https://klasma.github.io/Logging_2085/kartor/A 72858-2021 karta.png", "A 72858-2021")</f>
        <v/>
      </c>
      <c r="V48">
        <f>HYPERLINK("https://klasma.github.io/Logging_2085/klagomål/A 72858-2021 FSC-klagomål.docx", "A 72858-2021")</f>
        <v/>
      </c>
      <c r="W48">
        <f>HYPERLINK("https://klasma.github.io/Logging_2085/klagomålsmail/A 72858-2021 FSC-klagomål mail.docx", "A 72858-2021")</f>
        <v/>
      </c>
      <c r="X48">
        <f>HYPERLINK("https://klasma.github.io/Logging_2085/tillsyn/A 72858-2021 tillsynsbegäran.docx", "A 72858-2021")</f>
        <v/>
      </c>
      <c r="Y48">
        <f>HYPERLINK("https://klasma.github.io/Logging_2085/tillsynsmail/A 72858-2021 tillsynsbegäran mail.docx", "A 72858-2021")</f>
        <v/>
      </c>
    </row>
    <row r="49" ht="15" customHeight="1">
      <c r="A49" t="inlineStr">
        <is>
          <t>A 74401-2021</t>
        </is>
      </c>
      <c r="B49" s="1" t="n">
        <v>44560</v>
      </c>
      <c r="C49" s="1" t="n">
        <v>45667</v>
      </c>
      <c r="D49" t="inlineStr">
        <is>
          <t>DALARNAS LÄN</t>
        </is>
      </c>
      <c r="E49" t="inlineStr">
        <is>
          <t>LUDVIKA</t>
        </is>
      </c>
      <c r="F49" t="inlineStr">
        <is>
          <t>Kommuner</t>
        </is>
      </c>
      <c r="G49" t="n">
        <v>0.6</v>
      </c>
      <c r="H49" t="n">
        <v>0</v>
      </c>
      <c r="I49" t="n">
        <v>1</v>
      </c>
      <c r="J49" t="n">
        <v>0</v>
      </c>
      <c r="K49" t="n">
        <v>0</v>
      </c>
      <c r="L49" t="n">
        <v>0</v>
      </c>
      <c r="M49" t="n">
        <v>0</v>
      </c>
      <c r="N49" t="n">
        <v>0</v>
      </c>
      <c r="O49" t="n">
        <v>0</v>
      </c>
      <c r="P49" t="n">
        <v>0</v>
      </c>
      <c r="Q49" t="n">
        <v>1</v>
      </c>
      <c r="R49" s="2" t="inlineStr">
        <is>
          <t>Gullgröppa</t>
        </is>
      </c>
      <c r="S49">
        <f>HYPERLINK("https://klasma.github.io/Logging_2085/artfynd/A 74401-2021 artfynd.xlsx", "A 74401-2021")</f>
        <v/>
      </c>
      <c r="T49">
        <f>HYPERLINK("https://klasma.github.io/Logging_2085/kartor/A 74401-2021 karta.png", "A 74401-2021")</f>
        <v/>
      </c>
      <c r="V49">
        <f>HYPERLINK("https://klasma.github.io/Logging_2085/klagomål/A 74401-2021 FSC-klagomål.docx", "A 74401-2021")</f>
        <v/>
      </c>
      <c r="W49">
        <f>HYPERLINK("https://klasma.github.io/Logging_2085/klagomålsmail/A 74401-2021 FSC-klagomål mail.docx", "A 74401-2021")</f>
        <v/>
      </c>
      <c r="X49">
        <f>HYPERLINK("https://klasma.github.io/Logging_2085/tillsyn/A 74401-2021 tillsynsbegäran.docx", "A 74401-2021")</f>
        <v/>
      </c>
      <c r="Y49">
        <f>HYPERLINK("https://klasma.github.io/Logging_2085/tillsynsmail/A 74401-2021 tillsynsbegäran mail.docx", "A 74401-2021")</f>
        <v/>
      </c>
    </row>
    <row r="50" ht="15" customHeight="1">
      <c r="A50" t="inlineStr">
        <is>
          <t>A 927-2022</t>
        </is>
      </c>
      <c r="B50" s="1" t="n">
        <v>44571</v>
      </c>
      <c r="C50" s="1" t="n">
        <v>45667</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19512-2022</t>
        </is>
      </c>
      <c r="B51" s="1" t="n">
        <v>44693</v>
      </c>
      <c r="C51" s="1" t="n">
        <v>45667</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19717-2022</t>
        </is>
      </c>
      <c r="B52" s="1" t="n">
        <v>44694</v>
      </c>
      <c r="C52" s="1" t="n">
        <v>45667</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Vedticka</t>
        </is>
      </c>
      <c r="S52">
        <f>HYPERLINK("https://klasma.github.io/Logging_2085/artfynd/A 19717-2022 artfynd.xlsx", "A 19717-2022")</f>
        <v/>
      </c>
      <c r="T52">
        <f>HYPERLINK("https://klasma.github.io/Logging_2085/kartor/A 19717-2022 karta.png", "A 19717-2022")</f>
        <v/>
      </c>
      <c r="V52">
        <f>HYPERLINK("https://klasma.github.io/Logging_2085/klagomål/A 19717-2022 FSC-klagomål.docx", "A 19717-2022")</f>
        <v/>
      </c>
      <c r="W52">
        <f>HYPERLINK("https://klasma.github.io/Logging_2085/klagomålsmail/A 19717-2022 FSC-klagomål mail.docx", "A 19717-2022")</f>
        <v/>
      </c>
      <c r="X52">
        <f>HYPERLINK("https://klasma.github.io/Logging_2085/tillsyn/A 19717-2022 tillsynsbegäran.docx", "A 19717-2022")</f>
        <v/>
      </c>
      <c r="Y52">
        <f>HYPERLINK("https://klasma.github.io/Logging_2085/tillsynsmail/A 19717-2022 tillsynsbegäran mail.docx", "A 19717-2022")</f>
        <v/>
      </c>
    </row>
    <row r="53" ht="15" customHeight="1">
      <c r="A53" t="inlineStr">
        <is>
          <t>A 21499-2022</t>
        </is>
      </c>
      <c r="B53" s="1" t="n">
        <v>44706</v>
      </c>
      <c r="C53" s="1" t="n">
        <v>45667</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41028-2022</t>
        </is>
      </c>
      <c r="B54" s="1" t="n">
        <v>44825</v>
      </c>
      <c r="C54" s="1" t="n">
        <v>45667</v>
      </c>
      <c r="D54" t="inlineStr">
        <is>
          <t>DALARNAS LÄN</t>
        </is>
      </c>
      <c r="E54" t="inlineStr">
        <is>
          <t>LUDVIKA</t>
        </is>
      </c>
      <c r="F54" t="inlineStr">
        <is>
          <t>Naturvårdsverket</t>
        </is>
      </c>
      <c r="G54" t="n">
        <v>8.300000000000001</v>
      </c>
      <c r="H54" t="n">
        <v>0</v>
      </c>
      <c r="I54" t="n">
        <v>0</v>
      </c>
      <c r="J54" t="n">
        <v>1</v>
      </c>
      <c r="K54" t="n">
        <v>0</v>
      </c>
      <c r="L54" t="n">
        <v>0</v>
      </c>
      <c r="M54" t="n">
        <v>0</v>
      </c>
      <c r="N54" t="n">
        <v>0</v>
      </c>
      <c r="O54" t="n">
        <v>1</v>
      </c>
      <c r="P54" t="n">
        <v>0</v>
      </c>
      <c r="Q54" t="n">
        <v>1</v>
      </c>
      <c r="R54" s="2" t="inlineStr">
        <is>
          <t>Vårtsporigt stålskinn</t>
        </is>
      </c>
      <c r="S54">
        <f>HYPERLINK("https://klasma.github.io/Logging_2085/artfynd/A 41028-2022 artfynd.xlsx", "A 41028-2022")</f>
        <v/>
      </c>
      <c r="T54">
        <f>HYPERLINK("https://klasma.github.io/Logging_2085/kartor/A 41028-2022 karta.png", "A 41028-2022")</f>
        <v/>
      </c>
      <c r="V54">
        <f>HYPERLINK("https://klasma.github.io/Logging_2085/klagomål/A 41028-2022 FSC-klagomål.docx", "A 41028-2022")</f>
        <v/>
      </c>
      <c r="W54">
        <f>HYPERLINK("https://klasma.github.io/Logging_2085/klagomålsmail/A 41028-2022 FSC-klagomål mail.docx", "A 41028-2022")</f>
        <v/>
      </c>
      <c r="X54">
        <f>HYPERLINK("https://klasma.github.io/Logging_2085/tillsyn/A 41028-2022 tillsynsbegäran.docx", "A 41028-2022")</f>
        <v/>
      </c>
      <c r="Y54">
        <f>HYPERLINK("https://klasma.github.io/Logging_2085/tillsynsmail/A 41028-2022 tillsynsbegäran mail.docx", "A 41028-2022")</f>
        <v/>
      </c>
    </row>
    <row r="55" ht="15" customHeight="1">
      <c r="A55" t="inlineStr">
        <is>
          <t>A 42758-2022</t>
        </is>
      </c>
      <c r="B55" s="1" t="n">
        <v>44832</v>
      </c>
      <c r="C55" s="1" t="n">
        <v>45667</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45667</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45667</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45667</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45667</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45667</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45667</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45667</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45667</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45667</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45667</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45667</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45667</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45667</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45667</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45667</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45667</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45667</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45667</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45667</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45667</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45667</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45667</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45667</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45667</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45667</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45667</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45667</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45667</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45667</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45667</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45667</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45667</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45667</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45667</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45667</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45667</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45667</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45667</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45667</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45667</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45667</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45667</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45667</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45667</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45667</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45667</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45667</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45667</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45667</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45667</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45667</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45667</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45667</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45667</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45667</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45667</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45667</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45667</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45667</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45667</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45667</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45667</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45667</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45667</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45667</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45667</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45667</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45667</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45667</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45667</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45667</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45667</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45667</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45667</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45667</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45667</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45667</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45667</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45667</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45667</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45667</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45667</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45667</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45667</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45667</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45667</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45667</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45667</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45667</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45667</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45667</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45667</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45667</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45667</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45667</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45667</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45667</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45667</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45667</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45667</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45667</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45667</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45667</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45667</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45667</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45667</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45667</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45667</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45667</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45667</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45667</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45667</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45667</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45667</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45667</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45667</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45667</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45667</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45667</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45667</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45667</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45667</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45667</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45667</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45667</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45667</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45667</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45667</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45667</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45667</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45667</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45667</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45667</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45667</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45667</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45667</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45667</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45667</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45667</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45667</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45667</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45667</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45667</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45667</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45667</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45667</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45667</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45667</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45667</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45667</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45667</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45667</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45667</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45667</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45667</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45667</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45667</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45667</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45667</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45667</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45667</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45667</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45667</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45667</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45667</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45667</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45667</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45667</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45667</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45667</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45667</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45667</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45667</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45667</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45667</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45667</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45667</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45667</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45667</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45667</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45667</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45667</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45667</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45667</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45667</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45667</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45667</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45667</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45667</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45667</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45667</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45667</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45667</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45667</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45667</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45667</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45667</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45667</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45667</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45667</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45667</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45667</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45667</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45667</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45667</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45667</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45667</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45667</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45667</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45667</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45667</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45667</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45667</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45667</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45667</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45667</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45667</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45667</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45667</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45667</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45667</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45667</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45667</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45667</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45667</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45667</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45667</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45667</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45667</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45667</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45667</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45667</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45667</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45667</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45667</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45667</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45667</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45667</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45667</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45667</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45667</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45667</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45667</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45667</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45667</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45667</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45667</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45667</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45667</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45667</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45667</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45667</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45667</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45667</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45667</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45667</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45667</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45667</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45667</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45667</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45667</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45667</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45667</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45667</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45667</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45667</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45667</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45667</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45667</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45667</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45667</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45667</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45667</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45667</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45667</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45667</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45667</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45667</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45667</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45667</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45667</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45667</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45667</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45667</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45667</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45667</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45667</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45667</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45667</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45667</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45667</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45667</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45667</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45667</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45667</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45667</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45667</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45667</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45667</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45667</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45667</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45667</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45667</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45667</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45667</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45667</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45667</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45667</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45667</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45667</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45667</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45667</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45667</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45667</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45667</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45667</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45667</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45667</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45667</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45667</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45667</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45667</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45667</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45667</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45667</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45667</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45667</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45667</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45667</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45667</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45667</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45667</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45667</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45667</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45667</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45667</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45667</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45667</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45667</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45667</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45667</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45667</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45667</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45667</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45667</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45667</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45667</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45667</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45667</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45667</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45667</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45667</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45667</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45667</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45667</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45667</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45667</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45667</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45667</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45667</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45667</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45667</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45667</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45667</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45667</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45667</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45667</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45667</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45667</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45667</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45667</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45667</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45667</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45667</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45667</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45667</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45667</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45667</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45667</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45667</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45667</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45667</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45667</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45667</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45667</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45667</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45667</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45667</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45667</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45667</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45667</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45667</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45667</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45667</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45667</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45667</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45667</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45667</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45667</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45667</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45667</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45667</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45667</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45667</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45667</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45667</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45667</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45667</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45667</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45667</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45667</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45667</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45667</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45667</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45667</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45667</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45667</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45667</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45667</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45667</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45667</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45667</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45667</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45667</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45667</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45667</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45667</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45667</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45667</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45667</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45667</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45667</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45667</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45667</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45667</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45667</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45667</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45667</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45667</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45667</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45667</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45667</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45667</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45667</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45667</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45667</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45667</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45667</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45667</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45667</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45667</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45667</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45667</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45667</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45667</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45667</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45667</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45667</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45667</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45667</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45667</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45667</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45667</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45667</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45667</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45667</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45667</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45667</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45667</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45667</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45667</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45667</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45667</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45667</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45667</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45667</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45667</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45667</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45667</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45667</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45667</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45667</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45667</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45667</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45667</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45667</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45667</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45667</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45667</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45667</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45667</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45667</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45667</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45667</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45667</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45667</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45667</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45667</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45667</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45667</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45667</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45667</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45667</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45667</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45667</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45667</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45667</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45667</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45667</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45667</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45667</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45667</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45667</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45667</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45667</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45667</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45667</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45667</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45667</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45667</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45667</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45667</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45667</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45667</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45667</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45667</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45667</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45667</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45667</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45667</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45667</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45667</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45667</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45667</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45667</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45667</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45667</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45667</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45667</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45667</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45667</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45667</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45667</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45667</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45667</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45667</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45667</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45667</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45667</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45667</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45667</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45667</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45667</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45667</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45667</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45667</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45667</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45667</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45667</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45667</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45667</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45667</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45667</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45667</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45667</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45667</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45667</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45667</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45667</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45667</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45667</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45667</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45667</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45667</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45667</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45667</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45667</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45667</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45667</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45667</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45667</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45667</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45667</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45667</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45667</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45667</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45667</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45667</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45667</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45667</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45667</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45667</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45667</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45667</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45667</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45667</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45667</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45667</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45667</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45667</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45667</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45667</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45667</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45667</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45667</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45667</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45667</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45667</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45667</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45667</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45667</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45667</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45667</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45667</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45667</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45667</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45667</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45667</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45667</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45667</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45667</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45667</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45667</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45667</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45667</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45667</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45667</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45667</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45667</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45667</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45667</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45667</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45667</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45667</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45667</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45667</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45667</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45667</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45667</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45667</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45667</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45667</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45667</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45667</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45667</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45667</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45667</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45667</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45667</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45667</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45667</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45667</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45667</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45667</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45667</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45667</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45667</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45667</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45667</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45667</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45667</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45667</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45667</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45667</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45667</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45667</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45667</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45667</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45667</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45667</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45667</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45667</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45667</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45667</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45667</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45667</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45667</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45667</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45667</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45667</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45667</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45667</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45667</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45667</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45667</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45667</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45667</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45667</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45667</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45667</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45667</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45667</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45667</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45667</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45667</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45667</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45667</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45667</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45667</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45667</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45667</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45667</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45667</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45667</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45667</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45667</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45667</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45667</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45667</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45667</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45667</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45667</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45667</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45667</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45667</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45667</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45667</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45667</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45667</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45667</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45667</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45667</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45667</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45667</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45667</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45667</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45667</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45667</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45667</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45667</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45667</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45667</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45667</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45667</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45667</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45667</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45667</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45667</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45667</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45667</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45667</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45667</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45667</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45667</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45667</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45667</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45667</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45667</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45667</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45667</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45667</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45667</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45667</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45667</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45667</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45667</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45667</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45667</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45667</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45667</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45667</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45667</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45667</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45667</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45667</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45667</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45667</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45667</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45667</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45667</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45667</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45667</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45667</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45667</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45667</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45667</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45667</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45667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45667</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45667</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45667</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45667</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45667</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45667</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45667</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45667</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45667</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45667</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45667</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45667</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45667</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45667</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45667</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45667</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45667</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45667</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45667</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45667</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45667</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45667</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45667</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45667</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45667</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45667</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45667</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45667</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45667</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45667</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45667</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45667</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45667</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45667</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45667</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45667</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45667</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45667</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45667</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45667</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45667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45667</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45667</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45667</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45667</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45667</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45667</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45667</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45667</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45667</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45667</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45667</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45667</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45667</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45667</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45667</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45667</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45667</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45667</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45667</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45667</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45667</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45667</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45667</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45667</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45667</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45667</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45667</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45667</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45667</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45667</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45667</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45667</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45667</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45667</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45667</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45667</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45667</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45667</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45667</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45667</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45667</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45667</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45667</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45667</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45667</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45667</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45667</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45667</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45667</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45667</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45667</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45667</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45667</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45667</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45667</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45667</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45667</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45667</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45667</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45667</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45667</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45667</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45667</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45667</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45667</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45667</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45667</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45667</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45667</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45667</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45667</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45667</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45667</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45667</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45667</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45667</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45667</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45667</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45667</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45667</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45667</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45667</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45667</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45667</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45667</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45667</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45667</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45667</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45667</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45667</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45667</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45667</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45667</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45667</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45667</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45667</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45667</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45667</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45667</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45667</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45667</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45667</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45667</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45667</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45667</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45667</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45667</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45667</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45667</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45667</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45667</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45667</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45667</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45667</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45667</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45667</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45667</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45667</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45667</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45667</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45667</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45667</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45667</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45667</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45667</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45667</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45667</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45667</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45667</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45667</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45667</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45667</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45667</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45667</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45667</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45667</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45667</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45667</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45667</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45667</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45667</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45667</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45667</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45667</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45667</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45667</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45667</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45667</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45667</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45667</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45667</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45667</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45667</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45667</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45667</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45667</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45667</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45667</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45667</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45667</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45667</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45667</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45667</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45667</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45667</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45667</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45667</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45667</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45667</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45667</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45667</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45667</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45667</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45667</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45667</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45667</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45667</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45667</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45667</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45667</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45667</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45667</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45667</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45667</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45667</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45667</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45667</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45667</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45667</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45667</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45667</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45667</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45667</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45667</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45667</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45667</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45667</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45667</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45667</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45667</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45667</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45667</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45667</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45667</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45667</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45667</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45667</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45667</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45667</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45667</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45667</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45667</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45667</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45667</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45667</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45667</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45667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45667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45667</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45667</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45667</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45667</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45667</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45667</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45667</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45667</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45667</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45667</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45667</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45667</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45667</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45667</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45667</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45667</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45667</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45667</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45667</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45667</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45667</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45667</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45667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45667</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45667</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45667</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45667</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45667</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45667</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45667</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45667</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45667</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45667</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45667</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45667</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45667</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45667</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45667</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45667</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45667</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45667</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45667</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45667</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45667</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45667</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45667</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45667</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45667</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45667</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45667</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60788-2024</t>
        </is>
      </c>
      <c r="B1143" s="1" t="n">
        <v>45644</v>
      </c>
      <c r="C1143" s="1" t="n">
        <v>45667</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45667</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60843-2024</t>
        </is>
      </c>
      <c r="B1145" s="1" t="n">
        <v>45644</v>
      </c>
      <c r="C1145" s="1" t="n">
        <v>45667</v>
      </c>
      <c r="D1145" t="inlineStr">
        <is>
          <t>DALARNAS LÄN</t>
        </is>
      </c>
      <c r="E1145" t="inlineStr">
        <is>
          <t>LUDVIKA</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60787-2024</t>
        </is>
      </c>
      <c r="B1146" s="1" t="n">
        <v>45644</v>
      </c>
      <c r="C1146" s="1" t="n">
        <v>45667</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45667</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45667</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45667</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2025-01-10T16:17:53Z</dcterms:created>
  <dcterms:modified xmlns:dcterms="http://purl.org/dc/terms/" xmlns:xsi="http://www.w3.org/2001/XMLSchema-instance" xsi:type="dcterms:W3CDTF">2025-01-10T16:17:54Z</dcterms:modified>
</cp:coreProperties>
</file>
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46289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46289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46289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46289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46289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46289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46289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t="n">
        <v>24</v>
      </c>
      <c r="V19" s="2" t="inlineStr">
        <is>
          <t>Knärot
Kortskaftad ärgspik
Sparvuggla
Tretåig hackspett
Vedticka
Järpe
Spillkråka
Utter</t>
        </is>
      </c>
      <c r="W19">
        <f>HYPERLINK("https://klasma.github.io/Logging_2085/artfynd/A 57701-2025 artfynd.xlsx", "A 57701-2025")</f>
        <v/>
      </c>
      <c r="X19">
        <f>HYPERLINK("https://klasma.github.io/Logging_2085/kartor/A 57701-2025 karta.png", "A 57701-2025")</f>
        <v/>
      </c>
      <c r="Y19">
        <f>HYPERLINK("https://klasma.github.io/Logging_2085/kartor_geotiff/A 57701-2025 georefererad karta.tif", "A 57701-2025")</f>
        <v/>
      </c>
      <c r="Z19">
        <f>HYPERLINK("https://klasma.github.io/Logging_2085/knärot/A 57701-2025 karta knärot.png", "A 57701-2025")</f>
        <v/>
      </c>
      <c r="AA19">
        <f>HYPERLINK("https://klasma.github.io/Logging_2085/klagomål/A 57701-2025 FSC-klagomål.docx", "A 57701-2025")</f>
        <v/>
      </c>
      <c r="AB19">
        <f>HYPERLINK("https://klasma.github.io/Logging_2085/klagomålsmail/A 57701-2025 FSC-klagomål mail.docx", "A 57701-2025")</f>
        <v/>
      </c>
      <c r="AC19">
        <f>HYPERLINK("https://klasma.github.io/Logging_2085/tillsyn/A 57701-2025 tillsynsbegäran.docx", "A 57701-2025")</f>
        <v/>
      </c>
      <c r="AD19">
        <f>HYPERLINK("https://klasma.github.io/Logging_2085/tillsynsmail/A 57701-2025 tillsynsbegäran mail.docx", "A 57701-2025")</f>
        <v/>
      </c>
      <c r="AE19">
        <f>HYPERLINK("https://klasma.github.io/Logging_2085/fåglar/A 57701-2025 prioriterade fågelarter.docx", "A 57701-2025")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46289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46289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46289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46289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46289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46289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46289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46289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46289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46289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49775-2025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45940</v>
      </c>
      <c r="E30" s="1" t="n">
        <v>46289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25.5</v>
      </c>
      <c r="J30" t="n">
        <v>3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20</v>
      </c>
      <c r="U30" t="n">
        <v>20</v>
      </c>
      <c r="V30" s="2" t="inlineStr">
        <is>
          <t>Garnlav
Kolflarnlav
Tretåig hackspett
Mindre märgborre
Järpe
Orre</t>
        </is>
      </c>
      <c r="W30">
        <f>HYPERLINK("https://klasma.github.io/Logging_2085/artfynd/A 49775-2025 artfynd.xlsx", "A 49775-2025")</f>
        <v/>
      </c>
      <c r="X30">
        <f>HYPERLINK("https://klasma.github.io/Logging_2085/kartor/A 49775-2025 karta.png", "A 49775-2025")</f>
        <v/>
      </c>
      <c r="Y30">
        <f>HYPERLINK("https://klasma.github.io/Logging_2085/kartor_geotiff/A 49775-2025 georefererad karta.tif", "A 49775-2025")</f>
        <v/>
      </c>
      <c r="AA30">
        <f>HYPERLINK("https://klasma.github.io/Logging_2085/klagomål/A 49775-2025 FSC-klagomål.docx", "A 49775-2025")</f>
        <v/>
      </c>
      <c r="AB30">
        <f>HYPERLINK("https://klasma.github.io/Logging_2085/klagomålsmail/A 49775-2025 FSC-klagomål mail.docx", "A 49775-2025")</f>
        <v/>
      </c>
      <c r="AC30">
        <f>HYPERLINK("https://klasma.github.io/Logging_2085/tillsyn/A 49775-2025 tillsynsbegäran.docx", "A 49775-2025")</f>
        <v/>
      </c>
      <c r="AD30">
        <f>HYPERLINK("https://klasma.github.io/Logging_2085/tillsynsmail/A 49775-2025 tillsynsbegäran mail.docx", "A 49775-2025")</f>
        <v/>
      </c>
      <c r="AE30">
        <f>HYPERLINK("https://klasma.github.io/Logging_2085/fåglar/A 49775-2025 prioriterade fågelarter.docx", "A 49775-2025")</f>
        <v/>
      </c>
    </row>
    <row r="31" ht="15" customHeight="1">
      <c r="A31" t="inlineStr">
        <is>
          <t>A 33885-2025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45842</v>
      </c>
      <c r="E31" s="1" t="n">
        <v>46289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2.6</v>
      </c>
      <c r="J31" t="n">
        <v>2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6</v>
      </c>
      <c r="T31" t="n">
        <v>10</v>
      </c>
      <c r="U31" t="n">
        <v>10</v>
      </c>
      <c r="V31" s="2" t="inlineStr">
        <is>
          <t>Garnlav
Knärot
Dropptaggsvamp
Ullticka
Nästlav
Tjäder</t>
        </is>
      </c>
      <c r="W31">
        <f>HYPERLINK("https://klasma.github.io/Logging_2085/artfynd/A 33885-2025 artfynd.xlsx", "A 33885-2025")</f>
        <v/>
      </c>
      <c r="X31">
        <f>HYPERLINK("https://klasma.github.io/Logging_2085/kartor/A 33885-2025 karta.png", "A 33885-2025")</f>
        <v/>
      </c>
      <c r="Y31">
        <f>HYPERLINK("https://klasma.github.io/Logging_2085/kartor_geotiff/A 33885-2025 georefererad karta.tif", "A 33885-2025")</f>
        <v/>
      </c>
      <c r="Z31">
        <f>HYPERLINK("https://klasma.github.io/Logging_2085/knärot/A 33885-2025 karta knärot.png", "A 33885-2025")</f>
        <v/>
      </c>
      <c r="AA31">
        <f>HYPERLINK("https://klasma.github.io/Logging_2085/klagomål/A 33885-2025 FSC-klagomål.docx", "A 33885-2025")</f>
        <v/>
      </c>
      <c r="AB31">
        <f>HYPERLINK("https://klasma.github.io/Logging_2085/klagomålsmail/A 33885-2025 FSC-klagomål mail.docx", "A 33885-2025")</f>
        <v/>
      </c>
      <c r="AC31">
        <f>HYPERLINK("https://klasma.github.io/Logging_2085/tillsyn/A 33885-2025 tillsynsbegäran.docx", "A 33885-2025")</f>
        <v/>
      </c>
      <c r="AD31">
        <f>HYPERLINK("https://klasma.github.io/Logging_2085/tillsynsmail/A 33885-2025 tillsynsbegäran mail.docx", "A 33885-2025")</f>
        <v/>
      </c>
      <c r="AE31">
        <f>HYPERLINK("https://klasma.github.io/Logging_2085/fåglar/A 33885-2025 prioriterade fågelarter.docx", "A 33885-2025")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46289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46289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46289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46289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46289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46289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46289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46289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46289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34144-2026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46289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4.6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Garnlav
Dropptaggsvamp
Korallblylav
Järpe
Spillkråka</t>
        </is>
      </c>
      <c r="W42">
        <f>HYPERLINK("https://klasma.github.io/Logging_2085/artfynd/A 34144-2026 artfynd.xlsx", "A 34144-2026")</f>
        <v/>
      </c>
      <c r="X42">
        <f>HYPERLINK("https://klasma.github.io/Logging_2085/kartor/A 34144-2026 karta.png", "A 34144-2026")</f>
        <v/>
      </c>
      <c r="Y42">
        <f>HYPERLINK("https://klasma.github.io/Logging_2085/kartor_geotiff/A 34144-2026 georefererad karta.tif", "A 34144-2026")</f>
        <v/>
      </c>
      <c r="AA42">
        <f>HYPERLINK("https://klasma.github.io/Logging_2085/klagomål/A 34144-2026 FSC-klagomål.docx", "A 34144-2026")</f>
        <v/>
      </c>
      <c r="AB42">
        <f>HYPERLINK("https://klasma.github.io/Logging_2085/klagomålsmail/A 34144-2026 FSC-klagomål mail.docx", "A 34144-2026")</f>
        <v/>
      </c>
      <c r="AC42">
        <f>HYPERLINK("https://klasma.github.io/Logging_2085/tillsyn/A 34144-2026 tillsynsbegäran.docx", "A 34144-2026")</f>
        <v/>
      </c>
      <c r="AD42">
        <f>HYPERLINK("https://klasma.github.io/Logging_2085/tillsynsmail/A 34144-2026 tillsynsbegäran mail.docx", "A 34144-2026")</f>
        <v/>
      </c>
      <c r="AE42">
        <f>HYPERLINK("https://klasma.github.io/Logging_2085/fåglar/A 34144-2026 prioriterade fågelarter.docx", "A 34144-2026")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46289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23711-2026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46289</v>
      </c>
      <c r="F44" t="inlineStr">
        <is>
          <t>DALARNAS LÄN</t>
        </is>
      </c>
      <c r="G44" t="inlineStr">
        <is>
          <t>LUDVIKA</t>
        </is>
      </c>
      <c r="I44" t="n">
        <v>1.4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Mindre märgborre
Järpe
Spillkråka
Timmerticka</t>
        </is>
      </c>
      <c r="W44">
        <f>HYPERLINK("https://klasma.github.io/Logging_2085/artfynd/A 23711-2026 artfynd.xlsx", "A 23711-2026")</f>
        <v/>
      </c>
      <c r="X44">
        <f>HYPERLINK("https://klasma.github.io/Logging_2085/kartor/A 23711-2026 karta.png", "A 23711-2026")</f>
        <v/>
      </c>
      <c r="Y44">
        <f>HYPERLINK("https://klasma.github.io/Logging_2085/kartor_geotiff/A 23711-2026 georefererad karta.tif", "A 23711-2026")</f>
        <v/>
      </c>
      <c r="AA44">
        <f>HYPERLINK("https://klasma.github.io/Logging_2085/klagomål/A 23711-2026 FSC-klagomål.docx", "A 23711-2026")</f>
        <v/>
      </c>
      <c r="AB44">
        <f>HYPERLINK("https://klasma.github.io/Logging_2085/klagomålsmail/A 23711-2026 FSC-klagomål mail.docx", "A 23711-2026")</f>
        <v/>
      </c>
      <c r="AC44">
        <f>HYPERLINK("https://klasma.github.io/Logging_2085/tillsyn/A 23711-2026 tillsynsbegäran.docx", "A 23711-2026")</f>
        <v/>
      </c>
      <c r="AD44">
        <f>HYPERLINK("https://klasma.github.io/Logging_2085/tillsynsmail/A 23711-2026 tillsynsbegäran mail.docx", "A 23711-2026")</f>
        <v/>
      </c>
      <c r="AE44">
        <f>HYPERLINK("https://klasma.github.io/Logging_2085/fåglar/A 23711-2026 prioriterade fågelarter.docx", "A 23711-2026")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46289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46289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46289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38635-2026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46289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2.2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Lunglav
Mörk husmossa
Vedticka
Vågbandad barkbock</t>
        </is>
      </c>
      <c r="W48">
        <f>HYPERLINK("https://klasma.github.io/Logging_2085/artfynd/A 38635-2026 artfynd.xlsx", "A 38635-2026")</f>
        <v/>
      </c>
      <c r="X48">
        <f>HYPERLINK("https://klasma.github.io/Logging_2085/kartor/A 38635-2026 karta.png", "A 38635-2026")</f>
        <v/>
      </c>
      <c r="Y48">
        <f>HYPERLINK("https://klasma.github.io/Logging_2085/kartor_geotiff/A 38635-2026 georefererad karta.tif", "A 38635-2026")</f>
        <v/>
      </c>
      <c r="AA48">
        <f>HYPERLINK("https://klasma.github.io/Logging_2085/klagomål/A 38635-2026 FSC-klagomål.docx", "A 38635-2026")</f>
        <v/>
      </c>
      <c r="AB48">
        <f>HYPERLINK("https://klasma.github.io/Logging_2085/klagomålsmail/A 38635-2026 FSC-klagomål mail.docx", "A 38635-2026")</f>
        <v/>
      </c>
      <c r="AC48">
        <f>HYPERLINK("https://klasma.github.io/Logging_2085/tillsyn/A 38635-2026 tillsynsbegäran.docx", "A 38635-2026")</f>
        <v/>
      </c>
      <c r="AD48">
        <f>HYPERLINK("https://klasma.github.io/Logging_2085/tillsynsmail/A 38635-2026 tillsynsbegäran mail.docx", "A 38635-2026")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46289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22589-2026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46155</v>
      </c>
      <c r="E50" s="1" t="n">
        <v>46289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3.7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Järpe
Spillkråka
Tjäder</t>
        </is>
      </c>
      <c r="W50">
        <f>HYPERLINK("https://klasma.github.io/Logging_2085/artfynd/A 22589-2026 artfynd.xlsx", "A 22589-2026")</f>
        <v/>
      </c>
      <c r="X50">
        <f>HYPERLINK("https://klasma.github.io/Logging_2085/kartor/A 22589-2026 karta.png", "A 22589-2026")</f>
        <v/>
      </c>
      <c r="Y50">
        <f>HYPERLINK("https://klasma.github.io/Logging_2085/kartor_geotiff/A 22589-2026 georefererad karta.tif", "A 22589-2026")</f>
        <v/>
      </c>
      <c r="AA50">
        <f>HYPERLINK("https://klasma.github.io/Logging_2085/klagomål/A 22589-2026 FSC-klagomål.docx", "A 22589-2026")</f>
        <v/>
      </c>
      <c r="AB50">
        <f>HYPERLINK("https://klasma.github.io/Logging_2085/klagomålsmail/A 22589-2026 FSC-klagomål mail.docx", "A 22589-2026")</f>
        <v/>
      </c>
      <c r="AC50">
        <f>HYPERLINK("https://klasma.github.io/Logging_2085/tillsyn/A 22589-2026 tillsynsbegäran.docx", "A 22589-2026")</f>
        <v/>
      </c>
      <c r="AD50">
        <f>HYPERLINK("https://klasma.github.io/Logging_2085/tillsynsmail/A 22589-2026 tillsynsbegäran mail.docx", "A 22589-2026")</f>
        <v/>
      </c>
      <c r="AE50">
        <f>HYPERLINK("https://klasma.github.io/Logging_2085/fåglar/A 22589-2026 prioriterade fågelarter.docx", "A 22589-2026")</f>
        <v/>
      </c>
    </row>
    <row r="51" ht="15" customHeight="1">
      <c r="A51" t="inlineStr">
        <is>
          <t>A 11705-2024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46289</v>
      </c>
      <c r="F51" t="inlineStr">
        <is>
          <t>DALARNAS LÄN</t>
        </is>
      </c>
      <c r="G51" t="inlineStr">
        <is>
          <t>LUDVIKA</t>
        </is>
      </c>
      <c r="I51" t="n">
        <v>35.4</v>
      </c>
      <c r="J51" t="n">
        <v>2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45</v>
      </c>
      <c r="U51" t="n">
        <v>45</v>
      </c>
      <c r="V51" s="2" t="inlineStr">
        <is>
          <t>Garnlav
Kortskaftad ärgspik
Tretåig hackspett
Spillkråka</t>
        </is>
      </c>
      <c r="W51">
        <f>HYPERLINK("https://klasma.github.io/Logging_2085/artfynd/A 11705-2024 artfynd.xlsx", "A 11705-2024")</f>
        <v/>
      </c>
      <c r="X51">
        <f>HYPERLINK("https://klasma.github.io/Logging_2085/kartor/A 11705-2024 karta.png", "A 11705-2024")</f>
        <v/>
      </c>
      <c r="Y51">
        <f>HYPERLINK("https://klasma.github.io/Logging_2085/kartor_geotiff/A 11705-2024 georefererad karta.tif", "A 11705-2024")</f>
        <v/>
      </c>
      <c r="AA51">
        <f>HYPERLINK("https://klasma.github.io/Logging_2085/klagomål/A 11705-2024 FSC-klagomål.docx", "A 11705-2024")</f>
        <v/>
      </c>
      <c r="AB51">
        <f>HYPERLINK("https://klasma.github.io/Logging_2085/klagomålsmail/A 11705-2024 FSC-klagomål mail.docx", "A 11705-2024")</f>
        <v/>
      </c>
      <c r="AC51">
        <f>HYPERLINK("https://klasma.github.io/Logging_2085/tillsyn/A 11705-2024 tillsynsbegäran.docx", "A 11705-2024")</f>
        <v/>
      </c>
      <c r="AD51">
        <f>HYPERLINK("https://klasma.github.io/Logging_2085/tillsynsmail/A 11705-2024 tillsynsbegäran mail.docx", "A 11705-2024")</f>
        <v/>
      </c>
      <c r="AE51">
        <f>HYPERLINK("https://klasma.github.io/Logging_2085/fåglar/A 11705-2024 prioriterade fågelarter.docx", "A 11705-2024")</f>
        <v/>
      </c>
    </row>
    <row r="52" ht="15" customHeight="1">
      <c r="A52" t="inlineStr">
        <is>
          <t>A 51928-2024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46289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27.9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Brunpudrad nållav
Gulnål
Kornig nållav
Vedticka</t>
        </is>
      </c>
      <c r="W52">
        <f>HYPERLINK("https://klasma.github.io/Logging_2085/artfynd/A 51928-2024 artfynd.xlsx", "A 51928-2024")</f>
        <v/>
      </c>
      <c r="X52">
        <f>HYPERLINK("https://klasma.github.io/Logging_2085/kartor/A 51928-2024 karta.png", "A 51928-2024")</f>
        <v/>
      </c>
      <c r="Y52">
        <f>HYPERLINK("https://klasma.github.io/Logging_2085/kartor_geotiff/A 51928-2024 georefererad karta.tif", "A 51928-2024")</f>
        <v/>
      </c>
      <c r="AA52">
        <f>HYPERLINK("https://klasma.github.io/Logging_2085/klagomål/A 51928-2024 FSC-klagomål.docx", "A 51928-2024")</f>
        <v/>
      </c>
      <c r="AB52">
        <f>HYPERLINK("https://klasma.github.io/Logging_2085/klagomålsmail/A 51928-2024 FSC-klagomål mail.docx", "A 51928-2024")</f>
        <v/>
      </c>
      <c r="AC52">
        <f>HYPERLINK("https://klasma.github.io/Logging_2085/tillsyn/A 51928-2024 tillsynsbegäran.docx", "A 51928-2024")</f>
        <v/>
      </c>
      <c r="AD52">
        <f>HYPERLINK("https://klasma.github.io/Logging_2085/tillsynsmail/A 51928-2024 tillsynsbegäran mail.docx", "A 51928-2024")</f>
        <v/>
      </c>
    </row>
    <row r="53" ht="15" customHeight="1">
      <c r="A53" t="inlineStr">
        <is>
          <t>A 49676-2024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45596</v>
      </c>
      <c r="E53" s="1" t="n">
        <v>46289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3.5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8</v>
      </c>
      <c r="U53" t="n">
        <v>8</v>
      </c>
      <c r="V53" s="2" t="inlineStr">
        <is>
          <t>Garnlav
Dropptaggsvamp
Järpe
Spillkråka</t>
        </is>
      </c>
      <c r="W53">
        <f>HYPERLINK("https://klasma.github.io/Logging_2085/artfynd/A 49676-2024 artfynd.xlsx", "A 49676-2024")</f>
        <v/>
      </c>
      <c r="X53">
        <f>HYPERLINK("https://klasma.github.io/Logging_2085/kartor/A 49676-2024 karta.png", "A 49676-2024")</f>
        <v/>
      </c>
      <c r="Y53">
        <f>HYPERLINK("https://klasma.github.io/Logging_2085/kartor_geotiff/A 49676-2024 georefererad karta.tif", "A 49676-2024")</f>
        <v/>
      </c>
      <c r="AA53">
        <f>HYPERLINK("https://klasma.github.io/Logging_2085/klagomål/A 49676-2024 FSC-klagomål.docx", "A 49676-2024")</f>
        <v/>
      </c>
      <c r="AB53">
        <f>HYPERLINK("https://klasma.github.io/Logging_2085/klagomålsmail/A 49676-2024 FSC-klagomål mail.docx", "A 49676-2024")</f>
        <v/>
      </c>
      <c r="AC53">
        <f>HYPERLINK("https://klasma.github.io/Logging_2085/tillsyn/A 49676-2024 tillsynsbegäran.docx", "A 49676-2024")</f>
        <v/>
      </c>
      <c r="AD53">
        <f>HYPERLINK("https://klasma.github.io/Logging_2085/tillsynsmail/A 49676-2024 tillsynsbegäran mail.docx", "A 49676-2024")</f>
        <v/>
      </c>
      <c r="AE53">
        <f>HYPERLINK("https://klasma.github.io/Logging_2085/fåglar/A 49676-2024 prioriterade fågelarter.docx", "A 49676-2024")</f>
        <v/>
      </c>
    </row>
    <row r="54" ht="15" customHeight="1">
      <c r="A54" t="inlineStr">
        <is>
          <t>A 23682-2026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46163</v>
      </c>
      <c r="E54" s="1" t="n">
        <v>46289</v>
      </c>
      <c r="F54" t="inlineStr">
        <is>
          <t>DALARNAS LÄN</t>
        </is>
      </c>
      <c r="G54" t="inlineStr">
        <is>
          <t>LUDVIKA</t>
        </is>
      </c>
      <c r="I54" t="n">
        <v>3.9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Vårärt
Järpe
Spillkråka
Tjäder</t>
        </is>
      </c>
      <c r="W54">
        <f>HYPERLINK("https://klasma.github.io/Logging_2085/artfynd/A 23682-2026 artfynd.xlsx", "A 23682-2026")</f>
        <v/>
      </c>
      <c r="X54">
        <f>HYPERLINK("https://klasma.github.io/Logging_2085/kartor/A 23682-2026 karta.png", "A 23682-2026")</f>
        <v/>
      </c>
      <c r="Y54">
        <f>HYPERLINK("https://klasma.github.io/Logging_2085/kartor_geotiff/A 23682-2026 georefererad karta.tif", "A 23682-2026")</f>
        <v/>
      </c>
      <c r="AA54">
        <f>HYPERLINK("https://klasma.github.io/Logging_2085/klagomål/A 23682-2026 FSC-klagomål.docx", "A 23682-2026")</f>
        <v/>
      </c>
      <c r="AB54">
        <f>HYPERLINK("https://klasma.github.io/Logging_2085/klagomålsmail/A 23682-2026 FSC-klagomål mail.docx", "A 23682-2026")</f>
        <v/>
      </c>
      <c r="AC54">
        <f>HYPERLINK("https://klasma.github.io/Logging_2085/tillsyn/A 23682-2026 tillsynsbegäran.docx", "A 23682-2026")</f>
        <v/>
      </c>
      <c r="AD54">
        <f>HYPERLINK("https://klasma.github.io/Logging_2085/tillsynsmail/A 23682-2026 tillsynsbegäran mail.docx", "A 23682-2026")</f>
        <v/>
      </c>
      <c r="AE54">
        <f>HYPERLINK("https://klasma.github.io/Logging_2085/fåglar/A 23682-2026 prioriterade fågelarter.docx", "A 23682-2026")</f>
        <v/>
      </c>
    </row>
    <row r="55" ht="15" customHeight="1">
      <c r="A55" t="inlineStr">
        <is>
          <t>A 35820-2026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46289</v>
      </c>
      <c r="F55" t="inlineStr">
        <is>
          <t>DALARNAS LÄN</t>
        </is>
      </c>
      <c r="G55" t="inlineStr">
        <is>
          <t>LUDVIKA</t>
        </is>
      </c>
      <c r="H55" t="inlineStr">
        <is>
          <t>Naturvårdsverket</t>
        </is>
      </c>
      <c r="I55" t="n">
        <v>4.3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</v>
      </c>
      <c r="U55" t="n">
        <v>0</v>
      </c>
      <c r="V55" s="2" t="inlineStr">
        <is>
          <t>Garnlav
Kortskaftad ärgspik
Vedtrappmossa
Spillkråka</t>
        </is>
      </c>
      <c r="W55">
        <f>HYPERLINK("https://klasma.github.io/Logging_2085/artfynd/A 35820-2026 artfynd.xlsx", "A 35820-2026")</f>
        <v/>
      </c>
      <c r="X55">
        <f>HYPERLINK("https://klasma.github.io/Logging_2085/kartor/A 35820-2026 karta.png", "A 35820-2026")</f>
        <v/>
      </c>
      <c r="Y55">
        <f>HYPERLINK("https://klasma.github.io/Logging_2085/kartor_geotiff/A 35820-2026 georefererad karta.tif", "A 35820-2026")</f>
        <v/>
      </c>
      <c r="AA55">
        <f>HYPERLINK("https://klasma.github.io/Logging_2085/klagomål/A 35820-2026 FSC-klagomål.docx", "A 35820-2026")</f>
        <v/>
      </c>
      <c r="AB55">
        <f>HYPERLINK("https://klasma.github.io/Logging_2085/klagomålsmail/A 35820-2026 FSC-klagomål mail.docx", "A 35820-2026")</f>
        <v/>
      </c>
      <c r="AC55">
        <f>HYPERLINK("https://klasma.github.io/Logging_2085/tillsyn/A 35820-2026 tillsynsbegäran.docx", "A 35820-2026")</f>
        <v/>
      </c>
      <c r="AD55">
        <f>HYPERLINK("https://klasma.github.io/Logging_2085/tillsynsmail/A 35820-2026 tillsynsbegäran mail.docx", "A 35820-2026")</f>
        <v/>
      </c>
      <c r="AE55">
        <f>HYPERLINK("https://klasma.github.io/Logging_2085/fåglar/A 35820-2026 prioriterade fågelarter.docx", "A 35820-2026")</f>
        <v/>
      </c>
    </row>
    <row r="56" ht="15" customHeight="1">
      <c r="A56" t="inlineStr">
        <is>
          <t>A 28738-2026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46289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1.5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4</v>
      </c>
      <c r="T56" t="n">
        <v>12</v>
      </c>
      <c r="U56" t="n">
        <v>12</v>
      </c>
      <c r="V56" s="2" t="inlineStr">
        <is>
          <t>Garnlav
Violettgrå tagellav
Mindre märgborre
Spillkråka</t>
        </is>
      </c>
      <c r="W56">
        <f>HYPERLINK("https://klasma.github.io/Logging_2085/artfynd/A 28738-2026 artfynd.xlsx", "A 28738-2026")</f>
        <v/>
      </c>
      <c r="X56">
        <f>HYPERLINK("https://klasma.github.io/Logging_2085/kartor/A 28738-2026 karta.png", "A 28738-2026")</f>
        <v/>
      </c>
      <c r="Y56">
        <f>HYPERLINK("https://klasma.github.io/Logging_2085/kartor_geotiff/A 28738-2026 georefererad karta.tif", "A 28738-2026")</f>
        <v/>
      </c>
      <c r="AA56">
        <f>HYPERLINK("https://klasma.github.io/Logging_2085/klagomål/A 28738-2026 FSC-klagomål.docx", "A 28738-2026")</f>
        <v/>
      </c>
      <c r="AB56">
        <f>HYPERLINK("https://klasma.github.io/Logging_2085/klagomålsmail/A 28738-2026 FSC-klagomål mail.docx", "A 28738-2026")</f>
        <v/>
      </c>
      <c r="AC56">
        <f>HYPERLINK("https://klasma.github.io/Logging_2085/tillsyn/A 28738-2026 tillsynsbegäran.docx", "A 28738-2026")</f>
        <v/>
      </c>
      <c r="AD56">
        <f>HYPERLINK("https://klasma.github.io/Logging_2085/tillsynsmail/A 28738-2026 tillsynsbegäran mail.docx", "A 28738-2026")</f>
        <v/>
      </c>
      <c r="AE56">
        <f>HYPERLINK("https://klasma.github.io/Logging_2085/fåglar/A 28738-2026 prioriterade fågelarter.docx", "A 28738-2026")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46289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23087-2025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46289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Dropptaggsvamp
Motaggsvamp
Orange taggsvamp</t>
        </is>
      </c>
      <c r="W58">
        <f>HYPERLINK("https://klasma.github.io/Logging_2085/artfynd/A 23087-2025 artfynd.xlsx", "A 23087-2025")</f>
        <v/>
      </c>
      <c r="X58">
        <f>HYPERLINK("https://klasma.github.io/Logging_2085/kartor/A 23087-2025 karta.png", "A 23087-2025")</f>
        <v/>
      </c>
      <c r="Y58">
        <f>HYPERLINK("https://klasma.github.io/Logging_2085/kartor_geotiff/A 23087-2025 georefererad karta.tif", "A 23087-2025")</f>
        <v/>
      </c>
      <c r="AA58">
        <f>HYPERLINK("https://klasma.github.io/Logging_2085/klagomål/A 23087-2025 FSC-klagomål.docx", "A 23087-2025")</f>
        <v/>
      </c>
      <c r="AB58">
        <f>HYPERLINK("https://klasma.github.io/Logging_2085/klagomålsmail/A 23087-2025 FSC-klagomål mail.docx", "A 23087-2025")</f>
        <v/>
      </c>
      <c r="AC58">
        <f>HYPERLINK("https://klasma.github.io/Logging_2085/tillsyn/A 23087-2025 tillsynsbegäran.docx", "A 23087-2025")</f>
        <v/>
      </c>
      <c r="AD58">
        <f>HYPERLINK("https://klasma.github.io/Logging_2085/tillsynsmail/A 23087-2025 tillsynsbegäran mail.docx", "A 23087-2025")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46289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74432-2021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44560</v>
      </c>
      <c r="E60" s="1" t="n">
        <v>46289</v>
      </c>
      <c r="F60" t="inlineStr">
        <is>
          <t>DALARNAS LÄN</t>
        </is>
      </c>
      <c r="G60" t="inlineStr">
        <is>
          <t>LUDVIKA</t>
        </is>
      </c>
      <c r="H60" t="inlineStr">
        <is>
          <t>Kommuner</t>
        </is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Spillkråka
Gröngöling
Kungsfågel</t>
        </is>
      </c>
      <c r="W60">
        <f>HYPERLINK("https://klasma.github.io/Logging_2085/artfynd/A 74432-2021 artfynd.xlsx", "A 74432-2021")</f>
        <v/>
      </c>
      <c r="X60">
        <f>HYPERLINK("https://klasma.github.io/Logging_2085/kartor/A 74432-2021 karta.png", "A 74432-2021")</f>
        <v/>
      </c>
      <c r="Y60">
        <f>HYPERLINK("https://klasma.github.io/Logging_2085/kartor_geotiff/A 74432-2021 georefererad karta.tif", "A 74432-2021")</f>
        <v/>
      </c>
      <c r="AA60">
        <f>HYPERLINK("https://klasma.github.io/Logging_2085/klagomål/A 74432-2021 FSC-klagomål.docx", "A 74432-2021")</f>
        <v/>
      </c>
      <c r="AB60">
        <f>HYPERLINK("https://klasma.github.io/Logging_2085/klagomålsmail/A 74432-2021 FSC-klagomål mail.docx", "A 74432-2021")</f>
        <v/>
      </c>
      <c r="AC60">
        <f>HYPERLINK("https://klasma.github.io/Logging_2085/tillsyn/A 74432-2021 tillsynsbegäran.docx", "A 74432-2021")</f>
        <v/>
      </c>
      <c r="AD60">
        <f>HYPERLINK("https://klasma.github.io/Logging_2085/tillsynsmail/A 74432-2021 tillsynsbegäran mail.docx", "A 74432-2021")</f>
        <v/>
      </c>
      <c r="AE60">
        <f>HYPERLINK("https://klasma.github.io/Logging_2085/fåglar/A 74432-2021 prioriterade fågelarter.docx", "A 74432-2021")</f>
        <v/>
      </c>
    </row>
    <row r="61" ht="15" customHeight="1">
      <c r="A61" t="inlineStr">
        <is>
          <t>A 29144-2023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45105</v>
      </c>
      <c r="E61" s="1" t="n">
        <v>46289</v>
      </c>
      <c r="F61" t="inlineStr">
        <is>
          <t>DALARNAS LÄN</t>
        </is>
      </c>
      <c r="G61" t="inlineStr">
        <is>
          <t>LUDVIKA</t>
        </is>
      </c>
      <c r="H61" t="inlineStr">
        <is>
          <t>Allmännings- och besparingsskogar</t>
        </is>
      </c>
      <c r="I61" t="n">
        <v>6.2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14</v>
      </c>
      <c r="U61" t="n">
        <v>0</v>
      </c>
      <c r="V61" s="2" t="inlineStr">
        <is>
          <t>Garnlav
Knärot
Brunklöver</t>
        </is>
      </c>
      <c r="W61">
        <f>HYPERLINK("https://klasma.github.io/Logging_2085/artfynd/A 29144-2023 artfynd.xlsx", "A 29144-2023")</f>
        <v/>
      </c>
      <c r="X61">
        <f>HYPERLINK("https://klasma.github.io/Logging_2085/kartor/A 29144-2023 karta.png", "A 29144-2023")</f>
        <v/>
      </c>
      <c r="Y61">
        <f>HYPERLINK("https://klasma.github.io/Logging_2085/kartor_geotiff/A 29144-2023 georefererad karta.tif", "A 29144-2023")</f>
        <v/>
      </c>
      <c r="Z61">
        <f>HYPERLINK("https://klasma.github.io/Logging_2085/knärot/A 29144-2023 karta knärot.png", "A 29144-2023")</f>
        <v/>
      </c>
      <c r="AA61">
        <f>HYPERLINK("https://klasma.github.io/Logging_2085/klagomål/A 29144-2023 FSC-klagomål.docx", "A 29144-2023")</f>
        <v/>
      </c>
      <c r="AB61">
        <f>HYPERLINK("https://klasma.github.io/Logging_2085/klagomålsmail/A 29144-2023 FSC-klagomål mail.docx", "A 29144-2023")</f>
        <v/>
      </c>
      <c r="AC61">
        <f>HYPERLINK("https://klasma.github.io/Logging_2085/tillsyn/A 29144-2023 tillsynsbegäran.docx", "A 29144-2023")</f>
        <v/>
      </c>
      <c r="AD61">
        <f>HYPERLINK("https://klasma.github.io/Logging_2085/tillsynsmail/A 29144-2023 tillsynsbegäran mail.docx", "A 29144-2023")</f>
        <v/>
      </c>
    </row>
    <row r="62" ht="15" customHeight="1">
      <c r="A62" t="inlineStr">
        <is>
          <t>A 24425-2026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46168</v>
      </c>
      <c r="E62" s="1" t="n">
        <v>46289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5.6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6</v>
      </c>
      <c r="U62" t="n">
        <v>0</v>
      </c>
      <c r="V62" s="2" t="inlineStr">
        <is>
          <t>Tretåig hackspett
Spillkråka
Sälg</t>
        </is>
      </c>
      <c r="W62">
        <f>HYPERLINK("https://klasma.github.io/Logging_2085/artfynd/A 24425-2026 artfynd.xlsx", "A 24425-2026")</f>
        <v/>
      </c>
      <c r="X62">
        <f>HYPERLINK("https://klasma.github.io/Logging_2085/kartor/A 24425-2026 karta.png", "A 24425-2026")</f>
        <v/>
      </c>
      <c r="Y62">
        <f>HYPERLINK("https://klasma.github.io/Logging_2085/kartor_geotiff/A 24425-2026 georefererad karta.tif", "A 24425-2026")</f>
        <v/>
      </c>
      <c r="AA62">
        <f>HYPERLINK("https://klasma.github.io/Logging_2085/klagomål/A 24425-2026 FSC-klagomål.docx", "A 24425-2026")</f>
        <v/>
      </c>
      <c r="AB62">
        <f>HYPERLINK("https://klasma.github.io/Logging_2085/klagomålsmail/A 24425-2026 FSC-klagomål mail.docx", "A 24425-2026")</f>
        <v/>
      </c>
      <c r="AC62">
        <f>HYPERLINK("https://klasma.github.io/Logging_2085/tillsyn/A 24425-2026 tillsynsbegäran.docx", "A 24425-2026")</f>
        <v/>
      </c>
      <c r="AD62">
        <f>HYPERLINK("https://klasma.github.io/Logging_2085/tillsynsmail/A 24425-2026 tillsynsbegäran mail.docx", "A 24425-2026")</f>
        <v/>
      </c>
      <c r="AE62">
        <f>HYPERLINK("https://klasma.github.io/Logging_2085/fåglar/A 24425-2026 prioriterade fågelarter.docx", "A 24425-2026")</f>
        <v/>
      </c>
    </row>
    <row r="63" ht="15" customHeight="1">
      <c r="A63" t="inlineStr">
        <is>
          <t>A 18759-2026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46289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3.5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11</v>
      </c>
      <c r="U63" t="n">
        <v>0</v>
      </c>
      <c r="V63" s="2" t="inlineStr">
        <is>
          <t>Knärot
Dropptaggsvamp
Nattviol</t>
        </is>
      </c>
      <c r="W63">
        <f>HYPERLINK("https://klasma.github.io/Logging_2085/artfynd/A 18759-2026 artfynd.xlsx", "A 18759-2026")</f>
        <v/>
      </c>
      <c r="X63">
        <f>HYPERLINK("https://klasma.github.io/Logging_2085/kartor/A 18759-2026 karta.png", "A 18759-2026")</f>
        <v/>
      </c>
      <c r="Y63">
        <f>HYPERLINK("https://klasma.github.io/Logging_2085/kartor_geotiff/A 18759-2026 georefererad karta.tif", "A 18759-2026")</f>
        <v/>
      </c>
      <c r="Z63">
        <f>HYPERLINK("https://klasma.github.io/Logging_2085/knärot/A 18759-2026 karta knärot.png", "A 18759-2026")</f>
        <v/>
      </c>
      <c r="AA63">
        <f>HYPERLINK("https://klasma.github.io/Logging_2085/klagomål/A 18759-2026 FSC-klagomål.docx", "A 18759-2026")</f>
        <v/>
      </c>
      <c r="AB63">
        <f>HYPERLINK("https://klasma.github.io/Logging_2085/klagomålsmail/A 18759-2026 FSC-klagomål mail.docx", "A 18759-2026")</f>
        <v/>
      </c>
      <c r="AC63">
        <f>HYPERLINK("https://klasma.github.io/Logging_2085/tillsyn/A 18759-2026 tillsynsbegäran.docx", "A 18759-2026")</f>
        <v/>
      </c>
      <c r="AD63">
        <f>HYPERLINK("https://klasma.github.io/Logging_2085/tillsynsmail/A 18759-2026 tillsynsbegäran mail.docx", "A 18759-2026")</f>
        <v/>
      </c>
    </row>
    <row r="64" ht="15" customHeight="1">
      <c r="A64" t="inlineStr">
        <is>
          <t>A 43226-2025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46289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4</v>
      </c>
      <c r="V64" s="2" t="inlineStr">
        <is>
          <t>Tretåig hackspett
Rävticka
Rödgul trumpetsvamp</t>
        </is>
      </c>
      <c r="W64">
        <f>HYPERLINK("https://klasma.github.io/Logging_2085/artfynd/A 43226-2025 artfynd.xlsx", "A 43226-2025")</f>
        <v/>
      </c>
      <c r="X64">
        <f>HYPERLINK("https://klasma.github.io/Logging_2085/kartor/A 43226-2025 karta.png", "A 43226-2025")</f>
        <v/>
      </c>
      <c r="Y64">
        <f>HYPERLINK("https://klasma.github.io/Logging_2085/kartor_geotiff/A 43226-2025 georefererad karta.tif", "A 43226-2025")</f>
        <v/>
      </c>
      <c r="AA64">
        <f>HYPERLINK("https://klasma.github.io/Logging_2085/klagomål/A 43226-2025 FSC-klagomål.docx", "A 43226-2025")</f>
        <v/>
      </c>
      <c r="AB64">
        <f>HYPERLINK("https://klasma.github.io/Logging_2085/klagomålsmail/A 43226-2025 FSC-klagomål mail.docx", "A 43226-2025")</f>
        <v/>
      </c>
      <c r="AC64">
        <f>HYPERLINK("https://klasma.github.io/Logging_2085/tillsyn/A 43226-2025 tillsynsbegäran.docx", "A 43226-2025")</f>
        <v/>
      </c>
      <c r="AD64">
        <f>HYPERLINK("https://klasma.github.io/Logging_2085/tillsynsmail/A 43226-2025 tillsynsbegäran mail.docx", "A 43226-2025")</f>
        <v/>
      </c>
      <c r="AE64">
        <f>HYPERLINK("https://klasma.github.io/Logging_2085/fåglar/A 43226-2025 prioriterade fågelarter.docx", "A 43226-2025")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46289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42558-2022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44831</v>
      </c>
      <c r="E66" s="1" t="n">
        <v>46289</v>
      </c>
      <c r="F66" t="inlineStr">
        <is>
          <t>DALARNAS LÄN</t>
        </is>
      </c>
      <c r="G66" t="inlineStr">
        <is>
          <t>LUDVIKA</t>
        </is>
      </c>
      <c r="H66" t="inlineStr">
        <is>
          <t>Naturvårdsverket</t>
        </is>
      </c>
      <c r="I66" t="n">
        <v>4.9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Gräddporing
Lopplummer (aggregat)</t>
        </is>
      </c>
      <c r="W66">
        <f>HYPERLINK("https://klasma.github.io/Logging_2085/artfynd/A 42558-2022 artfynd.xlsx", "A 42558-2022")</f>
        <v/>
      </c>
      <c r="X66">
        <f>HYPERLINK("https://klasma.github.io/Logging_2085/kartor/A 42558-2022 karta.png", "A 42558-2022")</f>
        <v/>
      </c>
      <c r="Y66">
        <f>HYPERLINK("https://klasma.github.io/Logging_2085/kartor_geotiff/A 42558-2022 georefererad karta.tif", "A 42558-2022")</f>
        <v/>
      </c>
      <c r="AA66">
        <f>HYPERLINK("https://klasma.github.io/Logging_2085/klagomål/A 42558-2022 FSC-klagomål.docx", "A 42558-2022")</f>
        <v/>
      </c>
      <c r="AB66">
        <f>HYPERLINK("https://klasma.github.io/Logging_2085/klagomålsmail/A 42558-2022 FSC-klagomål mail.docx", "A 42558-2022")</f>
        <v/>
      </c>
      <c r="AC66">
        <f>HYPERLINK("https://klasma.github.io/Logging_2085/tillsyn/A 42558-2022 tillsynsbegäran.docx", "A 42558-2022")</f>
        <v/>
      </c>
      <c r="AD66">
        <f>HYPERLINK("https://klasma.github.io/Logging_2085/tillsynsmail/A 42558-2022 tillsynsbegäran mail.docx", "A 42558-2022")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46289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Skogsalm
Tibast</t>
        </is>
      </c>
      <c r="W67">
        <f>HYPERLINK("https://klasma.github.io/Logging_2085/artfynd/A 21369-2023 artfynd.xlsx", "A 21369-2023")</f>
        <v/>
      </c>
      <c r="X67">
        <f>HYPERLINK("https://klasma.github.io/Logging_2085/kartor/A 21369-2023 karta.png", "A 21369-2023")</f>
        <v/>
      </c>
      <c r="Y67">
        <f>HYPERLINK("https://klasma.github.io/Logging_2085/kartor_geotiff/A 21369-2023 georefererad karta.tif", "A 21369-2023")</f>
        <v/>
      </c>
      <c r="AA67">
        <f>HYPERLINK("https://klasma.github.io/Logging_2085/klagomål/A 21369-2023 FSC-klagomål.docx", "A 21369-2023")</f>
        <v/>
      </c>
      <c r="AB67">
        <f>HYPERLINK("https://klasma.github.io/Logging_2085/klagomålsmail/A 21369-2023 FSC-klagomål mail.docx", "A 21369-2023")</f>
        <v/>
      </c>
      <c r="AC67">
        <f>HYPERLINK("https://klasma.github.io/Logging_2085/tillsyn/A 21369-2023 tillsynsbegäran.docx", "A 21369-2023")</f>
        <v/>
      </c>
      <c r="AD67">
        <f>HYPERLINK("https://klasma.github.io/Logging_2085/tillsynsmail/A 21369-2023 tillsynsbegäran mail.docx", "A 21369-2023")</f>
        <v/>
      </c>
    </row>
    <row r="68" ht="15" customHeight="1">
      <c r="A68" t="inlineStr">
        <is>
          <t>A 44262-2025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46289</v>
      </c>
      <c r="F68" t="inlineStr">
        <is>
          <t>DALARNAS LÄN</t>
        </is>
      </c>
      <c r="G68" t="inlineStr">
        <is>
          <t>LUDVIKA</t>
        </is>
      </c>
      <c r="I68" t="n">
        <v>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6</v>
      </c>
      <c r="U68" t="n">
        <v>0</v>
      </c>
      <c r="V68" s="2" t="inlineStr">
        <is>
          <t>Nordfladdermus
Fläcknycklar</t>
        </is>
      </c>
      <c r="W68">
        <f>HYPERLINK("https://klasma.github.io/Logging_2085/artfynd/A 44262-2025 artfynd.xlsx", "A 44262-2025")</f>
        <v/>
      </c>
      <c r="X68">
        <f>HYPERLINK("https://klasma.github.io/Logging_2085/kartor/A 44262-2025 karta.png", "A 44262-2025")</f>
        <v/>
      </c>
      <c r="Y68">
        <f>HYPERLINK("https://klasma.github.io/Logging_2085/kartor_geotiff/A 44262-2025 georefererad karta.tif", "A 44262-2025")</f>
        <v/>
      </c>
      <c r="AA68">
        <f>HYPERLINK("https://klasma.github.io/Logging_2085/klagomål/A 44262-2025 FSC-klagomål.docx", "A 44262-2025")</f>
        <v/>
      </c>
      <c r="AB68">
        <f>HYPERLINK("https://klasma.github.io/Logging_2085/klagomålsmail/A 44262-2025 FSC-klagomål mail.docx", "A 44262-2025")</f>
        <v/>
      </c>
      <c r="AC68">
        <f>HYPERLINK("https://klasma.github.io/Logging_2085/tillsyn/A 44262-2025 tillsynsbegäran.docx", "A 44262-2025")</f>
        <v/>
      </c>
      <c r="AD68">
        <f>HYPERLINK("https://klasma.github.io/Logging_2085/tillsynsmail/A 44262-2025 tillsynsbegäran mail.docx", "A 44262-2025")</f>
        <v/>
      </c>
    </row>
    <row r="69" ht="15" customHeight="1">
      <c r="A69" t="inlineStr">
        <is>
          <t>A 11755-2023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46289</v>
      </c>
      <c r="F69" t="inlineStr">
        <is>
          <t>DALARNAS LÄN</t>
        </is>
      </c>
      <c r="G69" t="inlineStr">
        <is>
          <t>LUDVIKA</t>
        </is>
      </c>
      <c r="H69" t="inlineStr">
        <is>
          <t>Övriga Aktiebolag</t>
        </is>
      </c>
      <c r="I69" t="n">
        <v>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Garnlav
Spillkråka</t>
        </is>
      </c>
      <c r="W69">
        <f>HYPERLINK("https://klasma.github.io/Logging_2085/artfynd/A 11755-2023 artfynd.xlsx", "A 11755-2023")</f>
        <v/>
      </c>
      <c r="X69">
        <f>HYPERLINK("https://klasma.github.io/Logging_2085/kartor/A 11755-2023 karta.png", "A 11755-2023")</f>
        <v/>
      </c>
      <c r="Y69">
        <f>HYPERLINK("https://klasma.github.io/Logging_2085/kartor_geotiff/A 11755-2023 georefererad karta.tif", "A 11755-2023")</f>
        <v/>
      </c>
      <c r="AA69">
        <f>HYPERLINK("https://klasma.github.io/Logging_2085/klagomål/A 11755-2023 FSC-klagomål.docx", "A 11755-2023")</f>
        <v/>
      </c>
      <c r="AB69">
        <f>HYPERLINK("https://klasma.github.io/Logging_2085/klagomålsmail/A 11755-2023 FSC-klagomål mail.docx", "A 11755-2023")</f>
        <v/>
      </c>
      <c r="AC69">
        <f>HYPERLINK("https://klasma.github.io/Logging_2085/tillsyn/A 11755-2023 tillsynsbegäran.docx", "A 11755-2023")</f>
        <v/>
      </c>
      <c r="AD69">
        <f>HYPERLINK("https://klasma.github.io/Logging_2085/tillsynsmail/A 11755-2023 tillsynsbegäran mail.docx", "A 11755-2023")</f>
        <v/>
      </c>
      <c r="AE69">
        <f>HYPERLINK("https://klasma.github.io/Logging_2085/fåglar/A 11755-2023 prioriterade fågelarter.docx", "A 11755-2023")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46289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46289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46289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49051-2024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46289</v>
      </c>
      <c r="F73" t="inlineStr">
        <is>
          <t>DALARNAS LÄN</t>
        </is>
      </c>
      <c r="G73" t="inlineStr">
        <is>
          <t>LUDVIKA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2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0</v>
      </c>
      <c r="V73" s="2" t="inlineStr">
        <is>
          <t>Ladparasitspik
Vedkastanjelav</t>
        </is>
      </c>
      <c r="W73">
        <f>HYPERLINK("https://klasma.github.io/Logging_2085/artfynd/A 49051-2024 artfynd.xlsx", "A 49051-2024")</f>
        <v/>
      </c>
      <c r="X73">
        <f>HYPERLINK("https://klasma.github.io/Logging_2085/kartor/A 49051-2024 karta.png", "A 49051-2024")</f>
        <v/>
      </c>
      <c r="Y73">
        <f>HYPERLINK("https://klasma.github.io/Logging_2085/kartor_geotiff/A 49051-2024 georefererad karta.tif", "A 49051-2024")</f>
        <v/>
      </c>
      <c r="AA73">
        <f>HYPERLINK("https://klasma.github.io/Logging_2085/klagomål/A 49051-2024 FSC-klagomål.docx", "A 49051-2024")</f>
        <v/>
      </c>
      <c r="AB73">
        <f>HYPERLINK("https://klasma.github.io/Logging_2085/klagomålsmail/A 49051-2024 FSC-klagomål mail.docx", "A 49051-2024")</f>
        <v/>
      </c>
      <c r="AC73">
        <f>HYPERLINK("https://klasma.github.io/Logging_2085/tillsyn/A 49051-2024 tillsynsbegäran.docx", "A 49051-2024")</f>
        <v/>
      </c>
      <c r="AD73">
        <f>HYPERLINK("https://klasma.github.io/Logging_2085/tillsynsmail/A 49051-2024 tillsynsbegäran mail.docx", "A 49051-2024")</f>
        <v/>
      </c>
    </row>
    <row r="74" ht="15" customHeight="1">
      <c r="A74" t="inlineStr">
        <is>
          <t>A 50170-2025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46289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Labyrintlav
Gulnål</t>
        </is>
      </c>
      <c r="W74">
        <f>HYPERLINK("https://klasma.github.io/Logging_2085/artfynd/A 50170-2025 artfynd.xlsx", "A 50170-2025")</f>
        <v/>
      </c>
      <c r="X74">
        <f>HYPERLINK("https://klasma.github.io/Logging_2085/kartor/A 50170-2025 karta.png", "A 50170-2025")</f>
        <v/>
      </c>
      <c r="Y74">
        <f>HYPERLINK("https://klasma.github.io/Logging_2085/kartor_geotiff/A 50170-2025 georefererad karta.tif", "A 50170-2025")</f>
        <v/>
      </c>
      <c r="AA74">
        <f>HYPERLINK("https://klasma.github.io/Logging_2085/klagomål/A 50170-2025 FSC-klagomål.docx", "A 50170-2025")</f>
        <v/>
      </c>
      <c r="AB74">
        <f>HYPERLINK("https://klasma.github.io/Logging_2085/klagomålsmail/A 50170-2025 FSC-klagomål mail.docx", "A 50170-2025")</f>
        <v/>
      </c>
      <c r="AC74">
        <f>HYPERLINK("https://klasma.github.io/Logging_2085/tillsyn/A 50170-2025 tillsynsbegäran.docx", "A 50170-2025")</f>
        <v/>
      </c>
      <c r="AD74">
        <f>HYPERLINK("https://klasma.github.io/Logging_2085/tillsynsmail/A 50170-2025 tillsynsbegäran mail.docx", "A 50170-2025")</f>
        <v/>
      </c>
    </row>
    <row r="75" ht="15" customHeight="1">
      <c r="A75" t="inlineStr">
        <is>
          <t>A 56179-2025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46289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Gultoppig fingersvamp
Kortskaftad ärgspik</t>
        </is>
      </c>
      <c r="W75">
        <f>HYPERLINK("https://klasma.github.io/Logging_2085/artfynd/A 56179-2025 artfynd.xlsx", "A 56179-2025")</f>
        <v/>
      </c>
      <c r="X75">
        <f>HYPERLINK("https://klasma.github.io/Logging_2085/kartor/A 56179-2025 karta.png", "A 56179-2025")</f>
        <v/>
      </c>
      <c r="Y75">
        <f>HYPERLINK("https://klasma.github.io/Logging_2085/kartor_geotiff/A 56179-2025 georefererad karta.tif", "A 56179-2025")</f>
        <v/>
      </c>
      <c r="Z75">
        <f>HYPERLINK("https://klasma.github.io/Logging_2085/knärot/A 56179-2025 karta knärot.png", "A 56179-2025")</f>
        <v/>
      </c>
      <c r="AA75">
        <f>HYPERLINK("https://klasma.github.io/Logging_2085/klagomål/A 56179-2025 FSC-klagomål.docx", "A 56179-2025")</f>
        <v/>
      </c>
      <c r="AB75">
        <f>HYPERLINK("https://klasma.github.io/Logging_2085/klagomålsmail/A 56179-2025 FSC-klagomål mail.docx", "A 56179-2025")</f>
        <v/>
      </c>
      <c r="AC75">
        <f>HYPERLINK("https://klasma.github.io/Logging_2085/tillsyn/A 56179-2025 tillsynsbegäran.docx", "A 56179-2025")</f>
        <v/>
      </c>
      <c r="AD75">
        <f>HYPERLINK("https://klasma.github.io/Logging_2085/tillsynsmail/A 56179-2025 tillsynsbegäran mail.docx", "A 56179-2025")</f>
        <v/>
      </c>
    </row>
    <row r="76" ht="15" customHeight="1">
      <c r="A76" t="inlineStr">
        <is>
          <t>A 3809-2024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46289</v>
      </c>
      <c r="F76" t="inlineStr">
        <is>
          <t>DALARNAS LÄN</t>
        </is>
      </c>
      <c r="G76" t="inlineStr">
        <is>
          <t>LUDVIKA</t>
        </is>
      </c>
      <c r="I76" t="n">
        <v>0.5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8</v>
      </c>
      <c r="U76" t="n">
        <v>8</v>
      </c>
      <c r="V76" s="2" t="inlineStr">
        <is>
          <t>Nordfladdermus
Fläcknycklar</t>
        </is>
      </c>
      <c r="W76">
        <f>HYPERLINK("https://klasma.github.io/Logging_2085/artfynd/A 3809-2024 artfynd.xlsx", "A 3809-2024")</f>
        <v/>
      </c>
      <c r="X76">
        <f>HYPERLINK("https://klasma.github.io/Logging_2085/kartor/A 3809-2024 karta.png", "A 3809-2024")</f>
        <v/>
      </c>
      <c r="Y76">
        <f>HYPERLINK("https://klasma.github.io/Logging_2085/kartor_geotiff/A 3809-2024 georefererad karta.tif", "A 3809-2024")</f>
        <v/>
      </c>
      <c r="AA76">
        <f>HYPERLINK("https://klasma.github.io/Logging_2085/klagomål/A 3809-2024 FSC-klagomål.docx", "A 3809-2024")</f>
        <v/>
      </c>
      <c r="AB76">
        <f>HYPERLINK("https://klasma.github.io/Logging_2085/klagomålsmail/A 3809-2024 FSC-klagomål mail.docx", "A 3809-2024")</f>
        <v/>
      </c>
      <c r="AC76">
        <f>HYPERLINK("https://klasma.github.io/Logging_2085/tillsyn/A 3809-2024 tillsynsbegäran.docx", "A 3809-2024")</f>
        <v/>
      </c>
      <c r="AD76">
        <f>HYPERLINK("https://klasma.github.io/Logging_2085/tillsynsmail/A 3809-2024 tillsynsbegäran mail.docx", "A 3809-2024")</f>
        <v/>
      </c>
    </row>
    <row r="77" ht="15" customHeight="1">
      <c r="A77" t="inlineStr">
        <is>
          <t>A 49763-2025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46289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2</v>
      </c>
      <c r="V77" s="2" t="inlineStr">
        <is>
          <t>Dvärgbägarlav
Vedticka</t>
        </is>
      </c>
      <c r="W77">
        <f>HYPERLINK("https://klasma.github.io/Logging_2085/artfynd/A 49763-2025 artfynd.xlsx", "A 49763-2025")</f>
        <v/>
      </c>
      <c r="X77">
        <f>HYPERLINK("https://klasma.github.io/Logging_2085/kartor/A 49763-2025 karta.png", "A 49763-2025")</f>
        <v/>
      </c>
      <c r="Y77">
        <f>HYPERLINK("https://klasma.github.io/Logging_2085/kartor_geotiff/A 49763-2025 georefererad karta.tif", "A 49763-2025")</f>
        <v/>
      </c>
      <c r="AA77">
        <f>HYPERLINK("https://klasma.github.io/Logging_2085/klagomål/A 49763-2025 FSC-klagomål.docx", "A 49763-2025")</f>
        <v/>
      </c>
      <c r="AB77">
        <f>HYPERLINK("https://klasma.github.io/Logging_2085/klagomålsmail/A 49763-2025 FSC-klagomål mail.docx", "A 49763-2025")</f>
        <v/>
      </c>
      <c r="AC77">
        <f>HYPERLINK("https://klasma.github.io/Logging_2085/tillsyn/A 49763-2025 tillsynsbegäran.docx", "A 49763-2025")</f>
        <v/>
      </c>
      <c r="AD77">
        <f>HYPERLINK("https://klasma.github.io/Logging_2085/tillsynsmail/A 49763-2025 tillsynsbegäran mail.docx", "A 49763-2025")</f>
        <v/>
      </c>
    </row>
    <row r="78" ht="15" customHeight="1">
      <c r="A78" t="inlineStr">
        <is>
          <t>A 56826-2025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46289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4.5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8</v>
      </c>
      <c r="U78" t="n">
        <v>8</v>
      </c>
      <c r="V78" s="2" t="inlineStr">
        <is>
          <t>Garnlav
Tretåig hackspett</t>
        </is>
      </c>
      <c r="W78">
        <f>HYPERLINK("https://klasma.github.io/Logging_2085/artfynd/A 56826-2025 artfynd.xlsx", "A 56826-2025")</f>
        <v/>
      </c>
      <c r="X78">
        <f>HYPERLINK("https://klasma.github.io/Logging_2085/kartor/A 56826-2025 karta.png", "A 56826-2025")</f>
        <v/>
      </c>
      <c r="Y78">
        <f>HYPERLINK("https://klasma.github.io/Logging_2085/kartor_geotiff/A 56826-2025 georefererad karta.tif", "A 56826-2025")</f>
        <v/>
      </c>
      <c r="AA78">
        <f>HYPERLINK("https://klasma.github.io/Logging_2085/klagomål/A 56826-2025 FSC-klagomål.docx", "A 56826-2025")</f>
        <v/>
      </c>
      <c r="AB78">
        <f>HYPERLINK("https://klasma.github.io/Logging_2085/klagomålsmail/A 56826-2025 FSC-klagomål mail.docx", "A 56826-2025")</f>
        <v/>
      </c>
      <c r="AC78">
        <f>HYPERLINK("https://klasma.github.io/Logging_2085/tillsyn/A 56826-2025 tillsynsbegäran.docx", "A 56826-2025")</f>
        <v/>
      </c>
      <c r="AD78">
        <f>HYPERLINK("https://klasma.github.io/Logging_2085/tillsynsmail/A 56826-2025 tillsynsbegäran mail.docx", "A 56826-2025")</f>
        <v/>
      </c>
      <c r="AE78">
        <f>HYPERLINK("https://klasma.github.io/Logging_2085/fåglar/A 56826-2025 prioriterade fågelarter.docx", "A 56826-2025")</f>
        <v/>
      </c>
    </row>
    <row r="79" ht="15" customHeight="1">
      <c r="A79" t="inlineStr">
        <is>
          <t>A 56879-2025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46289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Tjäder</t>
        </is>
      </c>
      <c r="W79">
        <f>HYPERLINK("https://klasma.github.io/Logging_2085/artfynd/A 56879-2025 artfynd.xlsx", "A 56879-2025")</f>
        <v/>
      </c>
      <c r="X79">
        <f>HYPERLINK("https://klasma.github.io/Logging_2085/kartor/A 56879-2025 karta.png", "A 56879-2025")</f>
        <v/>
      </c>
      <c r="Y79">
        <f>HYPERLINK("https://klasma.github.io/Logging_2085/kartor_geotiff/A 56879-2025 georefererad karta.tif", "A 56879-2025")</f>
        <v/>
      </c>
      <c r="AA79">
        <f>HYPERLINK("https://klasma.github.io/Logging_2085/klagomål/A 56879-2025 FSC-klagomål.docx", "A 56879-2025")</f>
        <v/>
      </c>
      <c r="AB79">
        <f>HYPERLINK("https://klasma.github.io/Logging_2085/klagomålsmail/A 56879-2025 FSC-klagomål mail.docx", "A 56879-2025")</f>
        <v/>
      </c>
      <c r="AC79">
        <f>HYPERLINK("https://klasma.github.io/Logging_2085/tillsyn/A 56879-2025 tillsynsbegäran.docx", "A 56879-2025")</f>
        <v/>
      </c>
      <c r="AD79">
        <f>HYPERLINK("https://klasma.github.io/Logging_2085/tillsynsmail/A 56879-2025 tillsynsbegäran mail.docx", "A 56879-2025")</f>
        <v/>
      </c>
      <c r="AE79">
        <f>HYPERLINK("https://klasma.github.io/Logging_2085/fåglar/A 56879-2025 prioriterade fågelarter.docx", "A 56879-2025")</f>
        <v/>
      </c>
    </row>
    <row r="80" ht="15" customHeight="1">
      <c r="A80" t="inlineStr">
        <is>
          <t>A 21876-2026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46289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Garnlav
Tretåig hackspett</t>
        </is>
      </c>
      <c r="W80">
        <f>HYPERLINK("https://klasma.github.io/Logging_2085/artfynd/A 21876-2026 artfynd.xlsx", "A 21876-2026")</f>
        <v/>
      </c>
      <c r="X80">
        <f>HYPERLINK("https://klasma.github.io/Logging_2085/kartor/A 21876-2026 karta.png", "A 21876-2026")</f>
        <v/>
      </c>
      <c r="Y80">
        <f>HYPERLINK("https://klasma.github.io/Logging_2085/kartor_geotiff/A 21876-2026 georefererad karta.tif", "A 21876-2026")</f>
        <v/>
      </c>
      <c r="AA80">
        <f>HYPERLINK("https://klasma.github.io/Logging_2085/klagomål/A 21876-2026 FSC-klagomål.docx", "A 21876-2026")</f>
        <v/>
      </c>
      <c r="AB80">
        <f>HYPERLINK("https://klasma.github.io/Logging_2085/klagomålsmail/A 21876-2026 FSC-klagomål mail.docx", "A 21876-2026")</f>
        <v/>
      </c>
      <c r="AC80">
        <f>HYPERLINK("https://klasma.github.io/Logging_2085/tillsyn/A 21876-2026 tillsynsbegäran.docx", "A 21876-2026")</f>
        <v/>
      </c>
      <c r="AD80">
        <f>HYPERLINK("https://klasma.github.io/Logging_2085/tillsynsmail/A 21876-2026 tillsynsbegäran mail.docx", "A 21876-2026")</f>
        <v/>
      </c>
      <c r="AE80">
        <f>HYPERLINK("https://klasma.github.io/Logging_2085/fåglar/A 21876-2026 prioriterade fågelarter.docx", "A 21876-2026")</f>
        <v/>
      </c>
    </row>
    <row r="81" ht="15" customHeight="1">
      <c r="A81" t="inlineStr">
        <is>
          <t>A 19512-2022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46289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2.8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Tretåig hackspett
Nästlav</t>
        </is>
      </c>
      <c r="W81">
        <f>HYPERLINK("https://klasma.github.io/Logging_2085/artfynd/A 19512-2022 artfynd.xlsx", "A 19512-2022")</f>
        <v/>
      </c>
      <c r="X81">
        <f>HYPERLINK("https://klasma.github.io/Logging_2085/kartor/A 19512-2022 karta.png", "A 19512-2022")</f>
        <v/>
      </c>
      <c r="Y81">
        <f>HYPERLINK("https://klasma.github.io/Logging_2085/kartor_geotiff/A 19512-2022 georefererad karta.tif", "A 19512-2022")</f>
        <v/>
      </c>
      <c r="AA81">
        <f>HYPERLINK("https://klasma.github.io/Logging_2085/klagomål/A 19512-2022 FSC-klagomål.docx", "A 19512-2022")</f>
        <v/>
      </c>
      <c r="AB81">
        <f>HYPERLINK("https://klasma.github.io/Logging_2085/klagomålsmail/A 19512-2022 FSC-klagomål mail.docx", "A 19512-2022")</f>
        <v/>
      </c>
      <c r="AC81">
        <f>HYPERLINK("https://klasma.github.io/Logging_2085/tillsyn/A 19512-2022 tillsynsbegäran.docx", "A 19512-2022")</f>
        <v/>
      </c>
      <c r="AD81">
        <f>HYPERLINK("https://klasma.github.io/Logging_2085/tillsynsmail/A 19512-2022 tillsynsbegäran mail.docx", "A 19512-2022")</f>
        <v/>
      </c>
      <c r="AE81">
        <f>HYPERLINK("https://klasma.github.io/Logging_2085/fåglar/A 19512-2022 prioriterade fågelarter.docx", "A 19512-2022")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46289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46289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55399-2025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46289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11.5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HYPERLINK("https://klasma.github.io/Logging_2085/artfynd/A 55399-2025 artfynd.xlsx", "A 55399-2025")</f>
        <v/>
      </c>
      <c r="X84">
        <f>HYPERLINK("https://klasma.github.io/Logging_2085/kartor/A 55399-2025 karta.png", "A 55399-2025")</f>
        <v/>
      </c>
      <c r="Y84">
        <f>HYPERLINK("https://klasma.github.io/Logging_2085/kartor_geotiff/A 55399-2025 georefererad karta.tif", "A 55399-2025")</f>
        <v/>
      </c>
      <c r="AA84">
        <f>HYPERLINK("https://klasma.github.io/Logging_2085/klagomål/A 55399-2025 FSC-klagomål.docx", "A 55399-2025")</f>
        <v/>
      </c>
      <c r="AB84">
        <f>HYPERLINK("https://klasma.github.io/Logging_2085/klagomålsmail/A 55399-2025 FSC-klagomål mail.docx", "A 55399-2025")</f>
        <v/>
      </c>
      <c r="AC84">
        <f>HYPERLINK("https://klasma.github.io/Logging_2085/tillsyn/A 55399-2025 tillsynsbegäran.docx", "A 55399-2025")</f>
        <v/>
      </c>
      <c r="AD84">
        <f>HYPERLINK("https://klasma.github.io/Logging_2085/tillsynsmail/A 55399-2025 tillsynsbegäran mail.docx", "A 55399-2025")</f>
        <v/>
      </c>
      <c r="AE84">
        <f>HYPERLINK("https://klasma.github.io/Logging_2085/fåglar/A 55399-2025 prioriterade fågelarter.docx", "A 55399-2025")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46289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24426-2026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46168</v>
      </c>
      <c r="E86" s="1" t="n">
        <v>46289</v>
      </c>
      <c r="F86" t="inlineStr">
        <is>
          <t>DALARNAS LÄN</t>
        </is>
      </c>
      <c r="G86" t="inlineStr">
        <is>
          <t>LUDVIKA</t>
        </is>
      </c>
      <c r="H86" t="inlineStr">
        <is>
          <t>Övriga Aktiebolag</t>
        </is>
      </c>
      <c r="I86" t="n">
        <v>12.4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Spillkråka
Sälg</t>
        </is>
      </c>
      <c r="W86">
        <f>HYPERLINK("https://klasma.github.io/Logging_2085/artfynd/A 24426-2026 artfynd.xlsx", "A 24426-2026")</f>
        <v/>
      </c>
      <c r="X86">
        <f>HYPERLINK("https://klasma.github.io/Logging_2085/kartor/A 24426-2026 karta.png", "A 24426-2026")</f>
        <v/>
      </c>
      <c r="Y86">
        <f>HYPERLINK("https://klasma.github.io/Logging_2085/kartor_geotiff/A 24426-2026 georefererad karta.tif", "A 24426-2026")</f>
        <v/>
      </c>
      <c r="AA86">
        <f>HYPERLINK("https://klasma.github.io/Logging_2085/klagomål/A 24426-2026 FSC-klagomål.docx", "A 24426-2026")</f>
        <v/>
      </c>
      <c r="AB86">
        <f>HYPERLINK("https://klasma.github.io/Logging_2085/klagomålsmail/A 24426-2026 FSC-klagomål mail.docx", "A 24426-2026")</f>
        <v/>
      </c>
      <c r="AC86">
        <f>HYPERLINK("https://klasma.github.io/Logging_2085/tillsyn/A 24426-2026 tillsynsbegäran.docx", "A 24426-2026")</f>
        <v/>
      </c>
      <c r="AD86">
        <f>HYPERLINK("https://klasma.github.io/Logging_2085/tillsynsmail/A 24426-2026 tillsynsbegäran mail.docx", "A 24426-2026")</f>
        <v/>
      </c>
      <c r="AE86">
        <f>HYPERLINK("https://klasma.github.io/Logging_2085/fåglar/A 24426-2026 prioriterade fågelarter.docx", "A 24426-2026")</f>
        <v/>
      </c>
    </row>
    <row r="87" ht="15" customHeight="1">
      <c r="A87" t="inlineStr">
        <is>
          <t>A 8202-2025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46289</v>
      </c>
      <c r="F87" t="inlineStr">
        <is>
          <t>DALARNAS LÄN</t>
        </is>
      </c>
      <c r="G87" t="inlineStr">
        <is>
          <t>LUDVIKA</t>
        </is>
      </c>
      <c r="I87" t="n">
        <v>6.4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7</v>
      </c>
      <c r="U87" t="n">
        <v>7</v>
      </c>
      <c r="V87" s="2" t="inlineStr">
        <is>
          <t>Tretåig hackspett
Spillkråka</t>
        </is>
      </c>
      <c r="W87">
        <f>HYPERLINK("https://klasma.github.io/Logging_2085/artfynd/A 8202-2025 artfynd.xlsx", "A 8202-2025")</f>
        <v/>
      </c>
      <c r="X87">
        <f>HYPERLINK("https://klasma.github.io/Logging_2085/kartor/A 8202-2025 karta.png", "A 8202-2025")</f>
        <v/>
      </c>
      <c r="Y87">
        <f>HYPERLINK("https://klasma.github.io/Logging_2085/kartor_geotiff/A 8202-2025 georefererad karta.tif", "A 8202-2025")</f>
        <v/>
      </c>
      <c r="AA87">
        <f>HYPERLINK("https://klasma.github.io/Logging_2085/klagomål/A 8202-2025 FSC-klagomål.docx", "A 8202-2025")</f>
        <v/>
      </c>
      <c r="AB87">
        <f>HYPERLINK("https://klasma.github.io/Logging_2085/klagomålsmail/A 8202-2025 FSC-klagomål mail.docx", "A 8202-2025")</f>
        <v/>
      </c>
      <c r="AC87">
        <f>HYPERLINK("https://klasma.github.io/Logging_2085/tillsyn/A 8202-2025 tillsynsbegäran.docx", "A 8202-2025")</f>
        <v/>
      </c>
      <c r="AD87">
        <f>HYPERLINK("https://klasma.github.io/Logging_2085/tillsynsmail/A 8202-2025 tillsynsbegäran mail.docx", "A 8202-2025")</f>
        <v/>
      </c>
      <c r="AE87">
        <f>HYPERLINK("https://klasma.github.io/Logging_2085/fåglar/A 8202-2025 prioriterade fågelarter.docx", "A 8202-2025")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46289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46289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46289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46289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46289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46289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44578-2023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45189</v>
      </c>
      <c r="E94" s="1" t="n">
        <v>46289</v>
      </c>
      <c r="F94" t="inlineStr">
        <is>
          <t>DALARNAS LÄN</t>
        </is>
      </c>
      <c r="G94" t="inlineStr">
        <is>
          <t>LUDVIKA</t>
        </is>
      </c>
      <c r="H94" t="inlineStr">
        <is>
          <t>Övriga Aktiebolag</t>
        </is>
      </c>
      <c r="I94" t="n">
        <v>12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Dofttaggsvamp</t>
        </is>
      </c>
      <c r="W94">
        <f>HYPERLINK("https://klasma.github.io/Logging_2085/artfynd/A 44578-2023 artfynd.xlsx", "A 44578-2023")</f>
        <v/>
      </c>
      <c r="X94">
        <f>HYPERLINK("https://klasma.github.io/Logging_2085/kartor/A 44578-2023 karta.png", "A 44578-2023")</f>
        <v/>
      </c>
      <c r="Y94">
        <f>HYPERLINK("https://klasma.github.io/Logging_2085/kartor_geotiff/A 44578-2023 georefererad karta.tif", "A 44578-2023")</f>
        <v/>
      </c>
      <c r="AA94">
        <f>HYPERLINK("https://klasma.github.io/Logging_2085/klagomål/A 44578-2023 FSC-klagomål.docx", "A 44578-2023")</f>
        <v/>
      </c>
      <c r="AB94">
        <f>HYPERLINK("https://klasma.github.io/Logging_2085/klagomålsmail/A 44578-2023 FSC-klagomål mail.docx", "A 44578-2023")</f>
        <v/>
      </c>
      <c r="AC94">
        <f>HYPERLINK("https://klasma.github.io/Logging_2085/tillsyn/A 44578-2023 tillsynsbegäran.docx", "A 44578-2023")</f>
        <v/>
      </c>
      <c r="AD94">
        <f>HYPERLINK("https://klasma.github.io/Logging_2085/tillsynsmail/A 44578-2023 tillsynsbegäran mail.docx", "A 44578-2023")</f>
        <v/>
      </c>
    </row>
    <row r="95" ht="15" customHeight="1">
      <c r="A95" t="inlineStr">
        <is>
          <t>A 29882-2024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45486</v>
      </c>
      <c r="E95" s="1" t="n">
        <v>46289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HYPERLINK("https://klasma.github.io/Logging_2085/artfynd/A 29882-2024 artfynd.xlsx", "A 29882-2024")</f>
        <v/>
      </c>
      <c r="X95">
        <f>HYPERLINK("https://klasma.github.io/Logging_2085/kartor/A 29882-2024 karta.png", "A 29882-2024")</f>
        <v/>
      </c>
      <c r="Y95">
        <f>HYPERLINK("https://klasma.github.io/Logging_2085/kartor_geotiff/A 29882-2024 georefererad karta.tif", "A 29882-2024")</f>
        <v/>
      </c>
      <c r="AA95">
        <f>HYPERLINK("https://klasma.github.io/Logging_2085/klagomål/A 29882-2024 FSC-klagomål.docx", "A 29882-2024")</f>
        <v/>
      </c>
      <c r="AB95">
        <f>HYPERLINK("https://klasma.github.io/Logging_2085/klagomålsmail/A 29882-2024 FSC-klagomål mail.docx", "A 29882-2024")</f>
        <v/>
      </c>
      <c r="AC95">
        <f>HYPERLINK("https://klasma.github.io/Logging_2085/tillsyn/A 29882-2024 tillsynsbegäran.docx", "A 29882-2024")</f>
        <v/>
      </c>
      <c r="AD95">
        <f>HYPERLINK("https://klasma.github.io/Logging_2085/tillsynsmail/A 29882-2024 tillsynsbegäran mail.docx", "A 29882-2024")</f>
        <v/>
      </c>
      <c r="AE95">
        <f>HYPERLINK("https://klasma.github.io/Logging_2085/fåglar/A 29882-2024 prioriterade fågelarter.docx", "A 29882-2024")</f>
        <v/>
      </c>
    </row>
    <row r="96" ht="15" customHeight="1">
      <c r="A96" t="inlineStr">
        <is>
          <t>A 23102-2025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46289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HYPERLINK("https://klasma.github.io/Logging_2085/artfynd/A 23102-2025 artfynd.xlsx", "A 23102-2025")</f>
        <v/>
      </c>
      <c r="X96">
        <f>HYPERLINK("https://klasma.github.io/Logging_2085/kartor/A 23102-2025 karta.png", "A 23102-2025")</f>
        <v/>
      </c>
      <c r="Y96">
        <f>HYPERLINK("https://klasma.github.io/Logging_2085/kartor_geotiff/A 23102-2025 georefererad karta.tif", "A 23102-2025")</f>
        <v/>
      </c>
      <c r="AA96">
        <f>HYPERLINK("https://klasma.github.io/Logging_2085/klagomål/A 23102-2025 FSC-klagomål.docx", "A 23102-2025")</f>
        <v/>
      </c>
      <c r="AB96">
        <f>HYPERLINK("https://klasma.github.io/Logging_2085/klagomålsmail/A 23102-2025 FSC-klagomål mail.docx", "A 23102-2025")</f>
        <v/>
      </c>
      <c r="AC96">
        <f>HYPERLINK("https://klasma.github.io/Logging_2085/tillsyn/A 23102-2025 tillsynsbegäran.docx", "A 23102-2025")</f>
        <v/>
      </c>
      <c r="AD96">
        <f>HYPERLINK("https://klasma.github.io/Logging_2085/tillsynsmail/A 23102-2025 tillsynsbegäran mail.docx", "A 23102-2025")</f>
        <v/>
      </c>
    </row>
    <row r="97" ht="15" customHeight="1">
      <c r="A97" t="inlineStr">
        <is>
          <t>A 62275-2022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46289</v>
      </c>
      <c r="F97" t="inlineStr">
        <is>
          <t>DALARNAS LÄN</t>
        </is>
      </c>
      <c r="G97" t="inlineStr">
        <is>
          <t>LUDVIKA</t>
        </is>
      </c>
      <c r="I97" t="n">
        <v>4.6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Knärot</t>
        </is>
      </c>
      <c r="W97">
        <f>HYPERLINK("https://klasma.github.io/Logging_2085/artfynd/A 62275-2022 artfynd.xlsx", "A 62275-2022")</f>
        <v/>
      </c>
      <c r="X97">
        <f>HYPERLINK("https://klasma.github.io/Logging_2085/kartor/A 62275-2022 karta.png", "A 62275-2022")</f>
        <v/>
      </c>
      <c r="Y97">
        <f>HYPERLINK("https://klasma.github.io/Logging_2085/kartor_geotiff/A 62275-2022 georefererad karta.tif", "A 62275-2022")</f>
        <v/>
      </c>
      <c r="Z97">
        <f>HYPERLINK("https://klasma.github.io/Logging_2085/knärot/A 62275-2022 karta knärot.png", "A 62275-2022")</f>
        <v/>
      </c>
      <c r="AA97">
        <f>HYPERLINK("https://klasma.github.io/Logging_2085/klagomål/A 62275-2022 FSC-klagomål.docx", "A 62275-2022")</f>
        <v/>
      </c>
      <c r="AB97">
        <f>HYPERLINK("https://klasma.github.io/Logging_2085/klagomålsmail/A 62275-2022 FSC-klagomål mail.docx", "A 62275-2022")</f>
        <v/>
      </c>
      <c r="AC97">
        <f>HYPERLINK("https://klasma.github.io/Logging_2085/tillsyn/A 62275-2022 tillsynsbegäran.docx", "A 62275-2022")</f>
        <v/>
      </c>
      <c r="AD97">
        <f>HYPERLINK("https://klasma.github.io/Logging_2085/tillsynsmail/A 62275-2022 tillsynsbegäran mail.docx", "A 62275-2022")</f>
        <v/>
      </c>
    </row>
    <row r="98" ht="15" customHeight="1">
      <c r="A98" t="inlineStr">
        <is>
          <t>A 17987-2025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45761</v>
      </c>
      <c r="E98" s="1" t="n">
        <v>46289</v>
      </c>
      <c r="F98" t="inlineStr">
        <is>
          <t>DALARNAS LÄN</t>
        </is>
      </c>
      <c r="G98" t="inlineStr">
        <is>
          <t>LUDVIKA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Talltita</t>
        </is>
      </c>
      <c r="W98">
        <f>HYPERLINK("https://klasma.github.io/Logging_2085/artfynd/A 17987-2025 artfynd.xlsx", "A 17987-2025")</f>
        <v/>
      </c>
      <c r="X98">
        <f>HYPERLINK("https://klasma.github.io/Logging_2085/kartor/A 17987-2025 karta.png", "A 17987-2025")</f>
        <v/>
      </c>
      <c r="Y98">
        <f>HYPERLINK("https://klasma.github.io/Logging_2085/kartor_geotiff/A 17987-2025 georefererad karta.tif", "A 17987-2025")</f>
        <v/>
      </c>
      <c r="AA98">
        <f>HYPERLINK("https://klasma.github.io/Logging_2085/klagomål/A 17987-2025 FSC-klagomål.docx", "A 17987-2025")</f>
        <v/>
      </c>
      <c r="AB98">
        <f>HYPERLINK("https://klasma.github.io/Logging_2085/klagomålsmail/A 17987-2025 FSC-klagomål mail.docx", "A 17987-2025")</f>
        <v/>
      </c>
      <c r="AC98">
        <f>HYPERLINK("https://klasma.github.io/Logging_2085/tillsyn/A 17987-2025 tillsynsbegäran.docx", "A 17987-2025")</f>
        <v/>
      </c>
      <c r="AD98">
        <f>HYPERLINK("https://klasma.github.io/Logging_2085/tillsynsmail/A 17987-2025 tillsynsbegäran mail.docx", "A 17987-2025")</f>
        <v/>
      </c>
      <c r="AE98">
        <f>HYPERLINK("https://klasma.github.io/Logging_2085/fåglar/A 17987-2025 prioriterade fågelarter.docx", "A 17987-2025")</f>
        <v/>
      </c>
    </row>
    <row r="99" ht="15" customHeight="1">
      <c r="A99" t="inlineStr">
        <is>
          <t>A 25448-2024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45463</v>
      </c>
      <c r="E99" s="1" t="n">
        <v>46289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24.7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Blåsippa</t>
        </is>
      </c>
      <c r="W99">
        <f>HYPERLINK("https://klasma.github.io/Logging_2085/artfynd/A 25448-2024 artfynd.xlsx", "A 25448-2024")</f>
        <v/>
      </c>
      <c r="X99">
        <f>HYPERLINK("https://klasma.github.io/Logging_2085/kartor/A 25448-2024 karta.png", "A 25448-2024")</f>
        <v/>
      </c>
      <c r="Y99">
        <f>HYPERLINK("https://klasma.github.io/Logging_2085/kartor_geotiff/A 25448-2024 georefererad karta.tif", "A 25448-2024")</f>
        <v/>
      </c>
      <c r="AA99">
        <f>HYPERLINK("https://klasma.github.io/Logging_2085/klagomål/A 25448-2024 FSC-klagomål.docx", "A 25448-2024")</f>
        <v/>
      </c>
      <c r="AB99">
        <f>HYPERLINK("https://klasma.github.io/Logging_2085/klagomålsmail/A 25448-2024 FSC-klagomål mail.docx", "A 25448-2024")</f>
        <v/>
      </c>
      <c r="AC99">
        <f>HYPERLINK("https://klasma.github.io/Logging_2085/tillsyn/A 25448-2024 tillsynsbegäran.docx", "A 25448-2024")</f>
        <v/>
      </c>
      <c r="AD99">
        <f>HYPERLINK("https://klasma.github.io/Logging_2085/tillsynsmail/A 25448-2024 tillsynsbegäran mail.docx", "A 25448-2024")</f>
        <v/>
      </c>
    </row>
    <row r="100" ht="15" customHeight="1">
      <c r="A100" t="inlineStr">
        <is>
          <t>A 25588-2023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46289</v>
      </c>
      <c r="F100" t="inlineStr">
        <is>
          <t>DALARNAS LÄN</t>
        </is>
      </c>
      <c r="G100" t="inlineStr">
        <is>
          <t>LUDVIKA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Garnlav</t>
        </is>
      </c>
      <c r="W100">
        <f>HYPERLINK("https://klasma.github.io/Logging_2085/artfynd/A 25588-2023 artfynd.xlsx", "A 25588-2023")</f>
        <v/>
      </c>
      <c r="X100">
        <f>HYPERLINK("https://klasma.github.io/Logging_2085/kartor/A 25588-2023 karta.png", "A 25588-2023")</f>
        <v/>
      </c>
      <c r="Y100">
        <f>HYPERLINK("https://klasma.github.io/Logging_2085/kartor_geotiff/A 25588-2023 georefererad karta.tif", "A 25588-2023")</f>
        <v/>
      </c>
      <c r="AA100">
        <f>HYPERLINK("https://klasma.github.io/Logging_2085/klagomål/A 25588-2023 FSC-klagomål.docx", "A 25588-2023")</f>
        <v/>
      </c>
      <c r="AB100">
        <f>HYPERLINK("https://klasma.github.io/Logging_2085/klagomålsmail/A 25588-2023 FSC-klagomål mail.docx", "A 25588-2023")</f>
        <v/>
      </c>
      <c r="AC100">
        <f>HYPERLINK("https://klasma.github.io/Logging_2085/tillsyn/A 25588-2023 tillsynsbegäran.docx", "A 25588-2023")</f>
        <v/>
      </c>
      <c r="AD100">
        <f>HYPERLINK("https://klasma.github.io/Logging_2085/tillsynsmail/A 25588-2023 tillsynsbegäran mail.docx", "A 25588-2023")</f>
        <v/>
      </c>
    </row>
    <row r="101" ht="15" customHeight="1">
      <c r="A101" t="inlineStr">
        <is>
          <t>A 12093-2023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46289</v>
      </c>
      <c r="F101" t="inlineStr">
        <is>
          <t>DALARNAS LÄN</t>
        </is>
      </c>
      <c r="G101" t="inlineStr">
        <is>
          <t>LUDVIKA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Bitter taggsvamp</t>
        </is>
      </c>
      <c r="W101">
        <f>HYPERLINK("https://klasma.github.io/Logging_2085/artfynd/A 12093-2023 artfynd.xlsx", "A 12093-2023")</f>
        <v/>
      </c>
      <c r="X101">
        <f>HYPERLINK("https://klasma.github.io/Logging_2085/kartor/A 12093-2023 karta.png", "A 12093-2023")</f>
        <v/>
      </c>
      <c r="Y101">
        <f>HYPERLINK("https://klasma.github.io/Logging_2085/kartor_geotiff/A 12093-2023 georefererad karta.tif", "A 12093-2023")</f>
        <v/>
      </c>
      <c r="AA101">
        <f>HYPERLINK("https://klasma.github.io/Logging_2085/klagomål/A 12093-2023 FSC-klagomål.docx", "A 12093-2023")</f>
        <v/>
      </c>
      <c r="AB101">
        <f>HYPERLINK("https://klasma.github.io/Logging_2085/klagomålsmail/A 12093-2023 FSC-klagomål mail.docx", "A 12093-2023")</f>
        <v/>
      </c>
      <c r="AC101">
        <f>HYPERLINK("https://klasma.github.io/Logging_2085/tillsyn/A 12093-2023 tillsynsbegäran.docx", "A 12093-2023")</f>
        <v/>
      </c>
      <c r="AD101">
        <f>HYPERLINK("https://klasma.github.io/Logging_2085/tillsynsmail/A 12093-2023 tillsynsbegäran mail.docx", "A 12093-2023")</f>
        <v/>
      </c>
    </row>
    <row r="102" ht="15" customHeight="1">
      <c r="A102" t="inlineStr">
        <is>
          <t>A 33560-2023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45131</v>
      </c>
      <c r="E102" s="1" t="n">
        <v>46289</v>
      </c>
      <c r="F102" t="inlineStr">
        <is>
          <t>DALARNAS LÄN</t>
        </is>
      </c>
      <c r="G102" t="inlineStr">
        <is>
          <t>LUDVIKA</t>
        </is>
      </c>
      <c r="I102" t="n">
        <v>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vattensalamander</t>
        </is>
      </c>
      <c r="W102">
        <f>HYPERLINK("https://klasma.github.io/Logging_2085/artfynd/A 33560-2023 artfynd.xlsx", "A 33560-2023")</f>
        <v/>
      </c>
      <c r="X102">
        <f>HYPERLINK("https://klasma.github.io/Logging_2085/kartor/A 33560-2023 karta.png", "A 33560-2023")</f>
        <v/>
      </c>
      <c r="Y102">
        <f>HYPERLINK("https://klasma.github.io/Logging_2085/kartor_geotiff/A 33560-2023 georefererad karta.tif", "A 33560-2023")</f>
        <v/>
      </c>
      <c r="AA102">
        <f>HYPERLINK("https://klasma.github.io/Logging_2085/klagomål/A 33560-2023 FSC-klagomål.docx", "A 33560-2023")</f>
        <v/>
      </c>
      <c r="AB102">
        <f>HYPERLINK("https://klasma.github.io/Logging_2085/klagomålsmail/A 33560-2023 FSC-klagomål mail.docx", "A 33560-2023")</f>
        <v/>
      </c>
      <c r="AC102">
        <f>HYPERLINK("https://klasma.github.io/Logging_2085/tillsyn/A 33560-2023 tillsynsbegäran.docx", "A 33560-2023")</f>
        <v/>
      </c>
      <c r="AD102">
        <f>HYPERLINK("https://klasma.github.io/Logging_2085/tillsynsmail/A 33560-2023 tillsynsbegäran mail.docx", "A 33560-2023")</f>
        <v/>
      </c>
    </row>
    <row r="103" ht="15" customHeight="1">
      <c r="A103" t="inlineStr">
        <is>
          <t>A 3687-2024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45321</v>
      </c>
      <c r="E103" s="1" t="n">
        <v>46289</v>
      </c>
      <c r="F103" t="inlineStr">
        <is>
          <t>DALARNAS LÄN</t>
        </is>
      </c>
      <c r="G103" t="inlineStr">
        <is>
          <t>LUDVIKA</t>
        </is>
      </c>
      <c r="I103" t="n">
        <v>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Nordfladdermus</t>
        </is>
      </c>
      <c r="W103">
        <f>HYPERLINK("https://klasma.github.io/Logging_2085/artfynd/A 3687-2024 artfynd.xlsx", "A 3687-2024")</f>
        <v/>
      </c>
      <c r="X103">
        <f>HYPERLINK("https://klasma.github.io/Logging_2085/kartor/A 3687-2024 karta.png", "A 3687-2024")</f>
        <v/>
      </c>
      <c r="Y103">
        <f>HYPERLINK("https://klasma.github.io/Logging_2085/kartor_geotiff/A 3687-2024 georefererad karta.tif", "A 3687-2024")</f>
        <v/>
      </c>
      <c r="AA103">
        <f>HYPERLINK("https://klasma.github.io/Logging_2085/klagomål/A 3687-2024 FSC-klagomål.docx", "A 3687-2024")</f>
        <v/>
      </c>
      <c r="AB103">
        <f>HYPERLINK("https://klasma.github.io/Logging_2085/klagomålsmail/A 3687-2024 FSC-klagomål mail.docx", "A 3687-2024")</f>
        <v/>
      </c>
      <c r="AC103">
        <f>HYPERLINK("https://klasma.github.io/Logging_2085/tillsyn/A 3687-2024 tillsynsbegäran.docx", "A 3687-2024")</f>
        <v/>
      </c>
      <c r="AD103">
        <f>HYPERLINK("https://klasma.github.io/Logging_2085/tillsynsmail/A 3687-2024 tillsynsbegäran mail.docx", "A 3687-2024")</f>
        <v/>
      </c>
    </row>
    <row r="104" ht="15" customHeight="1">
      <c r="A104" t="inlineStr">
        <is>
          <t>A 56119-2021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44477</v>
      </c>
      <c r="E104" s="1" t="n">
        <v>46289</v>
      </c>
      <c r="F104" t="inlineStr">
        <is>
          <t>DALARNAS LÄN</t>
        </is>
      </c>
      <c r="G104" t="inlineStr">
        <is>
          <t>LUDVIKA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HYPERLINK("https://klasma.github.io/Logging_2085/artfynd/A 56119-2021 artfynd.xlsx", "A 56119-2021")</f>
        <v/>
      </c>
      <c r="X104">
        <f>HYPERLINK("https://klasma.github.io/Logging_2085/kartor/A 56119-2021 karta.png", "A 56119-2021")</f>
        <v/>
      </c>
      <c r="Y104">
        <f>HYPERLINK("https://klasma.github.io/Logging_2085/kartor_geotiff/A 56119-2021 georefererad karta.tif", "A 56119-2021")</f>
        <v/>
      </c>
      <c r="AA104">
        <f>HYPERLINK("https://klasma.github.io/Logging_2085/klagomål/A 56119-2021 FSC-klagomål.docx", "A 56119-2021")</f>
        <v/>
      </c>
      <c r="AB104">
        <f>HYPERLINK("https://klasma.github.io/Logging_2085/klagomålsmail/A 56119-2021 FSC-klagomål mail.docx", "A 56119-2021")</f>
        <v/>
      </c>
      <c r="AC104">
        <f>HYPERLINK("https://klasma.github.io/Logging_2085/tillsyn/A 56119-2021 tillsynsbegäran.docx", "A 56119-2021")</f>
        <v/>
      </c>
      <c r="AD104">
        <f>HYPERLINK("https://klasma.github.io/Logging_2085/tillsynsmail/A 56119-2021 tillsynsbegäran mail.docx", "A 56119-2021")</f>
        <v/>
      </c>
    </row>
    <row r="105" ht="15" customHeight="1">
      <c r="A105" t="inlineStr">
        <is>
          <t>A 45791-2025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46289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Vitfläckig guldvinge</t>
        </is>
      </c>
      <c r="W105">
        <f>HYPERLINK("https://klasma.github.io/Logging_2085/artfynd/A 45791-2025 artfynd.xlsx", "A 45791-2025")</f>
        <v/>
      </c>
      <c r="X105">
        <f>HYPERLINK("https://klasma.github.io/Logging_2085/kartor/A 45791-2025 karta.png", "A 45791-2025")</f>
        <v/>
      </c>
      <c r="Y105">
        <f>HYPERLINK("https://klasma.github.io/Logging_2085/kartor_geotiff/A 45791-2025 georefererad karta.tif", "A 45791-2025")</f>
        <v/>
      </c>
      <c r="AA105">
        <f>HYPERLINK("https://klasma.github.io/Logging_2085/klagomål/A 45791-2025 FSC-klagomål.docx", "A 45791-2025")</f>
        <v/>
      </c>
      <c r="AB105">
        <f>HYPERLINK("https://klasma.github.io/Logging_2085/klagomålsmail/A 45791-2025 FSC-klagomål mail.docx", "A 45791-2025")</f>
        <v/>
      </c>
      <c r="AC105">
        <f>HYPERLINK("https://klasma.github.io/Logging_2085/tillsyn/A 45791-2025 tillsynsbegäran.docx", "A 45791-2025")</f>
        <v/>
      </c>
      <c r="AD105">
        <f>HYPERLINK("https://klasma.github.io/Logging_2085/tillsynsmail/A 45791-2025 tillsynsbegäran mail.docx", "A 45791-2025")</f>
        <v/>
      </c>
    </row>
    <row r="106" ht="15" customHeight="1">
      <c r="A106" t="inlineStr">
        <is>
          <t>A 45858-2025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46289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Granbarkgnagare</t>
        </is>
      </c>
      <c r="W106">
        <f>HYPERLINK("https://klasma.github.io/Logging_2085/artfynd/A 45858-2025 artfynd.xlsx", "A 45858-2025")</f>
        <v/>
      </c>
      <c r="X106">
        <f>HYPERLINK("https://klasma.github.io/Logging_2085/kartor/A 45858-2025 karta.png", "A 45858-2025")</f>
        <v/>
      </c>
      <c r="Y106">
        <f>HYPERLINK("https://klasma.github.io/Logging_2085/kartor_geotiff/A 45858-2025 georefererad karta.tif", "A 45858-2025")</f>
        <v/>
      </c>
      <c r="AA106">
        <f>HYPERLINK("https://klasma.github.io/Logging_2085/klagomål/A 45858-2025 FSC-klagomål.docx", "A 45858-2025")</f>
        <v/>
      </c>
      <c r="AB106">
        <f>HYPERLINK("https://klasma.github.io/Logging_2085/klagomålsmail/A 45858-2025 FSC-klagomål mail.docx", "A 45858-2025")</f>
        <v/>
      </c>
      <c r="AC106">
        <f>HYPERLINK("https://klasma.github.io/Logging_2085/tillsyn/A 45858-2025 tillsynsbegäran.docx", "A 45858-2025")</f>
        <v/>
      </c>
      <c r="AD106">
        <f>HYPERLINK("https://klasma.github.io/Logging_2085/tillsynsmail/A 45858-2025 tillsynsbegäran mail.docx", "A 45858-2025")</f>
        <v/>
      </c>
    </row>
    <row r="107" ht="15" customHeight="1">
      <c r="A107" t="inlineStr">
        <is>
          <t>A 55550-2022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46289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Ögonpyrola</t>
        </is>
      </c>
      <c r="W107">
        <f>HYPERLINK("https://klasma.github.io/Logging_2085/artfynd/A 55550-2022 artfynd.xlsx", "A 55550-2022")</f>
        <v/>
      </c>
      <c r="X107">
        <f>HYPERLINK("https://klasma.github.io/Logging_2085/kartor/A 55550-2022 karta.png", "A 55550-2022")</f>
        <v/>
      </c>
      <c r="Y107">
        <f>HYPERLINK("https://klasma.github.io/Logging_2085/kartor_geotiff/A 55550-2022 georefererad karta.tif", "A 55550-2022")</f>
        <v/>
      </c>
      <c r="AA107">
        <f>HYPERLINK("https://klasma.github.io/Logging_2085/klagomål/A 55550-2022 FSC-klagomål.docx", "A 55550-2022")</f>
        <v/>
      </c>
      <c r="AB107">
        <f>HYPERLINK("https://klasma.github.io/Logging_2085/klagomålsmail/A 55550-2022 FSC-klagomål mail.docx", "A 55550-2022")</f>
        <v/>
      </c>
      <c r="AC107">
        <f>HYPERLINK("https://klasma.github.io/Logging_2085/tillsyn/A 55550-2022 tillsynsbegäran.docx", "A 55550-2022")</f>
        <v/>
      </c>
      <c r="AD107">
        <f>HYPERLINK("https://klasma.github.io/Logging_2085/tillsynsmail/A 55550-2022 tillsynsbegäran mail.docx", "A 55550-2022")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46289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46289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400-2023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44929</v>
      </c>
      <c r="E110" s="1" t="n">
        <v>46289</v>
      </c>
      <c r="F110" t="inlineStr">
        <is>
          <t>DALARNAS LÄN</t>
        </is>
      </c>
      <c r="G110" t="inlineStr">
        <is>
          <t>LUDVIKA</t>
        </is>
      </c>
      <c r="I110" t="n">
        <v>3.6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400-2023 artfynd.xlsx", "A 400-2023")</f>
        <v/>
      </c>
      <c r="X110">
        <f>HYPERLINK("https://klasma.github.io/Logging_2085/kartor/A 400-2023 karta.png", "A 400-2023")</f>
        <v/>
      </c>
      <c r="Y110">
        <f>HYPERLINK("https://klasma.github.io/Logging_2085/kartor_geotiff/A 400-2023 georefererad karta.tif", "A 400-2023")</f>
        <v/>
      </c>
      <c r="AA110">
        <f>HYPERLINK("https://klasma.github.io/Logging_2085/klagomål/A 400-2023 FSC-klagomål.docx", "A 400-2023")</f>
        <v/>
      </c>
      <c r="AB110">
        <f>HYPERLINK("https://klasma.github.io/Logging_2085/klagomålsmail/A 400-2023 FSC-klagomål mail.docx", "A 400-2023")</f>
        <v/>
      </c>
      <c r="AC110">
        <f>HYPERLINK("https://klasma.github.io/Logging_2085/tillsyn/A 400-2023 tillsynsbegäran.docx", "A 400-2023")</f>
        <v/>
      </c>
      <c r="AD110">
        <f>HYPERLINK("https://klasma.github.io/Logging_2085/tillsynsmail/A 400-2023 tillsynsbegäran mail.docx", "A 400-2023")</f>
        <v/>
      </c>
    </row>
    <row r="111" ht="15" customHeight="1">
      <c r="A111" t="inlineStr">
        <is>
          <t>A 31478-2023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45114</v>
      </c>
      <c r="E111" s="1" t="n">
        <v>46289</v>
      </c>
      <c r="F111" t="inlineStr">
        <is>
          <t>DALARNAS LÄN</t>
        </is>
      </c>
      <c r="G111" t="inlineStr">
        <is>
          <t>LUDVIKA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HYPERLINK("https://klasma.github.io/Logging_2085/artfynd/A 31478-2023 artfynd.xlsx", "A 31478-2023")</f>
        <v/>
      </c>
      <c r="X111">
        <f>HYPERLINK("https://klasma.github.io/Logging_2085/kartor/A 31478-2023 karta.png", "A 31478-2023")</f>
        <v/>
      </c>
      <c r="Y111">
        <f>HYPERLINK("https://klasma.github.io/Logging_2085/kartor_geotiff/A 31478-2023 georefererad karta.tif", "A 31478-2023")</f>
        <v/>
      </c>
      <c r="AA111">
        <f>HYPERLINK("https://klasma.github.io/Logging_2085/klagomål/A 31478-2023 FSC-klagomål.docx", "A 31478-2023")</f>
        <v/>
      </c>
      <c r="AB111">
        <f>HYPERLINK("https://klasma.github.io/Logging_2085/klagomålsmail/A 31478-2023 FSC-klagomål mail.docx", "A 31478-2023")</f>
        <v/>
      </c>
      <c r="AC111">
        <f>HYPERLINK("https://klasma.github.io/Logging_2085/tillsyn/A 31478-2023 tillsynsbegäran.docx", "A 31478-2023")</f>
        <v/>
      </c>
      <c r="AD111">
        <f>HYPERLINK("https://klasma.github.io/Logging_2085/tillsynsmail/A 31478-2023 tillsynsbegäran mail.docx", "A 31478-2023")</f>
        <v/>
      </c>
    </row>
    <row r="112" ht="15" customHeight="1">
      <c r="A112" t="inlineStr">
        <is>
          <t>A 21499-2022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44706</v>
      </c>
      <c r="E112" s="1" t="n">
        <v>46289</v>
      </c>
      <c r="F112" t="inlineStr">
        <is>
          <t>DALARNAS LÄN</t>
        </is>
      </c>
      <c r="G112" t="inlineStr">
        <is>
          <t>LUDVIKA</t>
        </is>
      </c>
      <c r="I112" t="n">
        <v>4.3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Strimspindling</t>
        </is>
      </c>
      <c r="W112">
        <f>HYPERLINK("https://klasma.github.io/Logging_2085/artfynd/A 21499-2022 artfynd.xlsx", "A 21499-2022")</f>
        <v/>
      </c>
      <c r="X112">
        <f>HYPERLINK("https://klasma.github.io/Logging_2085/kartor/A 21499-2022 karta.png", "A 21499-2022")</f>
        <v/>
      </c>
      <c r="Y112">
        <f>HYPERLINK("https://klasma.github.io/Logging_2085/kartor_geotiff/A 21499-2022 georefererad karta.tif", "A 21499-2022")</f>
        <v/>
      </c>
      <c r="AA112">
        <f>HYPERLINK("https://klasma.github.io/Logging_2085/klagomål/A 21499-2022 FSC-klagomål.docx", "A 21499-2022")</f>
        <v/>
      </c>
      <c r="AB112">
        <f>HYPERLINK("https://klasma.github.io/Logging_2085/klagomålsmail/A 21499-2022 FSC-klagomål mail.docx", "A 21499-2022")</f>
        <v/>
      </c>
      <c r="AC112">
        <f>HYPERLINK("https://klasma.github.io/Logging_2085/tillsyn/A 21499-2022 tillsynsbegäran.docx", "A 21499-2022")</f>
        <v/>
      </c>
      <c r="AD112">
        <f>HYPERLINK("https://klasma.github.io/Logging_2085/tillsynsmail/A 21499-2022 tillsynsbegäran mail.docx", "A 21499-2022")</f>
        <v/>
      </c>
    </row>
    <row r="113" ht="15" customHeight="1">
      <c r="A113" t="inlineStr">
        <is>
          <t>A 6579-2023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44960</v>
      </c>
      <c r="E113" s="1" t="n">
        <v>46289</v>
      </c>
      <c r="F113" t="inlineStr">
        <is>
          <t>DALARNAS LÄN</t>
        </is>
      </c>
      <c r="G113" t="inlineStr">
        <is>
          <t>LUDVIKA</t>
        </is>
      </c>
      <c r="I113" t="n">
        <v>3.4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HYPERLINK("https://klasma.github.io/Logging_2085/artfynd/A 6579-2023 artfynd.xlsx", "A 6579-2023")</f>
        <v/>
      </c>
      <c r="X113">
        <f>HYPERLINK("https://klasma.github.io/Logging_2085/kartor/A 6579-2023 karta.png", "A 6579-2023")</f>
        <v/>
      </c>
      <c r="Y113">
        <f>HYPERLINK("https://klasma.github.io/Logging_2085/kartor_geotiff/A 6579-2023 georefererad karta.tif", "A 6579-2023")</f>
        <v/>
      </c>
      <c r="AA113">
        <f>HYPERLINK("https://klasma.github.io/Logging_2085/klagomål/A 6579-2023 FSC-klagomål.docx", "A 6579-2023")</f>
        <v/>
      </c>
      <c r="AB113">
        <f>HYPERLINK("https://klasma.github.io/Logging_2085/klagomålsmail/A 6579-2023 FSC-klagomål mail.docx", "A 6579-2023")</f>
        <v/>
      </c>
      <c r="AC113">
        <f>HYPERLINK("https://klasma.github.io/Logging_2085/tillsyn/A 6579-2023 tillsynsbegäran.docx", "A 6579-2023")</f>
        <v/>
      </c>
      <c r="AD113">
        <f>HYPERLINK("https://klasma.github.io/Logging_2085/tillsynsmail/A 6579-2023 tillsynsbegäran mail.docx", "A 6579-2023")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46289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62676-2025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46289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4.2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HYPERLINK("https://klasma.github.io/Logging_2085/artfynd/A 62676-2025 artfynd.xlsx", "A 62676-2025")</f>
        <v/>
      </c>
      <c r="X115">
        <f>HYPERLINK("https://klasma.github.io/Logging_2085/kartor/A 62676-2025 karta.png", "A 62676-2025")</f>
        <v/>
      </c>
      <c r="Y115">
        <f>HYPERLINK("https://klasma.github.io/Logging_2085/kartor_geotiff/A 62676-2025 georefererad karta.tif", "A 62676-2025")</f>
        <v/>
      </c>
      <c r="AA115">
        <f>HYPERLINK("https://klasma.github.io/Logging_2085/klagomål/A 62676-2025 FSC-klagomål.docx", "A 62676-2025")</f>
        <v/>
      </c>
      <c r="AB115">
        <f>HYPERLINK("https://klasma.github.io/Logging_2085/klagomålsmail/A 62676-2025 FSC-klagomål mail.docx", "A 62676-2025")</f>
        <v/>
      </c>
      <c r="AC115">
        <f>HYPERLINK("https://klasma.github.io/Logging_2085/tillsyn/A 62676-2025 tillsynsbegäran.docx", "A 62676-2025")</f>
        <v/>
      </c>
      <c r="AD115">
        <f>HYPERLINK("https://klasma.github.io/Logging_2085/tillsynsmail/A 62676-2025 tillsynsbegäran mail.docx", "A 62676-2025")</f>
        <v/>
      </c>
    </row>
    <row r="116" ht="15" customHeight="1">
      <c r="A116" t="inlineStr">
        <is>
          <t>A 59947-2025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46289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HYPERLINK("https://klasma.github.io/Logging_2085/artfynd/A 59947-2025 artfynd.xlsx", "A 59947-2025")</f>
        <v/>
      </c>
      <c r="X116">
        <f>HYPERLINK("https://klasma.github.io/Logging_2085/kartor/A 59947-2025 karta.png", "A 59947-2025")</f>
        <v/>
      </c>
      <c r="Y116">
        <f>HYPERLINK("https://klasma.github.io/Logging_2085/kartor_geotiff/A 59947-2025 georefererad karta.tif", "A 59947-2025")</f>
        <v/>
      </c>
      <c r="AA116">
        <f>HYPERLINK("https://klasma.github.io/Logging_2085/klagomål/A 59947-2025 FSC-klagomål.docx", "A 59947-2025")</f>
        <v/>
      </c>
      <c r="AB116">
        <f>HYPERLINK("https://klasma.github.io/Logging_2085/klagomålsmail/A 59947-2025 FSC-klagomål mail.docx", "A 59947-2025")</f>
        <v/>
      </c>
      <c r="AC116">
        <f>HYPERLINK("https://klasma.github.io/Logging_2085/tillsyn/A 59947-2025 tillsynsbegäran.docx", "A 59947-2025")</f>
        <v/>
      </c>
      <c r="AD116">
        <f>HYPERLINK("https://klasma.github.io/Logging_2085/tillsynsmail/A 59947-2025 tillsynsbegäran mail.docx", "A 59947-2025")</f>
        <v/>
      </c>
      <c r="AE116">
        <f>HYPERLINK("https://klasma.github.io/Logging_2085/fåglar/A 59947-2025 prioriterade fågelarter.docx", "A 59947-2025")</f>
        <v/>
      </c>
    </row>
    <row r="117" ht="15" customHeight="1">
      <c r="A117" t="inlineStr">
        <is>
          <t>A 18189-2025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46289</v>
      </c>
      <c r="F117" t="inlineStr">
        <is>
          <t>DALARNAS LÄN</t>
        </is>
      </c>
      <c r="G117" t="inlineStr">
        <is>
          <t>LUDVIKA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Fläcknycklar</t>
        </is>
      </c>
      <c r="W117">
        <f>HYPERLINK("https://klasma.github.io/Logging_2085/artfynd/A 18189-2025 artfynd.xlsx", "A 18189-2025")</f>
        <v/>
      </c>
      <c r="X117">
        <f>HYPERLINK("https://klasma.github.io/Logging_2085/kartor/A 18189-2025 karta.png", "A 18189-2025")</f>
        <v/>
      </c>
      <c r="Y117">
        <f>HYPERLINK("https://klasma.github.io/Logging_2085/kartor_geotiff/A 18189-2025 georefererad karta.tif", "A 18189-2025")</f>
        <v/>
      </c>
      <c r="AA117">
        <f>HYPERLINK("https://klasma.github.io/Logging_2085/klagomål/A 18189-2025 FSC-klagomål.docx", "A 18189-2025")</f>
        <v/>
      </c>
      <c r="AB117">
        <f>HYPERLINK("https://klasma.github.io/Logging_2085/klagomålsmail/A 18189-2025 FSC-klagomål mail.docx", "A 18189-2025")</f>
        <v/>
      </c>
      <c r="AC117">
        <f>HYPERLINK("https://klasma.github.io/Logging_2085/tillsyn/A 18189-2025 tillsynsbegäran.docx", "A 18189-2025")</f>
        <v/>
      </c>
      <c r="AD117">
        <f>HYPERLINK("https://klasma.github.io/Logging_2085/tillsynsmail/A 18189-2025 tillsynsbegäran mail.docx", "A 18189-2025")</f>
        <v/>
      </c>
    </row>
    <row r="118" ht="15" customHeight="1">
      <c r="A118" t="inlineStr">
        <is>
          <t>A 29733-2025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46289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10.4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Stuplav</t>
        </is>
      </c>
      <c r="W118">
        <f>HYPERLINK("https://klasma.github.io/Logging_2085/artfynd/A 29733-2025 artfynd.xlsx", "A 29733-2025")</f>
        <v/>
      </c>
      <c r="X118">
        <f>HYPERLINK("https://klasma.github.io/Logging_2085/kartor/A 29733-2025 karta.png", "A 29733-2025")</f>
        <v/>
      </c>
      <c r="Y118">
        <f>HYPERLINK("https://klasma.github.io/Logging_2085/kartor_geotiff/A 29733-2025 georefererad karta.tif", "A 29733-2025")</f>
        <v/>
      </c>
      <c r="AA118">
        <f>HYPERLINK("https://klasma.github.io/Logging_2085/klagomål/A 29733-2025 FSC-klagomål.docx", "A 29733-2025")</f>
        <v/>
      </c>
      <c r="AB118">
        <f>HYPERLINK("https://klasma.github.io/Logging_2085/klagomålsmail/A 29733-2025 FSC-klagomål mail.docx", "A 29733-2025")</f>
        <v/>
      </c>
      <c r="AC118">
        <f>HYPERLINK("https://klasma.github.io/Logging_2085/tillsyn/A 29733-2025 tillsynsbegäran.docx", "A 29733-2025")</f>
        <v/>
      </c>
      <c r="AD118">
        <f>HYPERLINK("https://klasma.github.io/Logging_2085/tillsynsmail/A 29733-2025 tillsynsbegäran mail.docx", "A 29733-2025")</f>
        <v/>
      </c>
    </row>
    <row r="119" ht="15" customHeight="1">
      <c r="A119" t="inlineStr">
        <is>
          <t>A 74401-2021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44560</v>
      </c>
      <c r="E119" s="1" t="n">
        <v>46289</v>
      </c>
      <c r="F119" t="inlineStr">
        <is>
          <t>DALARNAS LÄN</t>
        </is>
      </c>
      <c r="G119" t="inlineStr">
        <is>
          <t>LUDVIKA</t>
        </is>
      </c>
      <c r="H119" t="inlineStr">
        <is>
          <t>Kommuner</t>
        </is>
      </c>
      <c r="I119" t="n">
        <v>0.6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Gullgröppa</t>
        </is>
      </c>
      <c r="W119">
        <f>HYPERLINK("https://klasma.github.io/Logging_2085/artfynd/A 74401-2021 artfynd.xlsx", "A 74401-2021")</f>
        <v/>
      </c>
      <c r="X119">
        <f>HYPERLINK("https://klasma.github.io/Logging_2085/kartor/A 74401-2021 karta.png", "A 74401-2021")</f>
        <v/>
      </c>
      <c r="Y119">
        <f>HYPERLINK("https://klasma.github.io/Logging_2085/kartor_geotiff/A 74401-2021 georefererad karta.tif", "A 74401-2021")</f>
        <v/>
      </c>
      <c r="AA119">
        <f>HYPERLINK("https://klasma.github.io/Logging_2085/klagomål/A 74401-2021 FSC-klagomål.docx", "A 74401-2021")</f>
        <v/>
      </c>
      <c r="AB119">
        <f>HYPERLINK("https://klasma.github.io/Logging_2085/klagomålsmail/A 74401-2021 FSC-klagomål mail.docx", "A 74401-2021")</f>
        <v/>
      </c>
      <c r="AC119">
        <f>HYPERLINK("https://klasma.github.io/Logging_2085/tillsyn/A 74401-2021 tillsynsbegäran.docx", "A 74401-2021")</f>
        <v/>
      </c>
      <c r="AD119">
        <f>HYPERLINK("https://klasma.github.io/Logging_2085/tillsynsmail/A 74401-2021 tillsynsbegäran mail.docx", "A 74401-2021")</f>
        <v/>
      </c>
    </row>
    <row r="120" ht="15" customHeight="1">
      <c r="A120" t="inlineStr">
        <is>
          <t>A 51886-2022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46289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1.8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HYPERLINK("https://klasma.github.io/Logging_2085/artfynd/A 51886-2022 artfynd.xlsx", "A 51886-2022")</f>
        <v/>
      </c>
      <c r="X120">
        <f>HYPERLINK("https://klasma.github.io/Logging_2085/kartor/A 51886-2022 karta.png", "A 51886-2022")</f>
        <v/>
      </c>
      <c r="Y120">
        <f>HYPERLINK("https://klasma.github.io/Logging_2085/kartor_geotiff/A 51886-2022 georefererad karta.tif", "A 51886-2022")</f>
        <v/>
      </c>
      <c r="AA120">
        <f>HYPERLINK("https://klasma.github.io/Logging_2085/klagomål/A 51886-2022 FSC-klagomål.docx", "A 51886-2022")</f>
        <v/>
      </c>
      <c r="AB120">
        <f>HYPERLINK("https://klasma.github.io/Logging_2085/klagomålsmail/A 51886-2022 FSC-klagomål mail.docx", "A 51886-2022")</f>
        <v/>
      </c>
      <c r="AC120">
        <f>HYPERLINK("https://klasma.github.io/Logging_2085/tillsyn/A 51886-2022 tillsynsbegäran.docx", "A 51886-2022")</f>
        <v/>
      </c>
      <c r="AD120">
        <f>HYPERLINK("https://klasma.github.io/Logging_2085/tillsynsmail/A 51886-2022 tillsynsbegäran mail.docx", "A 51886-2022")</f>
        <v/>
      </c>
    </row>
    <row r="121" ht="15" customHeight="1">
      <c r="A121" t="inlineStr">
        <is>
          <t>A 1047-2023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46289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3.2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HYPERLINK("https://klasma.github.io/Logging_2085/artfynd/A 1047-2023 artfynd.xlsx", "A 1047-2023")</f>
        <v/>
      </c>
      <c r="X121">
        <f>HYPERLINK("https://klasma.github.io/Logging_2085/kartor/A 1047-2023 karta.png", "A 1047-2023")</f>
        <v/>
      </c>
      <c r="Y121">
        <f>HYPERLINK("https://klasma.github.io/Logging_2085/kartor_geotiff/A 1047-2023 georefererad karta.tif", "A 1047-2023")</f>
        <v/>
      </c>
      <c r="AA121">
        <f>HYPERLINK("https://klasma.github.io/Logging_2085/klagomål/A 1047-2023 FSC-klagomål.docx", "A 1047-2023")</f>
        <v/>
      </c>
      <c r="AB121">
        <f>HYPERLINK("https://klasma.github.io/Logging_2085/klagomålsmail/A 1047-2023 FSC-klagomål mail.docx", "A 1047-2023")</f>
        <v/>
      </c>
      <c r="AC121">
        <f>HYPERLINK("https://klasma.github.io/Logging_2085/tillsyn/A 1047-2023 tillsynsbegäran.docx", "A 1047-2023")</f>
        <v/>
      </c>
      <c r="AD121">
        <f>HYPERLINK("https://klasma.github.io/Logging_2085/tillsynsmail/A 1047-2023 tillsynsbegäran mail.docx", "A 1047-2023")</f>
        <v/>
      </c>
    </row>
    <row r="122" ht="15" customHeight="1">
      <c r="A122" t="inlineStr">
        <is>
          <t>A 21880-2026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46289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3.2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21880-2026 artfynd.xlsx", "A 21880-2026")</f>
        <v/>
      </c>
      <c r="X122">
        <f>HYPERLINK("https://klasma.github.io/Logging_2085/kartor/A 21880-2026 karta.png", "A 21880-2026")</f>
        <v/>
      </c>
      <c r="Y122">
        <f>HYPERLINK("https://klasma.github.io/Logging_2085/kartor_geotiff/A 21880-2026 georefererad karta.tif", "A 21880-2026")</f>
        <v/>
      </c>
      <c r="AA122">
        <f>HYPERLINK("https://klasma.github.io/Logging_2085/klagomål/A 21880-2026 FSC-klagomål.docx", "A 21880-2026")</f>
        <v/>
      </c>
      <c r="AB122">
        <f>HYPERLINK("https://klasma.github.io/Logging_2085/klagomålsmail/A 21880-2026 FSC-klagomål mail.docx", "A 21880-2026")</f>
        <v/>
      </c>
      <c r="AC122">
        <f>HYPERLINK("https://klasma.github.io/Logging_2085/tillsyn/A 21880-2026 tillsynsbegäran.docx", "A 21880-2026")</f>
        <v/>
      </c>
      <c r="AD122">
        <f>HYPERLINK("https://klasma.github.io/Logging_2085/tillsynsmail/A 21880-2026 tillsynsbegäran mail.docx", "A 21880-2026")</f>
        <v/>
      </c>
      <c r="AE122">
        <f>HYPERLINK("https://klasma.github.io/Logging_2085/fåglar/A 21880-2026 prioriterade fågelarter.docx", "A 21880-2026")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46289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46289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46289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46289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56655-2025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46289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8.5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56655-2025 artfynd.xlsx", "A 56655-2025")</f>
        <v/>
      </c>
      <c r="X127">
        <f>HYPERLINK("https://klasma.github.io/Logging_2085/kartor/A 56655-2025 karta.png", "A 56655-2025")</f>
        <v/>
      </c>
      <c r="Y127">
        <f>HYPERLINK("https://klasma.github.io/Logging_2085/kartor_geotiff/A 56655-2025 georefererad karta.tif", "A 56655-2025")</f>
        <v/>
      </c>
      <c r="AA127">
        <f>HYPERLINK("https://klasma.github.io/Logging_2085/klagomål/A 56655-2025 FSC-klagomål.docx", "A 56655-2025")</f>
        <v/>
      </c>
      <c r="AB127">
        <f>HYPERLINK("https://klasma.github.io/Logging_2085/klagomålsmail/A 56655-2025 FSC-klagomål mail.docx", "A 56655-2025")</f>
        <v/>
      </c>
      <c r="AC127">
        <f>HYPERLINK("https://klasma.github.io/Logging_2085/tillsyn/A 56655-2025 tillsynsbegäran.docx", "A 56655-2025")</f>
        <v/>
      </c>
      <c r="AD127">
        <f>HYPERLINK("https://klasma.github.io/Logging_2085/tillsynsmail/A 56655-2025 tillsynsbegäran mail.docx", "A 56655-2025")</f>
        <v/>
      </c>
      <c r="AE127">
        <f>HYPERLINK("https://klasma.github.io/Logging_2085/fåglar/A 56655-2025 prioriterade fågelarter.docx", "A 56655-2025")</f>
        <v/>
      </c>
    </row>
    <row r="128" ht="15" customHeight="1">
      <c r="A128" t="inlineStr">
        <is>
          <t>A 49660-2024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45596</v>
      </c>
      <c r="E128" s="1" t="n">
        <v>46289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husmossa</t>
        </is>
      </c>
      <c r="W128">
        <f>HYPERLINK("https://klasma.github.io/Logging_2085/artfynd/A 49660-2024 artfynd.xlsx", "A 49660-2024")</f>
        <v/>
      </c>
      <c r="X128">
        <f>HYPERLINK("https://klasma.github.io/Logging_2085/kartor/A 49660-2024 karta.png", "A 49660-2024")</f>
        <v/>
      </c>
      <c r="Y128">
        <f>HYPERLINK("https://klasma.github.io/Logging_2085/kartor_geotiff/A 49660-2024 georefererad karta.tif", "A 49660-2024")</f>
        <v/>
      </c>
      <c r="AA128">
        <f>HYPERLINK("https://klasma.github.io/Logging_2085/klagomål/A 49660-2024 FSC-klagomål.docx", "A 49660-2024")</f>
        <v/>
      </c>
      <c r="AB128">
        <f>HYPERLINK("https://klasma.github.io/Logging_2085/klagomålsmail/A 49660-2024 FSC-klagomål mail.docx", "A 49660-2024")</f>
        <v/>
      </c>
      <c r="AC128">
        <f>HYPERLINK("https://klasma.github.io/Logging_2085/tillsyn/A 49660-2024 tillsynsbegäran.docx", "A 49660-2024")</f>
        <v/>
      </c>
      <c r="AD128">
        <f>HYPERLINK("https://klasma.github.io/Logging_2085/tillsynsmail/A 49660-2024 tillsynsbegäran mail.docx", "A 49660-2024")</f>
        <v/>
      </c>
    </row>
    <row r="129" ht="15" customHeight="1">
      <c r="A129" t="inlineStr">
        <is>
          <t>A 60787-2024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46289</v>
      </c>
      <c r="F129" t="inlineStr">
        <is>
          <t>DALARNAS LÄN</t>
        </is>
      </c>
      <c r="G129" t="inlineStr">
        <is>
          <t>LUDVIKA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Järpe</t>
        </is>
      </c>
      <c r="W129">
        <f>HYPERLINK("https://klasma.github.io/Logging_2085/artfynd/A 60787-2024 artfynd.xlsx", "A 60787-2024")</f>
        <v/>
      </c>
      <c r="X129">
        <f>HYPERLINK("https://klasma.github.io/Logging_2085/kartor/A 60787-2024 karta.png", "A 60787-2024")</f>
        <v/>
      </c>
      <c r="Y129">
        <f>HYPERLINK("https://klasma.github.io/Logging_2085/kartor_geotiff/A 60787-2024 georefererad karta.tif", "A 60787-2024")</f>
        <v/>
      </c>
      <c r="AA129">
        <f>HYPERLINK("https://klasma.github.io/Logging_2085/klagomål/A 60787-2024 FSC-klagomål.docx", "A 60787-2024")</f>
        <v/>
      </c>
      <c r="AB129">
        <f>HYPERLINK("https://klasma.github.io/Logging_2085/klagomålsmail/A 60787-2024 FSC-klagomål mail.docx", "A 60787-2024")</f>
        <v/>
      </c>
      <c r="AC129">
        <f>HYPERLINK("https://klasma.github.io/Logging_2085/tillsyn/A 60787-2024 tillsynsbegäran.docx", "A 60787-2024")</f>
        <v/>
      </c>
      <c r="AD129">
        <f>HYPERLINK("https://klasma.github.io/Logging_2085/tillsynsmail/A 60787-2024 tillsynsbegäran mail.docx", "A 60787-2024")</f>
        <v/>
      </c>
      <c r="AE129">
        <f>HYPERLINK("https://klasma.github.io/Logging_2085/fåglar/A 60787-2024 prioriterade fågelarter.docx", "A 60787-2024")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46289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31352-2026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46289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HYPERLINK("https://klasma.github.io/Logging_2085/artfynd/A 31352-2026 artfynd.xlsx", "A 31352-2026")</f>
        <v/>
      </c>
      <c r="X131">
        <f>HYPERLINK("https://klasma.github.io/Logging_2085/kartor/A 31352-2026 karta.png", "A 31352-2026")</f>
        <v/>
      </c>
      <c r="Y131">
        <f>HYPERLINK("https://klasma.github.io/Logging_2085/kartor_geotiff/A 31352-2026 georefererad karta.tif", "A 31352-2026")</f>
        <v/>
      </c>
      <c r="AA131">
        <f>HYPERLINK("https://klasma.github.io/Logging_2085/klagomål/A 31352-2026 FSC-klagomål.docx", "A 31352-2026")</f>
        <v/>
      </c>
      <c r="AB131">
        <f>HYPERLINK("https://klasma.github.io/Logging_2085/klagomålsmail/A 31352-2026 FSC-klagomål mail.docx", "A 31352-2026")</f>
        <v/>
      </c>
      <c r="AC131">
        <f>HYPERLINK("https://klasma.github.io/Logging_2085/tillsyn/A 31352-2026 tillsynsbegäran.docx", "A 31352-2026")</f>
        <v/>
      </c>
      <c r="AD131">
        <f>HYPERLINK("https://klasma.github.io/Logging_2085/tillsynsmail/A 31352-2026 tillsynsbegäran mail.docx", "A 31352-2026")</f>
        <v/>
      </c>
    </row>
    <row r="132" ht="15" customHeight="1">
      <c r="A132" t="inlineStr">
        <is>
          <t>A 35652-2026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46289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HYPERLINK("https://klasma.github.io/Logging_2085/artfynd/A 35652-2026 artfynd.xlsx", "A 35652-2026")</f>
        <v/>
      </c>
      <c r="X132">
        <f>HYPERLINK("https://klasma.github.io/Logging_2085/kartor/A 35652-2026 karta.png", "A 35652-2026")</f>
        <v/>
      </c>
      <c r="Y132">
        <f>HYPERLINK("https://klasma.github.io/Logging_2085/kartor_geotiff/A 35652-2026 georefererad karta.tif", "A 35652-2026")</f>
        <v/>
      </c>
      <c r="AA132">
        <f>HYPERLINK("https://klasma.github.io/Logging_2085/klagomål/A 35652-2026 FSC-klagomål.docx", "A 35652-2026")</f>
        <v/>
      </c>
      <c r="AB132">
        <f>HYPERLINK("https://klasma.github.io/Logging_2085/klagomålsmail/A 35652-2026 FSC-klagomål mail.docx", "A 35652-2026")</f>
        <v/>
      </c>
      <c r="AC132">
        <f>HYPERLINK("https://klasma.github.io/Logging_2085/tillsyn/A 35652-2026 tillsynsbegäran.docx", "A 35652-2026")</f>
        <v/>
      </c>
      <c r="AD132">
        <f>HYPERLINK("https://klasma.github.io/Logging_2085/tillsynsmail/A 35652-2026 tillsynsbegäran mail.docx", "A 35652-2026")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46289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37560-2026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46276</v>
      </c>
      <c r="E134" s="1" t="n">
        <v>46289</v>
      </c>
      <c r="F134" t="inlineStr">
        <is>
          <t>DALARNAS LÄN</t>
        </is>
      </c>
      <c r="G134" t="inlineStr">
        <is>
          <t>LUDVIKA</t>
        </is>
      </c>
      <c r="H134" t="inlineStr">
        <is>
          <t>Naturvårdsverket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Motaggsvamp</t>
        </is>
      </c>
      <c r="W134">
        <f>HYPERLINK("https://klasma.github.io/Logging_2085/artfynd/A 37560-2026 artfynd.xlsx", "A 37560-2026")</f>
        <v/>
      </c>
      <c r="X134">
        <f>HYPERLINK("https://klasma.github.io/Logging_2085/kartor/A 37560-2026 karta.png", "A 37560-2026")</f>
        <v/>
      </c>
      <c r="Y134">
        <f>HYPERLINK("https://klasma.github.io/Logging_2085/kartor_geotiff/A 37560-2026 georefererad karta.tif", "A 37560-2026")</f>
        <v/>
      </c>
      <c r="AA134">
        <f>HYPERLINK("https://klasma.github.io/Logging_2085/klagomål/A 37560-2026 FSC-klagomål.docx", "A 37560-2026")</f>
        <v/>
      </c>
      <c r="AB134">
        <f>HYPERLINK("https://klasma.github.io/Logging_2085/klagomålsmail/A 37560-2026 FSC-klagomål mail.docx", "A 37560-2026")</f>
        <v/>
      </c>
      <c r="AC134">
        <f>HYPERLINK("https://klasma.github.io/Logging_2085/tillsyn/A 37560-2026 tillsynsbegäran.docx", "A 37560-2026")</f>
        <v/>
      </c>
      <c r="AD134">
        <f>HYPERLINK("https://klasma.github.io/Logging_2085/tillsynsmail/A 37560-2026 tillsynsbegäran mail.docx", "A 37560-2026")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46289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46289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46289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46289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46289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46289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46289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46289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46289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46289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46289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46289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46289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46289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46289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46289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46289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45568</v>
      </c>
      <c r="E152" s="1" t="n">
        <v>46289</v>
      </c>
      <c r="F152" t="inlineStr">
        <is>
          <t>DALARNAS LÄN</t>
        </is>
      </c>
      <c r="G152" t="inlineStr">
        <is>
          <t>LUDVIKA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46289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46289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44785</v>
      </c>
      <c r="E155" s="1" t="n">
        <v>46289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45609</v>
      </c>
      <c r="E156" s="1" t="n">
        <v>46289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46093-2024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46289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44729</v>
      </c>
      <c r="E158" s="1" t="n">
        <v>46289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46289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46289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46289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14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50240-2024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46289</v>
      </c>
      <c r="F162" t="inlineStr">
        <is>
          <t>DALARNAS LÄN</t>
        </is>
      </c>
      <c r="G162" t="inlineStr">
        <is>
          <t>LUDVIKA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45533</v>
      </c>
      <c r="E163" s="1" t="n">
        <v>46289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46289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46289</v>
      </c>
      <c r="F165" t="inlineStr">
        <is>
          <t>DALARNAS LÄN</t>
        </is>
      </c>
      <c r="G165" t="inlineStr">
        <is>
          <t>LUDVIKA</t>
        </is>
      </c>
      <c r="H165" t="inlineStr">
        <is>
          <t>Naturvårdsverket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44581</v>
      </c>
      <c r="E166" s="1" t="n">
        <v>46289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46289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46289</v>
      </c>
      <c r="F168" t="inlineStr">
        <is>
          <t>DALARNAS LÄN</t>
        </is>
      </c>
      <c r="G168" t="inlineStr">
        <is>
          <t>LUDVIKA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46289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46289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46289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44482</v>
      </c>
      <c r="E172" s="1" t="n">
        <v>46289</v>
      </c>
      <c r="F172" t="inlineStr">
        <is>
          <t>DALARNAS LÄN</t>
        </is>
      </c>
      <c r="G172" t="inlineStr">
        <is>
          <t>LUDVIKA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63267-2021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44508</v>
      </c>
      <c r="E173" s="1" t="n">
        <v>46289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46289</v>
      </c>
      <c r="F174" t="inlineStr">
        <is>
          <t>DALARNAS LÄN</t>
        </is>
      </c>
      <c r="G174" t="inlineStr">
        <is>
          <t>LUDVIKA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54279-2021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46289</v>
      </c>
      <c r="F175" t="inlineStr">
        <is>
          <t>DALARNAS LÄN</t>
        </is>
      </c>
      <c r="G175" t="inlineStr">
        <is>
          <t>LUDVIKA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44715</v>
      </c>
      <c r="E176" s="1" t="n">
        <v>46289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46289</v>
      </c>
      <c r="F177" t="inlineStr">
        <is>
          <t>DALARNAS LÄN</t>
        </is>
      </c>
      <c r="G177" t="inlineStr">
        <is>
          <t>LUDVIKA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45789</v>
      </c>
      <c r="E178" s="1" t="n">
        <v>46289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46289</v>
      </c>
      <c r="F179" t="inlineStr">
        <is>
          <t>DALARNAS LÄN</t>
        </is>
      </c>
      <c r="G179" t="inlineStr">
        <is>
          <t>LUDVIKA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46289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45762</v>
      </c>
      <c r="E181" s="1" t="n">
        <v>46289</v>
      </c>
      <c r="F181" t="inlineStr">
        <is>
          <t>DALARNAS LÄN</t>
        </is>
      </c>
      <c r="G181" t="inlineStr">
        <is>
          <t>LUDVIKA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41090-2022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46289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46289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46289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46289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46289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44826</v>
      </c>
      <c r="E187" s="1" t="n">
        <v>46289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45786</v>
      </c>
      <c r="E188" s="1" t="n">
        <v>46289</v>
      </c>
      <c r="F188" t="inlineStr">
        <is>
          <t>DALARNAS LÄN</t>
        </is>
      </c>
      <c r="G188" t="inlineStr">
        <is>
          <t>LUDVIKA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34845-2024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45526</v>
      </c>
      <c r="E189" s="1" t="n">
        <v>46289</v>
      </c>
      <c r="F189" t="inlineStr">
        <is>
          <t>DALARNAS LÄN</t>
        </is>
      </c>
      <c r="G189" t="inlineStr">
        <is>
          <t>LUDVIKA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46289</v>
      </c>
      <c r="F190" t="inlineStr">
        <is>
          <t>DALARNAS LÄN</t>
        </is>
      </c>
      <c r="G190" t="inlineStr">
        <is>
          <t>LUDVIKA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44859</v>
      </c>
      <c r="E191" s="1" t="n">
        <v>46289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45765</v>
      </c>
      <c r="E192" s="1" t="n">
        <v>46289</v>
      </c>
      <c r="F192" t="inlineStr">
        <is>
          <t>DALARNAS LÄN</t>
        </is>
      </c>
      <c r="G192" t="inlineStr">
        <is>
          <t>LUDVIKA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46289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11436-2024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45372</v>
      </c>
      <c r="E194" s="1" t="n">
        <v>46289</v>
      </c>
      <c r="F194" t="inlineStr">
        <is>
          <t>DALARNAS LÄN</t>
        </is>
      </c>
      <c r="G194" t="inlineStr">
        <is>
          <t>LUDVIKA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44916</v>
      </c>
      <c r="E195" s="1" t="n">
        <v>46289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46289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45453</v>
      </c>
      <c r="E197" s="1" t="n">
        <v>46289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30844-2024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45497</v>
      </c>
      <c r="E198" s="1" t="n">
        <v>46289</v>
      </c>
      <c r="F198" t="inlineStr">
        <is>
          <t>DALARNAS LÄN</t>
        </is>
      </c>
      <c r="G198" t="inlineStr">
        <is>
          <t>LUDVIKA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46289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46289</v>
      </c>
      <c r="F200" t="inlineStr">
        <is>
          <t>DALARNAS LÄN</t>
        </is>
      </c>
      <c r="G200" t="inlineStr">
        <is>
          <t>LUDVIKA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46289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46289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46289</v>
      </c>
      <c r="F203" t="inlineStr">
        <is>
          <t>DALARNAS LÄN</t>
        </is>
      </c>
      <c r="G203" t="inlineStr">
        <is>
          <t>LUDVIKA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46289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46289</v>
      </c>
      <c r="F205" t="inlineStr">
        <is>
          <t>DALARNAS LÄN</t>
        </is>
      </c>
      <c r="G205" t="inlineStr">
        <is>
          <t>LUDVIKA</t>
        </is>
      </c>
      <c r="I205" t="n">
        <v>13.1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46289</v>
      </c>
      <c r="F206" t="inlineStr">
        <is>
          <t>DALARNAS LÄN</t>
        </is>
      </c>
      <c r="G206" t="inlineStr">
        <is>
          <t>LUDVIKA</t>
        </is>
      </c>
      <c r="H206" t="inlineStr">
        <is>
          <t>Naturvårdsverket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46289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44730</v>
      </c>
      <c r="E208" s="1" t="n">
        <v>46289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46289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46289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46289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46289</v>
      </c>
      <c r="F212" t="inlineStr">
        <is>
          <t>DALARNAS LÄN</t>
        </is>
      </c>
      <c r="G212" t="inlineStr">
        <is>
          <t>LUDVIKA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30977-2024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45499</v>
      </c>
      <c r="E213" s="1" t="n">
        <v>46289</v>
      </c>
      <c r="F213" t="inlineStr">
        <is>
          <t>DALARNAS LÄN</t>
        </is>
      </c>
      <c r="G213" t="inlineStr">
        <is>
          <t>LUDVIKA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45537</v>
      </c>
      <c r="E214" s="1" t="n">
        <v>46289</v>
      </c>
      <c r="F214" t="inlineStr">
        <is>
          <t>DALARNAS LÄN</t>
        </is>
      </c>
      <c r="G214" t="inlineStr">
        <is>
          <t>LUDVIKA</t>
        </is>
      </c>
      <c r="H214" t="inlineStr">
        <is>
          <t>Övriga Aktiebolag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47496-2022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44853</v>
      </c>
      <c r="E215" s="1" t="n">
        <v>46289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31702-2023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45105</v>
      </c>
      <c r="E216" s="1" t="n">
        <v>46289</v>
      </c>
      <c r="F216" t="inlineStr">
        <is>
          <t>DALARNAS LÄN</t>
        </is>
      </c>
      <c r="G216" t="inlineStr">
        <is>
          <t>LUDVIKA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45119</v>
      </c>
      <c r="E217" s="1" t="n">
        <v>46289</v>
      </c>
      <c r="F217" t="inlineStr">
        <is>
          <t>DALARNAS LÄN</t>
        </is>
      </c>
      <c r="G217" t="inlineStr">
        <is>
          <t>LUDVIKA</t>
        </is>
      </c>
      <c r="H217" t="inlineStr">
        <is>
          <t>Naturvårdsverket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46289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46289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45776</v>
      </c>
      <c r="E220" s="1" t="n">
        <v>46289</v>
      </c>
      <c r="F220" t="inlineStr">
        <is>
          <t>DALARNAS LÄN</t>
        </is>
      </c>
      <c r="G220" t="inlineStr">
        <is>
          <t>LUDVIKA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46289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46289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32277-2024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45512</v>
      </c>
      <c r="E223" s="1" t="n">
        <v>46289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46289</v>
      </c>
      <c r="F224" t="inlineStr">
        <is>
          <t>DALARNAS LÄN</t>
        </is>
      </c>
      <c r="G224" t="inlineStr">
        <is>
          <t>LUDVIKA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46289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46289</v>
      </c>
      <c r="F226" t="inlineStr">
        <is>
          <t>DALARNAS LÄN</t>
        </is>
      </c>
      <c r="G226" t="inlineStr">
        <is>
          <t>LUDVIKA</t>
        </is>
      </c>
      <c r="H226" t="inlineStr">
        <is>
          <t>Naturvårdsverket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19677-2025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45770</v>
      </c>
      <c r="E227" s="1" t="n">
        <v>46289</v>
      </c>
      <c r="F227" t="inlineStr">
        <is>
          <t>DALARNAS LÄN</t>
        </is>
      </c>
      <c r="G227" t="inlineStr">
        <is>
          <t>LUDVIKA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45891</v>
      </c>
      <c r="E228" s="1" t="n">
        <v>46289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25235-2025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45800</v>
      </c>
      <c r="E229" s="1" t="n">
        <v>46289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46289</v>
      </c>
      <c r="F230" t="inlineStr">
        <is>
          <t>DALARNAS LÄN</t>
        </is>
      </c>
      <c r="G230" t="inlineStr">
        <is>
          <t>LUDVIKA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44883</v>
      </c>
      <c r="E231" s="1" t="n">
        <v>46289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46289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44852</v>
      </c>
      <c r="E233" s="1" t="n">
        <v>46289</v>
      </c>
      <c r="F233" t="inlineStr">
        <is>
          <t>DALARNAS LÄN</t>
        </is>
      </c>
      <c r="G233" t="inlineStr">
        <is>
          <t>LUDVIKA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46289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65104-2023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45288</v>
      </c>
      <c r="E235" s="1" t="n">
        <v>46289</v>
      </c>
      <c r="F235" t="inlineStr">
        <is>
          <t>DALARNAS LÄN</t>
        </is>
      </c>
      <c r="G235" t="inlineStr">
        <is>
          <t>LUDVIKA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8703-2023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44978</v>
      </c>
      <c r="E236" s="1" t="n">
        <v>46289</v>
      </c>
      <c r="F236" t="inlineStr">
        <is>
          <t>DALARNAS LÄN</t>
        </is>
      </c>
      <c r="G236" t="inlineStr">
        <is>
          <t>LUDVIKA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46289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46289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45399</v>
      </c>
      <c r="E239" s="1" t="n">
        <v>46289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46289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46289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46289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45621</v>
      </c>
      <c r="E243" s="1" t="n">
        <v>46289</v>
      </c>
      <c r="F243" t="inlineStr">
        <is>
          <t>DALARNAS LÄN</t>
        </is>
      </c>
      <c r="G243" t="inlineStr">
        <is>
          <t>LUDVIKA</t>
        </is>
      </c>
      <c r="H243" t="inlineStr">
        <is>
          <t>Naturvårdsverket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45502</v>
      </c>
      <c r="E244" s="1" t="n">
        <v>46289</v>
      </c>
      <c r="F244" t="inlineStr">
        <is>
          <t>DALARNAS LÄN</t>
        </is>
      </c>
      <c r="G244" t="inlineStr">
        <is>
          <t>LUDVIKA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45868</v>
      </c>
      <c r="E245" s="1" t="n">
        <v>46289</v>
      </c>
      <c r="F245" t="inlineStr">
        <is>
          <t>DALARNAS LÄN</t>
        </is>
      </c>
      <c r="G245" t="inlineStr">
        <is>
          <t>LUDVIKA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46289</v>
      </c>
      <c r="F246" t="inlineStr">
        <is>
          <t>DALARNAS LÄN</t>
        </is>
      </c>
      <c r="G246" t="inlineStr">
        <is>
          <t>LUDVIKA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43145-2025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46289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46289</v>
      </c>
      <c r="F248" t="inlineStr">
        <is>
          <t>DALARNAS LÄN</t>
        </is>
      </c>
      <c r="G248" t="inlineStr">
        <is>
          <t>LUDVIKA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46289</v>
      </c>
      <c r="F249" t="inlineStr">
        <is>
          <t>DALARNAS LÄN</t>
        </is>
      </c>
      <c r="G249" t="inlineStr">
        <is>
          <t>LUDVIKA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46289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44844</v>
      </c>
      <c r="E251" s="1" t="n">
        <v>46289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45569</v>
      </c>
      <c r="E252" s="1" t="n">
        <v>46289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43473-2025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46289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46289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46289</v>
      </c>
      <c r="F255" t="inlineStr">
        <is>
          <t>DALARNAS LÄN</t>
        </is>
      </c>
      <c r="G255" t="inlineStr">
        <is>
          <t>LUDVIKA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46289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46289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46289</v>
      </c>
      <c r="F258" t="inlineStr">
        <is>
          <t>DALARNAS LÄN</t>
        </is>
      </c>
      <c r="G258" t="inlineStr">
        <is>
          <t>LUDVIKA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46289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46289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45800</v>
      </c>
      <c r="E261" s="1" t="n">
        <v>46289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44994</v>
      </c>
      <c r="E262" s="1" t="n">
        <v>46289</v>
      </c>
      <c r="F262" t="inlineStr">
        <is>
          <t>DALARNAS LÄN</t>
        </is>
      </c>
      <c r="G262" t="inlineStr">
        <is>
          <t>LUDVIKA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55633-2021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44476</v>
      </c>
      <c r="E263" s="1" t="n">
        <v>46289</v>
      </c>
      <c r="F263" t="inlineStr">
        <is>
          <t>DALARNAS LÄN</t>
        </is>
      </c>
      <c r="G263" t="inlineStr">
        <is>
          <t>LUDVIKA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65195-2021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44515</v>
      </c>
      <c r="E264" s="1" t="n">
        <v>46289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46289</v>
      </c>
      <c r="F265" t="inlineStr">
        <is>
          <t>DALARNAS LÄN</t>
        </is>
      </c>
      <c r="G265" t="inlineStr">
        <is>
          <t>LUDVIKA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60138-2023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45258</v>
      </c>
      <c r="E266" s="1" t="n">
        <v>46289</v>
      </c>
      <c r="F266" t="inlineStr">
        <is>
          <t>DALARNAS LÄN</t>
        </is>
      </c>
      <c r="G266" t="inlineStr">
        <is>
          <t>LUDVIKA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45404</v>
      </c>
      <c r="E267" s="1" t="n">
        <v>46289</v>
      </c>
      <c r="F267" t="inlineStr">
        <is>
          <t>DALARNAS LÄN</t>
        </is>
      </c>
      <c r="G267" t="inlineStr">
        <is>
          <t>LUDVIKA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46289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45110</v>
      </c>
      <c r="E269" s="1" t="n">
        <v>46289</v>
      </c>
      <c r="F269" t="inlineStr">
        <is>
          <t>DALARNAS LÄN</t>
        </is>
      </c>
      <c r="G269" t="inlineStr">
        <is>
          <t>LUDVIKA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46289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45912</v>
      </c>
      <c r="E271" s="1" t="n">
        <v>46289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46289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46289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46289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46289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70046-2021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44533</v>
      </c>
      <c r="E276" s="1" t="n">
        <v>46289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45805</v>
      </c>
      <c r="E277" s="1" t="n">
        <v>46289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46289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46289</v>
      </c>
      <c r="F279" t="inlineStr">
        <is>
          <t>DALARNAS LÄN</t>
        </is>
      </c>
      <c r="G279" t="inlineStr">
        <is>
          <t>LUDVIKA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46289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46289</v>
      </c>
      <c r="F281" t="inlineStr">
        <is>
          <t>DALARNAS LÄN</t>
        </is>
      </c>
      <c r="G281" t="inlineStr">
        <is>
          <t>LUDVIKA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46289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46289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46289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26698-2025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45810</v>
      </c>
      <c r="E285" s="1" t="n">
        <v>46289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56680-2022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44893</v>
      </c>
      <c r="E286" s="1" t="n">
        <v>46289</v>
      </c>
      <c r="F286" t="inlineStr">
        <is>
          <t>DALARNAS LÄN</t>
        </is>
      </c>
      <c r="G286" t="inlineStr">
        <is>
          <t>LUDVIKA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44893</v>
      </c>
      <c r="E287" s="1" t="n">
        <v>46289</v>
      </c>
      <c r="F287" t="inlineStr">
        <is>
          <t>DALARNAS LÄN</t>
        </is>
      </c>
      <c r="G287" t="inlineStr">
        <is>
          <t>LUDVIKA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26628-2025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45810</v>
      </c>
      <c r="E288" s="1" t="n">
        <v>46289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26794-2025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45810</v>
      </c>
      <c r="E289" s="1" t="n">
        <v>46289</v>
      </c>
      <c r="F289" t="inlineStr">
        <is>
          <t>DALARNAS LÄN</t>
        </is>
      </c>
      <c r="G289" t="inlineStr">
        <is>
          <t>LUDVIKA</t>
        </is>
      </c>
      <c r="H289" t="inlineStr">
        <is>
          <t>Kommuner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45572</v>
      </c>
      <c r="E290" s="1" t="n">
        <v>46289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45488</v>
      </c>
      <c r="E291" s="1" t="n">
        <v>46289</v>
      </c>
      <c r="F291" t="inlineStr">
        <is>
          <t>DALARNAS LÄN</t>
        </is>
      </c>
      <c r="G291" t="inlineStr">
        <is>
          <t>LUDVIKA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45569</v>
      </c>
      <c r="E292" s="1" t="n">
        <v>46289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51029-2024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46289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45813</v>
      </c>
      <c r="E294" s="1" t="n">
        <v>46289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46289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45813</v>
      </c>
      <c r="E296" s="1" t="n">
        <v>46289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46289</v>
      </c>
      <c r="F297" t="inlineStr">
        <is>
          <t>DALARNAS LÄN</t>
        </is>
      </c>
      <c r="G297" t="inlineStr">
        <is>
          <t>LUDVIKA</t>
        </is>
      </c>
      <c r="H297" t="inlineStr">
        <is>
          <t>Kommuner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50714-2024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46289</v>
      </c>
      <c r="F298" t="inlineStr">
        <is>
          <t>DALARNAS LÄN</t>
        </is>
      </c>
      <c r="G298" t="inlineStr">
        <is>
          <t>LUDVIKA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45112</v>
      </c>
      <c r="E299" s="1" t="n">
        <v>46289</v>
      </c>
      <c r="F299" t="inlineStr">
        <is>
          <t>DALARNAS LÄN</t>
        </is>
      </c>
      <c r="G299" t="inlineStr">
        <is>
          <t>LUDVIKA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45813</v>
      </c>
      <c r="E300" s="1" t="n">
        <v>46289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45940</v>
      </c>
      <c r="E301" s="1" t="n">
        <v>46289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46289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46289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46289</v>
      </c>
      <c r="F304" t="inlineStr">
        <is>
          <t>DALARNAS LÄN</t>
        </is>
      </c>
      <c r="G304" t="inlineStr">
        <is>
          <t>LUDVIKA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56686-2022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46289</v>
      </c>
      <c r="F305" t="inlineStr">
        <is>
          <t>DALARNAS LÄN</t>
        </is>
      </c>
      <c r="G305" t="inlineStr">
        <is>
          <t>LUDVIKA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45639</v>
      </c>
      <c r="E306" s="1" t="n">
        <v>46289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41616-2024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45560</v>
      </c>
      <c r="E307" s="1" t="n">
        <v>46289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46289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45944</v>
      </c>
      <c r="E309" s="1" t="n">
        <v>46289</v>
      </c>
      <c r="F309" t="inlineStr">
        <is>
          <t>DALARNAS LÄN</t>
        </is>
      </c>
      <c r="G309" t="inlineStr">
        <is>
          <t>LUDVIKA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46289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46289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46289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46289</v>
      </c>
      <c r="F313" t="inlineStr">
        <is>
          <t>DALARNAS LÄN</t>
        </is>
      </c>
      <c r="G313" t="inlineStr">
        <is>
          <t>LUDVIKA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45045-2023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45191</v>
      </c>
      <c r="E314" s="1" t="n">
        <v>46289</v>
      </c>
      <c r="F314" t="inlineStr">
        <is>
          <t>DALARNAS LÄN</t>
        </is>
      </c>
      <c r="G314" t="inlineStr">
        <is>
          <t>LUDVIKA</t>
        </is>
      </c>
      <c r="H314" t="inlineStr">
        <is>
          <t>Sveaskog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46289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45622</v>
      </c>
      <c r="E316" s="1" t="n">
        <v>46289</v>
      </c>
      <c r="F316" t="inlineStr">
        <is>
          <t>DALARNAS LÄN</t>
        </is>
      </c>
      <c r="G316" t="inlineStr">
        <is>
          <t>LUDVIKA</t>
        </is>
      </c>
      <c r="H316" t="inlineStr">
        <is>
          <t>Naturvårdsverket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46289</v>
      </c>
      <c r="F317" t="inlineStr">
        <is>
          <t>DALARNAS LÄN</t>
        </is>
      </c>
      <c r="G317" t="inlineStr">
        <is>
          <t>LUDVIKA</t>
        </is>
      </c>
      <c r="H317" t="inlineStr">
        <is>
          <t>Naturvårdsverket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45594</v>
      </c>
      <c r="E318" s="1" t="n">
        <v>46289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46620-2023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46289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46289</v>
      </c>
      <c r="F320" t="inlineStr">
        <is>
          <t>DALARNAS LÄN</t>
        </is>
      </c>
      <c r="G320" t="inlineStr">
        <is>
          <t>LUDVIKA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46289</v>
      </c>
      <c r="F321" t="inlineStr">
        <is>
          <t>DALARNAS LÄN</t>
        </is>
      </c>
      <c r="G321" t="inlineStr">
        <is>
          <t>LUDVIKA</t>
        </is>
      </c>
      <c r="H321" t="inlineStr">
        <is>
          <t>Naturvårdsverket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45954</v>
      </c>
      <c r="E322" s="1" t="n">
        <v>46289</v>
      </c>
      <c r="F322" t="inlineStr">
        <is>
          <t>DALARNAS LÄN</t>
        </is>
      </c>
      <c r="G322" t="inlineStr">
        <is>
          <t>LUDVIKA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46289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46289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9.300000000000001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52459-2025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45954</v>
      </c>
      <c r="E325" s="1" t="n">
        <v>46289</v>
      </c>
      <c r="F325" t="inlineStr">
        <is>
          <t>DALARNAS LÄN</t>
        </is>
      </c>
      <c r="G325" t="inlineStr">
        <is>
          <t>LUDVIKA</t>
        </is>
      </c>
      <c r="H325" t="inlineStr">
        <is>
          <t>Övriga Aktiebolag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52491-2025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46289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52900-2025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46289</v>
      </c>
      <c r="F327" t="inlineStr">
        <is>
          <t>DALARNAS LÄN</t>
        </is>
      </c>
      <c r="G327" t="inlineStr">
        <is>
          <t>LUDVIKA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46289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52427-2025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45954</v>
      </c>
      <c r="E329" s="1" t="n">
        <v>46289</v>
      </c>
      <c r="F329" t="inlineStr">
        <is>
          <t>DALARNAS LÄN</t>
        </is>
      </c>
      <c r="G329" t="inlineStr">
        <is>
          <t>LUDVIKA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45579</v>
      </c>
      <c r="E330" s="1" t="n">
        <v>46289</v>
      </c>
      <c r="F330" t="inlineStr">
        <is>
          <t>DALARNAS LÄN</t>
        </is>
      </c>
      <c r="G330" t="inlineStr">
        <is>
          <t>LUDVIKA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52724-2025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45957</v>
      </c>
      <c r="E331" s="1" t="n">
        <v>46289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52556-2025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45954</v>
      </c>
      <c r="E332" s="1" t="n">
        <v>46289</v>
      </c>
      <c r="F332" t="inlineStr">
        <is>
          <t>DALARNAS LÄN</t>
        </is>
      </c>
      <c r="G332" t="inlineStr">
        <is>
          <t>LUDVIKA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45957</v>
      </c>
      <c r="E333" s="1" t="n">
        <v>46289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46289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45512</v>
      </c>
      <c r="E335" s="1" t="n">
        <v>46289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45622</v>
      </c>
      <c r="E336" s="1" t="n">
        <v>46289</v>
      </c>
      <c r="F336" t="inlineStr">
        <is>
          <t>DALARNAS LÄN</t>
        </is>
      </c>
      <c r="G336" t="inlineStr">
        <is>
          <t>LUDVIKA</t>
        </is>
      </c>
      <c r="H336" t="inlineStr">
        <is>
          <t>Naturvårdsverket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45622</v>
      </c>
      <c r="E337" s="1" t="n">
        <v>46289</v>
      </c>
      <c r="F337" t="inlineStr">
        <is>
          <t>DALARNAS LÄN</t>
        </is>
      </c>
      <c r="G337" t="inlineStr">
        <is>
          <t>LUDVIKA</t>
        </is>
      </c>
      <c r="H337" t="inlineStr">
        <is>
          <t>Naturvårdsverket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45891</v>
      </c>
      <c r="E338" s="1" t="n">
        <v>46289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46289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45891</v>
      </c>
      <c r="E340" s="1" t="n">
        <v>46289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45963</v>
      </c>
      <c r="E341" s="1" t="n">
        <v>46289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46289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46289</v>
      </c>
      <c r="F343" t="inlineStr">
        <is>
          <t>DALARNAS LÄN</t>
        </is>
      </c>
      <c r="G343" t="inlineStr">
        <is>
          <t>LUDVIKA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43839-2023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45187</v>
      </c>
      <c r="E344" s="1" t="n">
        <v>46289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45904</v>
      </c>
      <c r="E345" s="1" t="n">
        <v>46289</v>
      </c>
      <c r="F345" t="inlineStr">
        <is>
          <t>DALARNAS LÄN</t>
        </is>
      </c>
      <c r="G345" t="inlineStr">
        <is>
          <t>LUDVIKA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45687</v>
      </c>
      <c r="E346" s="1" t="n">
        <v>46289</v>
      </c>
      <c r="F346" t="inlineStr">
        <is>
          <t>DALARNAS LÄN</t>
        </is>
      </c>
      <c r="G346" t="inlineStr">
        <is>
          <t>LUDVIKA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46289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46289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46289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54341-2025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45965</v>
      </c>
      <c r="E350" s="1" t="n">
        <v>46289</v>
      </c>
      <c r="F350" t="inlineStr">
        <is>
          <t>DALARNAS LÄN</t>
        </is>
      </c>
      <c r="G350" t="inlineStr">
        <is>
          <t>LUDVIKA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45208</v>
      </c>
      <c r="E351" s="1" t="n">
        <v>46289</v>
      </c>
      <c r="F351" t="inlineStr">
        <is>
          <t>DALARNAS LÄN</t>
        </is>
      </c>
      <c r="G351" t="inlineStr">
        <is>
          <t>LUDVIKA</t>
        </is>
      </c>
      <c r="H351" t="inlineStr">
        <is>
          <t>Naturvårdsverket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55961-2024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45623</v>
      </c>
      <c r="E352" s="1" t="n">
        <v>46289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46289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33673-2022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44789</v>
      </c>
      <c r="E354" s="1" t="n">
        <v>46289</v>
      </c>
      <c r="F354" t="inlineStr">
        <is>
          <t>DALARNAS LÄN</t>
        </is>
      </c>
      <c r="G354" t="inlineStr">
        <is>
          <t>LUDVIKA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39437-2023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45166</v>
      </c>
      <c r="E355" s="1" t="n">
        <v>46289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45972</v>
      </c>
      <c r="E356" s="1" t="n">
        <v>46289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44970</v>
      </c>
      <c r="E357" s="1" t="n">
        <v>46289</v>
      </c>
      <c r="F357" t="inlineStr">
        <is>
          <t>DALARNAS LÄN</t>
        </is>
      </c>
      <c r="G357" t="inlineStr">
        <is>
          <t>LUDVIKA</t>
        </is>
      </c>
      <c r="H357" t="inlineStr">
        <is>
          <t>Övriga Aktiebolag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46289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46289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9.4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21741-2022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44708</v>
      </c>
      <c r="E360" s="1" t="n">
        <v>46289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55426-2025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46289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46289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46289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18724-2022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44687</v>
      </c>
      <c r="E364" s="1" t="n">
        <v>46289</v>
      </c>
      <c r="F364" t="inlineStr">
        <is>
          <t>DALARNAS LÄN</t>
        </is>
      </c>
      <c r="G364" t="inlineStr">
        <is>
          <t>LUDVIKA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56178-2025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46289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46289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46289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49114-2023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45210</v>
      </c>
      <c r="E368" s="1" t="n">
        <v>46289</v>
      </c>
      <c r="F368" t="inlineStr">
        <is>
          <t>DALARNAS LÄN</t>
        </is>
      </c>
      <c r="G368" t="inlineStr">
        <is>
          <t>LUDVIKA</t>
        </is>
      </c>
      <c r="H368" t="inlineStr">
        <is>
          <t>Naturvårdsverket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46289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45060-2022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44841</v>
      </c>
      <c r="E370" s="1" t="n">
        <v>46289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46289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46289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44960</v>
      </c>
      <c r="E373" s="1" t="n">
        <v>46289</v>
      </c>
      <c r="F373" t="inlineStr">
        <is>
          <t>DALARNAS LÄN</t>
        </is>
      </c>
      <c r="G373" t="inlineStr">
        <is>
          <t>LUDVIKA</t>
        </is>
      </c>
      <c r="H373" t="inlineStr">
        <is>
          <t>Naturvårdsverket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46289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45754</v>
      </c>
      <c r="E375" s="1" t="n">
        <v>46289</v>
      </c>
      <c r="F375" t="inlineStr">
        <is>
          <t>DALARNAS LÄN</t>
        </is>
      </c>
      <c r="G375" t="inlineStr">
        <is>
          <t>LUDVIKA</t>
        </is>
      </c>
      <c r="H375" t="inlineStr">
        <is>
          <t>Naturvårdsverket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46289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45624</v>
      </c>
      <c r="E377" s="1" t="n">
        <v>46289</v>
      </c>
      <c r="F377" t="inlineStr">
        <is>
          <t>DALARNAS LÄN</t>
        </is>
      </c>
      <c r="G377" t="inlineStr">
        <is>
          <t>LUDVIKA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46289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46289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61054-2024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45645</v>
      </c>
      <c r="E380" s="1" t="n">
        <v>46289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51043-2024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46289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46289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45244</v>
      </c>
      <c r="E383" s="1" t="n">
        <v>46289</v>
      </c>
      <c r="F383" t="inlineStr">
        <is>
          <t>DALARNAS LÄN</t>
        </is>
      </c>
      <c r="G383" t="inlineStr">
        <is>
          <t>LUDVIKA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45625</v>
      </c>
      <c r="E384" s="1" t="n">
        <v>46289</v>
      </c>
      <c r="F384" t="inlineStr">
        <is>
          <t>DALARNAS LÄN</t>
        </is>
      </c>
      <c r="G384" t="inlineStr">
        <is>
          <t>LUDVIKA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45824</v>
      </c>
      <c r="E385" s="1" t="n">
        <v>46289</v>
      </c>
      <c r="F385" t="inlineStr">
        <is>
          <t>DALARNAS LÄN</t>
        </is>
      </c>
      <c r="G385" t="inlineStr">
        <is>
          <t>LUDVIKA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46289</v>
      </c>
      <c r="F386" t="inlineStr">
        <is>
          <t>DALARNAS LÄN</t>
        </is>
      </c>
      <c r="G386" t="inlineStr">
        <is>
          <t>LUDVIKA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37392-2023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45156</v>
      </c>
      <c r="E387" s="1" t="n">
        <v>46289</v>
      </c>
      <c r="F387" t="inlineStr">
        <is>
          <t>DALARNAS LÄN</t>
        </is>
      </c>
      <c r="G387" t="inlineStr">
        <is>
          <t>LUDVIKA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45519</v>
      </c>
      <c r="E388" s="1" t="n">
        <v>46289</v>
      </c>
      <c r="F388" t="inlineStr">
        <is>
          <t>DALARNAS LÄN</t>
        </is>
      </c>
      <c r="G388" t="inlineStr">
        <is>
          <t>LUDVIKA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45593</v>
      </c>
      <c r="E389" s="1" t="n">
        <v>46289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51208-2023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45219</v>
      </c>
      <c r="E390" s="1" t="n">
        <v>46289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46289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59351-2023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45253</v>
      </c>
      <c r="E392" s="1" t="n">
        <v>46289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46289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45826</v>
      </c>
      <c r="E394" s="1" t="n">
        <v>46289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21145-2023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45062</v>
      </c>
      <c r="E395" s="1" t="n">
        <v>46289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38921-2025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45887</v>
      </c>
      <c r="E396" s="1" t="n">
        <v>46289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45891</v>
      </c>
      <c r="E397" s="1" t="n">
        <v>46289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45929</v>
      </c>
      <c r="E398" s="1" t="n">
        <v>46289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45929</v>
      </c>
      <c r="E399" s="1" t="n">
        <v>46289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46289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46289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46289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42985-2025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45909</v>
      </c>
      <c r="E403" s="1" t="n">
        <v>46289</v>
      </c>
      <c r="F403" t="inlineStr">
        <is>
          <t>DALARNAS LÄN</t>
        </is>
      </c>
      <c r="G403" t="inlineStr">
        <is>
          <t>LUDVIKA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46289</v>
      </c>
      <c r="F404" t="inlineStr">
        <is>
          <t>DALARNAS LÄN</t>
        </is>
      </c>
      <c r="G404" t="inlineStr">
        <is>
          <t>LUDVIKA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48683-2023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45208</v>
      </c>
      <c r="E405" s="1" t="n">
        <v>46289</v>
      </c>
      <c r="F405" t="inlineStr">
        <is>
          <t>DALARNAS LÄN</t>
        </is>
      </c>
      <c r="G405" t="inlineStr">
        <is>
          <t>LUDVIKA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49060-2023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45210</v>
      </c>
      <c r="E406" s="1" t="n">
        <v>46289</v>
      </c>
      <c r="F406" t="inlineStr">
        <is>
          <t>DALARNAS LÄN</t>
        </is>
      </c>
      <c r="G406" t="inlineStr">
        <is>
          <t>LUDVIKA</t>
        </is>
      </c>
      <c r="H406" t="inlineStr">
        <is>
          <t>Naturvårdsverket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45826</v>
      </c>
      <c r="E407" s="1" t="n">
        <v>46289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46289</v>
      </c>
      <c r="F408" t="inlineStr">
        <is>
          <t>DALARNAS LÄN</t>
        </is>
      </c>
      <c r="G408" t="inlineStr">
        <is>
          <t>LUDVIKA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59530-2025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45989</v>
      </c>
      <c r="E409" s="1" t="n">
        <v>46289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30288-2025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45827</v>
      </c>
      <c r="E410" s="1" t="n">
        <v>46289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46289</v>
      </c>
      <c r="F411" t="inlineStr">
        <is>
          <t>DALARNAS LÄN</t>
        </is>
      </c>
      <c r="G411" t="inlineStr">
        <is>
          <t>LUDVIKA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45638</v>
      </c>
      <c r="E412" s="1" t="n">
        <v>46289</v>
      </c>
      <c r="F412" t="inlineStr">
        <is>
          <t>DALARNAS LÄN</t>
        </is>
      </c>
      <c r="G412" t="inlineStr">
        <is>
          <t>LUDVIKA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60843-2024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46289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46289</v>
      </c>
      <c r="F414" t="inlineStr">
        <is>
          <t>DALARNAS LÄN</t>
        </is>
      </c>
      <c r="G414" t="inlineStr">
        <is>
          <t>LUDVIKA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45995</v>
      </c>
      <c r="E415" s="1" t="n">
        <v>46289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46289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31001-2025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45832</v>
      </c>
      <c r="E417" s="1" t="n">
        <v>46289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46289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46289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57557-2023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45246</v>
      </c>
      <c r="E420" s="1" t="n">
        <v>46289</v>
      </c>
      <c r="F420" t="inlineStr">
        <is>
          <t>DALARNAS LÄN</t>
        </is>
      </c>
      <c r="G420" t="inlineStr">
        <is>
          <t>LUDVIKA</t>
        </is>
      </c>
      <c r="I420" t="n">
        <v>12.7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46289</v>
      </c>
      <c r="F421" t="inlineStr">
        <is>
          <t>DALARNAS LÄN</t>
        </is>
      </c>
      <c r="G421" t="inlineStr">
        <is>
          <t>LUDVIKA</t>
        </is>
      </c>
      <c r="H421" t="inlineStr">
        <is>
          <t>Naturvårdsverket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45744</v>
      </c>
      <c r="E422" s="1" t="n">
        <v>46289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46029</v>
      </c>
      <c r="E423" s="1" t="n">
        <v>46289</v>
      </c>
      <c r="F423" t="inlineStr">
        <is>
          <t>DALARNAS LÄN</t>
        </is>
      </c>
      <c r="G423" t="inlineStr">
        <is>
          <t>LUDVIKA</t>
        </is>
      </c>
      <c r="H423" t="inlineStr">
        <is>
          <t>Övriga Aktiebolag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61502-2025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46289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61505-2025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46001</v>
      </c>
      <c r="E425" s="1" t="n">
        <v>46289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46289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46007</v>
      </c>
      <c r="E427" s="1" t="n">
        <v>46289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46008</v>
      </c>
      <c r="E428" s="1" t="n">
        <v>46289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46007</v>
      </c>
      <c r="E429" s="1" t="n">
        <v>46289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62842-2025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46289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62824-2025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46289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62695-2025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46289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62838-2025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46289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62688-2025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46289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46289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62845-2025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46008</v>
      </c>
      <c r="E436" s="1" t="n">
        <v>46289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31270-2022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44771</v>
      </c>
      <c r="E437" s="1" t="n">
        <v>46289</v>
      </c>
      <c r="F437" t="inlineStr">
        <is>
          <t>DALARNAS LÄN</t>
        </is>
      </c>
      <c r="G437" t="inlineStr">
        <is>
          <t>LUDVIKA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61799-2025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46002</v>
      </c>
      <c r="E438" s="1" t="n">
        <v>46289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33244-2025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46289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46289</v>
      </c>
      <c r="F440" t="inlineStr">
        <is>
          <t>DALARNAS LÄN</t>
        </is>
      </c>
      <c r="G440" t="inlineStr">
        <is>
          <t>LUDVIKA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63222-2025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46289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46289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61309-2022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44915</v>
      </c>
      <c r="E443" s="1" t="n">
        <v>46289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62930-2025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46289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62945-2025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46009</v>
      </c>
      <c r="E445" s="1" t="n">
        <v>46289</v>
      </c>
      <c r="F445" t="inlineStr">
        <is>
          <t>DALARNAS LÄN</t>
        </is>
      </c>
      <c r="G445" t="inlineStr">
        <is>
          <t>LUDVIKA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48740-2022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44859</v>
      </c>
      <c r="E446" s="1" t="n">
        <v>46289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46289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45961</v>
      </c>
      <c r="E448" s="1" t="n">
        <v>46289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56621-2023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45243</v>
      </c>
      <c r="E449" s="1" t="n">
        <v>46289</v>
      </c>
      <c r="F449" t="inlineStr">
        <is>
          <t>DALARNAS LÄN</t>
        </is>
      </c>
      <c r="G449" t="inlineStr">
        <is>
          <t>LUDVIKA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45616</v>
      </c>
      <c r="E450" s="1" t="n">
        <v>46289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46241</v>
      </c>
      <c r="E451" s="1" t="n">
        <v>46289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64171-2023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45279</v>
      </c>
      <c r="E452" s="1" t="n">
        <v>46289</v>
      </c>
      <c r="F452" t="inlineStr">
        <is>
          <t>DALARNAS LÄN</t>
        </is>
      </c>
      <c r="G452" t="inlineStr">
        <is>
          <t>LUDVIKA</t>
        </is>
      </c>
      <c r="I452" t="n">
        <v>8.6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923-2024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45301</v>
      </c>
      <c r="E453" s="1" t="n">
        <v>46289</v>
      </c>
      <c r="F453" t="inlineStr">
        <is>
          <t>DALARNAS LÄN</t>
        </is>
      </c>
      <c r="G453" t="inlineStr">
        <is>
          <t>LUDVIKA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45775</v>
      </c>
      <c r="E454" s="1" t="n">
        <v>46289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46241</v>
      </c>
      <c r="E455" s="1" t="n">
        <v>46289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53620-2022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44879</v>
      </c>
      <c r="E456" s="1" t="n">
        <v>46289</v>
      </c>
      <c r="F456" t="inlineStr">
        <is>
          <t>DALARNAS LÄN</t>
        </is>
      </c>
      <c r="G456" t="inlineStr">
        <is>
          <t>LUDVIKA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32749-2026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46289</v>
      </c>
      <c r="F457" t="inlineStr">
        <is>
          <t>DALARNAS LÄN</t>
        </is>
      </c>
      <c r="G457" t="inlineStr">
        <is>
          <t>LUDVIKA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46283</v>
      </c>
      <c r="E458" s="1" t="n">
        <v>46289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38620-2026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46283</v>
      </c>
      <c r="E459" s="1" t="n">
        <v>46289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46241</v>
      </c>
      <c r="E460" s="1" t="n">
        <v>46289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46241</v>
      </c>
      <c r="E461" s="1" t="n">
        <v>46289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56615-2025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45975</v>
      </c>
      <c r="E462" s="1" t="n">
        <v>46289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38656-2026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46283</v>
      </c>
      <c r="E463" s="1" t="n">
        <v>46289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46283</v>
      </c>
      <c r="E464" s="1" t="n">
        <v>46289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39093-2026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46287</v>
      </c>
      <c r="E465" s="1" t="n">
        <v>46289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46289</v>
      </c>
      <c r="F466" t="inlineStr">
        <is>
          <t>DALARNAS LÄN</t>
        </is>
      </c>
      <c r="G466" t="inlineStr">
        <is>
          <t>LUDVIKA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46289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52230-2023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45224</v>
      </c>
      <c r="E468" s="1" t="n">
        <v>46289</v>
      </c>
      <c r="F468" t="inlineStr">
        <is>
          <t>DALARNAS LÄN</t>
        </is>
      </c>
      <c r="G468" t="inlineStr">
        <is>
          <t>LUDVIKA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46289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46289</v>
      </c>
      <c r="F470" t="inlineStr">
        <is>
          <t>DALARNAS LÄN</t>
        </is>
      </c>
      <c r="G470" t="inlineStr">
        <is>
          <t>LUDVIKA</t>
        </is>
      </c>
      <c r="H470" t="inlineStr">
        <is>
          <t>Övriga Aktiebolag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73703-2021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44552</v>
      </c>
      <c r="E471" s="1" t="n">
        <v>46289</v>
      </c>
      <c r="F471" t="inlineStr">
        <is>
          <t>DALARNAS LÄN</t>
        </is>
      </c>
      <c r="G471" t="inlineStr">
        <is>
          <t>LUDVIKA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25299-2022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44730</v>
      </c>
      <c r="E472" s="1" t="n">
        <v>46289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5970-2022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44599</v>
      </c>
      <c r="E473" s="1" t="n">
        <v>46289</v>
      </c>
      <c r="F473" t="inlineStr">
        <is>
          <t>DALARNAS LÄN</t>
        </is>
      </c>
      <c r="G473" t="inlineStr">
        <is>
          <t>LUDVIKA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46288</v>
      </c>
      <c r="E474" s="1" t="n">
        <v>46289</v>
      </c>
      <c r="F474" t="inlineStr">
        <is>
          <t>DALARNAS LÄN</t>
        </is>
      </c>
      <c r="G474" t="inlineStr">
        <is>
          <t>LUDVIKA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48642-2022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44859</v>
      </c>
      <c r="E475" s="1" t="n">
        <v>46289</v>
      </c>
      <c r="F475" t="inlineStr">
        <is>
          <t>DALARNAS LÄN</t>
        </is>
      </c>
      <c r="G475" t="inlineStr">
        <is>
          <t>LUDVIKA</t>
        </is>
      </c>
      <c r="H475" t="inlineStr">
        <is>
          <t>Naturvårdsverket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44960</v>
      </c>
      <c r="E476" s="1" t="n">
        <v>46289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34067-2025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45845</v>
      </c>
      <c r="E477" s="1" t="n">
        <v>46289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46074-2023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45196</v>
      </c>
      <c r="E478" s="1" t="n">
        <v>46289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45502</v>
      </c>
      <c r="E479" s="1" t="n">
        <v>46289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45205</v>
      </c>
      <c r="E480" s="1" t="n">
        <v>46289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46289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45525</v>
      </c>
      <c r="E482" s="1" t="n">
        <v>46289</v>
      </c>
      <c r="F482" t="inlineStr">
        <is>
          <t>DALARNAS LÄN</t>
        </is>
      </c>
      <c r="G482" t="inlineStr">
        <is>
          <t>LUDVIKA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49035-2024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45594</v>
      </c>
      <c r="E483" s="1" t="n">
        <v>46289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49043-2024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45594</v>
      </c>
      <c r="E484" s="1" t="n">
        <v>46289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18708-2023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45043</v>
      </c>
      <c r="E485" s="1" t="n">
        <v>46289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29654-2025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45825</v>
      </c>
      <c r="E486" s="1" t="n">
        <v>46289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59050-2022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44903</v>
      </c>
      <c r="E487" s="1" t="n">
        <v>46289</v>
      </c>
      <c r="F487" t="inlineStr">
        <is>
          <t>DALARNAS LÄN</t>
        </is>
      </c>
      <c r="G487" t="inlineStr">
        <is>
          <t>LUDVIKA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44970</v>
      </c>
      <c r="E488" s="1" t="n">
        <v>46289</v>
      </c>
      <c r="F488" t="inlineStr">
        <is>
          <t>DALARNAS LÄN</t>
        </is>
      </c>
      <c r="G488" t="inlineStr">
        <is>
          <t>LUDVIKA</t>
        </is>
      </c>
      <c r="H488" t="inlineStr">
        <is>
          <t>Övriga Aktiebolag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32329-2024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45512</v>
      </c>
      <c r="E489" s="1" t="n">
        <v>46289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45832</v>
      </c>
      <c r="E490" s="1" t="n">
        <v>46289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45832</v>
      </c>
      <c r="E491" s="1" t="n">
        <v>46289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45840</v>
      </c>
      <c r="E492" s="1" t="n">
        <v>46289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45832</v>
      </c>
      <c r="E493" s="1" t="n">
        <v>46289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43055-2024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46289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46289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45562</v>
      </c>
      <c r="E496" s="1" t="n">
        <v>46289</v>
      </c>
      <c r="F496" t="inlineStr">
        <is>
          <t>DALARNAS LÄN</t>
        </is>
      </c>
      <c r="G496" t="inlineStr">
        <is>
          <t>LUDVIKA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46289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7.5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56346-2022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44890</v>
      </c>
      <c r="E498" s="1" t="n">
        <v>46289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46289</v>
      </c>
      <c r="F499" t="inlineStr">
        <is>
          <t>DALARNAS LÄN</t>
        </is>
      </c>
      <c r="G499" t="inlineStr">
        <is>
          <t>LUDVIKA</t>
        </is>
      </c>
      <c r="H499" t="inlineStr">
        <is>
          <t>Naturvårdsverket</t>
        </is>
      </c>
      <c r="I499" t="n">
        <v>19.8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44680</v>
      </c>
      <c r="E500" s="1" t="n">
        <v>46289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45869</v>
      </c>
      <c r="E501" s="1" t="n">
        <v>46289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11237-2024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45371</v>
      </c>
      <c r="E502" s="1" t="n">
        <v>46289</v>
      </c>
      <c r="F502" t="inlineStr">
        <is>
          <t>DALARNAS LÄN</t>
        </is>
      </c>
      <c r="G502" t="inlineStr">
        <is>
          <t>LUDVIKA</t>
        </is>
      </c>
      <c r="I502" t="n">
        <v>20.8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45243</v>
      </c>
      <c r="E503" s="1" t="n">
        <v>46289</v>
      </c>
      <c r="F503" t="inlineStr">
        <is>
          <t>DALARNAS LÄN</t>
        </is>
      </c>
      <c r="G503" t="inlineStr">
        <is>
          <t>LUDVIKA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46289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46289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46289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46289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6151-2024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45337</v>
      </c>
      <c r="E508" s="1" t="n">
        <v>46289</v>
      </c>
      <c r="F508" t="inlineStr">
        <is>
          <t>DALARNAS LÄN</t>
        </is>
      </c>
      <c r="G508" t="inlineStr">
        <is>
          <t>LUDVIKA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17787-2026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46289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45373</v>
      </c>
      <c r="E510" s="1" t="n">
        <v>46289</v>
      </c>
      <c r="F510" t="inlineStr">
        <is>
          <t>DALARNAS LÄN</t>
        </is>
      </c>
      <c r="G510" t="inlineStr">
        <is>
          <t>LUDVIKA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46289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46289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46126</v>
      </c>
      <c r="E513" s="1" t="n">
        <v>46289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45631</v>
      </c>
      <c r="E514" s="1" t="n">
        <v>46289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41668-2023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45176</v>
      </c>
      <c r="E515" s="1" t="n">
        <v>46289</v>
      </c>
      <c r="F515" t="inlineStr">
        <is>
          <t>DALARNAS LÄN</t>
        </is>
      </c>
      <c r="G515" t="inlineStr">
        <is>
          <t>LUDVIKA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20411-2023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45056</v>
      </c>
      <c r="E516" s="1" t="n">
        <v>46289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18829-2026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46128</v>
      </c>
      <c r="E517" s="1" t="n">
        <v>46289</v>
      </c>
      <c r="F517" t="inlineStr">
        <is>
          <t>DALARNAS LÄN</t>
        </is>
      </c>
      <c r="G517" t="inlineStr">
        <is>
          <t>LUDVIKA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39400-2023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45166</v>
      </c>
      <c r="E518" s="1" t="n">
        <v>46289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19610-2026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46134</v>
      </c>
      <c r="E519" s="1" t="n">
        <v>46289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18187-2025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46289</v>
      </c>
      <c r="F520" t="inlineStr">
        <is>
          <t>DALARNAS LÄN</t>
        </is>
      </c>
      <c r="G520" t="inlineStr">
        <is>
          <t>LUDVIKA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30113-2023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46289</v>
      </c>
      <c r="F521" t="inlineStr">
        <is>
          <t>DALARNAS LÄN</t>
        </is>
      </c>
      <c r="G521" t="inlineStr">
        <is>
          <t>LUDVIKA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39519-2024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45551</v>
      </c>
      <c r="E522" s="1" t="n">
        <v>46289</v>
      </c>
      <c r="F522" t="inlineStr">
        <is>
          <t>DALARNAS LÄN</t>
        </is>
      </c>
      <c r="G522" t="inlineStr">
        <is>
          <t>LUDVIKA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37129-2025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45875</v>
      </c>
      <c r="E523" s="1" t="n">
        <v>46289</v>
      </c>
      <c r="F523" t="inlineStr">
        <is>
          <t>DALARNAS LÄN</t>
        </is>
      </c>
      <c r="G523" t="inlineStr">
        <is>
          <t>LUDVIKA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44967</v>
      </c>
      <c r="E524" s="1" t="n">
        <v>46289</v>
      </c>
      <c r="F524" t="inlineStr">
        <is>
          <t>DALARNAS LÄN</t>
        </is>
      </c>
      <c r="G524" t="inlineStr">
        <is>
          <t>LUDVIKA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40125-2024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45554</v>
      </c>
      <c r="E525" s="1" t="n">
        <v>46289</v>
      </c>
      <c r="F525" t="inlineStr">
        <is>
          <t>DALARNAS LÄN</t>
        </is>
      </c>
      <c r="G525" t="inlineStr">
        <is>
          <t>LUDVIKA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46135</v>
      </c>
      <c r="E526" s="1" t="n">
        <v>46289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45849</v>
      </c>
      <c r="E527" s="1" t="n">
        <v>46289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45520</v>
      </c>
      <c r="E528" s="1" t="n">
        <v>46289</v>
      </c>
      <c r="F528" t="inlineStr">
        <is>
          <t>DALARNAS LÄN</t>
        </is>
      </c>
      <c r="G528" t="inlineStr">
        <is>
          <t>LUDVIKA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53554-2025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45960</v>
      </c>
      <c r="E529" s="1" t="n">
        <v>46289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45481</v>
      </c>
      <c r="E530" s="1" t="n">
        <v>46289</v>
      </c>
      <c r="F530" t="inlineStr">
        <is>
          <t>DALARNAS LÄN</t>
        </is>
      </c>
      <c r="G530" t="inlineStr">
        <is>
          <t>LUDVIKA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45297</v>
      </c>
      <c r="E531" s="1" t="n">
        <v>46289</v>
      </c>
      <c r="F531" t="inlineStr">
        <is>
          <t>DALARNAS LÄN</t>
        </is>
      </c>
      <c r="G531" t="inlineStr">
        <is>
          <t>LUDVIKA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46136</v>
      </c>
      <c r="E532" s="1" t="n">
        <v>46289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7714-2026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46289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46289</v>
      </c>
      <c r="F534" t="inlineStr">
        <is>
          <t>DALARNAS LÄN</t>
        </is>
      </c>
      <c r="G534" t="inlineStr">
        <is>
          <t>LUDVIKA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20096-2026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46136</v>
      </c>
      <c r="E535" s="1" t="n">
        <v>46289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60660-2024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45644</v>
      </c>
      <c r="E536" s="1" t="n">
        <v>46289</v>
      </c>
      <c r="F536" t="inlineStr">
        <is>
          <t>DALARNAS LÄN</t>
        </is>
      </c>
      <c r="G536" t="inlineStr">
        <is>
          <t>LUDVIKA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45825</v>
      </c>
      <c r="E537" s="1" t="n">
        <v>46289</v>
      </c>
      <c r="F537" t="inlineStr">
        <is>
          <t>DALARNAS LÄN</t>
        </is>
      </c>
      <c r="G537" t="inlineStr">
        <is>
          <t>LUDVIKA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34875-2025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45849</v>
      </c>
      <c r="E538" s="1" t="n">
        <v>46289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53048-2024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45611</v>
      </c>
      <c r="E539" s="1" t="n">
        <v>46289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45845</v>
      </c>
      <c r="E540" s="1" t="n">
        <v>46289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50777-2024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45602</v>
      </c>
      <c r="E541" s="1" t="n">
        <v>46289</v>
      </c>
      <c r="F541" t="inlineStr">
        <is>
          <t>DALARNAS LÄN</t>
        </is>
      </c>
      <c r="G541" t="inlineStr">
        <is>
          <t>LUDVIKA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46289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45827</v>
      </c>
      <c r="E543" s="1" t="n">
        <v>46289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55151-2025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46289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52466-2023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45225</v>
      </c>
      <c r="E545" s="1" t="n">
        <v>46289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28507-2023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45103</v>
      </c>
      <c r="E546" s="1" t="n">
        <v>46289</v>
      </c>
      <c r="F546" t="inlineStr">
        <is>
          <t>DALARNAS LÄN</t>
        </is>
      </c>
      <c r="G546" t="inlineStr">
        <is>
          <t>LUDVIKA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52912-2025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45954</v>
      </c>
      <c r="E547" s="1" t="n">
        <v>46289</v>
      </c>
      <c r="F547" t="inlineStr">
        <is>
          <t>DALARNAS LÄN</t>
        </is>
      </c>
      <c r="G547" t="inlineStr">
        <is>
          <t>LUDVIKA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59186-2025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46289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55323-2025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45971</v>
      </c>
      <c r="E549" s="1" t="n">
        <v>46289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45835</v>
      </c>
      <c r="E550" s="1" t="n">
        <v>46289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3470-2025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45680</v>
      </c>
      <c r="E551" s="1" t="n">
        <v>46289</v>
      </c>
      <c r="F551" t="inlineStr">
        <is>
          <t>DALARNAS LÄN</t>
        </is>
      </c>
      <c r="G551" t="inlineStr">
        <is>
          <t>LUDVIKA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46289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45562</v>
      </c>
      <c r="E553" s="1" t="n">
        <v>46289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46289</v>
      </c>
      <c r="F554" t="inlineStr">
        <is>
          <t>DALARNAS LÄN</t>
        </is>
      </c>
      <c r="G554" t="inlineStr">
        <is>
          <t>LUDVIKA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45547-2024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45579</v>
      </c>
      <c r="E555" s="1" t="n">
        <v>46289</v>
      </c>
      <c r="F555" t="inlineStr">
        <is>
          <t>DALARNAS LÄN</t>
        </is>
      </c>
      <c r="G555" t="inlineStr">
        <is>
          <t>LUDVIKA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45860</v>
      </c>
      <c r="E556" s="1" t="n">
        <v>46289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41828-2025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45902</v>
      </c>
      <c r="E557" s="1" t="n">
        <v>46289</v>
      </c>
      <c r="F557" t="inlineStr">
        <is>
          <t>DALARNAS LÄN</t>
        </is>
      </c>
      <c r="G557" t="inlineStr">
        <is>
          <t>LUDVIKA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56996-2021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44482</v>
      </c>
      <c r="E558" s="1" t="n">
        <v>46289</v>
      </c>
      <c r="F558" t="inlineStr">
        <is>
          <t>DALARNAS LÄN</t>
        </is>
      </c>
      <c r="G558" t="inlineStr">
        <is>
          <t>LUDVIKA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44537-2024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46289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46289</v>
      </c>
      <c r="F560" t="inlineStr">
        <is>
          <t>DALARNAS LÄN</t>
        </is>
      </c>
      <c r="G560" t="inlineStr">
        <is>
          <t>LUDVIKA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47671-2024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45588</v>
      </c>
      <c r="E561" s="1" t="n">
        <v>46289</v>
      </c>
      <c r="F561" t="inlineStr">
        <is>
          <t>DALARNAS LÄN</t>
        </is>
      </c>
      <c r="G561" t="inlineStr">
        <is>
          <t>LUDVIKA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20789-2026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46141</v>
      </c>
      <c r="E562" s="1" t="n">
        <v>46289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3277-2024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45317</v>
      </c>
      <c r="E563" s="1" t="n">
        <v>46289</v>
      </c>
      <c r="F563" t="inlineStr">
        <is>
          <t>DALARNAS LÄN</t>
        </is>
      </c>
      <c r="G563" t="inlineStr">
        <is>
          <t>LUDVIKA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20778-2026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46289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12497-2024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45379</v>
      </c>
      <c r="E565" s="1" t="n">
        <v>46289</v>
      </c>
      <c r="F565" t="inlineStr">
        <is>
          <t>DALARNAS LÄN</t>
        </is>
      </c>
      <c r="G565" t="inlineStr">
        <is>
          <t>LUDVIKA</t>
        </is>
      </c>
      <c r="H565" t="inlineStr">
        <is>
          <t>Naturvårdsverket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45581</v>
      </c>
      <c r="E566" s="1" t="n">
        <v>46289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46289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20888-2026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46289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49805-2023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45212</v>
      </c>
      <c r="E569" s="1" t="n">
        <v>46289</v>
      </c>
      <c r="F569" t="inlineStr">
        <is>
          <t>DALARNAS LÄN</t>
        </is>
      </c>
      <c r="G569" t="inlineStr">
        <is>
          <t>LUDVIKA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46142</v>
      </c>
      <c r="E570" s="1" t="n">
        <v>46289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7683-2026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46289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61384-2024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45646</v>
      </c>
      <c r="E572" s="1" t="n">
        <v>46289</v>
      </c>
      <c r="F572" t="inlineStr">
        <is>
          <t>DALARNAS LÄN</t>
        </is>
      </c>
      <c r="G572" t="inlineStr">
        <is>
          <t>LUDVIKA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45317</v>
      </c>
      <c r="E573" s="1" t="n">
        <v>46289</v>
      </c>
      <c r="F573" t="inlineStr">
        <is>
          <t>DALARNAS LÄN</t>
        </is>
      </c>
      <c r="G573" t="inlineStr">
        <is>
          <t>LUDVIKA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46289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29780-2024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45485</v>
      </c>
      <c r="E575" s="1" t="n">
        <v>46289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14881-2025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46289</v>
      </c>
      <c r="F576" t="inlineStr">
        <is>
          <t>DALARNAS LÄN</t>
        </is>
      </c>
      <c r="G576" t="inlineStr">
        <is>
          <t>LUDVIKA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21345-2026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46289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21798-2026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46150</v>
      </c>
      <c r="E578" s="1" t="n">
        <v>46289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46150</v>
      </c>
      <c r="E579" s="1" t="n">
        <v>46289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46289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21891-2025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45784</v>
      </c>
      <c r="E581" s="1" t="n">
        <v>46289</v>
      </c>
      <c r="F581" t="inlineStr">
        <is>
          <t>DALARNAS LÄN</t>
        </is>
      </c>
      <c r="G581" t="inlineStr">
        <is>
          <t>LUDVIKA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21893-2025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45784</v>
      </c>
      <c r="E582" s="1" t="n">
        <v>46289</v>
      </c>
      <c r="F582" t="inlineStr">
        <is>
          <t>DALARNAS LÄN</t>
        </is>
      </c>
      <c r="G582" t="inlineStr">
        <is>
          <t>LUDVIKA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38359-2024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45545</v>
      </c>
      <c r="E583" s="1" t="n">
        <v>46289</v>
      </c>
      <c r="F583" t="inlineStr">
        <is>
          <t>DALARNAS LÄN</t>
        </is>
      </c>
      <c r="G583" t="inlineStr">
        <is>
          <t>LUDVIKA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55972-2025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45973</v>
      </c>
      <c r="E584" s="1" t="n">
        <v>46289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38446-2025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45883</v>
      </c>
      <c r="E585" s="1" t="n">
        <v>46289</v>
      </c>
      <c r="F585" t="inlineStr">
        <is>
          <t>DALARNAS LÄN</t>
        </is>
      </c>
      <c r="G585" t="inlineStr">
        <is>
          <t>LUDVIKA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42421-2024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45565</v>
      </c>
      <c r="E586" s="1" t="n">
        <v>46289</v>
      </c>
      <c r="F586" t="inlineStr">
        <is>
          <t>DALARNAS LÄN</t>
        </is>
      </c>
      <c r="G586" t="inlineStr">
        <is>
          <t>LUDVIKA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45460</v>
      </c>
      <c r="E587" s="1" t="n">
        <v>46289</v>
      </c>
      <c r="F587" t="inlineStr">
        <is>
          <t>DALARNAS LÄN</t>
        </is>
      </c>
      <c r="G587" t="inlineStr">
        <is>
          <t>LUDVIKA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53602-2023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45230</v>
      </c>
      <c r="E588" s="1" t="n">
        <v>46289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21002-2026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46142</v>
      </c>
      <c r="E589" s="1" t="n">
        <v>46289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8.9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22580-2026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46289</v>
      </c>
      <c r="F590" t="inlineStr">
        <is>
          <t>DALARNAS LÄN</t>
        </is>
      </c>
      <c r="G590" t="inlineStr">
        <is>
          <t>LUDVIKA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45679</v>
      </c>
      <c r="E591" s="1" t="n">
        <v>46289</v>
      </c>
      <c r="F591" t="inlineStr">
        <is>
          <t>DALARNAS LÄN</t>
        </is>
      </c>
      <c r="G591" t="inlineStr">
        <is>
          <t>LUDVIKA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46155</v>
      </c>
      <c r="E592" s="1" t="n">
        <v>46289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46289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46289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9.800000000000001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46289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16843-2026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46113</v>
      </c>
      <c r="E596" s="1" t="n">
        <v>46289</v>
      </c>
      <c r="F596" t="inlineStr">
        <is>
          <t>DALARNAS LÄN</t>
        </is>
      </c>
      <c r="G596" t="inlineStr">
        <is>
          <t>LUDVIKA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46160</v>
      </c>
      <c r="E597" s="1" t="n">
        <v>46289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22830-2026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46160</v>
      </c>
      <c r="E598" s="1" t="n">
        <v>46289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46161</v>
      </c>
      <c r="E599" s="1" t="n">
        <v>46289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23097-2025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46289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46167</v>
      </c>
      <c r="E601" s="1" t="n">
        <v>46289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45833</v>
      </c>
      <c r="E602" s="1" t="n">
        <v>46289</v>
      </c>
      <c r="F602" t="inlineStr">
        <is>
          <t>DALARNAS LÄN</t>
        </is>
      </c>
      <c r="G602" t="inlineStr">
        <is>
          <t>LUDVIKA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46289</v>
      </c>
      <c r="F603" t="inlineStr">
        <is>
          <t>DALARNAS LÄN</t>
        </is>
      </c>
      <c r="G603" t="inlineStr">
        <is>
          <t>LUDVIKA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46038</v>
      </c>
      <c r="E604" s="1" t="n">
        <v>46289</v>
      </c>
      <c r="F604" t="inlineStr">
        <is>
          <t>DALARNAS LÄN</t>
        </is>
      </c>
      <c r="G604" t="inlineStr">
        <is>
          <t>LUDVIKA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24768-2026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46171</v>
      </c>
      <c r="E605" s="1" t="n">
        <v>46289</v>
      </c>
      <c r="F605" t="inlineStr">
        <is>
          <t>DALARNAS LÄN</t>
        </is>
      </c>
      <c r="G605" t="inlineStr">
        <is>
          <t>LUDVIKA</t>
        </is>
      </c>
      <c r="H605" t="inlineStr">
        <is>
          <t>Naturvårdsverket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46171</v>
      </c>
      <c r="E606" s="1" t="n">
        <v>46289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46171</v>
      </c>
      <c r="E607" s="1" t="n">
        <v>46289</v>
      </c>
      <c r="F607" t="inlineStr">
        <is>
          <t>DALARNAS LÄN</t>
        </is>
      </c>
      <c r="G607" t="inlineStr">
        <is>
          <t>LUDVIKA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46289</v>
      </c>
      <c r="F608" t="inlineStr">
        <is>
          <t>DALARNAS LÄN</t>
        </is>
      </c>
      <c r="G608" t="inlineStr">
        <is>
          <t>LUDVIKA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46171</v>
      </c>
      <c r="E609" s="1" t="n">
        <v>46289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46289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46171</v>
      </c>
      <c r="E611" s="1" t="n">
        <v>46289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46171</v>
      </c>
      <c r="E612" s="1" t="n">
        <v>46289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23515-2026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46163</v>
      </c>
      <c r="E613" s="1" t="n">
        <v>46289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46171</v>
      </c>
      <c r="E614" s="1" t="n">
        <v>46289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25320-2026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46176</v>
      </c>
      <c r="E615" s="1" t="n">
        <v>46289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8.1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23917-2026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46289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49166-2025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45938</v>
      </c>
      <c r="E617" s="1" t="n">
        <v>46289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20104-2026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46136</v>
      </c>
      <c r="E618" s="1" t="n">
        <v>46289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20969-2026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46142</v>
      </c>
      <c r="E619" s="1" t="n">
        <v>46289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46183</v>
      </c>
      <c r="E620" s="1" t="n">
        <v>46289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46163</v>
      </c>
      <c r="E621" s="1" t="n">
        <v>46289</v>
      </c>
      <c r="F621" t="inlineStr">
        <is>
          <t>DALARNAS LÄN</t>
        </is>
      </c>
      <c r="G621" t="inlineStr">
        <is>
          <t>LUDVIKA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26888-2026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46289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17.5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26902-2026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46289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49669-2024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45596</v>
      </c>
      <c r="E624" s="1" t="n">
        <v>46289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46289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27609-2026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46190</v>
      </c>
      <c r="E626" s="1" t="n">
        <v>46289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46190</v>
      </c>
      <c r="E627" s="1" t="n">
        <v>46289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46289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46183</v>
      </c>
      <c r="E629" s="1" t="n">
        <v>46289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46289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27853-2026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46191</v>
      </c>
      <c r="E631" s="1" t="n">
        <v>46289</v>
      </c>
      <c r="F631" t="inlineStr">
        <is>
          <t>DALARNAS LÄN</t>
        </is>
      </c>
      <c r="G631" t="inlineStr">
        <is>
          <t>LUDVIKA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990-2026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46289</v>
      </c>
      <c r="F632" t="inlineStr">
        <is>
          <t>DALARNAS LÄN</t>
        </is>
      </c>
      <c r="G632" t="inlineStr">
        <is>
          <t>LUDVIKA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46160</v>
      </c>
      <c r="E633" s="1" t="n">
        <v>46289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21032-2026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46289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46289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22824-2026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46289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9.9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22806-2026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46160</v>
      </c>
      <c r="E637" s="1" t="n">
        <v>46289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22821-2026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46160</v>
      </c>
      <c r="E638" s="1" t="n">
        <v>46289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28714-2026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46289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46171</v>
      </c>
      <c r="E640" s="1" t="n">
        <v>46289</v>
      </c>
      <c r="F640" t="inlineStr">
        <is>
          <t>DALARNAS LÄN</t>
        </is>
      </c>
      <c r="G640" t="inlineStr">
        <is>
          <t>LUDVIKA</t>
        </is>
      </c>
      <c r="H640" t="inlineStr">
        <is>
          <t>Naturvårdsverket</t>
        </is>
      </c>
      <c r="I640" t="n">
        <v>10.4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46155</v>
      </c>
      <c r="E641" s="1" t="n">
        <v>46289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27608-2026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46190</v>
      </c>
      <c r="E642" s="1" t="n">
        <v>46289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46205</v>
      </c>
      <c r="E643" s="1" t="n">
        <v>46289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8.300000000000001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33419-2026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46247</v>
      </c>
      <c r="E644" s="1" t="n">
        <v>46289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46204</v>
      </c>
      <c r="E645" s="1" t="n">
        <v>46289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33397-2026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46247</v>
      </c>
      <c r="E646" s="1" t="n">
        <v>46289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33373-2026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46289</v>
      </c>
      <c r="F647" t="inlineStr">
        <is>
          <t>DALARNAS LÄN</t>
        </is>
      </c>
      <c r="G647" t="inlineStr">
        <is>
          <t>LUDVIKA</t>
        </is>
      </c>
      <c r="I647" t="n">
        <v>4.5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33689-2026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46248</v>
      </c>
      <c r="E648" s="1" t="n">
        <v>46289</v>
      </c>
      <c r="F648" t="inlineStr">
        <is>
          <t>DALARNAS LÄN</t>
        </is>
      </c>
      <c r="G648" t="inlineStr">
        <is>
          <t>LUDVIKA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46142</v>
      </c>
      <c r="E649" s="1" t="n">
        <v>46289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23871-2026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46167</v>
      </c>
      <c r="E650" s="1" t="n">
        <v>46289</v>
      </c>
      <c r="F650" t="inlineStr">
        <is>
          <t>DALARNAS LÄN</t>
        </is>
      </c>
      <c r="G650" t="inlineStr">
        <is>
          <t>LUDVIKA</t>
        </is>
      </c>
      <c r="H650" t="inlineStr">
        <is>
          <t>Kommuner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30106-2026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46289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30113-2026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46289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28062-2026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46195</v>
      </c>
      <c r="E653" s="1" t="n">
        <v>46289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34147-2026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46253</v>
      </c>
      <c r="E654" s="1" t="n">
        <v>46289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34558-2026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46255</v>
      </c>
      <c r="E655" s="1" t="n">
        <v>46289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34599-2026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46289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34550-2026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46289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34632-2026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46289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46289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34638-2026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46289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34631-2026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46289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28838-2026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46289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46289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28132-2026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46195</v>
      </c>
      <c r="E664" s="1" t="n">
        <v>46289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22276-2026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46154</v>
      </c>
      <c r="E665" s="1" t="n">
        <v>46289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28801-2026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46289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35101-2026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46260</v>
      </c>
      <c r="E667" s="1" t="n">
        <v>46289</v>
      </c>
      <c r="F667" t="inlineStr">
        <is>
          <t>DALARNAS LÄN</t>
        </is>
      </c>
      <c r="G667" t="inlineStr">
        <is>
          <t>LUDVIKA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35105-2026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46260</v>
      </c>
      <c r="E668" s="1" t="n">
        <v>46289</v>
      </c>
      <c r="F668" t="inlineStr">
        <is>
          <t>DALARNAS LÄN</t>
        </is>
      </c>
      <c r="G668" t="inlineStr">
        <is>
          <t>LUDVIKA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34780-2026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46258</v>
      </c>
      <c r="E669" s="1" t="n">
        <v>46289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46195</v>
      </c>
      <c r="E670" s="1" t="n">
        <v>46289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46289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28061-2026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46289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46260</v>
      </c>
      <c r="E673" s="1" t="n">
        <v>46289</v>
      </c>
      <c r="F673" t="inlineStr">
        <is>
          <t>DALARNAS LÄN</t>
        </is>
      </c>
      <c r="G673" t="inlineStr">
        <is>
          <t>LUDVIKA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35100-2026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46260</v>
      </c>
      <c r="E674" s="1" t="n">
        <v>46289</v>
      </c>
      <c r="F674" t="inlineStr">
        <is>
          <t>DALARNAS LÄN</t>
        </is>
      </c>
      <c r="G674" t="inlineStr">
        <is>
          <t>LUDVIKA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35179-2026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46260</v>
      </c>
      <c r="E675" s="1" t="n">
        <v>46289</v>
      </c>
      <c r="F675" t="inlineStr">
        <is>
          <t>DALARNAS LÄN</t>
        </is>
      </c>
      <c r="G675" t="inlineStr">
        <is>
          <t>LUDVIKA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35103-2026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46260</v>
      </c>
      <c r="E676" s="1" t="n">
        <v>46289</v>
      </c>
      <c r="F676" t="inlineStr">
        <is>
          <t>DALARNAS LÄN</t>
        </is>
      </c>
      <c r="G676" t="inlineStr">
        <is>
          <t>LUDVIKA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35104-2026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46260</v>
      </c>
      <c r="E677" s="1" t="n">
        <v>46289</v>
      </c>
      <c r="F677" t="inlineStr">
        <is>
          <t>DALARNAS LÄN</t>
        </is>
      </c>
      <c r="G677" t="inlineStr">
        <is>
          <t>LUDVIKA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28162-2026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46289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20973-2026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46142</v>
      </c>
      <c r="E679" s="1" t="n">
        <v>46289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46258</v>
      </c>
      <c r="E680" s="1" t="n">
        <v>46289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46289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28116-2026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46289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46289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4173-2025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45685</v>
      </c>
      <c r="E684" s="1" t="n">
        <v>46289</v>
      </c>
      <c r="F684" t="inlineStr">
        <is>
          <t>DALARNAS LÄN</t>
        </is>
      </c>
      <c r="G684" t="inlineStr">
        <is>
          <t>LUDVIKA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28045-2026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46289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46289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46289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31299-2026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46218</v>
      </c>
      <c r="E688" s="1" t="n">
        <v>46289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31350-2026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46219</v>
      </c>
      <c r="E689" s="1" t="n">
        <v>46289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35490-2026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46262</v>
      </c>
      <c r="E690" s="1" t="n">
        <v>46289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19.9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35648-2026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46265</v>
      </c>
      <c r="E691" s="1" t="n">
        <v>46289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35837-2026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46265</v>
      </c>
      <c r="E692" s="1" t="n">
        <v>46289</v>
      </c>
      <c r="F692" t="inlineStr">
        <is>
          <t>DALARNAS LÄN</t>
        </is>
      </c>
      <c r="G692" t="inlineStr">
        <is>
          <t>LUDVIKA</t>
        </is>
      </c>
      <c r="H692" t="inlineStr">
        <is>
          <t>Kyrkan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31393-2026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46220</v>
      </c>
      <c r="E693" s="1" t="n">
        <v>46289</v>
      </c>
      <c r="F693" t="inlineStr">
        <is>
          <t>DALARNAS LÄN</t>
        </is>
      </c>
      <c r="G693" t="inlineStr">
        <is>
          <t>LUDVIKA</t>
        </is>
      </c>
      <c r="H693" t="inlineStr">
        <is>
          <t>Naturvårdsverket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31646-2026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46225</v>
      </c>
      <c r="E694" s="1" t="n">
        <v>46289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46267</v>
      </c>
      <c r="E695" s="1" t="n">
        <v>46289</v>
      </c>
      <c r="F695" t="inlineStr">
        <is>
          <t>DALARNAS LÄN</t>
        </is>
      </c>
      <c r="G695" t="inlineStr">
        <is>
          <t>LUDVIKA</t>
        </is>
      </c>
      <c r="I695" t="n">
        <v>8.5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31776-2026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46230</v>
      </c>
      <c r="E696" s="1" t="n">
        <v>46289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36820-2026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46272</v>
      </c>
      <c r="E697" s="1" t="n">
        <v>46289</v>
      </c>
      <c r="F697" t="inlineStr">
        <is>
          <t>DALARNAS LÄN</t>
        </is>
      </c>
      <c r="G697" t="inlineStr">
        <is>
          <t>LUDVIKA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30210-2026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46289</v>
      </c>
      <c r="F698" t="inlineStr">
        <is>
          <t>DALARNAS LÄN</t>
        </is>
      </c>
      <c r="G698" t="inlineStr">
        <is>
          <t>LUDVIKA</t>
        </is>
      </c>
      <c r="H698" t="inlineStr">
        <is>
          <t>Naturvårdsverket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37052-2026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46273</v>
      </c>
      <c r="E699" s="1" t="n">
        <v>46289</v>
      </c>
      <c r="F699" t="inlineStr">
        <is>
          <t>DALARNAS LÄN</t>
        </is>
      </c>
      <c r="G699" t="inlineStr">
        <is>
          <t>LUDVIKA</t>
        </is>
      </c>
      <c r="I699" t="n">
        <v>8.5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31778-2026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46230</v>
      </c>
      <c r="E700" s="1" t="n">
        <v>46289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37015-2026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46273</v>
      </c>
      <c r="E701" s="1" t="n">
        <v>46289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37033-2026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46273</v>
      </c>
      <c r="E702" s="1" t="n">
        <v>46289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10.1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37000-2026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46273</v>
      </c>
      <c r="E703" s="1" t="n">
        <v>46289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36126-2026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46267</v>
      </c>
      <c r="E704" s="1" t="n">
        <v>46289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36073-2026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46267</v>
      </c>
      <c r="E705" s="1" t="n">
        <v>46289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37359-2026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46275</v>
      </c>
      <c r="E706" s="1" t="n">
        <v>46289</v>
      </c>
      <c r="F706" t="inlineStr">
        <is>
          <t>DALARNAS LÄN</t>
        </is>
      </c>
      <c r="G706" t="inlineStr">
        <is>
          <t>LUDVIKA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37350-2026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46275</v>
      </c>
      <c r="E707" s="1" t="n">
        <v>46289</v>
      </c>
      <c r="F707" t="inlineStr">
        <is>
          <t>DALARNAS LÄN</t>
        </is>
      </c>
      <c r="G707" t="inlineStr">
        <is>
          <t>LUDVIKA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37626-2026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46276</v>
      </c>
      <c r="E708" s="1" t="n">
        <v>46289</v>
      </c>
      <c r="F708" t="inlineStr">
        <is>
          <t>DALARNAS LÄN</t>
        </is>
      </c>
      <c r="G708" t="inlineStr">
        <is>
          <t>LUDVIKA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46289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37706-2026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46289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37719-2026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46279</v>
      </c>
      <c r="E711" s="1" t="n">
        <v>46289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32016-2026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46233</v>
      </c>
      <c r="E712" s="1" t="n">
        <v>46289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46280</v>
      </c>
      <c r="E713" s="1" t="n">
        <v>46289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7.7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46279</v>
      </c>
      <c r="E714" s="1" t="n">
        <v>46289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38160-2026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46281</v>
      </c>
      <c r="E715" s="1" t="n">
        <v>46289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38357-2026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46282</v>
      </c>
      <c r="E716" s="1" t="n">
        <v>46289</v>
      </c>
      <c r="F716" t="inlineStr">
        <is>
          <t>DALARNAS LÄN</t>
        </is>
      </c>
      <c r="G716" t="inlineStr">
        <is>
          <t>LUDVIKA</t>
        </is>
      </c>
      <c r="H716" t="inlineStr">
        <is>
          <t>Naturvårdsverket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2837-2023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45167</v>
      </c>
      <c r="E717" s="1" t="n">
        <v>46289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1122-2023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46289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3660-2023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45216</v>
      </c>
      <c r="E719" s="1" t="n">
        <v>46289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1246-2024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45400</v>
      </c>
      <c r="E720" s="1" t="n">
        <v>46289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35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1096-2024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45391</v>
      </c>
      <c r="E721" s="1" t="n">
        <v>46289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26.7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4863-2022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44805</v>
      </c>
      <c r="E722" s="1" t="n">
        <v>46289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1113-2023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46289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37.9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1815-2026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46190</v>
      </c>
      <c r="E724" s="1" t="n">
        <v>46289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2026-09-24T01:56:02Z</dcterms:created>
  <dcterms:modified xmlns:dcterms="http://purl.org/dc/terms/" xmlns:xsi="http://www.w3.org/2001/XMLSchema-instance" xsi:type="dcterms:W3CDTF">2026-09-24T01:56:03Z</dcterms:modified>
</cp:coreProperties>
</file>
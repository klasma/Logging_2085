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46326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46326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46326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46326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46326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46326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46326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46326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46326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46326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46326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37350-2026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46275</v>
      </c>
      <c r="E15" s="1" t="n">
        <v>46326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5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10</v>
      </c>
      <c r="T15" t="n">
        <v>12</v>
      </c>
      <c r="U15" t="n">
        <v>12</v>
      </c>
      <c r="V15" s="2" t="inlineStr">
        <is>
          <t>Gul pysslinglav
Talltita
Ullticka
Gulnål
Vedticka
Gråspett
Järpe
Linnea
Spillkråka
Tofsmes</t>
        </is>
      </c>
      <c r="W15">
        <f>HYPERLINK("https://klasma.github.io/Logging_2085/artfynd/A 37350-2026 artfynd.xlsx", "A 37350-2026")</f>
        <v/>
      </c>
      <c r="X15">
        <f>HYPERLINK("https://klasma.github.io/Logging_2085/kartor/A 37350-2026 karta.png", "A 37350-2026")</f>
        <v/>
      </c>
      <c r="Y15">
        <f>HYPERLINK("https://klasma.github.io/Logging_2085/kartor_geotiff/A 37350-2026 georefererad karta.tif", "A 37350-2026")</f>
        <v/>
      </c>
      <c r="AA15">
        <f>HYPERLINK("https://klasma.github.io/Logging_2085/klagomål/A 37350-2026 FSC-klagomål.docx", "A 37350-2026")</f>
        <v/>
      </c>
      <c r="AB15">
        <f>HYPERLINK("https://klasma.github.io/Logging_2085/klagomålsmail/A 37350-2026 FSC-klagomål mail.docx", "A 37350-2026")</f>
        <v/>
      </c>
      <c r="AC15">
        <f>HYPERLINK("https://klasma.github.io/Logging_2085/tillsyn/A 37350-2026 tillsynsbegäran.docx", "A 37350-2026")</f>
        <v/>
      </c>
      <c r="AD15">
        <f>HYPERLINK("https://klasma.github.io/Logging_2085/tillsynsmail/A 37350-2026 tillsynsbegäran mail.docx", "A 37350-2026")</f>
        <v/>
      </c>
      <c r="AE15">
        <f>HYPERLINK("https://klasma.github.io/Logging_2085/fåglar/A 37350-2026 prioriterade fågelarter.docx", "A 37350-2026")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46326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46326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46326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7214-2026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46058</v>
      </c>
      <c r="E19" s="1" t="n">
        <v>46326</v>
      </c>
      <c r="F19" t="inlineStr">
        <is>
          <t>DALARNAS LÄN</t>
        </is>
      </c>
      <c r="G19" t="inlineStr">
        <is>
          <t>LUDVIKA</t>
        </is>
      </c>
      <c r="I19" t="n">
        <v>4.2</v>
      </c>
      <c r="J19" t="n">
        <v>4</v>
      </c>
      <c r="K19" t="n">
        <v>2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23</v>
      </c>
      <c r="U19" t="n">
        <v>23</v>
      </c>
      <c r="V19" s="2" t="inlineStr">
        <is>
          <t>Knärot
Dropptaggsvamp
Rynkskinn
Talltita
Tretåig hackspett
Vedtrappmossa
Jättesvampmal
Thomsons trägnagare
Spillkråka</t>
        </is>
      </c>
      <c r="W19">
        <f>HYPERLINK("https://klasma.github.io/Logging_2085/artfynd/A 7214-2026 artfynd.xlsx", "A 7214-2026")</f>
        <v/>
      </c>
      <c r="X19">
        <f>HYPERLINK("https://klasma.github.io/Logging_2085/kartor/A 7214-2026 karta.png", "A 7214-2026")</f>
        <v/>
      </c>
      <c r="Y19">
        <f>HYPERLINK("https://klasma.github.io/Logging_2085/kartor_geotiff/A 7214-2026 georefererad karta.tif", "A 7214-2026")</f>
        <v/>
      </c>
      <c r="Z19">
        <f>HYPERLINK("https://klasma.github.io/Logging_2085/knärot/A 7214-2026 karta knärot.png", "A 7214-2026")</f>
        <v/>
      </c>
      <c r="AA19">
        <f>HYPERLINK("https://klasma.github.io/Logging_2085/klagomål/A 7214-2026 FSC-klagomål.docx", "A 7214-2026")</f>
        <v/>
      </c>
      <c r="AB19">
        <f>HYPERLINK("https://klasma.github.io/Logging_2085/klagomålsmail/A 7214-2026 FSC-klagomål mail.docx", "A 7214-2026")</f>
        <v/>
      </c>
      <c r="AC19">
        <f>HYPERLINK("https://klasma.github.io/Logging_2085/tillsyn/A 7214-2026 tillsynsbegäran.docx", "A 7214-2026")</f>
        <v/>
      </c>
      <c r="AD19">
        <f>HYPERLINK("https://klasma.github.io/Logging_2085/tillsynsmail/A 7214-2026 tillsynsbegäran mail.docx", "A 7214-2026")</f>
        <v/>
      </c>
      <c r="AE19">
        <f>HYPERLINK("https://klasma.github.io/Logging_2085/fåglar/A 7214-2026 prioriterade fågelarter.docx", "A 7214-2026")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46326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46326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46326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46326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46326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46326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46326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46326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46326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46326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46326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46326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46326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46326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46326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46326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23681-2026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46326</v>
      </c>
      <c r="F36" t="inlineStr">
        <is>
          <t>DALARNAS LÄN</t>
        </is>
      </c>
      <c r="G36" t="inlineStr">
        <is>
          <t>LUDVIKA</t>
        </is>
      </c>
      <c r="I36" t="n">
        <v>6.2</v>
      </c>
      <c r="J36" t="n">
        <v>3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6</v>
      </c>
      <c r="T36" t="n">
        <v>26</v>
      </c>
      <c r="U36" t="n">
        <v>26</v>
      </c>
      <c r="V36" s="2" t="inlineStr">
        <is>
          <t>Dropptaggsvamp
Tretåig hackspett
Blodticka
Mindre märgborre
Järpe
Spillkråka</t>
        </is>
      </c>
      <c r="W36">
        <f>HYPERLINK("https://klasma.github.io/Logging_2085/artfynd/A 23681-2026 artfynd.xlsx", "A 23681-2026")</f>
        <v/>
      </c>
      <c r="X36">
        <f>HYPERLINK("https://klasma.github.io/Logging_2085/kartor/A 23681-2026 karta.png", "A 23681-2026")</f>
        <v/>
      </c>
      <c r="Y36">
        <f>HYPERLINK("https://klasma.github.io/Logging_2085/kartor_geotiff/A 23681-2026 georefererad karta.tif", "A 23681-2026")</f>
        <v/>
      </c>
      <c r="AA36">
        <f>HYPERLINK("https://klasma.github.io/Logging_2085/klagomål/A 23681-2026 FSC-klagomål.docx", "A 23681-2026")</f>
        <v/>
      </c>
      <c r="AB36">
        <f>HYPERLINK("https://klasma.github.io/Logging_2085/klagomålsmail/A 23681-2026 FSC-klagomål mail.docx", "A 23681-2026")</f>
        <v/>
      </c>
      <c r="AC36">
        <f>HYPERLINK("https://klasma.github.io/Logging_2085/tillsyn/A 23681-2026 tillsynsbegäran.docx", "A 23681-2026")</f>
        <v/>
      </c>
      <c r="AD36">
        <f>HYPERLINK("https://klasma.github.io/Logging_2085/tillsynsmail/A 23681-2026 tillsynsbegäran mail.docx", "A 23681-2026")</f>
        <v/>
      </c>
      <c r="AE36">
        <f>HYPERLINK("https://klasma.github.io/Logging_2085/fåglar/A 23681-2026 prioriterade fågelarter.docx", "A 23681-2026")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46326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46326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63164-2025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46326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5</v>
      </c>
      <c r="T40" t="n">
        <v>7</v>
      </c>
      <c r="U40" t="n">
        <v>1</v>
      </c>
      <c r="V40" s="2" t="inlineStr">
        <is>
          <t>Garnlav
Doftskinn
Gammelgransskål
Vedskivlav
Tjäder</t>
        </is>
      </c>
      <c r="W40">
        <f>HYPERLINK("https://klasma.github.io/Logging_2085/artfynd/A 63164-2025 artfynd.xlsx", "A 63164-2025")</f>
        <v/>
      </c>
      <c r="X40">
        <f>HYPERLINK("https://klasma.github.io/Logging_2085/kartor/A 63164-2025 karta.png", "A 63164-2025")</f>
        <v/>
      </c>
      <c r="Y40">
        <f>HYPERLINK("https://klasma.github.io/Logging_2085/kartor_geotiff/A 63164-2025 georefererad karta.tif", "A 63164-2025")</f>
        <v/>
      </c>
      <c r="AA40">
        <f>HYPERLINK("https://klasma.github.io/Logging_2085/klagomål/A 63164-2025 FSC-klagomål.docx", "A 63164-2025")</f>
        <v/>
      </c>
      <c r="AB40">
        <f>HYPERLINK("https://klasma.github.io/Logging_2085/klagomålsmail/A 63164-2025 FSC-klagomål mail.docx", "A 63164-2025")</f>
        <v/>
      </c>
      <c r="AC40">
        <f>HYPERLINK("https://klasma.github.io/Logging_2085/tillsyn/A 63164-2025 tillsynsbegäran.docx", "A 63164-2025")</f>
        <v/>
      </c>
      <c r="AD40">
        <f>HYPERLINK("https://klasma.github.io/Logging_2085/tillsynsmail/A 63164-2025 tillsynsbegäran mail.docx", "A 63164-2025")</f>
        <v/>
      </c>
      <c r="AE40">
        <f>HYPERLINK("https://klasma.github.io/Logging_2085/fåglar/A 63164-2025 prioriterade fågelarter.docx", "A 63164-2025")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46326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46326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46326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46326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46326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46326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46326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46326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46326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46326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49676-2024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45596</v>
      </c>
      <c r="E51" s="1" t="n">
        <v>46326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3.5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8</v>
      </c>
      <c r="U51" t="n">
        <v>8</v>
      </c>
      <c r="V51" s="2" t="inlineStr">
        <is>
          <t>Garnlav
Dropptaggsvamp
Järpe
Spillkråka</t>
        </is>
      </c>
      <c r="W51">
        <f>HYPERLINK("https://klasma.github.io/Logging_2085/artfynd/A 49676-2024 artfynd.xlsx", "A 49676-2024")</f>
        <v/>
      </c>
      <c r="X51">
        <f>HYPERLINK("https://klasma.github.io/Logging_2085/kartor/A 49676-2024 karta.png", "A 49676-2024")</f>
        <v/>
      </c>
      <c r="Y51">
        <f>HYPERLINK("https://klasma.github.io/Logging_2085/kartor_geotiff/A 49676-2024 georefererad karta.tif", "A 49676-2024")</f>
        <v/>
      </c>
      <c r="AA51">
        <f>HYPERLINK("https://klasma.github.io/Logging_2085/klagomål/A 49676-2024 FSC-klagomål.docx", "A 49676-2024")</f>
        <v/>
      </c>
      <c r="AB51">
        <f>HYPERLINK("https://klasma.github.io/Logging_2085/klagomålsmail/A 49676-2024 FSC-klagomål mail.docx", "A 49676-2024")</f>
        <v/>
      </c>
      <c r="AC51">
        <f>HYPERLINK("https://klasma.github.io/Logging_2085/tillsyn/A 49676-2024 tillsynsbegäran.docx", "A 49676-2024")</f>
        <v/>
      </c>
      <c r="AD51">
        <f>HYPERLINK("https://klasma.github.io/Logging_2085/tillsynsmail/A 49676-2024 tillsynsbegäran mail.docx", "A 49676-2024")</f>
        <v/>
      </c>
      <c r="AE51">
        <f>HYPERLINK("https://klasma.github.io/Logging_2085/fåglar/A 49676-2024 prioriterade fågelarter.docx", "A 49676-2024")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46326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47044-2025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45929</v>
      </c>
      <c r="E53" s="1" t="n">
        <v>46326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2.7</v>
      </c>
      <c r="J53" t="n">
        <v>4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Duvhök
Tretåig hackspett
Järpe
Tjäder</t>
        </is>
      </c>
      <c r="W53">
        <f>HYPERLINK("https://klasma.github.io/Logging_2085/artfynd/A 47044-2025 artfynd.xlsx", "A 47044-2025")</f>
        <v/>
      </c>
      <c r="X53">
        <f>HYPERLINK("https://klasma.github.io/Logging_2085/kartor/A 47044-2025 karta.png", "A 47044-2025")</f>
        <v/>
      </c>
      <c r="Y53">
        <f>HYPERLINK("https://klasma.github.io/Logging_2085/kartor_geotiff/A 47044-2025 georefererad karta.tif", "A 47044-2025")</f>
        <v/>
      </c>
      <c r="AA53">
        <f>HYPERLINK("https://klasma.github.io/Logging_2085/klagomål/A 47044-2025 FSC-klagomål.docx", "A 47044-2025")</f>
        <v/>
      </c>
      <c r="AB53">
        <f>HYPERLINK("https://klasma.github.io/Logging_2085/klagomålsmail/A 47044-2025 FSC-klagomål mail.docx", "A 47044-2025")</f>
        <v/>
      </c>
      <c r="AC53">
        <f>HYPERLINK("https://klasma.github.io/Logging_2085/tillsyn/A 47044-2025 tillsynsbegäran.docx", "A 47044-2025")</f>
        <v/>
      </c>
      <c r="AD53">
        <f>HYPERLINK("https://klasma.github.io/Logging_2085/tillsynsmail/A 47044-2025 tillsynsbegäran mail.docx", "A 47044-2025")</f>
        <v/>
      </c>
      <c r="AE53">
        <f>HYPERLINK("https://klasma.github.io/Logging_2085/fåglar/A 47044-2025 prioriterade fågelarter.docx", "A 47044-2025")</f>
        <v/>
      </c>
    </row>
    <row r="54" ht="15" customHeight="1">
      <c r="A54" t="inlineStr">
        <is>
          <t>A 35101-2026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46260</v>
      </c>
      <c r="E54" s="1" t="n">
        <v>46326</v>
      </c>
      <c r="F54" t="inlineStr">
        <is>
          <t>DALARNAS LÄN</t>
        </is>
      </c>
      <c r="G54" t="inlineStr">
        <is>
          <t>LUDVIKA</t>
        </is>
      </c>
      <c r="I54" t="n">
        <v>2.3</v>
      </c>
      <c r="J54" t="n">
        <v>3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7</v>
      </c>
      <c r="U54" t="n">
        <v>7</v>
      </c>
      <c r="V54" s="2" t="inlineStr">
        <is>
          <t>Tretåig hackspett
Rödgul trumpetsvamp
Järpe
Spillkråka</t>
        </is>
      </c>
      <c r="W54">
        <f>HYPERLINK("https://klasma.github.io/Logging_2085/artfynd/A 35101-2026 artfynd.xlsx", "A 35101-2026")</f>
        <v/>
      </c>
      <c r="X54">
        <f>HYPERLINK("https://klasma.github.io/Logging_2085/kartor/A 35101-2026 karta.png", "A 35101-2026")</f>
        <v/>
      </c>
      <c r="Y54">
        <f>HYPERLINK("https://klasma.github.io/Logging_2085/kartor_geotiff/A 35101-2026 georefererad karta.tif", "A 35101-2026")</f>
        <v/>
      </c>
      <c r="AA54">
        <f>HYPERLINK("https://klasma.github.io/Logging_2085/klagomål/A 35101-2026 FSC-klagomål.docx", "A 35101-2026")</f>
        <v/>
      </c>
      <c r="AB54">
        <f>HYPERLINK("https://klasma.github.io/Logging_2085/klagomålsmail/A 35101-2026 FSC-klagomål mail.docx", "A 35101-2026")</f>
        <v/>
      </c>
      <c r="AC54">
        <f>HYPERLINK("https://klasma.github.io/Logging_2085/tillsyn/A 35101-2026 tillsynsbegäran.docx", "A 35101-2026")</f>
        <v/>
      </c>
      <c r="AD54">
        <f>HYPERLINK("https://klasma.github.io/Logging_2085/tillsynsmail/A 35101-2026 tillsynsbegäran mail.docx", "A 35101-2026")</f>
        <v/>
      </c>
      <c r="AE54">
        <f>HYPERLINK("https://klasma.github.io/Logging_2085/fåglar/A 35101-2026 prioriterade fågelarter.docx", "A 35101-2026")</f>
        <v/>
      </c>
    </row>
    <row r="55" ht="15" customHeight="1">
      <c r="A55" t="inlineStr">
        <is>
          <t>A 23682-2026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46163</v>
      </c>
      <c r="E55" s="1" t="n">
        <v>46326</v>
      </c>
      <c r="F55" t="inlineStr">
        <is>
          <t>DALARNAS LÄN</t>
        </is>
      </c>
      <c r="G55" t="inlineStr">
        <is>
          <t>LUDVIKA</t>
        </is>
      </c>
      <c r="I55" t="n">
        <v>3.9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Vårärt
Järpe
Spillkråka
Tjäder</t>
        </is>
      </c>
      <c r="W55">
        <f>HYPERLINK("https://klasma.github.io/Logging_2085/artfynd/A 23682-2026 artfynd.xlsx", "A 23682-2026")</f>
        <v/>
      </c>
      <c r="X55">
        <f>HYPERLINK("https://klasma.github.io/Logging_2085/kartor/A 23682-2026 karta.png", "A 23682-2026")</f>
        <v/>
      </c>
      <c r="Y55">
        <f>HYPERLINK("https://klasma.github.io/Logging_2085/kartor_geotiff/A 23682-2026 georefererad karta.tif", "A 23682-2026")</f>
        <v/>
      </c>
      <c r="AA55">
        <f>HYPERLINK("https://klasma.github.io/Logging_2085/klagomål/A 23682-2026 FSC-klagomål.docx", "A 23682-2026")</f>
        <v/>
      </c>
      <c r="AB55">
        <f>HYPERLINK("https://klasma.github.io/Logging_2085/klagomålsmail/A 23682-2026 FSC-klagomål mail.docx", "A 23682-2026")</f>
        <v/>
      </c>
      <c r="AC55">
        <f>HYPERLINK("https://klasma.github.io/Logging_2085/tillsyn/A 23682-2026 tillsynsbegäran.docx", "A 23682-2026")</f>
        <v/>
      </c>
      <c r="AD55">
        <f>HYPERLINK("https://klasma.github.io/Logging_2085/tillsynsmail/A 23682-2026 tillsynsbegäran mail.docx", "A 23682-2026")</f>
        <v/>
      </c>
      <c r="AE55">
        <f>HYPERLINK("https://klasma.github.io/Logging_2085/fåglar/A 23682-2026 prioriterade fågelarter.docx", "A 23682-2026")</f>
        <v/>
      </c>
    </row>
    <row r="56" ht="15" customHeight="1">
      <c r="A56" t="inlineStr">
        <is>
          <t>A 11705-2024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46326</v>
      </c>
      <c r="F56" t="inlineStr">
        <is>
          <t>DALARNAS LÄN</t>
        </is>
      </c>
      <c r="G56" t="inlineStr">
        <is>
          <t>LUDVIKA</t>
        </is>
      </c>
      <c r="I56" t="n">
        <v>35.4</v>
      </c>
      <c r="J56" t="n">
        <v>2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45</v>
      </c>
      <c r="U56" t="n">
        <v>45</v>
      </c>
      <c r="V56" s="2" t="inlineStr">
        <is>
          <t>Garnlav
Kortskaftad ärgspik
Tretåig hackspett
Spillkråka</t>
        </is>
      </c>
      <c r="W56">
        <f>HYPERLINK("https://klasma.github.io/Logging_2085/artfynd/A 11705-2024 artfynd.xlsx", "A 11705-2024")</f>
        <v/>
      </c>
      <c r="X56">
        <f>HYPERLINK("https://klasma.github.io/Logging_2085/kartor/A 11705-2024 karta.png", "A 11705-2024")</f>
        <v/>
      </c>
      <c r="Y56">
        <f>HYPERLINK("https://klasma.github.io/Logging_2085/kartor_geotiff/A 11705-2024 georefererad karta.tif", "A 11705-2024")</f>
        <v/>
      </c>
      <c r="AA56">
        <f>HYPERLINK("https://klasma.github.io/Logging_2085/klagomål/A 11705-2024 FSC-klagomål.docx", "A 11705-2024")</f>
        <v/>
      </c>
      <c r="AB56">
        <f>HYPERLINK("https://klasma.github.io/Logging_2085/klagomålsmail/A 11705-2024 FSC-klagomål mail.docx", "A 11705-2024")</f>
        <v/>
      </c>
      <c r="AC56">
        <f>HYPERLINK("https://klasma.github.io/Logging_2085/tillsyn/A 11705-2024 tillsynsbegäran.docx", "A 11705-2024")</f>
        <v/>
      </c>
      <c r="AD56">
        <f>HYPERLINK("https://klasma.github.io/Logging_2085/tillsynsmail/A 11705-2024 tillsynsbegäran mail.docx", "A 11705-2024")</f>
        <v/>
      </c>
      <c r="AE56">
        <f>HYPERLINK("https://klasma.github.io/Logging_2085/fåglar/A 11705-2024 prioriterade fågelarter.docx", "A 11705-2024")</f>
        <v/>
      </c>
    </row>
    <row r="57" ht="15" customHeight="1">
      <c r="A57" t="inlineStr">
        <is>
          <t>A 22589-2026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46155</v>
      </c>
      <c r="E57" s="1" t="n">
        <v>46326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3.7</v>
      </c>
      <c r="J57" t="n">
        <v>3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5</v>
      </c>
      <c r="U57" t="n">
        <v>5</v>
      </c>
      <c r="V57" s="2" t="inlineStr">
        <is>
          <t>Garnlav
Järpe
Spillkråka
Tjäder</t>
        </is>
      </c>
      <c r="W57">
        <f>HYPERLINK("https://klasma.github.io/Logging_2085/artfynd/A 22589-2026 artfynd.xlsx", "A 22589-2026")</f>
        <v/>
      </c>
      <c r="X57">
        <f>HYPERLINK("https://klasma.github.io/Logging_2085/kartor/A 22589-2026 karta.png", "A 22589-2026")</f>
        <v/>
      </c>
      <c r="Y57">
        <f>HYPERLINK("https://klasma.github.io/Logging_2085/kartor_geotiff/A 22589-2026 georefererad karta.tif", "A 22589-2026")</f>
        <v/>
      </c>
      <c r="AA57">
        <f>HYPERLINK("https://klasma.github.io/Logging_2085/klagomål/A 22589-2026 FSC-klagomål.docx", "A 22589-2026")</f>
        <v/>
      </c>
      <c r="AB57">
        <f>HYPERLINK("https://klasma.github.io/Logging_2085/klagomålsmail/A 22589-2026 FSC-klagomål mail.docx", "A 22589-2026")</f>
        <v/>
      </c>
      <c r="AC57">
        <f>HYPERLINK("https://klasma.github.io/Logging_2085/tillsyn/A 22589-2026 tillsynsbegäran.docx", "A 22589-2026")</f>
        <v/>
      </c>
      <c r="AD57">
        <f>HYPERLINK("https://klasma.github.io/Logging_2085/tillsynsmail/A 22589-2026 tillsynsbegäran mail.docx", "A 22589-2026")</f>
        <v/>
      </c>
      <c r="AE57">
        <f>HYPERLINK("https://klasma.github.io/Logging_2085/fåglar/A 22589-2026 prioriterade fågelarter.docx", "A 22589-2026")</f>
        <v/>
      </c>
    </row>
    <row r="58" ht="15" customHeight="1">
      <c r="A58" t="inlineStr">
        <is>
          <t>A 35100-2026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46326</v>
      </c>
      <c r="F58" t="inlineStr">
        <is>
          <t>DALARNAS LÄN</t>
        </is>
      </c>
      <c r="G58" t="inlineStr">
        <is>
          <t>LUDVIKA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8</v>
      </c>
      <c r="U58" t="n">
        <v>8</v>
      </c>
      <c r="V58" s="2" t="inlineStr">
        <is>
          <t>Knärot
Trådticka
Spillkråka
Sälg</t>
        </is>
      </c>
      <c r="W58">
        <f>HYPERLINK("https://klasma.github.io/Logging_2085/artfynd/A 35100-2026 artfynd.xlsx", "A 35100-2026")</f>
        <v/>
      </c>
      <c r="X58">
        <f>HYPERLINK("https://klasma.github.io/Logging_2085/kartor/A 35100-2026 karta.png", "A 35100-2026")</f>
        <v/>
      </c>
      <c r="Y58">
        <f>HYPERLINK("https://klasma.github.io/Logging_2085/kartor_geotiff/A 35100-2026 georefererad karta.tif", "A 35100-2026")</f>
        <v/>
      </c>
      <c r="Z58">
        <f>HYPERLINK("https://klasma.github.io/Logging_2085/knärot/A 35100-2026 karta knärot.png", "A 35100-2026")</f>
        <v/>
      </c>
      <c r="AA58">
        <f>HYPERLINK("https://klasma.github.io/Logging_2085/klagomål/A 35100-2026 FSC-klagomål.docx", "A 35100-2026")</f>
        <v/>
      </c>
      <c r="AB58">
        <f>HYPERLINK("https://klasma.github.io/Logging_2085/klagomålsmail/A 35100-2026 FSC-klagomål mail.docx", "A 35100-2026")</f>
        <v/>
      </c>
      <c r="AC58">
        <f>HYPERLINK("https://klasma.github.io/Logging_2085/tillsyn/A 35100-2026 tillsynsbegäran.docx", "A 35100-2026")</f>
        <v/>
      </c>
      <c r="AD58">
        <f>HYPERLINK("https://klasma.github.io/Logging_2085/tillsynsmail/A 35100-2026 tillsynsbegäran mail.docx", "A 35100-2026")</f>
        <v/>
      </c>
      <c r="AE58">
        <f>HYPERLINK("https://klasma.github.io/Logging_2085/fåglar/A 35100-2026 prioriterade fågelarter.docx", "A 35100-2026")</f>
        <v/>
      </c>
    </row>
    <row r="59" ht="15" customHeight="1">
      <c r="A59" t="inlineStr">
        <is>
          <t>A 38635-2026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46283</v>
      </c>
      <c r="E59" s="1" t="n">
        <v>46326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2.2</v>
      </c>
      <c r="J59" t="n">
        <v>0</v>
      </c>
      <c r="K59" t="n">
        <v>3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Lunglav
Mörk husmossa
Vedticka
Vågbandad barkbock</t>
        </is>
      </c>
      <c r="W59">
        <f>HYPERLINK("https://klasma.github.io/Logging_2085/artfynd/A 38635-2026 artfynd.xlsx", "A 38635-2026")</f>
        <v/>
      </c>
      <c r="X59">
        <f>HYPERLINK("https://klasma.github.io/Logging_2085/kartor/A 38635-2026 karta.png", "A 38635-2026")</f>
        <v/>
      </c>
      <c r="Y59">
        <f>HYPERLINK("https://klasma.github.io/Logging_2085/kartor_geotiff/A 38635-2026 georefererad karta.tif", "A 38635-2026")</f>
        <v/>
      </c>
      <c r="AA59">
        <f>HYPERLINK("https://klasma.github.io/Logging_2085/klagomål/A 38635-2026 FSC-klagomål.docx", "A 38635-2026")</f>
        <v/>
      </c>
      <c r="AB59">
        <f>HYPERLINK("https://klasma.github.io/Logging_2085/klagomålsmail/A 38635-2026 FSC-klagomål mail.docx", "A 38635-2026")</f>
        <v/>
      </c>
      <c r="AC59">
        <f>HYPERLINK("https://klasma.github.io/Logging_2085/tillsyn/A 38635-2026 tillsynsbegäran.docx", "A 38635-2026")</f>
        <v/>
      </c>
      <c r="AD59">
        <f>HYPERLINK("https://klasma.github.io/Logging_2085/tillsynsmail/A 38635-2026 tillsynsbegäran mail.docx", "A 38635-2026")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46326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46326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46326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46326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46326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23087-2025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45791</v>
      </c>
      <c r="E65" s="1" t="n">
        <v>46326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0.9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Dropptaggsvamp
Motaggsvamp
Orange taggsvamp</t>
        </is>
      </c>
      <c r="W65">
        <f>HYPERLINK("https://klasma.github.io/Logging_2085/artfynd/A 23087-2025 artfynd.xlsx", "A 23087-2025")</f>
        <v/>
      </c>
      <c r="X65">
        <f>HYPERLINK("https://klasma.github.io/Logging_2085/kartor/A 23087-2025 karta.png", "A 23087-2025")</f>
        <v/>
      </c>
      <c r="Y65">
        <f>HYPERLINK("https://klasma.github.io/Logging_2085/kartor_geotiff/A 23087-2025 georefererad karta.tif", "A 23087-2025")</f>
        <v/>
      </c>
      <c r="AA65">
        <f>HYPERLINK("https://klasma.github.io/Logging_2085/klagomål/A 23087-2025 FSC-klagomål.docx", "A 23087-2025")</f>
        <v/>
      </c>
      <c r="AB65">
        <f>HYPERLINK("https://klasma.github.io/Logging_2085/klagomålsmail/A 23087-2025 FSC-klagomål mail.docx", "A 23087-2025")</f>
        <v/>
      </c>
      <c r="AC65">
        <f>HYPERLINK("https://klasma.github.io/Logging_2085/tillsyn/A 23087-2025 tillsynsbegäran.docx", "A 23087-2025")</f>
        <v/>
      </c>
      <c r="AD65">
        <f>HYPERLINK("https://klasma.github.io/Logging_2085/tillsynsmail/A 23087-2025 tillsynsbegäran mail.docx", "A 23087-2025")</f>
        <v/>
      </c>
    </row>
    <row r="66" ht="15" customHeight="1">
      <c r="A66" t="inlineStr">
        <is>
          <t>A 24425-2026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46168</v>
      </c>
      <c r="E66" s="1" t="n">
        <v>46326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5.6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Tretåig hackspett
Spillkråka
Sälg</t>
        </is>
      </c>
      <c r="W66">
        <f>HYPERLINK("https://klasma.github.io/Logging_2085/artfynd/A 24425-2026 artfynd.xlsx", "A 24425-2026")</f>
        <v/>
      </c>
      <c r="X66">
        <f>HYPERLINK("https://klasma.github.io/Logging_2085/kartor/A 24425-2026 karta.png", "A 24425-2026")</f>
        <v/>
      </c>
      <c r="Y66">
        <f>HYPERLINK("https://klasma.github.io/Logging_2085/kartor_geotiff/A 24425-2026 georefererad karta.tif", "A 24425-2026")</f>
        <v/>
      </c>
      <c r="AA66">
        <f>HYPERLINK("https://klasma.github.io/Logging_2085/klagomål/A 24425-2026 FSC-klagomål.docx", "A 24425-2026")</f>
        <v/>
      </c>
      <c r="AB66">
        <f>HYPERLINK("https://klasma.github.io/Logging_2085/klagomålsmail/A 24425-2026 FSC-klagomål mail.docx", "A 24425-2026")</f>
        <v/>
      </c>
      <c r="AC66">
        <f>HYPERLINK("https://klasma.github.io/Logging_2085/tillsyn/A 24425-2026 tillsynsbegäran.docx", "A 24425-2026")</f>
        <v/>
      </c>
      <c r="AD66">
        <f>HYPERLINK("https://klasma.github.io/Logging_2085/tillsynsmail/A 24425-2026 tillsynsbegäran mail.docx", "A 24425-2026")</f>
        <v/>
      </c>
      <c r="AE66">
        <f>HYPERLINK("https://klasma.github.io/Logging_2085/fåglar/A 24425-2026 prioriterade fågelarter.docx", "A 24425-2026")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46326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46326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49051-2024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46326</v>
      </c>
      <c r="F69" t="inlineStr">
        <is>
          <t>DALARNAS LÄN</t>
        </is>
      </c>
      <c r="G69" t="inlineStr">
        <is>
          <t>LUDVIKA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2</v>
      </c>
      <c r="O69" t="n">
        <v>0</v>
      </c>
      <c r="P69" t="n">
        <v>0</v>
      </c>
      <c r="Q69" t="n">
        <v>2</v>
      </c>
      <c r="R69" t="n">
        <v>2</v>
      </c>
      <c r="S69" t="n">
        <v>2</v>
      </c>
      <c r="T69" t="n">
        <v>2</v>
      </c>
      <c r="U69" t="n">
        <v>0</v>
      </c>
      <c r="V69" s="2" t="inlineStr">
        <is>
          <t>Ladparasitspik
Vedkastanjelav</t>
        </is>
      </c>
      <c r="W69">
        <f>HYPERLINK("https://klasma.github.io/Logging_2085/artfynd/A 49051-2024 artfynd.xlsx", "A 49051-2024")</f>
        <v/>
      </c>
      <c r="X69">
        <f>HYPERLINK("https://klasma.github.io/Logging_2085/kartor/A 49051-2024 karta.png", "A 49051-2024")</f>
        <v/>
      </c>
      <c r="Y69">
        <f>HYPERLINK("https://klasma.github.io/Logging_2085/kartor_geotiff/A 49051-2024 georefererad karta.tif", "A 49051-2024")</f>
        <v/>
      </c>
      <c r="AA69">
        <f>HYPERLINK("https://klasma.github.io/Logging_2085/klagomål/A 49051-2024 FSC-klagomål.docx", "A 49051-2024")</f>
        <v/>
      </c>
      <c r="AB69">
        <f>HYPERLINK("https://klasma.github.io/Logging_2085/klagomålsmail/A 49051-2024 FSC-klagomål mail.docx", "A 49051-2024")</f>
        <v/>
      </c>
      <c r="AC69">
        <f>HYPERLINK("https://klasma.github.io/Logging_2085/tillsyn/A 49051-2024 tillsynsbegäran.docx", "A 49051-2024")</f>
        <v/>
      </c>
      <c r="AD69">
        <f>HYPERLINK("https://klasma.github.io/Logging_2085/tillsynsmail/A 49051-2024 tillsynsbegäran mail.docx", "A 49051-2024")</f>
        <v/>
      </c>
    </row>
    <row r="70" ht="15" customHeight="1">
      <c r="A70" t="inlineStr">
        <is>
          <t>A 51886-2022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46326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1.8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Brun gräsfjäril
Tvåblad</t>
        </is>
      </c>
      <c r="W70">
        <f>HYPERLINK("https://klasma.github.io/Logging_2085/artfynd/A 51886-2022 artfynd.xlsx", "A 51886-2022")</f>
        <v/>
      </c>
      <c r="X70">
        <f>HYPERLINK("https://klasma.github.io/Logging_2085/kartor/A 51886-2022 karta.png", "A 51886-2022")</f>
        <v/>
      </c>
      <c r="Y70">
        <f>HYPERLINK("https://klasma.github.io/Logging_2085/kartor_geotiff/A 51886-2022 georefererad karta.tif", "A 51886-2022")</f>
        <v/>
      </c>
      <c r="AA70">
        <f>HYPERLINK("https://klasma.github.io/Logging_2085/klagomål/A 51886-2022 FSC-klagomål.docx", "A 51886-2022")</f>
        <v/>
      </c>
      <c r="AB70">
        <f>HYPERLINK("https://klasma.github.io/Logging_2085/klagomålsmail/A 51886-2022 FSC-klagomål mail.docx", "A 51886-2022")</f>
        <v/>
      </c>
      <c r="AC70">
        <f>HYPERLINK("https://klasma.github.io/Logging_2085/tillsyn/A 51886-2022 tillsynsbegäran.docx", "A 51886-2022")</f>
        <v/>
      </c>
      <c r="AD70">
        <f>HYPERLINK("https://klasma.github.io/Logging_2085/tillsynsmail/A 51886-2022 tillsynsbegäran mail.docx", "A 51886-2022")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46326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46326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21369-2023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45063</v>
      </c>
      <c r="E73" s="1" t="n">
        <v>46326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0.4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Skogsalm
Tibast</t>
        </is>
      </c>
      <c r="W73">
        <f>HYPERLINK("https://klasma.github.io/Logging_2085/artfynd/A 21369-2023 artfynd.xlsx", "A 21369-2023")</f>
        <v/>
      </c>
      <c r="X73">
        <f>HYPERLINK("https://klasma.github.io/Logging_2085/kartor/A 21369-2023 karta.png", "A 21369-2023")</f>
        <v/>
      </c>
      <c r="Y73">
        <f>HYPERLINK("https://klasma.github.io/Logging_2085/kartor_geotiff/A 21369-2023 georefererad karta.tif", "A 21369-2023")</f>
        <v/>
      </c>
      <c r="AA73">
        <f>HYPERLINK("https://klasma.github.io/Logging_2085/klagomål/A 21369-2023 FSC-klagomål.docx", "A 21369-2023")</f>
        <v/>
      </c>
      <c r="AB73">
        <f>HYPERLINK("https://klasma.github.io/Logging_2085/klagomålsmail/A 21369-2023 FSC-klagomål mail.docx", "A 21369-2023")</f>
        <v/>
      </c>
      <c r="AC73">
        <f>HYPERLINK("https://klasma.github.io/Logging_2085/tillsyn/A 21369-2023 tillsynsbegäran.docx", "A 21369-2023")</f>
        <v/>
      </c>
      <c r="AD73">
        <f>HYPERLINK("https://klasma.github.io/Logging_2085/tillsynsmail/A 21369-2023 tillsynsbegäran mail.docx", "A 21369-2023")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46326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46326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50170-2025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46326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Labyrintlav
Gulnål</t>
        </is>
      </c>
      <c r="W76">
        <f>HYPERLINK("https://klasma.github.io/Logging_2085/artfynd/A 50170-2025 artfynd.xlsx", "A 50170-2025")</f>
        <v/>
      </c>
      <c r="X76">
        <f>HYPERLINK("https://klasma.github.io/Logging_2085/kartor/A 50170-2025 karta.png", "A 50170-2025")</f>
        <v/>
      </c>
      <c r="Y76">
        <f>HYPERLINK("https://klasma.github.io/Logging_2085/kartor_geotiff/A 50170-2025 georefererad karta.tif", "A 50170-2025")</f>
        <v/>
      </c>
      <c r="AA76">
        <f>HYPERLINK("https://klasma.github.io/Logging_2085/klagomål/A 50170-2025 FSC-klagomål.docx", "A 50170-2025")</f>
        <v/>
      </c>
      <c r="AB76">
        <f>HYPERLINK("https://klasma.github.io/Logging_2085/klagomålsmail/A 50170-2025 FSC-klagomål mail.docx", "A 50170-2025")</f>
        <v/>
      </c>
      <c r="AC76">
        <f>HYPERLINK("https://klasma.github.io/Logging_2085/tillsyn/A 50170-2025 tillsynsbegäran.docx", "A 50170-2025")</f>
        <v/>
      </c>
      <c r="AD76">
        <f>HYPERLINK("https://klasma.github.io/Logging_2085/tillsynsmail/A 50170-2025 tillsynsbegäran mail.docx", "A 50170-2025")</f>
        <v/>
      </c>
    </row>
    <row r="77" ht="15" customHeight="1">
      <c r="A77" t="inlineStr">
        <is>
          <t>A 62275-2022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46326</v>
      </c>
      <c r="F77" t="inlineStr">
        <is>
          <t>DALARNAS LÄN</t>
        </is>
      </c>
      <c r="G77" t="inlineStr">
        <is>
          <t>LUDVIKA</t>
        </is>
      </c>
      <c r="I77" t="n">
        <v>4.6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5</v>
      </c>
      <c r="U77" t="n">
        <v>5</v>
      </c>
      <c r="V77" s="2" t="inlineStr">
        <is>
          <t>Knärot
Brunklöver</t>
        </is>
      </c>
      <c r="W77">
        <f>HYPERLINK("https://klasma.github.io/Logging_2085/artfynd/A 62275-2022 artfynd.xlsx", "A 62275-2022")</f>
        <v/>
      </c>
      <c r="X77">
        <f>HYPERLINK("https://klasma.github.io/Logging_2085/kartor/A 62275-2022 karta.png", "A 62275-2022")</f>
        <v/>
      </c>
      <c r="Y77">
        <f>HYPERLINK("https://klasma.github.io/Logging_2085/kartor_geotiff/A 62275-2022 georefererad karta.tif", "A 62275-2022")</f>
        <v/>
      </c>
      <c r="Z77">
        <f>HYPERLINK("https://klasma.github.io/Logging_2085/knärot/A 62275-2022 karta knärot.png", "A 62275-2022")</f>
        <v/>
      </c>
      <c r="AA77">
        <f>HYPERLINK("https://klasma.github.io/Logging_2085/klagomål/A 62275-2022 FSC-klagomål.docx", "A 62275-2022")</f>
        <v/>
      </c>
      <c r="AB77">
        <f>HYPERLINK("https://klasma.github.io/Logging_2085/klagomålsmail/A 62275-2022 FSC-klagomål mail.docx", "A 62275-2022")</f>
        <v/>
      </c>
      <c r="AC77">
        <f>HYPERLINK("https://klasma.github.io/Logging_2085/tillsyn/A 62275-2022 tillsynsbegäran.docx", "A 62275-2022")</f>
        <v/>
      </c>
      <c r="AD77">
        <f>HYPERLINK("https://klasma.github.io/Logging_2085/tillsynsmail/A 62275-2022 tillsynsbegäran mail.docx", "A 62275-2022")</f>
        <v/>
      </c>
    </row>
    <row r="78" ht="15" customHeight="1">
      <c r="A78" t="inlineStr">
        <is>
          <t>A 56179-2025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46326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2.8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Gultoppig fingersvamp
Kortskaftad ärgspik</t>
        </is>
      </c>
      <c r="W78">
        <f>HYPERLINK("https://klasma.github.io/Logging_2085/artfynd/A 56179-2025 artfynd.xlsx", "A 56179-2025")</f>
        <v/>
      </c>
      <c r="X78">
        <f>HYPERLINK("https://klasma.github.io/Logging_2085/kartor/A 56179-2025 karta.png", "A 56179-2025")</f>
        <v/>
      </c>
      <c r="Y78">
        <f>HYPERLINK("https://klasma.github.io/Logging_2085/kartor_geotiff/A 56179-2025 georefererad karta.tif", "A 56179-2025")</f>
        <v/>
      </c>
      <c r="Z78">
        <f>HYPERLINK("https://klasma.github.io/Logging_2085/knärot/A 56179-2025 karta knärot.png", "A 56179-2025")</f>
        <v/>
      </c>
      <c r="AA78">
        <f>HYPERLINK("https://klasma.github.io/Logging_2085/klagomål/A 56179-2025 FSC-klagomål.docx", "A 56179-2025")</f>
        <v/>
      </c>
      <c r="AB78">
        <f>HYPERLINK("https://klasma.github.io/Logging_2085/klagomålsmail/A 56179-2025 FSC-klagomål mail.docx", "A 56179-2025")</f>
        <v/>
      </c>
      <c r="AC78">
        <f>HYPERLINK("https://klasma.github.io/Logging_2085/tillsyn/A 56179-2025 tillsynsbegäran.docx", "A 56179-2025")</f>
        <v/>
      </c>
      <c r="AD78">
        <f>HYPERLINK("https://klasma.github.io/Logging_2085/tillsynsmail/A 56179-2025 tillsynsbegäran mail.docx", "A 56179-2025")</f>
        <v/>
      </c>
    </row>
    <row r="79" ht="15" customHeight="1">
      <c r="A79" t="inlineStr">
        <is>
          <t>A 11755-2023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44994</v>
      </c>
      <c r="E79" s="1" t="n">
        <v>46326</v>
      </c>
      <c r="F79" t="inlineStr">
        <is>
          <t>DALARNAS LÄN</t>
        </is>
      </c>
      <c r="G79" t="inlineStr">
        <is>
          <t>LUDVIKA</t>
        </is>
      </c>
      <c r="H79" t="inlineStr">
        <is>
          <t>Övriga Aktiebolag</t>
        </is>
      </c>
      <c r="I79" t="n">
        <v>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Garnlav
Spillkråka</t>
        </is>
      </c>
      <c r="W79">
        <f>HYPERLINK("https://klasma.github.io/Logging_2085/artfynd/A 11755-2023 artfynd.xlsx", "A 11755-2023")</f>
        <v/>
      </c>
      <c r="X79">
        <f>HYPERLINK("https://klasma.github.io/Logging_2085/kartor/A 11755-2023 karta.png", "A 11755-2023")</f>
        <v/>
      </c>
      <c r="Y79">
        <f>HYPERLINK("https://klasma.github.io/Logging_2085/kartor_geotiff/A 11755-2023 georefererad karta.tif", "A 11755-2023")</f>
        <v/>
      </c>
      <c r="AA79">
        <f>HYPERLINK("https://klasma.github.io/Logging_2085/klagomål/A 11755-2023 FSC-klagomål.docx", "A 11755-2023")</f>
        <v/>
      </c>
      <c r="AB79">
        <f>HYPERLINK("https://klasma.github.io/Logging_2085/klagomålsmail/A 11755-2023 FSC-klagomål mail.docx", "A 11755-2023")</f>
        <v/>
      </c>
      <c r="AC79">
        <f>HYPERLINK("https://klasma.github.io/Logging_2085/tillsyn/A 11755-2023 tillsynsbegäran.docx", "A 11755-2023")</f>
        <v/>
      </c>
      <c r="AD79">
        <f>HYPERLINK("https://klasma.github.io/Logging_2085/tillsynsmail/A 11755-2023 tillsynsbegäran mail.docx", "A 11755-2023")</f>
        <v/>
      </c>
      <c r="AE79">
        <f>HYPERLINK("https://klasma.github.io/Logging_2085/fåglar/A 11755-2023 prioriterade fågelarter.docx", "A 11755-2023")</f>
        <v/>
      </c>
    </row>
    <row r="80" ht="15" customHeight="1">
      <c r="A80" t="inlineStr">
        <is>
          <t>A 56879-2025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46326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Tjäder</t>
        </is>
      </c>
      <c r="W80">
        <f>HYPERLINK("https://klasma.github.io/Logging_2085/artfynd/A 56879-2025 artfynd.xlsx", "A 56879-2025")</f>
        <v/>
      </c>
      <c r="X80">
        <f>HYPERLINK("https://klasma.github.io/Logging_2085/kartor/A 56879-2025 karta.png", "A 56879-2025")</f>
        <v/>
      </c>
      <c r="Y80">
        <f>HYPERLINK("https://klasma.github.io/Logging_2085/kartor_geotiff/A 56879-2025 georefererad karta.tif", "A 56879-2025")</f>
        <v/>
      </c>
      <c r="AA80">
        <f>HYPERLINK("https://klasma.github.io/Logging_2085/klagomål/A 56879-2025 FSC-klagomål.docx", "A 56879-2025")</f>
        <v/>
      </c>
      <c r="AB80">
        <f>HYPERLINK("https://klasma.github.io/Logging_2085/klagomålsmail/A 56879-2025 FSC-klagomål mail.docx", "A 56879-2025")</f>
        <v/>
      </c>
      <c r="AC80">
        <f>HYPERLINK("https://klasma.github.io/Logging_2085/tillsyn/A 56879-2025 tillsynsbegäran.docx", "A 56879-2025")</f>
        <v/>
      </c>
      <c r="AD80">
        <f>HYPERLINK("https://klasma.github.io/Logging_2085/tillsynsmail/A 56879-2025 tillsynsbegäran mail.docx", "A 56879-2025")</f>
        <v/>
      </c>
      <c r="AE80">
        <f>HYPERLINK("https://klasma.github.io/Logging_2085/fåglar/A 56879-2025 prioriterade fågelarter.docx", "A 56879-2025")</f>
        <v/>
      </c>
    </row>
    <row r="81" ht="15" customHeight="1">
      <c r="A81" t="inlineStr">
        <is>
          <t>A 3809-2024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46326</v>
      </c>
      <c r="F81" t="inlineStr">
        <is>
          <t>DALARNAS LÄN</t>
        </is>
      </c>
      <c r="G81" t="inlineStr">
        <is>
          <t>LUDVIKA</t>
        </is>
      </c>
      <c r="I81" t="n">
        <v>0.5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8</v>
      </c>
      <c r="U81" t="n">
        <v>8</v>
      </c>
      <c r="V81" s="2" t="inlineStr">
        <is>
          <t>Nordfladdermus
Fläcknycklar</t>
        </is>
      </c>
      <c r="W81">
        <f>HYPERLINK("https://klasma.github.io/Logging_2085/artfynd/A 3809-2024 artfynd.xlsx", "A 3809-2024")</f>
        <v/>
      </c>
      <c r="X81">
        <f>HYPERLINK("https://klasma.github.io/Logging_2085/kartor/A 3809-2024 karta.png", "A 3809-2024")</f>
        <v/>
      </c>
      <c r="Y81">
        <f>HYPERLINK("https://klasma.github.io/Logging_2085/kartor_geotiff/A 3809-2024 georefererad karta.tif", "A 3809-2024")</f>
        <v/>
      </c>
      <c r="AA81">
        <f>HYPERLINK("https://klasma.github.io/Logging_2085/klagomål/A 3809-2024 FSC-klagomål.docx", "A 3809-2024")</f>
        <v/>
      </c>
      <c r="AB81">
        <f>HYPERLINK("https://klasma.github.io/Logging_2085/klagomålsmail/A 3809-2024 FSC-klagomål mail.docx", "A 3809-2024")</f>
        <v/>
      </c>
      <c r="AC81">
        <f>HYPERLINK("https://klasma.github.io/Logging_2085/tillsyn/A 3809-2024 tillsynsbegäran.docx", "A 3809-2024")</f>
        <v/>
      </c>
      <c r="AD81">
        <f>HYPERLINK("https://klasma.github.io/Logging_2085/tillsynsmail/A 3809-2024 tillsynsbegäran mail.docx", "A 3809-2024")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46326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46326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28727-2026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46326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14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Mindre märgborre</t>
        </is>
      </c>
      <c r="W84">
        <f>HYPERLINK("https://klasma.github.io/Logging_2085/artfynd/A 28727-2026 artfynd.xlsx", "A 28727-2026")</f>
        <v/>
      </c>
      <c r="X84">
        <f>HYPERLINK("https://klasma.github.io/Logging_2085/kartor/A 28727-2026 karta.png", "A 28727-2026")</f>
        <v/>
      </c>
      <c r="Y84">
        <f>HYPERLINK("https://klasma.github.io/Logging_2085/kartor_geotiff/A 28727-2026 georefererad karta.tif", "A 28727-2026")</f>
        <v/>
      </c>
      <c r="AA84">
        <f>HYPERLINK("https://klasma.github.io/Logging_2085/klagomål/A 28727-2026 FSC-klagomål.docx", "A 28727-2026")</f>
        <v/>
      </c>
      <c r="AB84">
        <f>HYPERLINK("https://klasma.github.io/Logging_2085/klagomålsmail/A 28727-2026 FSC-klagomål mail.docx", "A 28727-2026")</f>
        <v/>
      </c>
      <c r="AC84">
        <f>HYPERLINK("https://klasma.github.io/Logging_2085/tillsyn/A 28727-2026 tillsynsbegäran.docx", "A 28727-2026")</f>
        <v/>
      </c>
      <c r="AD84">
        <f>HYPERLINK("https://klasma.github.io/Logging_2085/tillsynsmail/A 28727-2026 tillsynsbegäran mail.docx", "A 28727-2026")</f>
        <v/>
      </c>
    </row>
    <row r="85" ht="15" customHeight="1">
      <c r="A85" t="inlineStr">
        <is>
          <t>A 55399-2025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45971</v>
      </c>
      <c r="E85" s="1" t="n">
        <v>46326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11.5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HYPERLINK("https://klasma.github.io/Logging_2085/artfynd/A 55399-2025 artfynd.xlsx", "A 55399-2025")</f>
        <v/>
      </c>
      <c r="X85">
        <f>HYPERLINK("https://klasma.github.io/Logging_2085/kartor/A 55399-2025 karta.png", "A 55399-2025")</f>
        <v/>
      </c>
      <c r="Y85">
        <f>HYPERLINK("https://klasma.github.io/Logging_2085/kartor_geotiff/A 55399-2025 georefererad karta.tif", "A 55399-2025")</f>
        <v/>
      </c>
      <c r="AA85">
        <f>HYPERLINK("https://klasma.github.io/Logging_2085/klagomål/A 55399-2025 FSC-klagomål.docx", "A 55399-2025")</f>
        <v/>
      </c>
      <c r="AB85">
        <f>HYPERLINK("https://klasma.github.io/Logging_2085/klagomålsmail/A 55399-2025 FSC-klagomål mail.docx", "A 55399-2025")</f>
        <v/>
      </c>
      <c r="AC85">
        <f>HYPERLINK("https://klasma.github.io/Logging_2085/tillsyn/A 55399-2025 tillsynsbegäran.docx", "A 55399-2025")</f>
        <v/>
      </c>
      <c r="AD85">
        <f>HYPERLINK("https://klasma.github.io/Logging_2085/tillsynsmail/A 55399-2025 tillsynsbegäran mail.docx", "A 55399-2025")</f>
        <v/>
      </c>
      <c r="AE85">
        <f>HYPERLINK("https://klasma.github.io/Logging_2085/fåglar/A 55399-2025 prioriterade fågelarter.docx", "A 55399-2025")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46326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46326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Gräddporing
Lopplummer (aggregat)</t>
        </is>
      </c>
      <c r="W87">
        <f>HYPERLINK("https://klasma.github.io/Logging_2085/artfynd/A 42558-2022 artfynd.xlsx", "A 42558-2022")</f>
        <v/>
      </c>
      <c r="X87">
        <f>HYPERLINK("https://klasma.github.io/Logging_2085/kartor/A 42558-2022 karta.png", "A 42558-2022")</f>
        <v/>
      </c>
      <c r="Y87">
        <f>HYPERLINK("https://klasma.github.io/Logging_2085/kartor_geotiff/A 42558-2022 georefererad karta.tif", "A 42558-2022")</f>
        <v/>
      </c>
      <c r="AA87">
        <f>HYPERLINK("https://klasma.github.io/Logging_2085/klagomål/A 42558-2022 FSC-klagomål.docx", "A 42558-2022")</f>
        <v/>
      </c>
      <c r="AB87">
        <f>HYPERLINK("https://klasma.github.io/Logging_2085/klagomålsmail/A 42558-2022 FSC-klagomål mail.docx", "A 42558-2022")</f>
        <v/>
      </c>
      <c r="AC87">
        <f>HYPERLINK("https://klasma.github.io/Logging_2085/tillsyn/A 42558-2022 tillsynsbegäran.docx", "A 42558-2022")</f>
        <v/>
      </c>
      <c r="AD87">
        <f>HYPERLINK("https://klasma.github.io/Logging_2085/tillsynsmail/A 42558-2022 tillsynsbegäran mail.docx", "A 42558-2022")</f>
        <v/>
      </c>
    </row>
    <row r="88" ht="15" customHeight="1">
      <c r="A88" t="inlineStr">
        <is>
          <t>A 8202-2025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46326</v>
      </c>
      <c r="F88" t="inlineStr">
        <is>
          <t>DALARNAS LÄN</t>
        </is>
      </c>
      <c r="G88" t="inlineStr">
        <is>
          <t>LUDVIKA</t>
        </is>
      </c>
      <c r="I88" t="n">
        <v>6.4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7</v>
      </c>
      <c r="U88" t="n">
        <v>7</v>
      </c>
      <c r="V88" s="2" t="inlineStr">
        <is>
          <t>Tretåig hackspett
Spillkråka</t>
        </is>
      </c>
      <c r="W88">
        <f>HYPERLINK("https://klasma.github.io/Logging_2085/artfynd/A 8202-2025 artfynd.xlsx", "A 8202-2025")</f>
        <v/>
      </c>
      <c r="X88">
        <f>HYPERLINK("https://klasma.github.io/Logging_2085/kartor/A 8202-2025 karta.png", "A 8202-2025")</f>
        <v/>
      </c>
      <c r="Y88">
        <f>HYPERLINK("https://klasma.github.io/Logging_2085/kartor_geotiff/A 8202-2025 georefererad karta.tif", "A 8202-2025")</f>
        <v/>
      </c>
      <c r="AA88">
        <f>HYPERLINK("https://klasma.github.io/Logging_2085/klagomål/A 8202-2025 FSC-klagomål.docx", "A 8202-2025")</f>
        <v/>
      </c>
      <c r="AB88">
        <f>HYPERLINK("https://klasma.github.io/Logging_2085/klagomålsmail/A 8202-2025 FSC-klagomål mail.docx", "A 8202-2025")</f>
        <v/>
      </c>
      <c r="AC88">
        <f>HYPERLINK("https://klasma.github.io/Logging_2085/tillsyn/A 8202-2025 tillsynsbegäran.docx", "A 8202-2025")</f>
        <v/>
      </c>
      <c r="AD88">
        <f>HYPERLINK("https://klasma.github.io/Logging_2085/tillsynsmail/A 8202-2025 tillsynsbegäran mail.docx", "A 8202-2025")</f>
        <v/>
      </c>
      <c r="AE88">
        <f>HYPERLINK("https://klasma.github.io/Logging_2085/fåglar/A 8202-2025 prioriterade fågelarter.docx", "A 8202-2025")</f>
        <v/>
      </c>
    </row>
    <row r="89" ht="15" customHeight="1">
      <c r="A89" t="inlineStr">
        <is>
          <t>A 35099-2026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46326</v>
      </c>
      <c r="F89" t="inlineStr">
        <is>
          <t>DALARNAS LÄN</t>
        </is>
      </c>
      <c r="G89" t="inlineStr">
        <is>
          <t>LUDVIKA</t>
        </is>
      </c>
      <c r="I89" t="n">
        <v>3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5</v>
      </c>
      <c r="U89" t="n">
        <v>5</v>
      </c>
      <c r="V89" s="2" t="inlineStr">
        <is>
          <t>Knärot
Sälg</t>
        </is>
      </c>
      <c r="W89">
        <f>HYPERLINK("https://klasma.github.io/Logging_2085/artfynd/A 35099-2026 artfynd.xlsx", "A 35099-2026")</f>
        <v/>
      </c>
      <c r="X89">
        <f>HYPERLINK("https://klasma.github.io/Logging_2085/kartor/A 35099-2026 karta.png", "A 35099-2026")</f>
        <v/>
      </c>
      <c r="Y89">
        <f>HYPERLINK("https://klasma.github.io/Logging_2085/kartor_geotiff/A 35099-2026 georefererad karta.tif", "A 35099-2026")</f>
        <v/>
      </c>
      <c r="Z89">
        <f>HYPERLINK("https://klasma.github.io/Logging_2085/knärot/A 35099-2026 karta knärot.png", "A 35099-2026")</f>
        <v/>
      </c>
      <c r="AA89">
        <f>HYPERLINK("https://klasma.github.io/Logging_2085/klagomål/A 35099-2026 FSC-klagomål.docx", "A 35099-2026")</f>
        <v/>
      </c>
      <c r="AB89">
        <f>HYPERLINK("https://klasma.github.io/Logging_2085/klagomålsmail/A 35099-2026 FSC-klagomål mail.docx", "A 35099-2026")</f>
        <v/>
      </c>
      <c r="AC89">
        <f>HYPERLINK("https://klasma.github.io/Logging_2085/tillsyn/A 35099-2026 tillsynsbegäran.docx", "A 35099-2026")</f>
        <v/>
      </c>
      <c r="AD89">
        <f>HYPERLINK("https://klasma.github.io/Logging_2085/tillsynsmail/A 35099-2026 tillsynsbegäran mail.docx", "A 35099-2026")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46326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46326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35104-2026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46260</v>
      </c>
      <c r="E92" s="1" t="n">
        <v>46326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Knärot
Rödgul trumpetsvamp</t>
        </is>
      </c>
      <c r="W92">
        <f>HYPERLINK("https://klasma.github.io/Logging_2085/artfynd/A 35104-2026 artfynd.xlsx", "A 35104-2026")</f>
        <v/>
      </c>
      <c r="X92">
        <f>HYPERLINK("https://klasma.github.io/Logging_2085/kartor/A 35104-2026 karta.png", "A 35104-2026")</f>
        <v/>
      </c>
      <c r="Y92">
        <f>HYPERLINK("https://klasma.github.io/Logging_2085/kartor_geotiff/A 35104-2026 georefererad karta.tif", "A 35104-2026")</f>
        <v/>
      </c>
      <c r="Z92">
        <f>HYPERLINK("https://klasma.github.io/Logging_2085/knärot/A 35104-2026 karta knärot.png", "A 35104-2026")</f>
        <v/>
      </c>
      <c r="AA92">
        <f>HYPERLINK("https://klasma.github.io/Logging_2085/klagomål/A 35104-2026 FSC-klagomål.docx", "A 35104-2026")</f>
        <v/>
      </c>
      <c r="AB92">
        <f>HYPERLINK("https://klasma.github.io/Logging_2085/klagomålsmail/A 35104-2026 FSC-klagomål mail.docx", "A 35104-2026")</f>
        <v/>
      </c>
      <c r="AC92">
        <f>HYPERLINK("https://klasma.github.io/Logging_2085/tillsyn/A 35104-2026 tillsynsbegäran.docx", "A 35104-2026")</f>
        <v/>
      </c>
      <c r="AD92">
        <f>HYPERLINK("https://klasma.github.io/Logging_2085/tillsynsmail/A 35104-2026 tillsynsbegäran mail.docx", "A 35104-2026")</f>
        <v/>
      </c>
    </row>
    <row r="93" ht="15" customHeight="1">
      <c r="A93" t="inlineStr">
        <is>
          <t>A 24426-2026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46326</v>
      </c>
      <c r="F93" t="inlineStr">
        <is>
          <t>DALARNAS LÄN</t>
        </is>
      </c>
      <c r="G93" t="inlineStr">
        <is>
          <t>LUDVIKA</t>
        </is>
      </c>
      <c r="H93" t="inlineStr">
        <is>
          <t>Övriga Aktiebolag</t>
        </is>
      </c>
      <c r="I93" t="n">
        <v>12.4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Spillkråka
Sälg</t>
        </is>
      </c>
      <c r="W93">
        <f>HYPERLINK("https://klasma.github.io/Logging_2085/artfynd/A 24426-2026 artfynd.xlsx", "A 24426-2026")</f>
        <v/>
      </c>
      <c r="X93">
        <f>HYPERLINK("https://klasma.github.io/Logging_2085/kartor/A 24426-2026 karta.png", "A 24426-2026")</f>
        <v/>
      </c>
      <c r="Y93">
        <f>HYPERLINK("https://klasma.github.io/Logging_2085/kartor_geotiff/A 24426-2026 georefererad karta.tif", "A 24426-2026")</f>
        <v/>
      </c>
      <c r="AA93">
        <f>HYPERLINK("https://klasma.github.io/Logging_2085/klagomål/A 24426-2026 FSC-klagomål.docx", "A 24426-2026")</f>
        <v/>
      </c>
      <c r="AB93">
        <f>HYPERLINK("https://klasma.github.io/Logging_2085/klagomålsmail/A 24426-2026 FSC-klagomål mail.docx", "A 24426-2026")</f>
        <v/>
      </c>
      <c r="AC93">
        <f>HYPERLINK("https://klasma.github.io/Logging_2085/tillsyn/A 24426-2026 tillsynsbegäran.docx", "A 24426-2026")</f>
        <v/>
      </c>
      <c r="AD93">
        <f>HYPERLINK("https://klasma.github.io/Logging_2085/tillsynsmail/A 24426-2026 tillsynsbegäran mail.docx", "A 24426-2026")</f>
        <v/>
      </c>
      <c r="AE93">
        <f>HYPERLINK("https://klasma.github.io/Logging_2085/fåglar/A 24426-2026 prioriterade fågelarter.docx", "A 24426-2026")</f>
        <v/>
      </c>
    </row>
    <row r="94" ht="15" customHeight="1">
      <c r="A94" t="inlineStr">
        <is>
          <t>A 19512-2022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46326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2.8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Tretåig hackspett
Nästlav</t>
        </is>
      </c>
      <c r="W94">
        <f>HYPERLINK("https://klasma.github.io/Logging_2085/artfynd/A 19512-2022 artfynd.xlsx", "A 19512-2022")</f>
        <v/>
      </c>
      <c r="X94">
        <f>HYPERLINK("https://klasma.github.io/Logging_2085/kartor/A 19512-2022 karta.png", "A 19512-2022")</f>
        <v/>
      </c>
      <c r="Y94">
        <f>HYPERLINK("https://klasma.github.io/Logging_2085/kartor_geotiff/A 19512-2022 georefererad karta.tif", "A 19512-2022")</f>
        <v/>
      </c>
      <c r="AA94">
        <f>HYPERLINK("https://klasma.github.io/Logging_2085/klagomål/A 19512-2022 FSC-klagomål.docx", "A 19512-2022")</f>
        <v/>
      </c>
      <c r="AB94">
        <f>HYPERLINK("https://klasma.github.io/Logging_2085/klagomålsmail/A 19512-2022 FSC-klagomål mail.docx", "A 19512-2022")</f>
        <v/>
      </c>
      <c r="AC94">
        <f>HYPERLINK("https://klasma.github.io/Logging_2085/tillsyn/A 19512-2022 tillsynsbegäran.docx", "A 19512-2022")</f>
        <v/>
      </c>
      <c r="AD94">
        <f>HYPERLINK("https://klasma.github.io/Logging_2085/tillsynsmail/A 19512-2022 tillsynsbegäran mail.docx", "A 19512-2022")</f>
        <v/>
      </c>
      <c r="AE94">
        <f>HYPERLINK("https://klasma.github.io/Logging_2085/fåglar/A 19512-2022 prioriterade fågelarter.docx", "A 19512-2022")</f>
        <v/>
      </c>
    </row>
    <row r="95" ht="15" customHeight="1">
      <c r="A95" t="inlineStr">
        <is>
          <t>S 296-2025</t>
        </is>
      </c>
      <c r="B95" t="inlineStr">
        <is>
          <t>samrådsanmälan</t>
        </is>
      </c>
      <c r="C95" t="inlineStr">
        <is>
          <t>Skogsgödsling</t>
        </is>
      </c>
      <c r="D95" s="1" t="n">
        <v>45687</v>
      </c>
      <c r="E95" s="1" t="n">
        <v>46326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278.6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Brunpudrad nållav
Rödgul trumpetsvamp</t>
        </is>
      </c>
      <c r="W95">
        <f>HYPERLINK("https://klasma.github.io/Logging_2085/artfynd/S 296-2025 artfynd.xlsx", "S 296-2025")</f>
        <v/>
      </c>
      <c r="X95">
        <f>HYPERLINK("https://klasma.github.io/Logging_2085/kartor/S 296-2025 karta.png", "S 296-2025")</f>
        <v/>
      </c>
      <c r="Y95">
        <f>HYPERLINK("https://klasma.github.io/Logging_2085/kartor_geotiff/S 296-2025 georefererad karta.tif", "S 296-2025")</f>
        <v/>
      </c>
      <c r="AA95">
        <f>HYPERLINK("https://klasma.github.io/Logging_2085/klagomål/S 296-2025 FSC-klagomål.docx", "S 296-2025")</f>
        <v/>
      </c>
      <c r="AB95">
        <f>HYPERLINK("https://klasma.github.io/Logging_2085/klagomålsmail/S 296-2025 FSC-klagomål mail.docx", "S 296-2025")</f>
        <v/>
      </c>
      <c r="AC95">
        <f>HYPERLINK("https://klasma.github.io/Logging_2085/tillsyn/S 296-2025 tillsynsbegäran.docx", "S 296-2025")</f>
        <v/>
      </c>
      <c r="AD95">
        <f>HYPERLINK("https://klasma.github.io/Logging_2085/tillsynsmail/S 296-2025 tillsynsbegäran mail.docx", "S 296-2025")</f>
        <v/>
      </c>
    </row>
    <row r="96" ht="15" customHeight="1">
      <c r="A96" t="inlineStr">
        <is>
          <t>S 3586-2025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46010</v>
      </c>
      <c r="E96" s="1" t="n">
        <v>46326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Järpe</t>
        </is>
      </c>
      <c r="W96">
        <f>HYPERLINK("https://klasma.github.io/Logging_2085/artfynd/S 3586-2025 artfynd.xlsx", "S 3586-2025")</f>
        <v/>
      </c>
      <c r="X96">
        <f>HYPERLINK("https://klasma.github.io/Logging_2085/kartor/S 3586-2025 karta.png", "S 3586-2025")</f>
        <v/>
      </c>
      <c r="Y96">
        <f>HYPERLINK("https://klasma.github.io/Logging_2085/kartor_geotiff/S 3586-2025 georefererad karta.tif", "S 3586-2025")</f>
        <v/>
      </c>
      <c r="AA96">
        <f>HYPERLINK("https://klasma.github.io/Logging_2085/klagomål/S 3586-2025 FSC-klagomål.docx", "S 3586-2025")</f>
        <v/>
      </c>
      <c r="AB96">
        <f>HYPERLINK("https://klasma.github.io/Logging_2085/klagomålsmail/S 3586-2025 FSC-klagomål mail.docx", "S 3586-2025")</f>
        <v/>
      </c>
      <c r="AC96">
        <f>HYPERLINK("https://klasma.github.io/Logging_2085/tillsyn/S 3586-2025 tillsynsbegäran.docx", "S 3586-2025")</f>
        <v/>
      </c>
      <c r="AD96">
        <f>HYPERLINK("https://klasma.github.io/Logging_2085/tillsynsmail/S 3586-2025 tillsynsbegäran mail.docx", "S 3586-2025")</f>
        <v/>
      </c>
      <c r="AE96">
        <f>HYPERLINK("https://klasma.github.io/Logging_2085/fåglar/S 3586-2025 prioriterade fågelarter.docx", "S 3586-2025")</f>
        <v/>
      </c>
    </row>
    <row r="97" ht="15" customHeight="1">
      <c r="A97" t="inlineStr">
        <is>
          <t>A 927-2022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46326</v>
      </c>
      <c r="F97" t="inlineStr">
        <is>
          <t>DALARNAS LÄN</t>
        </is>
      </c>
      <c r="G97" t="inlineStr">
        <is>
          <t>LUDVIKA</t>
        </is>
      </c>
      <c r="H97" t="inlineStr">
        <is>
          <t>Allmännings- och besparingsskogar</t>
        </is>
      </c>
      <c r="I97" t="n">
        <v>2.4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Brunklöver</t>
        </is>
      </c>
      <c r="W97">
        <f>HYPERLINK("https://klasma.github.io/Logging_2085/artfynd/A 927-2022 artfynd.xlsx", "A 927-2022")</f>
        <v/>
      </c>
      <c r="X97">
        <f>HYPERLINK("https://klasma.github.io/Logging_2085/kartor/A 927-2022 karta.png", "A 927-2022")</f>
        <v/>
      </c>
      <c r="Y97">
        <f>HYPERLINK("https://klasma.github.io/Logging_2085/kartor_geotiff/A 927-2022 georefererad karta.tif", "A 927-2022")</f>
        <v/>
      </c>
      <c r="AA97">
        <f>HYPERLINK("https://klasma.github.io/Logging_2085/klagomål/A 927-2022 FSC-klagomål.docx", "A 927-2022")</f>
        <v/>
      </c>
      <c r="AB97">
        <f>HYPERLINK("https://klasma.github.io/Logging_2085/klagomålsmail/A 927-2022 FSC-klagomål mail.docx", "A 927-2022")</f>
        <v/>
      </c>
      <c r="AC97">
        <f>HYPERLINK("https://klasma.github.io/Logging_2085/tillsyn/A 927-2022 tillsynsbegäran.docx", "A 927-2022")</f>
        <v/>
      </c>
      <c r="AD97">
        <f>HYPERLINK("https://klasma.github.io/Logging_2085/tillsynsmail/A 927-2022 tillsynsbegäran mail.docx", "A 927-2022")</f>
        <v/>
      </c>
    </row>
    <row r="98" ht="15" customHeight="1">
      <c r="A98" t="inlineStr">
        <is>
          <t>A 13051-2022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46326</v>
      </c>
      <c r="F98" t="inlineStr">
        <is>
          <t>DALARNAS LÄN</t>
        </is>
      </c>
      <c r="G98" t="inlineStr">
        <is>
          <t>LUDVIKA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Mosippa</t>
        </is>
      </c>
      <c r="W98">
        <f>HYPERLINK("https://klasma.github.io/Logging_2085/artfynd/A 13051-2022 artfynd.xlsx", "A 13051-2022")</f>
        <v/>
      </c>
      <c r="X98">
        <f>HYPERLINK("https://klasma.github.io/Logging_2085/kartor/A 13051-2022 karta.png", "A 13051-2022")</f>
        <v/>
      </c>
      <c r="Y98">
        <f>HYPERLINK("https://klasma.github.io/Logging_2085/kartor_geotiff/A 13051-2022 georefererad karta.tif", "A 13051-2022")</f>
        <v/>
      </c>
      <c r="AA98">
        <f>HYPERLINK("https://klasma.github.io/Logging_2085/klagomål/A 13051-2022 FSC-klagomål.docx", "A 13051-2022")</f>
        <v/>
      </c>
      <c r="AB98">
        <f>HYPERLINK("https://klasma.github.io/Logging_2085/klagomålsmail/A 13051-2022 FSC-klagomål mail.docx", "A 13051-2022")</f>
        <v/>
      </c>
      <c r="AC98">
        <f>HYPERLINK("https://klasma.github.io/Logging_2085/tillsyn/A 13051-2022 tillsynsbegäran.docx", "A 13051-2022")</f>
        <v/>
      </c>
      <c r="AD98">
        <f>HYPERLINK("https://klasma.github.io/Logging_2085/tillsynsmail/A 13051-2022 tillsynsbegäran mail.docx", "A 13051-2022")</f>
        <v/>
      </c>
    </row>
    <row r="99" ht="15" customHeight="1">
      <c r="A99" t="inlineStr">
        <is>
          <t>A 51709-2022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46326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Ängsmetallvinge</t>
        </is>
      </c>
      <c r="W99">
        <f>HYPERLINK("https://klasma.github.io/Logging_2085/artfynd/A 51709-2022 artfynd.xlsx", "A 51709-2022")</f>
        <v/>
      </c>
      <c r="X99">
        <f>HYPERLINK("https://klasma.github.io/Logging_2085/kartor/A 51709-2022 karta.png", "A 51709-2022")</f>
        <v/>
      </c>
      <c r="Y99">
        <f>HYPERLINK("https://klasma.github.io/Logging_2085/kartor_geotiff/A 51709-2022 georefererad karta.tif", "A 51709-2022")</f>
        <v/>
      </c>
      <c r="AA99">
        <f>HYPERLINK("https://klasma.github.io/Logging_2085/klagomål/A 51709-2022 FSC-klagomål.docx", "A 51709-2022")</f>
        <v/>
      </c>
      <c r="AB99">
        <f>HYPERLINK("https://klasma.github.io/Logging_2085/klagomålsmail/A 51709-2022 FSC-klagomål mail.docx", "A 51709-2022")</f>
        <v/>
      </c>
      <c r="AC99">
        <f>HYPERLINK("https://klasma.github.io/Logging_2085/tillsyn/A 51709-2022 tillsynsbegäran.docx", "A 51709-2022")</f>
        <v/>
      </c>
      <c r="AD99">
        <f>HYPERLINK("https://klasma.github.io/Logging_2085/tillsynsmail/A 51709-2022 tillsynsbegäran mail.docx", "A 51709-2022")</f>
        <v/>
      </c>
    </row>
    <row r="100" ht="15" customHeight="1">
      <c r="A100" t="inlineStr">
        <is>
          <t>A 18189-2025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45761</v>
      </c>
      <c r="E100" s="1" t="n">
        <v>46326</v>
      </c>
      <c r="F100" t="inlineStr">
        <is>
          <t>DALARNAS LÄN</t>
        </is>
      </c>
      <c r="G100" t="inlineStr">
        <is>
          <t>LUDVIKA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HYPERLINK("https://klasma.github.io/Logging_2085/artfynd/A 18189-2025 artfynd.xlsx", "A 18189-2025")</f>
        <v/>
      </c>
      <c r="X100">
        <f>HYPERLINK("https://klasma.github.io/Logging_2085/kartor/A 18189-2025 karta.png", "A 18189-2025")</f>
        <v/>
      </c>
      <c r="Y100">
        <f>HYPERLINK("https://klasma.github.io/Logging_2085/kartor_geotiff/A 18189-2025 georefererad karta.tif", "A 18189-2025")</f>
        <v/>
      </c>
      <c r="AA100">
        <f>HYPERLINK("https://klasma.github.io/Logging_2085/klagomål/A 18189-2025 FSC-klagomål.docx", "A 18189-2025")</f>
        <v/>
      </c>
      <c r="AB100">
        <f>HYPERLINK("https://klasma.github.io/Logging_2085/klagomålsmail/A 18189-2025 FSC-klagomål mail.docx", "A 18189-2025")</f>
        <v/>
      </c>
      <c r="AC100">
        <f>HYPERLINK("https://klasma.github.io/Logging_2085/tillsyn/A 18189-2025 tillsynsbegäran.docx", "A 18189-2025")</f>
        <v/>
      </c>
      <c r="AD100">
        <f>HYPERLINK("https://klasma.github.io/Logging_2085/tillsynsmail/A 18189-2025 tillsynsbegäran mail.docx", "A 18189-2025")</f>
        <v/>
      </c>
    </row>
    <row r="101" ht="15" customHeight="1">
      <c r="A101" t="inlineStr">
        <is>
          <t>A 44578-2023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46326</v>
      </c>
      <c r="F101" t="inlineStr">
        <is>
          <t>DALARNAS LÄN</t>
        </is>
      </c>
      <c r="G101" t="inlineStr">
        <is>
          <t>LUDVIKA</t>
        </is>
      </c>
      <c r="H101" t="inlineStr">
        <is>
          <t>Övriga Aktiebolag</t>
        </is>
      </c>
      <c r="I101" t="n">
        <v>12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Dofttaggsvamp</t>
        </is>
      </c>
      <c r="W101">
        <f>HYPERLINK("https://klasma.github.io/Logging_2085/artfynd/A 44578-2023 artfynd.xlsx", "A 44578-2023")</f>
        <v/>
      </c>
      <c r="X101">
        <f>HYPERLINK("https://klasma.github.io/Logging_2085/kartor/A 44578-2023 karta.png", "A 44578-2023")</f>
        <v/>
      </c>
      <c r="Y101">
        <f>HYPERLINK("https://klasma.github.io/Logging_2085/kartor_geotiff/A 44578-2023 georefererad karta.tif", "A 44578-2023")</f>
        <v/>
      </c>
      <c r="AA101">
        <f>HYPERLINK("https://klasma.github.io/Logging_2085/klagomål/A 44578-2023 FSC-klagomål.docx", "A 44578-2023")</f>
        <v/>
      </c>
      <c r="AB101">
        <f>HYPERLINK("https://klasma.github.io/Logging_2085/klagomålsmail/A 44578-2023 FSC-klagomål mail.docx", "A 44578-2023")</f>
        <v/>
      </c>
      <c r="AC101">
        <f>HYPERLINK("https://klasma.github.io/Logging_2085/tillsyn/A 44578-2023 tillsynsbegäran.docx", "A 44578-2023")</f>
        <v/>
      </c>
      <c r="AD101">
        <f>HYPERLINK("https://klasma.github.io/Logging_2085/tillsynsmail/A 44578-2023 tillsynsbegäran mail.docx", "A 44578-2023")</f>
        <v/>
      </c>
    </row>
    <row r="102" ht="15" customHeight="1">
      <c r="A102" t="inlineStr">
        <is>
          <t>A 55550-2022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46326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Ögonpyrola</t>
        </is>
      </c>
      <c r="W102">
        <f>HYPERLINK("https://klasma.github.io/Logging_2085/artfynd/A 55550-2022 artfynd.xlsx", "A 55550-2022")</f>
        <v/>
      </c>
      <c r="X102">
        <f>HYPERLINK("https://klasma.github.io/Logging_2085/kartor/A 55550-2022 karta.png", "A 55550-2022")</f>
        <v/>
      </c>
      <c r="Y102">
        <f>HYPERLINK("https://klasma.github.io/Logging_2085/kartor_geotiff/A 55550-2022 georefererad karta.tif", "A 55550-2022")</f>
        <v/>
      </c>
      <c r="AA102">
        <f>HYPERLINK("https://klasma.github.io/Logging_2085/klagomål/A 55550-2022 FSC-klagomål.docx", "A 55550-2022")</f>
        <v/>
      </c>
      <c r="AB102">
        <f>HYPERLINK("https://klasma.github.io/Logging_2085/klagomålsmail/A 55550-2022 FSC-klagomål mail.docx", "A 55550-2022")</f>
        <v/>
      </c>
      <c r="AC102">
        <f>HYPERLINK("https://klasma.github.io/Logging_2085/tillsyn/A 55550-2022 tillsynsbegäran.docx", "A 55550-2022")</f>
        <v/>
      </c>
      <c r="AD102">
        <f>HYPERLINK("https://klasma.github.io/Logging_2085/tillsynsmail/A 55550-2022 tillsynsbegäran mail.docx", "A 55550-2022")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46326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1047-2023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44929</v>
      </c>
      <c r="E104" s="1" t="n">
        <v>46326</v>
      </c>
      <c r="F104" t="inlineStr">
        <is>
          <t>DALARNAS LÄN</t>
        </is>
      </c>
      <c r="G104" t="inlineStr">
        <is>
          <t>LUDVIKA</t>
        </is>
      </c>
      <c r="H104" t="inlineStr">
        <is>
          <t>Kommuner</t>
        </is>
      </c>
      <c r="I104" t="n">
        <v>3.2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Ullticka</t>
        </is>
      </c>
      <c r="W104">
        <f>HYPERLINK("https://klasma.github.io/Logging_2085/artfynd/A 1047-2023 artfynd.xlsx", "A 1047-2023")</f>
        <v/>
      </c>
      <c r="X104">
        <f>HYPERLINK("https://klasma.github.io/Logging_2085/kartor/A 1047-2023 karta.png", "A 1047-2023")</f>
        <v/>
      </c>
      <c r="Y104">
        <f>HYPERLINK("https://klasma.github.io/Logging_2085/kartor_geotiff/A 1047-2023 georefererad karta.tif", "A 1047-2023")</f>
        <v/>
      </c>
      <c r="AA104">
        <f>HYPERLINK("https://klasma.github.io/Logging_2085/klagomål/A 1047-2023 FSC-klagomål.docx", "A 1047-2023")</f>
        <v/>
      </c>
      <c r="AB104">
        <f>HYPERLINK("https://klasma.github.io/Logging_2085/klagomålsmail/A 1047-2023 FSC-klagomål mail.docx", "A 1047-2023")</f>
        <v/>
      </c>
      <c r="AC104">
        <f>HYPERLINK("https://klasma.github.io/Logging_2085/tillsyn/A 1047-2023 tillsynsbegäran.docx", "A 1047-2023")</f>
        <v/>
      </c>
      <c r="AD104">
        <f>HYPERLINK("https://klasma.github.io/Logging_2085/tillsynsmail/A 1047-2023 tillsynsbegäran mail.docx", "A 1047-2023")</f>
        <v/>
      </c>
    </row>
    <row r="105" ht="15" customHeight="1">
      <c r="A105" t="inlineStr">
        <is>
          <t>A 59947-2025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46326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0.5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Tjäder</t>
        </is>
      </c>
      <c r="W105">
        <f>HYPERLINK("https://klasma.github.io/Logging_2085/artfynd/A 59947-2025 artfynd.xlsx", "A 59947-2025")</f>
        <v/>
      </c>
      <c r="X105">
        <f>HYPERLINK("https://klasma.github.io/Logging_2085/kartor/A 59947-2025 karta.png", "A 59947-2025")</f>
        <v/>
      </c>
      <c r="Y105">
        <f>HYPERLINK("https://klasma.github.io/Logging_2085/kartor_geotiff/A 59947-2025 georefererad karta.tif", "A 59947-2025")</f>
        <v/>
      </c>
      <c r="AA105">
        <f>HYPERLINK("https://klasma.github.io/Logging_2085/klagomål/A 59947-2025 FSC-klagomål.docx", "A 59947-2025")</f>
        <v/>
      </c>
      <c r="AB105">
        <f>HYPERLINK("https://klasma.github.io/Logging_2085/klagomålsmail/A 59947-2025 FSC-klagomål mail.docx", "A 59947-2025")</f>
        <v/>
      </c>
      <c r="AC105">
        <f>HYPERLINK("https://klasma.github.io/Logging_2085/tillsyn/A 59947-2025 tillsynsbegäran.docx", "A 59947-2025")</f>
        <v/>
      </c>
      <c r="AD105">
        <f>HYPERLINK("https://klasma.github.io/Logging_2085/tillsynsmail/A 59947-2025 tillsynsbegäran mail.docx", "A 59947-2025")</f>
        <v/>
      </c>
      <c r="AE105">
        <f>HYPERLINK("https://klasma.github.io/Logging_2085/fåglar/A 59947-2025 prioriterade fågelarter.docx", "A 59947-2025")</f>
        <v/>
      </c>
    </row>
    <row r="106" ht="15" customHeight="1">
      <c r="A106" t="inlineStr">
        <is>
          <t>A 45858-2025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46326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Granbarkgnagare</t>
        </is>
      </c>
      <c r="W106">
        <f>HYPERLINK("https://klasma.github.io/Logging_2085/artfynd/A 45858-2025 artfynd.xlsx", "A 45858-2025")</f>
        <v/>
      </c>
      <c r="X106">
        <f>HYPERLINK("https://klasma.github.io/Logging_2085/kartor/A 45858-2025 karta.png", "A 45858-2025")</f>
        <v/>
      </c>
      <c r="Y106">
        <f>HYPERLINK("https://klasma.github.io/Logging_2085/kartor_geotiff/A 45858-2025 georefererad karta.tif", "A 45858-2025")</f>
        <v/>
      </c>
      <c r="AA106">
        <f>HYPERLINK("https://klasma.github.io/Logging_2085/klagomål/A 45858-2025 FSC-klagomål.docx", "A 45858-2025")</f>
        <v/>
      </c>
      <c r="AB106">
        <f>HYPERLINK("https://klasma.github.io/Logging_2085/klagomålsmail/A 45858-2025 FSC-klagomål mail.docx", "A 45858-2025")</f>
        <v/>
      </c>
      <c r="AC106">
        <f>HYPERLINK("https://klasma.github.io/Logging_2085/tillsyn/A 45858-2025 tillsynsbegäran.docx", "A 45858-2025")</f>
        <v/>
      </c>
      <c r="AD106">
        <f>HYPERLINK("https://klasma.github.io/Logging_2085/tillsynsmail/A 45858-2025 tillsynsbegäran mail.docx", "A 45858-2025")</f>
        <v/>
      </c>
    </row>
    <row r="107" ht="15" customHeight="1">
      <c r="A107" t="inlineStr">
        <is>
          <t>A 3687-2024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46326</v>
      </c>
      <c r="F107" t="inlineStr">
        <is>
          <t>DALARNAS LÄN</t>
        </is>
      </c>
      <c r="G107" t="inlineStr">
        <is>
          <t>LUDVIKA</t>
        </is>
      </c>
      <c r="I107" t="n">
        <v>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Nordfladdermus</t>
        </is>
      </c>
      <c r="W107">
        <f>HYPERLINK("https://klasma.github.io/Logging_2085/artfynd/A 3687-2024 artfynd.xlsx", "A 3687-2024")</f>
        <v/>
      </c>
      <c r="X107">
        <f>HYPERLINK("https://klasma.github.io/Logging_2085/kartor/A 3687-2024 karta.png", "A 3687-2024")</f>
        <v/>
      </c>
      <c r="Y107">
        <f>HYPERLINK("https://klasma.github.io/Logging_2085/kartor_geotiff/A 3687-2024 georefererad karta.tif", "A 3687-2024")</f>
        <v/>
      </c>
      <c r="AA107">
        <f>HYPERLINK("https://klasma.github.io/Logging_2085/klagomål/A 3687-2024 FSC-klagomål.docx", "A 3687-2024")</f>
        <v/>
      </c>
      <c r="AB107">
        <f>HYPERLINK("https://klasma.github.io/Logging_2085/klagomålsmail/A 3687-2024 FSC-klagomål mail.docx", "A 3687-2024")</f>
        <v/>
      </c>
      <c r="AC107">
        <f>HYPERLINK("https://klasma.github.io/Logging_2085/tillsyn/A 3687-2024 tillsynsbegäran.docx", "A 3687-2024")</f>
        <v/>
      </c>
      <c r="AD107">
        <f>HYPERLINK("https://klasma.github.io/Logging_2085/tillsynsmail/A 3687-2024 tillsynsbegäran mail.docx", "A 3687-2024")</f>
        <v/>
      </c>
    </row>
    <row r="108" ht="15" customHeight="1">
      <c r="A108" t="inlineStr">
        <is>
          <t>A 29733-2025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46326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10.4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Stuplav</t>
        </is>
      </c>
      <c r="W108">
        <f>HYPERLINK("https://klasma.github.io/Logging_2085/artfynd/A 29733-2025 artfynd.xlsx", "A 29733-2025")</f>
        <v/>
      </c>
      <c r="X108">
        <f>HYPERLINK("https://klasma.github.io/Logging_2085/kartor/A 29733-2025 karta.png", "A 29733-2025")</f>
        <v/>
      </c>
      <c r="Y108">
        <f>HYPERLINK("https://klasma.github.io/Logging_2085/kartor_geotiff/A 29733-2025 georefererad karta.tif", "A 29733-2025")</f>
        <v/>
      </c>
      <c r="AA108">
        <f>HYPERLINK("https://klasma.github.io/Logging_2085/klagomål/A 29733-2025 FSC-klagomål.docx", "A 29733-2025")</f>
        <v/>
      </c>
      <c r="AB108">
        <f>HYPERLINK("https://klasma.github.io/Logging_2085/klagomålsmail/A 29733-2025 FSC-klagomål mail.docx", "A 29733-2025")</f>
        <v/>
      </c>
      <c r="AC108">
        <f>HYPERLINK("https://klasma.github.io/Logging_2085/tillsyn/A 29733-2025 tillsynsbegäran.docx", "A 29733-2025")</f>
        <v/>
      </c>
      <c r="AD108">
        <f>HYPERLINK("https://klasma.github.io/Logging_2085/tillsynsmail/A 29733-2025 tillsynsbegäran mail.docx", "A 29733-2025")</f>
        <v/>
      </c>
    </row>
    <row r="109" ht="15" customHeight="1">
      <c r="A109" t="inlineStr">
        <is>
          <t>A 33560-2023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45131</v>
      </c>
      <c r="E109" s="1" t="n">
        <v>46326</v>
      </c>
      <c r="F109" t="inlineStr">
        <is>
          <t>DALARNAS LÄN</t>
        </is>
      </c>
      <c r="G109" t="inlineStr">
        <is>
          <t>LUDVIKA</t>
        </is>
      </c>
      <c r="I109" t="n">
        <v>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vattensalamander</t>
        </is>
      </c>
      <c r="W109">
        <f>HYPERLINK("https://klasma.github.io/Logging_2085/artfynd/A 33560-2023 artfynd.xlsx", "A 33560-2023")</f>
        <v/>
      </c>
      <c r="X109">
        <f>HYPERLINK("https://klasma.github.io/Logging_2085/kartor/A 33560-2023 karta.png", "A 33560-2023")</f>
        <v/>
      </c>
      <c r="Y109">
        <f>HYPERLINK("https://klasma.github.io/Logging_2085/kartor_geotiff/A 33560-2023 georefererad karta.tif", "A 33560-2023")</f>
        <v/>
      </c>
      <c r="AA109">
        <f>HYPERLINK("https://klasma.github.io/Logging_2085/klagomål/A 33560-2023 FSC-klagomål.docx", "A 33560-2023")</f>
        <v/>
      </c>
      <c r="AB109">
        <f>HYPERLINK("https://klasma.github.io/Logging_2085/klagomålsmail/A 33560-2023 FSC-klagomål mail.docx", "A 33560-2023")</f>
        <v/>
      </c>
      <c r="AC109">
        <f>HYPERLINK("https://klasma.github.io/Logging_2085/tillsyn/A 33560-2023 tillsynsbegäran.docx", "A 33560-2023")</f>
        <v/>
      </c>
      <c r="AD109">
        <f>HYPERLINK("https://klasma.github.io/Logging_2085/tillsynsmail/A 33560-2023 tillsynsbegäran mail.docx", "A 33560-2023")</f>
        <v/>
      </c>
    </row>
    <row r="110" ht="15" customHeight="1">
      <c r="A110" t="inlineStr">
        <is>
          <t>A 74401-2021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44560</v>
      </c>
      <c r="E110" s="1" t="n">
        <v>46326</v>
      </c>
      <c r="F110" t="inlineStr">
        <is>
          <t>DALARNAS LÄN</t>
        </is>
      </c>
      <c r="G110" t="inlineStr">
        <is>
          <t>LUDVIKA</t>
        </is>
      </c>
      <c r="H110" t="inlineStr">
        <is>
          <t>Kommuner</t>
        </is>
      </c>
      <c r="I110" t="n">
        <v>0.6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Gullgröppa</t>
        </is>
      </c>
      <c r="W110">
        <f>HYPERLINK("https://klasma.github.io/Logging_2085/artfynd/A 74401-2021 artfynd.xlsx", "A 74401-2021")</f>
        <v/>
      </c>
      <c r="X110">
        <f>HYPERLINK("https://klasma.github.io/Logging_2085/kartor/A 74401-2021 karta.png", "A 74401-2021")</f>
        <v/>
      </c>
      <c r="Y110">
        <f>HYPERLINK("https://klasma.github.io/Logging_2085/kartor_geotiff/A 74401-2021 georefererad karta.tif", "A 74401-2021")</f>
        <v/>
      </c>
      <c r="AA110">
        <f>HYPERLINK("https://klasma.github.io/Logging_2085/klagomål/A 74401-2021 FSC-klagomål.docx", "A 74401-2021")</f>
        <v/>
      </c>
      <c r="AB110">
        <f>HYPERLINK("https://klasma.github.io/Logging_2085/klagomålsmail/A 74401-2021 FSC-klagomål mail.docx", "A 74401-2021")</f>
        <v/>
      </c>
      <c r="AC110">
        <f>HYPERLINK("https://klasma.github.io/Logging_2085/tillsyn/A 74401-2021 tillsynsbegäran.docx", "A 74401-2021")</f>
        <v/>
      </c>
      <c r="AD110">
        <f>HYPERLINK("https://klasma.github.io/Logging_2085/tillsynsmail/A 74401-2021 tillsynsbegäran mail.docx", "A 74401-2021")</f>
        <v/>
      </c>
    </row>
    <row r="111" ht="15" customHeight="1">
      <c r="A111" t="inlineStr">
        <is>
          <t>A 26850-2023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46326</v>
      </c>
      <c r="F111" t="inlineStr">
        <is>
          <t>DALARNAS LÄN</t>
        </is>
      </c>
      <c r="G111" t="inlineStr">
        <is>
          <t>LUDVIKA</t>
        </is>
      </c>
      <c r="H111" t="inlineStr">
        <is>
          <t>Naturvårdsverket</t>
        </is>
      </c>
      <c r="I111" t="n">
        <v>2.7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HYPERLINK("https://klasma.github.io/Logging_2085/artfynd/A 26850-2023 artfynd.xlsx", "A 26850-2023")</f>
        <v/>
      </c>
      <c r="X111">
        <f>HYPERLINK("https://klasma.github.io/Logging_2085/kartor/A 26850-2023 karta.png", "A 26850-2023")</f>
        <v/>
      </c>
      <c r="Y111">
        <f>HYPERLINK("https://klasma.github.io/Logging_2085/kartor_geotiff/A 26850-2023 georefererad karta.tif", "A 26850-2023")</f>
        <v/>
      </c>
      <c r="AA111">
        <f>HYPERLINK("https://klasma.github.io/Logging_2085/klagomål/A 26850-2023 FSC-klagomål.docx", "A 26850-2023")</f>
        <v/>
      </c>
      <c r="AB111">
        <f>HYPERLINK("https://klasma.github.io/Logging_2085/klagomålsmail/A 26850-2023 FSC-klagomål mail.docx", "A 26850-2023")</f>
        <v/>
      </c>
      <c r="AC111">
        <f>HYPERLINK("https://klasma.github.io/Logging_2085/tillsyn/A 26850-2023 tillsynsbegäran.docx", "A 26850-2023")</f>
        <v/>
      </c>
      <c r="AD111">
        <f>HYPERLINK("https://klasma.github.io/Logging_2085/tillsynsmail/A 26850-2023 tillsynsbegäran mail.docx", "A 26850-2023")</f>
        <v/>
      </c>
    </row>
    <row r="112" ht="15" customHeight="1">
      <c r="A112" t="inlineStr">
        <is>
          <t>A 36050-2025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45866</v>
      </c>
      <c r="E112" s="1" t="n">
        <v>46326</v>
      </c>
      <c r="F112" t="inlineStr">
        <is>
          <t>DALARNAS LÄN</t>
        </is>
      </c>
      <c r="G112" t="inlineStr">
        <is>
          <t>LUDVIKA</t>
        </is>
      </c>
      <c r="I112" t="n">
        <v>1.4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hackspett</t>
        </is>
      </c>
      <c r="W112">
        <f>HYPERLINK("https://klasma.github.io/Logging_2085/artfynd/A 36050-2025 artfynd.xlsx", "A 36050-2025")</f>
        <v/>
      </c>
      <c r="X112">
        <f>HYPERLINK("https://klasma.github.io/Logging_2085/kartor/A 36050-2025 karta.png", "A 36050-2025")</f>
        <v/>
      </c>
      <c r="Y112">
        <f>HYPERLINK("https://klasma.github.io/Logging_2085/kartor_geotiff/A 36050-2025 georefererad karta.tif", "A 36050-2025")</f>
        <v/>
      </c>
      <c r="AA112">
        <f>HYPERLINK("https://klasma.github.io/Logging_2085/klagomål/A 36050-2025 FSC-klagomål.docx", "A 36050-2025")</f>
        <v/>
      </c>
      <c r="AB112">
        <f>HYPERLINK("https://klasma.github.io/Logging_2085/klagomålsmail/A 36050-2025 FSC-klagomål mail.docx", "A 36050-2025")</f>
        <v/>
      </c>
      <c r="AC112">
        <f>HYPERLINK("https://klasma.github.io/Logging_2085/tillsyn/A 36050-2025 tillsynsbegäran.docx", "A 36050-2025")</f>
        <v/>
      </c>
      <c r="AD112">
        <f>HYPERLINK("https://klasma.github.io/Logging_2085/tillsynsmail/A 36050-2025 tillsynsbegäran mail.docx", "A 36050-2025")</f>
        <v/>
      </c>
      <c r="AE112">
        <f>HYPERLINK("https://klasma.github.io/Logging_2085/fåglar/A 36050-2025 prioriterade fågelarter.docx", "A 36050-2025")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46326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Garnlav</t>
        </is>
      </c>
      <c r="W113">
        <f>HYPERLINK("https://klasma.github.io/Logging_2085/artfynd/A 25588-2023 artfynd.xlsx", "A 25588-2023")</f>
        <v/>
      </c>
      <c r="X113">
        <f>HYPERLINK("https://klasma.github.io/Logging_2085/kartor/A 25588-2023 karta.png", "A 25588-2023")</f>
        <v/>
      </c>
      <c r="Y113">
        <f>HYPERLINK("https://klasma.github.io/Logging_2085/kartor_geotiff/A 25588-2023 georefererad karta.tif", "A 25588-2023")</f>
        <v/>
      </c>
      <c r="AA113">
        <f>HYPERLINK("https://klasma.github.io/Logging_2085/klagomål/A 25588-2023 FSC-klagomål.docx", "A 25588-2023")</f>
        <v/>
      </c>
      <c r="AB113">
        <f>HYPERLINK("https://klasma.github.io/Logging_2085/klagomålsmail/A 25588-2023 FSC-klagomål mail.docx", "A 25588-2023")</f>
        <v/>
      </c>
      <c r="AC113">
        <f>HYPERLINK("https://klasma.github.io/Logging_2085/tillsyn/A 25588-2023 tillsynsbegäran.docx", "A 25588-2023")</f>
        <v/>
      </c>
      <c r="AD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46326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62676-2025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46326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4.2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HYPERLINK("https://klasma.github.io/Logging_2085/artfynd/A 62676-2025 artfynd.xlsx", "A 62676-2025")</f>
        <v/>
      </c>
      <c r="X115">
        <f>HYPERLINK("https://klasma.github.io/Logging_2085/kartor/A 62676-2025 karta.png", "A 62676-2025")</f>
        <v/>
      </c>
      <c r="Y115">
        <f>HYPERLINK("https://klasma.github.io/Logging_2085/kartor_geotiff/A 62676-2025 georefererad karta.tif", "A 62676-2025")</f>
        <v/>
      </c>
      <c r="AA115">
        <f>HYPERLINK("https://klasma.github.io/Logging_2085/klagomål/A 62676-2025 FSC-klagomål.docx", "A 62676-2025")</f>
        <v/>
      </c>
      <c r="AB115">
        <f>HYPERLINK("https://klasma.github.io/Logging_2085/klagomålsmail/A 62676-2025 FSC-klagomål mail.docx", "A 62676-2025")</f>
        <v/>
      </c>
      <c r="AC115">
        <f>HYPERLINK("https://klasma.github.io/Logging_2085/tillsyn/A 62676-2025 tillsynsbegäran.docx", "A 62676-2025")</f>
        <v/>
      </c>
      <c r="AD115">
        <f>HYPERLINK("https://klasma.github.io/Logging_2085/tillsynsmail/A 62676-2025 tillsynsbegäran mail.docx", "A 62676-2025")</f>
        <v/>
      </c>
    </row>
    <row r="116" ht="15" customHeight="1">
      <c r="A116" t="inlineStr">
        <is>
          <t>A 17987-2025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46326</v>
      </c>
      <c r="F116" t="inlineStr">
        <is>
          <t>DALARNAS LÄN</t>
        </is>
      </c>
      <c r="G116" t="inlineStr">
        <is>
          <t>LUDVIKA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HYPERLINK("https://klasma.github.io/Logging_2085/artfynd/A 17987-2025 artfynd.xlsx", "A 17987-2025")</f>
        <v/>
      </c>
      <c r="X116">
        <f>HYPERLINK("https://klasma.github.io/Logging_2085/kartor/A 17987-2025 karta.png", "A 17987-2025")</f>
        <v/>
      </c>
      <c r="Y116">
        <f>HYPERLINK("https://klasma.github.io/Logging_2085/kartor_geotiff/A 17987-2025 georefererad karta.tif", "A 17987-2025")</f>
        <v/>
      </c>
      <c r="AA116">
        <f>HYPERLINK("https://klasma.github.io/Logging_2085/klagomål/A 17987-2025 FSC-klagomål.docx", "A 17987-2025")</f>
        <v/>
      </c>
      <c r="AB116">
        <f>HYPERLINK("https://klasma.github.io/Logging_2085/klagomålsmail/A 17987-2025 FSC-klagomål mail.docx", "A 17987-2025")</f>
        <v/>
      </c>
      <c r="AC116">
        <f>HYPERLINK("https://klasma.github.io/Logging_2085/tillsyn/A 17987-2025 tillsynsbegäran.docx", "A 17987-2025")</f>
        <v/>
      </c>
      <c r="AD116">
        <f>HYPERLINK("https://klasma.github.io/Logging_2085/tillsynsmail/A 17987-2025 tillsynsbegäran mail.docx", "A 17987-2025")</f>
        <v/>
      </c>
      <c r="AE116">
        <f>HYPERLINK("https://klasma.github.io/Logging_2085/fåglar/A 17987-2025 prioriterade fågelarter.docx", "A 17987-2025")</f>
        <v/>
      </c>
    </row>
    <row r="117" ht="15" customHeight="1">
      <c r="A117" t="inlineStr">
        <is>
          <t>A 21499-2022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46326</v>
      </c>
      <c r="F117" t="inlineStr">
        <is>
          <t>DALARNAS LÄN</t>
        </is>
      </c>
      <c r="G117" t="inlineStr">
        <is>
          <t>LUDVIKA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Strimspindling</t>
        </is>
      </c>
      <c r="W117">
        <f>HYPERLINK("https://klasma.github.io/Logging_2085/artfynd/A 21499-2022 artfynd.xlsx", "A 21499-2022")</f>
        <v/>
      </c>
      <c r="X117">
        <f>HYPERLINK("https://klasma.github.io/Logging_2085/kartor/A 21499-2022 karta.png", "A 21499-2022")</f>
        <v/>
      </c>
      <c r="Y117">
        <f>HYPERLINK("https://klasma.github.io/Logging_2085/kartor_geotiff/A 21499-2022 georefererad karta.tif", "A 21499-2022")</f>
        <v/>
      </c>
      <c r="AA117">
        <f>HYPERLINK("https://klasma.github.io/Logging_2085/klagomål/A 21499-2022 FSC-klagomål.docx", "A 21499-2022")</f>
        <v/>
      </c>
      <c r="AB117">
        <f>HYPERLINK("https://klasma.github.io/Logging_2085/klagomålsmail/A 21499-2022 FSC-klagomål mail.docx", "A 21499-2022")</f>
        <v/>
      </c>
      <c r="AC117">
        <f>HYPERLINK("https://klasma.github.io/Logging_2085/tillsyn/A 21499-2022 tillsynsbegäran.docx", "A 21499-2022")</f>
        <v/>
      </c>
      <c r="AD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400-2023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44929</v>
      </c>
      <c r="E118" s="1" t="n">
        <v>46326</v>
      </c>
      <c r="F118" t="inlineStr">
        <is>
          <t>DALARNAS LÄN</t>
        </is>
      </c>
      <c r="G118" t="inlineStr">
        <is>
          <t>LUDVIKA</t>
        </is>
      </c>
      <c r="I118" t="n">
        <v>3.6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HYPERLINK("https://klasma.github.io/Logging_2085/artfynd/A 400-2023 artfynd.xlsx", "A 400-2023")</f>
        <v/>
      </c>
      <c r="X118">
        <f>HYPERLINK("https://klasma.github.io/Logging_2085/kartor/A 400-2023 karta.png", "A 400-2023")</f>
        <v/>
      </c>
      <c r="Y118">
        <f>HYPERLINK("https://klasma.github.io/Logging_2085/kartor_geotiff/A 400-2023 georefererad karta.tif", "A 400-2023")</f>
        <v/>
      </c>
      <c r="AA118">
        <f>HYPERLINK("https://klasma.github.io/Logging_2085/klagomål/A 400-2023 FSC-klagomål.docx", "A 400-2023")</f>
        <v/>
      </c>
      <c r="AB118">
        <f>HYPERLINK("https://klasma.github.io/Logging_2085/klagomålsmail/A 400-2023 FSC-klagomål mail.docx", "A 400-2023")</f>
        <v/>
      </c>
      <c r="AC118">
        <f>HYPERLINK("https://klasma.github.io/Logging_2085/tillsyn/A 400-2023 tillsynsbegäran.docx", "A 400-2023")</f>
        <v/>
      </c>
      <c r="AD118">
        <f>HYPERLINK("https://klasma.github.io/Logging_2085/tillsynsmail/A 400-2023 tillsynsbegäran mail.docx", "A 400-2023")</f>
        <v/>
      </c>
    </row>
    <row r="119" ht="15" customHeight="1">
      <c r="A119" t="inlineStr">
        <is>
          <t>A 31478-2023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45114</v>
      </c>
      <c r="E119" s="1" t="n">
        <v>46326</v>
      </c>
      <c r="F119" t="inlineStr">
        <is>
          <t>DALARNAS LÄN</t>
        </is>
      </c>
      <c r="G119" t="inlineStr">
        <is>
          <t>LUDVIKA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HYPERLINK("https://klasma.github.io/Logging_2085/artfynd/A 31478-2023 artfynd.xlsx", "A 31478-2023")</f>
        <v/>
      </c>
      <c r="X119">
        <f>HYPERLINK("https://klasma.github.io/Logging_2085/kartor/A 31478-2023 karta.png", "A 31478-2023")</f>
        <v/>
      </c>
      <c r="Y119">
        <f>HYPERLINK("https://klasma.github.io/Logging_2085/kartor_geotiff/A 31478-2023 georefererad karta.tif", "A 31478-2023")</f>
        <v/>
      </c>
      <c r="AA119">
        <f>HYPERLINK("https://klasma.github.io/Logging_2085/klagomål/A 31478-2023 FSC-klagomål.docx", "A 31478-2023")</f>
        <v/>
      </c>
      <c r="AB119">
        <f>HYPERLINK("https://klasma.github.io/Logging_2085/klagomålsmail/A 31478-2023 FSC-klagomål mail.docx", "A 31478-2023")</f>
        <v/>
      </c>
      <c r="AC119">
        <f>HYPERLINK("https://klasma.github.io/Logging_2085/tillsyn/A 31478-2023 tillsynsbegäran.docx", "A 31478-2023")</f>
        <v/>
      </c>
      <c r="AD119">
        <f>HYPERLINK("https://klasma.github.io/Logging_2085/tillsynsmail/A 31478-2023 tillsynsbegäran mail.docx", "A 31478-2023")</f>
        <v/>
      </c>
    </row>
    <row r="120" ht="15" customHeight="1">
      <c r="A120" t="inlineStr">
        <is>
          <t>A 25448-2024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45463</v>
      </c>
      <c r="E120" s="1" t="n">
        <v>46326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24.7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Blåsippa</t>
        </is>
      </c>
      <c r="W120">
        <f>HYPERLINK("https://klasma.github.io/Logging_2085/artfynd/A 25448-2024 artfynd.xlsx", "A 25448-2024")</f>
        <v/>
      </c>
      <c r="X120">
        <f>HYPERLINK("https://klasma.github.io/Logging_2085/kartor/A 25448-2024 karta.png", "A 25448-2024")</f>
        <v/>
      </c>
      <c r="Y120">
        <f>HYPERLINK("https://klasma.github.io/Logging_2085/kartor_geotiff/A 25448-2024 georefererad karta.tif", "A 25448-2024")</f>
        <v/>
      </c>
      <c r="AA120">
        <f>HYPERLINK("https://klasma.github.io/Logging_2085/klagomål/A 25448-2024 FSC-klagomål.docx", "A 25448-2024")</f>
        <v/>
      </c>
      <c r="AB120">
        <f>HYPERLINK("https://klasma.github.io/Logging_2085/klagomålsmail/A 25448-2024 FSC-klagomål mail.docx", "A 25448-2024")</f>
        <v/>
      </c>
      <c r="AC120">
        <f>HYPERLINK("https://klasma.github.io/Logging_2085/tillsyn/A 25448-2024 tillsynsbegäran.docx", "A 25448-2024")</f>
        <v/>
      </c>
      <c r="AD120">
        <f>HYPERLINK("https://klasma.github.io/Logging_2085/tillsynsmail/A 25448-2024 tillsynsbegäran mail.docx", "A 25448-2024")</f>
        <v/>
      </c>
    </row>
    <row r="121" ht="15" customHeight="1">
      <c r="A121" t="inlineStr">
        <is>
          <t>A 12093-2023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46326</v>
      </c>
      <c r="F121" t="inlineStr">
        <is>
          <t>DALARNAS LÄN</t>
        </is>
      </c>
      <c r="G121" t="inlineStr">
        <is>
          <t>LUDVIKA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Bitter taggsvamp</t>
        </is>
      </c>
      <c r="W121">
        <f>HYPERLINK("https://klasma.github.io/Logging_2085/artfynd/A 12093-2023 artfynd.xlsx", "A 12093-2023")</f>
        <v/>
      </c>
      <c r="X121">
        <f>HYPERLINK("https://klasma.github.io/Logging_2085/kartor/A 12093-2023 karta.png", "A 12093-2023")</f>
        <v/>
      </c>
      <c r="Y121">
        <f>HYPERLINK("https://klasma.github.io/Logging_2085/kartor_geotiff/A 12093-2023 georefererad karta.tif", "A 12093-2023")</f>
        <v/>
      </c>
      <c r="AA121">
        <f>HYPERLINK("https://klasma.github.io/Logging_2085/klagomål/A 12093-2023 FSC-klagomål.docx", "A 12093-2023")</f>
        <v/>
      </c>
      <c r="AB121">
        <f>HYPERLINK("https://klasma.github.io/Logging_2085/klagomålsmail/A 12093-2023 FSC-klagomål mail.docx", "A 12093-2023")</f>
        <v/>
      </c>
      <c r="AC121">
        <f>HYPERLINK("https://klasma.github.io/Logging_2085/tillsyn/A 12093-2023 tillsynsbegäran.docx", "A 12093-2023")</f>
        <v/>
      </c>
      <c r="AD121">
        <f>HYPERLINK("https://klasma.github.io/Logging_2085/tillsynsmail/A 12093-2023 tillsynsbegäran mail.docx", "A 12093-2023")</f>
        <v/>
      </c>
    </row>
    <row r="122" ht="15" customHeight="1">
      <c r="A122" t="inlineStr">
        <is>
          <t>A 23720-2026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46326</v>
      </c>
      <c r="F122" t="inlineStr">
        <is>
          <t>DALARNAS LÄN</t>
        </is>
      </c>
      <c r="G122" t="inlineStr">
        <is>
          <t>LUDVIKA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Tretåig hackspett</t>
        </is>
      </c>
      <c r="W122">
        <f>HYPERLINK("https://klasma.github.io/Logging_2085/artfynd/A 23720-2026 artfynd.xlsx", "A 23720-2026")</f>
        <v/>
      </c>
      <c r="X122">
        <f>HYPERLINK("https://klasma.github.io/Logging_2085/kartor/A 23720-2026 karta.png", "A 23720-2026")</f>
        <v/>
      </c>
      <c r="Y122">
        <f>HYPERLINK("https://klasma.github.io/Logging_2085/kartor_geotiff/A 23720-2026 georefererad karta.tif", "A 23720-2026")</f>
        <v/>
      </c>
      <c r="AA122">
        <f>HYPERLINK("https://klasma.github.io/Logging_2085/klagomål/A 23720-2026 FSC-klagomål.docx", "A 23720-2026")</f>
        <v/>
      </c>
      <c r="AB122">
        <f>HYPERLINK("https://klasma.github.io/Logging_2085/klagomålsmail/A 23720-2026 FSC-klagomål mail.docx", "A 23720-2026")</f>
        <v/>
      </c>
      <c r="AC122">
        <f>HYPERLINK("https://klasma.github.io/Logging_2085/tillsyn/A 23720-2026 tillsynsbegäran.docx", "A 23720-2026")</f>
        <v/>
      </c>
      <c r="AD122">
        <f>HYPERLINK("https://klasma.github.io/Logging_2085/tillsynsmail/A 23720-2026 tillsynsbegäran mail.docx", "A 23720-2026")</f>
        <v/>
      </c>
      <c r="AE122">
        <f>HYPERLINK("https://klasma.github.io/Logging_2085/fåglar/A 23720-2026 prioriterade fågelarter.docx", "A 23720-2026")</f>
        <v/>
      </c>
    </row>
    <row r="123" ht="15" customHeight="1">
      <c r="A123" t="inlineStr">
        <is>
          <t>A 23778-2026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46164</v>
      </c>
      <c r="E123" s="1" t="n">
        <v>46326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23778-2026 artfynd.xlsx", "A 23778-2026")</f>
        <v/>
      </c>
      <c r="X123">
        <f>HYPERLINK("https://klasma.github.io/Logging_2085/kartor/A 23778-2026 karta.png", "A 23778-2026")</f>
        <v/>
      </c>
      <c r="Y123">
        <f>HYPERLINK("https://klasma.github.io/Logging_2085/kartor_geotiff/A 23778-2026 georefererad karta.tif", "A 23778-2026")</f>
        <v/>
      </c>
      <c r="AA123">
        <f>HYPERLINK("https://klasma.github.io/Logging_2085/klagomål/A 23778-2026 FSC-klagomål.docx", "A 23778-2026")</f>
        <v/>
      </c>
      <c r="AB123">
        <f>HYPERLINK("https://klasma.github.io/Logging_2085/klagomålsmail/A 23778-2026 FSC-klagomål mail.docx", "A 23778-2026")</f>
        <v/>
      </c>
      <c r="AC123">
        <f>HYPERLINK("https://klasma.github.io/Logging_2085/tillsyn/A 23778-2026 tillsynsbegäran.docx", "A 23778-2026")</f>
        <v/>
      </c>
      <c r="AD123">
        <f>HYPERLINK("https://klasma.github.io/Logging_2085/tillsynsmail/A 23778-2026 tillsynsbegäran mail.docx", "A 23778-2026")</f>
        <v/>
      </c>
      <c r="AE123">
        <f>HYPERLINK("https://klasma.github.io/Logging_2085/fåglar/A 23778-2026 prioriterade fågelarter.docx", "A 23778-2026")</f>
        <v/>
      </c>
    </row>
    <row r="124" ht="15" customHeight="1">
      <c r="A124" t="inlineStr">
        <is>
          <t>A 63005-2025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46326</v>
      </c>
      <c r="F124" t="inlineStr">
        <is>
          <t>DALARNAS LÄN</t>
        </is>
      </c>
      <c r="G124" t="inlineStr">
        <is>
          <t>LUDVIKA</t>
        </is>
      </c>
      <c r="I124" t="n">
        <v>4.4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63005-2025 artfynd.xlsx", "A 63005-2025")</f>
        <v/>
      </c>
      <c r="X124">
        <f>HYPERLINK("https://klasma.github.io/Logging_2085/kartor/A 63005-2025 karta.png", "A 63005-2025")</f>
        <v/>
      </c>
      <c r="Y124">
        <f>HYPERLINK("https://klasma.github.io/Logging_2085/kartor_geotiff/A 63005-2025 georefererad karta.tif", "A 63005-2025")</f>
        <v/>
      </c>
      <c r="AA124">
        <f>HYPERLINK("https://klasma.github.io/Logging_2085/klagomål/A 63005-2025 FSC-klagomål.docx", "A 63005-2025")</f>
        <v/>
      </c>
      <c r="AB124">
        <f>HYPERLINK("https://klasma.github.io/Logging_2085/klagomålsmail/A 63005-2025 FSC-klagomål mail.docx", "A 63005-2025")</f>
        <v/>
      </c>
      <c r="AC124">
        <f>HYPERLINK("https://klasma.github.io/Logging_2085/tillsyn/A 63005-2025 tillsynsbegäran.docx", "A 63005-2025")</f>
        <v/>
      </c>
      <c r="AD124">
        <f>HYPERLINK("https://klasma.github.io/Logging_2085/tillsynsmail/A 63005-2025 tillsynsbegäran mail.docx", "A 63005-2025")</f>
        <v/>
      </c>
      <c r="AE124">
        <f>HYPERLINK("https://klasma.github.io/Logging_2085/fåglar/A 63005-2025 prioriterade fågelarter.docx", "A 63005-2025")</f>
        <v/>
      </c>
    </row>
    <row r="125" ht="15" customHeight="1">
      <c r="A125" t="inlineStr">
        <is>
          <t>A 25159-2026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46175</v>
      </c>
      <c r="E125" s="1" t="n">
        <v>46326</v>
      </c>
      <c r="F125" t="inlineStr">
        <is>
          <t>DALARNAS LÄN</t>
        </is>
      </c>
      <c r="G125" t="inlineStr">
        <is>
          <t>LUDVIKA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HYPERLINK("https://klasma.github.io/Logging_2085/artfynd/A 25159-2026 artfynd.xlsx", "A 25159-2026")</f>
        <v/>
      </c>
      <c r="X125">
        <f>HYPERLINK("https://klasma.github.io/Logging_2085/kartor/A 25159-2026 karta.png", "A 25159-2026")</f>
        <v/>
      </c>
      <c r="Y125">
        <f>HYPERLINK("https://klasma.github.io/Logging_2085/kartor_geotiff/A 25159-2026 georefererad karta.tif", "A 25159-2026")</f>
        <v/>
      </c>
      <c r="AA125">
        <f>HYPERLINK("https://klasma.github.io/Logging_2085/klagomål/A 25159-2026 FSC-klagomål.docx", "A 25159-2026")</f>
        <v/>
      </c>
      <c r="AB125">
        <f>HYPERLINK("https://klasma.github.io/Logging_2085/klagomålsmail/A 25159-2026 FSC-klagomål mail.docx", "A 25159-2026")</f>
        <v/>
      </c>
      <c r="AC125">
        <f>HYPERLINK("https://klasma.github.io/Logging_2085/tillsyn/A 25159-2026 tillsynsbegäran.docx", "A 25159-2026")</f>
        <v/>
      </c>
      <c r="AD125">
        <f>HYPERLINK("https://klasma.github.io/Logging_2085/tillsynsmail/A 25159-2026 tillsynsbegäran mail.docx", "A 25159-2026")</f>
        <v/>
      </c>
    </row>
    <row r="126" ht="15" customHeight="1">
      <c r="A126" t="inlineStr">
        <is>
          <t>A 31352-2026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46219</v>
      </c>
      <c r="E126" s="1" t="n">
        <v>46326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Tvåblad</t>
        </is>
      </c>
      <c r="W126">
        <f>HYPERLINK("https://klasma.github.io/Logging_2085/artfynd/A 31352-2026 artfynd.xlsx", "A 31352-2026")</f>
        <v/>
      </c>
      <c r="X126">
        <f>HYPERLINK("https://klasma.github.io/Logging_2085/kartor/A 31352-2026 karta.png", "A 31352-2026")</f>
        <v/>
      </c>
      <c r="Y126">
        <f>HYPERLINK("https://klasma.github.io/Logging_2085/kartor_geotiff/A 31352-2026 georefererad karta.tif", "A 31352-2026")</f>
        <v/>
      </c>
      <c r="AA126">
        <f>HYPERLINK("https://klasma.github.io/Logging_2085/klagomål/A 31352-2026 FSC-klagomål.docx", "A 31352-2026")</f>
        <v/>
      </c>
      <c r="AB126">
        <f>HYPERLINK("https://klasma.github.io/Logging_2085/klagomålsmail/A 31352-2026 FSC-klagomål mail.docx", "A 31352-2026")</f>
        <v/>
      </c>
      <c r="AC126">
        <f>HYPERLINK("https://klasma.github.io/Logging_2085/tillsyn/A 31352-2026 tillsynsbegäran.docx", "A 31352-2026")</f>
        <v/>
      </c>
      <c r="AD126">
        <f>HYPERLINK("https://klasma.github.io/Logging_2085/tillsynsmail/A 31352-2026 tillsynsbegäran mail.docx", "A 31352-2026")</f>
        <v/>
      </c>
    </row>
    <row r="127" ht="15" customHeight="1">
      <c r="A127" t="inlineStr">
        <is>
          <t>A 29882-2024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45486</v>
      </c>
      <c r="E127" s="1" t="n">
        <v>46326</v>
      </c>
      <c r="F127" t="inlineStr">
        <is>
          <t>DALARNAS LÄN</t>
        </is>
      </c>
      <c r="G127" t="inlineStr">
        <is>
          <t>LUDVIKA</t>
        </is>
      </c>
      <c r="I127" t="n">
        <v>1.3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29882-2024 artfynd.xlsx", "A 29882-2024")</f>
        <v/>
      </c>
      <c r="X127">
        <f>HYPERLINK("https://klasma.github.io/Logging_2085/kartor/A 29882-2024 karta.png", "A 29882-2024")</f>
        <v/>
      </c>
      <c r="Y127">
        <f>HYPERLINK("https://klasma.github.io/Logging_2085/kartor_geotiff/A 29882-2024 georefererad karta.tif", "A 29882-2024")</f>
        <v/>
      </c>
      <c r="AA127">
        <f>HYPERLINK("https://klasma.github.io/Logging_2085/klagomål/A 29882-2024 FSC-klagomål.docx", "A 29882-2024")</f>
        <v/>
      </c>
      <c r="AB127">
        <f>HYPERLINK("https://klasma.github.io/Logging_2085/klagomålsmail/A 29882-2024 FSC-klagomål mail.docx", "A 29882-2024")</f>
        <v/>
      </c>
      <c r="AC127">
        <f>HYPERLINK("https://klasma.github.io/Logging_2085/tillsyn/A 29882-2024 tillsynsbegäran.docx", "A 29882-2024")</f>
        <v/>
      </c>
      <c r="AD127">
        <f>HYPERLINK("https://klasma.github.io/Logging_2085/tillsynsmail/A 29882-2024 tillsynsbegäran mail.docx", "A 29882-2024")</f>
        <v/>
      </c>
      <c r="AE127">
        <f>HYPERLINK("https://klasma.github.io/Logging_2085/fåglar/A 29882-2024 prioriterade fågelarter.docx", "A 29882-2024")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46326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23102-2025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46326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groda</t>
        </is>
      </c>
      <c r="W129">
        <f>HYPERLINK("https://klasma.github.io/Logging_2085/artfynd/A 23102-2025 artfynd.xlsx", "A 23102-2025")</f>
        <v/>
      </c>
      <c r="X129">
        <f>HYPERLINK("https://klasma.github.io/Logging_2085/kartor/A 23102-2025 karta.png", "A 23102-2025")</f>
        <v/>
      </c>
      <c r="Y129">
        <f>HYPERLINK("https://klasma.github.io/Logging_2085/kartor_geotiff/A 23102-2025 georefererad karta.tif", "A 23102-2025")</f>
        <v/>
      </c>
      <c r="AA129">
        <f>HYPERLINK("https://klasma.github.io/Logging_2085/klagomål/A 23102-2025 FSC-klagomål.docx", "A 23102-2025")</f>
        <v/>
      </c>
      <c r="AB129">
        <f>HYPERLINK("https://klasma.github.io/Logging_2085/klagomålsmail/A 23102-2025 FSC-klagomål mail.docx", "A 23102-2025")</f>
        <v/>
      </c>
      <c r="AC129">
        <f>HYPERLINK("https://klasma.github.io/Logging_2085/tillsyn/A 23102-2025 tillsynsbegäran.docx", "A 23102-2025")</f>
        <v/>
      </c>
      <c r="AD129">
        <f>HYPERLINK("https://klasma.github.io/Logging_2085/tillsynsmail/A 23102-2025 tillsynsbegäran mail.docx", "A 23102-2025")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46326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35652-2026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46326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Garnlav</t>
        </is>
      </c>
      <c r="W131">
        <f>HYPERLINK("https://klasma.github.io/Logging_2085/artfynd/A 35652-2026 artfynd.xlsx", "A 35652-2026")</f>
        <v/>
      </c>
      <c r="X131">
        <f>HYPERLINK("https://klasma.github.io/Logging_2085/kartor/A 35652-2026 karta.png", "A 35652-2026")</f>
        <v/>
      </c>
      <c r="Y131">
        <f>HYPERLINK("https://klasma.github.io/Logging_2085/kartor_geotiff/A 35652-2026 georefererad karta.tif", "A 35652-2026")</f>
        <v/>
      </c>
      <c r="AA131">
        <f>HYPERLINK("https://klasma.github.io/Logging_2085/klagomål/A 35652-2026 FSC-klagomål.docx", "A 35652-2026")</f>
        <v/>
      </c>
      <c r="AB131">
        <f>HYPERLINK("https://klasma.github.io/Logging_2085/klagomålsmail/A 35652-2026 FSC-klagomål mail.docx", "A 35652-2026")</f>
        <v/>
      </c>
      <c r="AC131">
        <f>HYPERLINK("https://klasma.github.io/Logging_2085/tillsyn/A 35652-2026 tillsynsbegäran.docx", "A 35652-2026")</f>
        <v/>
      </c>
      <c r="AD131">
        <f>HYPERLINK("https://klasma.github.io/Logging_2085/tillsynsmail/A 35652-2026 tillsynsbegäran mail.docx", "A 35652-2026")</f>
        <v/>
      </c>
    </row>
    <row r="132" ht="15" customHeight="1">
      <c r="A132" t="inlineStr">
        <is>
          <t>A 43248-2026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46314</v>
      </c>
      <c r="E132" s="1" t="n">
        <v>46326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Brunpudrad nållav</t>
        </is>
      </c>
      <c r="W132">
        <f>HYPERLINK("https://klasma.github.io/Logging_2085/artfynd/A 43248-2026 artfynd.xlsx", "A 43248-2026")</f>
        <v/>
      </c>
      <c r="X132">
        <f>HYPERLINK("https://klasma.github.io/Logging_2085/kartor/A 43248-2026 karta.png", "A 43248-2026")</f>
        <v/>
      </c>
      <c r="Y132">
        <f>HYPERLINK("https://klasma.github.io/Logging_2085/kartor_geotiff/A 43248-2026 georefererad karta.tif", "A 43248-2026")</f>
        <v/>
      </c>
      <c r="AA132">
        <f>HYPERLINK("https://klasma.github.io/Logging_2085/klagomål/A 43248-2026 FSC-klagomål.docx", "A 43248-2026")</f>
        <v/>
      </c>
      <c r="AB132">
        <f>HYPERLINK("https://klasma.github.io/Logging_2085/klagomålsmail/A 43248-2026 FSC-klagomål mail.docx", "A 43248-2026")</f>
        <v/>
      </c>
      <c r="AC132">
        <f>HYPERLINK("https://klasma.github.io/Logging_2085/tillsyn/A 43248-2026 tillsynsbegäran.docx", "A 43248-2026")</f>
        <v/>
      </c>
      <c r="AD132">
        <f>HYPERLINK("https://klasma.github.io/Logging_2085/tillsynsmail/A 43248-2026 tillsynsbegäran mail.docx", "A 43248-2026")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46326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60787-2024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46326</v>
      </c>
      <c r="F134" t="inlineStr">
        <is>
          <t>DALARNAS LÄN</t>
        </is>
      </c>
      <c r="G134" t="inlineStr">
        <is>
          <t>LUDVIKA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Järpe</t>
        </is>
      </c>
      <c r="W134">
        <f>HYPERLINK("https://klasma.github.io/Logging_2085/artfynd/A 60787-2024 artfynd.xlsx", "A 60787-2024")</f>
        <v/>
      </c>
      <c r="X134">
        <f>HYPERLINK("https://klasma.github.io/Logging_2085/kartor/A 60787-2024 karta.png", "A 60787-2024")</f>
        <v/>
      </c>
      <c r="Y134">
        <f>HYPERLINK("https://klasma.github.io/Logging_2085/kartor_geotiff/A 60787-2024 georefererad karta.tif", "A 60787-2024")</f>
        <v/>
      </c>
      <c r="AA134">
        <f>HYPERLINK("https://klasma.github.io/Logging_2085/klagomål/A 60787-2024 FSC-klagomål.docx", "A 60787-2024")</f>
        <v/>
      </c>
      <c r="AB134">
        <f>HYPERLINK("https://klasma.github.io/Logging_2085/klagomålsmail/A 60787-2024 FSC-klagomål mail.docx", "A 60787-2024")</f>
        <v/>
      </c>
      <c r="AC134">
        <f>HYPERLINK("https://klasma.github.io/Logging_2085/tillsyn/A 60787-2024 tillsynsbegäran.docx", "A 60787-2024")</f>
        <v/>
      </c>
      <c r="AD134">
        <f>HYPERLINK("https://klasma.github.io/Logging_2085/tillsynsmail/A 60787-2024 tillsynsbegäran mail.docx", "A 60787-2024")</f>
        <v/>
      </c>
      <c r="AE134">
        <f>HYPERLINK("https://klasma.github.io/Logging_2085/fåglar/A 60787-2024 prioriterade fågelarter.docx", "A 60787-2024")</f>
        <v/>
      </c>
    </row>
    <row r="135" ht="15" customHeight="1">
      <c r="A135" t="inlineStr">
        <is>
          <t>A 37560-2026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46276</v>
      </c>
      <c r="E135" s="1" t="n">
        <v>46326</v>
      </c>
      <c r="F135" t="inlineStr">
        <is>
          <t>DALARNAS LÄN</t>
        </is>
      </c>
      <c r="G135" t="inlineStr">
        <is>
          <t>LUDVIKA</t>
        </is>
      </c>
      <c r="H135" t="inlineStr">
        <is>
          <t>Naturvårdsverket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HYPERLINK("https://klasma.github.io/Logging_2085/artfynd/A 37560-2026 artfynd.xlsx", "A 37560-2026")</f>
        <v/>
      </c>
      <c r="X135">
        <f>HYPERLINK("https://klasma.github.io/Logging_2085/kartor/A 37560-2026 karta.png", "A 37560-2026")</f>
        <v/>
      </c>
      <c r="Y135">
        <f>HYPERLINK("https://klasma.github.io/Logging_2085/kartor_geotiff/A 37560-2026 georefererad karta.tif", "A 37560-2026")</f>
        <v/>
      </c>
      <c r="AA135">
        <f>HYPERLINK("https://klasma.github.io/Logging_2085/klagomål/A 37560-2026 FSC-klagomål.docx", "A 37560-2026")</f>
        <v/>
      </c>
      <c r="AB135">
        <f>HYPERLINK("https://klasma.github.io/Logging_2085/klagomålsmail/A 37560-2026 FSC-klagomål mail.docx", "A 37560-2026")</f>
        <v/>
      </c>
      <c r="AC135">
        <f>HYPERLINK("https://klasma.github.io/Logging_2085/tillsyn/A 37560-2026 tillsynsbegäran.docx", "A 37560-2026")</f>
        <v/>
      </c>
      <c r="AD135">
        <f>HYPERLINK("https://klasma.github.io/Logging_2085/tillsynsmail/A 37560-2026 tillsynsbegäran mail.docx", "A 37560-2026")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46326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46326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46326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46326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46326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46326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46326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46326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46326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46326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46326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46326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46326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46326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46326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46326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46326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46326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44508</v>
      </c>
      <c r="E154" s="1" t="n">
        <v>46326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46326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45060-2022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44841</v>
      </c>
      <c r="E156" s="1" t="n">
        <v>46326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46326</v>
      </c>
      <c r="F157" t="inlineStr">
        <is>
          <t>DALARNAS LÄN</t>
        </is>
      </c>
      <c r="G157" t="inlineStr">
        <is>
          <t>LUDVIKA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46326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46326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53048-2024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45611</v>
      </c>
      <c r="E160" s="1" t="n">
        <v>46326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44893</v>
      </c>
      <c r="E161" s="1" t="n">
        <v>46326</v>
      </c>
      <c r="F161" t="inlineStr">
        <is>
          <t>DALARNAS LÄN</t>
        </is>
      </c>
      <c r="G161" t="inlineStr">
        <is>
          <t>LUDVIKA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45317</v>
      </c>
      <c r="E162" s="1" t="n">
        <v>46326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45569</v>
      </c>
      <c r="E163" s="1" t="n">
        <v>46326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46326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43981-2024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45572</v>
      </c>
      <c r="E165" s="1" t="n">
        <v>46326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46326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46326</v>
      </c>
      <c r="F167" t="inlineStr">
        <is>
          <t>DALARNAS LÄN</t>
        </is>
      </c>
      <c r="G167" t="inlineStr">
        <is>
          <t>LUDVIKA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45361-2022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44844</v>
      </c>
      <c r="E168" s="1" t="n">
        <v>46326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46326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46326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46326</v>
      </c>
      <c r="F171" t="inlineStr">
        <is>
          <t>DALARNAS LÄN</t>
        </is>
      </c>
      <c r="G171" t="inlineStr">
        <is>
          <t>LUDVIKA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44960</v>
      </c>
      <c r="E172" s="1" t="n">
        <v>46326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48740-2022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44859</v>
      </c>
      <c r="E173" s="1" t="n">
        <v>46326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44730</v>
      </c>
      <c r="E174" s="1" t="n">
        <v>46326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46326</v>
      </c>
      <c r="F175" t="inlineStr">
        <is>
          <t>DALARNAS LÄN</t>
        </is>
      </c>
      <c r="G175" t="inlineStr">
        <is>
          <t>LUDVIKA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46326</v>
      </c>
      <c r="F176" t="inlineStr">
        <is>
          <t>DALARNAS LÄN</t>
        </is>
      </c>
      <c r="G176" t="inlineStr">
        <is>
          <t>LUDVIKA</t>
        </is>
      </c>
      <c r="I176" t="n">
        <v>20.8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31702-2023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45105</v>
      </c>
      <c r="E177" s="1" t="n">
        <v>46326</v>
      </c>
      <c r="F177" t="inlineStr">
        <is>
          <t>DALARNAS LÄN</t>
        </is>
      </c>
      <c r="G177" t="inlineStr">
        <is>
          <t>LUDVIKA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45106</v>
      </c>
      <c r="E178" s="1" t="n">
        <v>46326</v>
      </c>
      <c r="F178" t="inlineStr">
        <is>
          <t>DALARNAS LÄN</t>
        </is>
      </c>
      <c r="G178" t="inlineStr">
        <is>
          <t>LUDVIKA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45754</v>
      </c>
      <c r="E179" s="1" t="n">
        <v>46326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46326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46326</v>
      </c>
      <c r="F181" t="inlineStr">
        <is>
          <t>DALARNAS LÄN</t>
        </is>
      </c>
      <c r="G181" t="inlineStr">
        <is>
          <t>LUDVIKA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25004-2025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46326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55472-2024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46326</v>
      </c>
      <c r="F183" t="inlineStr">
        <is>
          <t>DALARNAS LÄN</t>
        </is>
      </c>
      <c r="G183" t="inlineStr">
        <is>
          <t>LUDVIKA</t>
        </is>
      </c>
      <c r="H183" t="inlineStr">
        <is>
          <t>Naturvårdsverket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46326</v>
      </c>
      <c r="F184" t="inlineStr">
        <is>
          <t>DALARNAS LÄN</t>
        </is>
      </c>
      <c r="G184" t="inlineStr">
        <is>
          <t>LUDVIKA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45541</v>
      </c>
      <c r="E185" s="1" t="n">
        <v>46326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46326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25235-2025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45800</v>
      </c>
      <c r="E187" s="1" t="n">
        <v>46326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46326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46326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46326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46326</v>
      </c>
      <c r="F191" t="inlineStr">
        <is>
          <t>DALARNAS LÄN</t>
        </is>
      </c>
      <c r="G191" t="inlineStr">
        <is>
          <t>LUDVIKA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45208</v>
      </c>
      <c r="E192" s="1" t="n">
        <v>46326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45810</v>
      </c>
      <c r="E193" s="1" t="n">
        <v>46326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45607</v>
      </c>
      <c r="E194" s="1" t="n">
        <v>46326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48589-2023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46326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26794-2025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45810</v>
      </c>
      <c r="E196" s="1" t="n">
        <v>46326</v>
      </c>
      <c r="F196" t="inlineStr">
        <is>
          <t>DALARNAS LÄN</t>
        </is>
      </c>
      <c r="G196" t="inlineStr">
        <is>
          <t>LUDVIKA</t>
        </is>
      </c>
      <c r="H196" t="inlineStr">
        <is>
          <t>Kommuner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26628-2025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45810</v>
      </c>
      <c r="E197" s="1" t="n">
        <v>46326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46326</v>
      </c>
      <c r="F198" t="inlineStr">
        <is>
          <t>DALARNAS LÄN</t>
        </is>
      </c>
      <c r="G198" t="inlineStr">
        <is>
          <t>LUDVIKA</t>
        </is>
      </c>
      <c r="H198" t="inlineStr">
        <is>
          <t>Naturvårdsverket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46326</v>
      </c>
      <c r="F199" t="inlineStr">
        <is>
          <t>DALARNAS LÄN</t>
        </is>
      </c>
      <c r="G199" t="inlineStr">
        <is>
          <t>LUDVIKA</t>
        </is>
      </c>
      <c r="H199" t="inlineStr">
        <is>
          <t>Övriga Aktiebolag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46326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46326</v>
      </c>
      <c r="F201" t="inlineStr">
        <is>
          <t>DALARNAS LÄN</t>
        </is>
      </c>
      <c r="G201" t="inlineStr">
        <is>
          <t>LUDVIKA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46326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46326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46326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46326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46326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46326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46326</v>
      </c>
      <c r="F208" t="inlineStr">
        <is>
          <t>DALARNAS LÄN</t>
        </is>
      </c>
      <c r="G208" t="inlineStr">
        <is>
          <t>LUDVIKA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46326</v>
      </c>
      <c r="F209" t="inlineStr">
        <is>
          <t>DALARNAS LÄN</t>
        </is>
      </c>
      <c r="G209" t="inlineStr">
        <is>
          <t>LUDVIKA</t>
        </is>
      </c>
      <c r="H209" t="inlineStr">
        <is>
          <t>Naturvårdsverket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8703-2023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44978</v>
      </c>
      <c r="E210" s="1" t="n">
        <v>46326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45824</v>
      </c>
      <c r="E211" s="1" t="n">
        <v>46326</v>
      </c>
      <c r="F211" t="inlineStr">
        <is>
          <t>DALARNAS LÄN</t>
        </is>
      </c>
      <c r="G211" t="inlineStr">
        <is>
          <t>LUDVIKA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44890</v>
      </c>
      <c r="E212" s="1" t="n">
        <v>46326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46326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46326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46326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46326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46326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45191</v>
      </c>
      <c r="E218" s="1" t="n">
        <v>46326</v>
      </c>
      <c r="F218" t="inlineStr">
        <is>
          <t>DALARNAS LÄN</t>
        </is>
      </c>
      <c r="G218" t="inlineStr">
        <is>
          <t>LUDVIKA</t>
        </is>
      </c>
      <c r="H218" t="inlineStr">
        <is>
          <t>Sveaskog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46326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46326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46326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46326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46326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46326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46326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36338-2025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45868</v>
      </c>
      <c r="E226" s="1" t="n">
        <v>46326</v>
      </c>
      <c r="F226" t="inlineStr">
        <is>
          <t>DALARNAS LÄN</t>
        </is>
      </c>
      <c r="G226" t="inlineStr">
        <is>
          <t>LUDVIKA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46326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45623</v>
      </c>
      <c r="E228" s="1" t="n">
        <v>46326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46326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46326</v>
      </c>
      <c r="F230" t="inlineStr">
        <is>
          <t>DALARNAS LÄN</t>
        </is>
      </c>
      <c r="G230" t="inlineStr">
        <is>
          <t>LUDVIKA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46326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46326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32019-2025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45835</v>
      </c>
      <c r="E233" s="1" t="n">
        <v>46326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46326</v>
      </c>
      <c r="F234" t="inlineStr">
        <is>
          <t>DALARNAS LÄN</t>
        </is>
      </c>
      <c r="G234" t="inlineStr">
        <is>
          <t>LUDVIKA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46326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46326</v>
      </c>
      <c r="F236" t="inlineStr">
        <is>
          <t>DALARNAS LÄN</t>
        </is>
      </c>
      <c r="G236" t="inlineStr">
        <is>
          <t>LUDVIKA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46326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65195-2021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44515</v>
      </c>
      <c r="E238" s="1" t="n">
        <v>46326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46326</v>
      </c>
      <c r="F239" t="inlineStr">
        <is>
          <t>DALARNAS LÄN</t>
        </is>
      </c>
      <c r="G239" t="inlineStr">
        <is>
          <t>LUDVIKA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45840</v>
      </c>
      <c r="E240" s="1" t="n">
        <v>46326</v>
      </c>
      <c r="F240" t="inlineStr">
        <is>
          <t>DALARNAS LÄN</t>
        </is>
      </c>
      <c r="G240" t="inlineStr">
        <is>
          <t>LUDVIKA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46326</v>
      </c>
      <c r="F241" t="inlineStr">
        <is>
          <t>DALARNAS LÄN</t>
        </is>
      </c>
      <c r="G241" t="inlineStr">
        <is>
          <t>LUDVIKA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46326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45502</v>
      </c>
      <c r="E243" s="1" t="n">
        <v>46326</v>
      </c>
      <c r="F243" t="inlineStr">
        <is>
          <t>DALARNAS LÄN</t>
        </is>
      </c>
      <c r="G243" t="inlineStr">
        <is>
          <t>LUDVIKA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46326</v>
      </c>
      <c r="F244" t="inlineStr">
        <is>
          <t>DALARNAS LÄN</t>
        </is>
      </c>
      <c r="G244" t="inlineStr">
        <is>
          <t>LUDVIKA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34067-2025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45845</v>
      </c>
      <c r="E245" s="1" t="n">
        <v>46326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46326</v>
      </c>
      <c r="F246" t="inlineStr">
        <is>
          <t>DALARNAS LÄN</t>
        </is>
      </c>
      <c r="G246" t="inlineStr">
        <is>
          <t>LUDVIKA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45502</v>
      </c>
      <c r="E247" s="1" t="n">
        <v>46326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46326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46326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45849</v>
      </c>
      <c r="E250" s="1" t="n">
        <v>46326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46326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34455-2024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45525</v>
      </c>
      <c r="E252" s="1" t="n">
        <v>46326</v>
      </c>
      <c r="F252" t="inlineStr">
        <is>
          <t>DALARNAS LÄN</t>
        </is>
      </c>
      <c r="G252" t="inlineStr">
        <is>
          <t>LUDVIKA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46326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46326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46326</v>
      </c>
      <c r="F255" t="inlineStr">
        <is>
          <t>DALARNAS LÄN</t>
        </is>
      </c>
      <c r="G255" t="inlineStr">
        <is>
          <t>LUDVIKA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46326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46326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46326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46326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46326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46326</v>
      </c>
      <c r="F261" t="inlineStr">
        <is>
          <t>DALARNAS LÄN</t>
        </is>
      </c>
      <c r="G261" t="inlineStr">
        <is>
          <t>LUDVIKA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46326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46326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46326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45832</v>
      </c>
      <c r="E265" s="1" t="n">
        <v>46326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45832</v>
      </c>
      <c r="E266" s="1" t="n">
        <v>46326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45832</v>
      </c>
      <c r="E267" s="1" t="n">
        <v>46326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46326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46326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17677-2022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44680</v>
      </c>
      <c r="E270" s="1" t="n">
        <v>46326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45869</v>
      </c>
      <c r="E271" s="1" t="n">
        <v>46326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45567</v>
      </c>
      <c r="E272" s="1" t="n">
        <v>46326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46326</v>
      </c>
      <c r="F273" t="inlineStr">
        <is>
          <t>DALARNAS LÄN</t>
        </is>
      </c>
      <c r="G273" t="inlineStr">
        <is>
          <t>LUDVIKA</t>
        </is>
      </c>
      <c r="I273" t="n">
        <v>12.7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45337</v>
      </c>
      <c r="E274" s="1" t="n">
        <v>46326</v>
      </c>
      <c r="F274" t="inlineStr">
        <is>
          <t>DALARNAS LÄN</t>
        </is>
      </c>
      <c r="G274" t="inlineStr">
        <is>
          <t>LUDVIKA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45761</v>
      </c>
      <c r="E275" s="1" t="n">
        <v>46326</v>
      </c>
      <c r="F275" t="inlineStr">
        <is>
          <t>DALARNAS LÄN</t>
        </is>
      </c>
      <c r="G275" t="inlineStr">
        <is>
          <t>LUDVIKA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46326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49035-2024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45594</v>
      </c>
      <c r="E277" s="1" t="n">
        <v>46326</v>
      </c>
      <c r="F277" t="inlineStr">
        <is>
          <t>DALARNAS LÄN</t>
        </is>
      </c>
      <c r="G277" t="inlineStr">
        <is>
          <t>LUDVIKA</t>
        </is>
      </c>
      <c r="H277" t="inlineStr">
        <is>
          <t>Naturvårdsverket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61621-2022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44916</v>
      </c>
      <c r="E278" s="1" t="n">
        <v>46326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45875</v>
      </c>
      <c r="E279" s="1" t="n">
        <v>46326</v>
      </c>
      <c r="F279" t="inlineStr">
        <is>
          <t>DALARNAS LÄN</t>
        </is>
      </c>
      <c r="G279" t="inlineStr">
        <is>
          <t>LUDVIKA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45210</v>
      </c>
      <c r="E280" s="1" t="n">
        <v>46326</v>
      </c>
      <c r="F280" t="inlineStr">
        <is>
          <t>DALARNAS LÄN</t>
        </is>
      </c>
      <c r="G280" t="inlineStr">
        <is>
          <t>LUDVIKA</t>
        </is>
      </c>
      <c r="H280" t="inlineStr">
        <is>
          <t>Naturvårdsverket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45210</v>
      </c>
      <c r="E281" s="1" t="n">
        <v>46326</v>
      </c>
      <c r="F281" t="inlineStr">
        <is>
          <t>DALARNAS LÄN</t>
        </is>
      </c>
      <c r="G281" t="inlineStr">
        <is>
          <t>LUDVIKA</t>
        </is>
      </c>
      <c r="H281" t="inlineStr">
        <is>
          <t>Naturvårdsverket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46326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46326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46326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46326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50444-2025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45944</v>
      </c>
      <c r="E286" s="1" t="n">
        <v>46326</v>
      </c>
      <c r="F286" t="inlineStr">
        <is>
          <t>DALARNAS LÄN</t>
        </is>
      </c>
      <c r="G286" t="inlineStr">
        <is>
          <t>LUDVIKA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60660-2024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46326</v>
      </c>
      <c r="F287" t="inlineStr">
        <is>
          <t>DALARNAS LÄN</t>
        </is>
      </c>
      <c r="G287" t="inlineStr">
        <is>
          <t>LUDVIKA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46326</v>
      </c>
      <c r="F288" t="inlineStr">
        <is>
          <t>DALARNAS LÄN</t>
        </is>
      </c>
      <c r="G288" t="inlineStr">
        <is>
          <t>LUDVIKA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48642-2022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46326</v>
      </c>
      <c r="F289" t="inlineStr">
        <is>
          <t>DALARNAS LÄN</t>
        </is>
      </c>
      <c r="G289" t="inlineStr">
        <is>
          <t>LUDVIKA</t>
        </is>
      </c>
      <c r="H289" t="inlineStr">
        <is>
          <t>Naturvårdsverket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18724-2022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44687</v>
      </c>
      <c r="E290" s="1" t="n">
        <v>46326</v>
      </c>
      <c r="F290" t="inlineStr">
        <is>
          <t>DALARNAS LÄN</t>
        </is>
      </c>
      <c r="G290" t="inlineStr">
        <is>
          <t>LUDVIKA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46326</v>
      </c>
      <c r="F291" t="inlineStr">
        <is>
          <t>DALARNAS LÄN</t>
        </is>
      </c>
      <c r="G291" t="inlineStr">
        <is>
          <t>LUDVIKA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46326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46326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52724-2025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46326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52552-2025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46326</v>
      </c>
      <c r="F295" t="inlineStr">
        <is>
          <t>DALARNAS LÄN</t>
        </is>
      </c>
      <c r="G295" t="inlineStr">
        <is>
          <t>LUDVIKA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45537</v>
      </c>
      <c r="E296" s="1" t="n">
        <v>46326</v>
      </c>
      <c r="F296" t="inlineStr">
        <is>
          <t>DALARNAS LÄN</t>
        </is>
      </c>
      <c r="G296" t="inlineStr">
        <is>
          <t>LUDVIKA</t>
        </is>
      </c>
      <c r="H296" t="inlineStr">
        <is>
          <t>Övriga Aktiebolag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46326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52556-2025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45954</v>
      </c>
      <c r="E298" s="1" t="n">
        <v>46326</v>
      </c>
      <c r="F298" t="inlineStr">
        <is>
          <t>DALARNAS LÄN</t>
        </is>
      </c>
      <c r="G298" t="inlineStr">
        <is>
          <t>LUDVIKA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52459-2025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45954</v>
      </c>
      <c r="E299" s="1" t="n">
        <v>46326</v>
      </c>
      <c r="F299" t="inlineStr">
        <is>
          <t>DALARNAS LÄN</t>
        </is>
      </c>
      <c r="G299" t="inlineStr">
        <is>
          <t>LUDVIKA</t>
        </is>
      </c>
      <c r="H299" t="inlineStr">
        <is>
          <t>Övriga Aktiebolag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46326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52427-2025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46326</v>
      </c>
      <c r="F301" t="inlineStr">
        <is>
          <t>DALARNAS LÄN</t>
        </is>
      </c>
      <c r="G301" t="inlineStr">
        <is>
          <t>LUDVIKA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46326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46326</v>
      </c>
      <c r="F303" t="inlineStr">
        <is>
          <t>DALARNAS LÄN</t>
        </is>
      </c>
      <c r="G303" t="inlineStr">
        <is>
          <t>LUDVIKA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52230-2023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46326</v>
      </c>
      <c r="F304" t="inlineStr">
        <is>
          <t>DALARNAS LÄN</t>
        </is>
      </c>
      <c r="G304" t="inlineStr">
        <is>
          <t>LUDVIKA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30813-2025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46326</v>
      </c>
      <c r="F305" t="inlineStr">
        <is>
          <t>DALARNAS LÄN</t>
        </is>
      </c>
      <c r="G305" t="inlineStr">
        <is>
          <t>LUDVIKA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46326</v>
      </c>
      <c r="F306" t="inlineStr">
        <is>
          <t>DALARNAS LÄN</t>
        </is>
      </c>
      <c r="G306" t="inlineStr">
        <is>
          <t>LUDVIKA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33673-2022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44789</v>
      </c>
      <c r="E307" s="1" t="n">
        <v>46326</v>
      </c>
      <c r="F307" t="inlineStr">
        <is>
          <t>DALARNAS LÄN</t>
        </is>
      </c>
      <c r="G307" t="inlineStr">
        <is>
          <t>LUDVIKA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56680-2022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46326</v>
      </c>
      <c r="F308" t="inlineStr">
        <is>
          <t>DALARNAS LÄN</t>
        </is>
      </c>
      <c r="G308" t="inlineStr">
        <is>
          <t>LUDVIKA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46326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73703-2021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44552</v>
      </c>
      <c r="E310" s="1" t="n">
        <v>46326</v>
      </c>
      <c r="F310" t="inlineStr">
        <is>
          <t>DALARNAS LÄN</t>
        </is>
      </c>
      <c r="G310" t="inlineStr">
        <is>
          <t>LUDVIKA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46326</v>
      </c>
      <c r="F311" t="inlineStr">
        <is>
          <t>DALARNAS LÄN</t>
        </is>
      </c>
      <c r="G311" t="inlineStr">
        <is>
          <t>LUDVIKA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46326</v>
      </c>
      <c r="F312" t="inlineStr">
        <is>
          <t>DALARNAS LÄN</t>
        </is>
      </c>
      <c r="G312" t="inlineStr">
        <is>
          <t>LUDVIKA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46326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54341-2025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45965</v>
      </c>
      <c r="E314" s="1" t="n">
        <v>46326</v>
      </c>
      <c r="F314" t="inlineStr">
        <is>
          <t>DALARNAS LÄN</t>
        </is>
      </c>
      <c r="G314" t="inlineStr">
        <is>
          <t>LUDVIKA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54375-2025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46326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46326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45963</v>
      </c>
      <c r="E317" s="1" t="n">
        <v>46326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45891</v>
      </c>
      <c r="E318" s="1" t="n">
        <v>46326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46326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45904</v>
      </c>
      <c r="E320" s="1" t="n">
        <v>46326</v>
      </c>
      <c r="F320" t="inlineStr">
        <is>
          <t>DALARNAS LÄN</t>
        </is>
      </c>
      <c r="G320" t="inlineStr">
        <is>
          <t>LUDVIKA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46326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46326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41090-2022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44825</v>
      </c>
      <c r="E323" s="1" t="n">
        <v>46326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46326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46326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46326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46326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46326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46326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46326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45301</v>
      </c>
      <c r="E331" s="1" t="n">
        <v>46326</v>
      </c>
      <c r="F331" t="inlineStr">
        <is>
          <t>DALARNAS LÄN</t>
        </is>
      </c>
      <c r="G331" t="inlineStr">
        <is>
          <t>LUDVIKA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46326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923-2024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45301</v>
      </c>
      <c r="E333" s="1" t="n">
        <v>46326</v>
      </c>
      <c r="F333" t="inlineStr">
        <is>
          <t>DALARNAS LÄN</t>
        </is>
      </c>
      <c r="G333" t="inlineStr">
        <is>
          <t>LUDVIKA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45297</v>
      </c>
      <c r="E334" s="1" t="n">
        <v>46326</v>
      </c>
      <c r="F334" t="inlineStr">
        <is>
          <t>DALARNAS LÄN</t>
        </is>
      </c>
      <c r="G334" t="inlineStr">
        <is>
          <t>LUDVIKA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56178-2025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46326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46326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46326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56219-2025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46326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46326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46326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45335</v>
      </c>
      <c r="E341" s="1" t="n">
        <v>46326</v>
      </c>
      <c r="F341" t="inlineStr">
        <is>
          <t>DALARNAS LÄN</t>
        </is>
      </c>
      <c r="G341" t="inlineStr">
        <is>
          <t>LUDVIKA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59667-2024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45639</v>
      </c>
      <c r="E342" s="1" t="n">
        <v>46326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32277-2024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45512</v>
      </c>
      <c r="E343" s="1" t="n">
        <v>46326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46074-2023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45196</v>
      </c>
      <c r="E344" s="1" t="n">
        <v>46326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46326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46326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45909</v>
      </c>
      <c r="E347" s="1" t="n">
        <v>46326</v>
      </c>
      <c r="F347" t="inlineStr">
        <is>
          <t>DALARNAS LÄN</t>
        </is>
      </c>
      <c r="G347" t="inlineStr">
        <is>
          <t>LUDVIKA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46326</v>
      </c>
      <c r="F348" t="inlineStr">
        <is>
          <t>DALARNAS LÄN</t>
        </is>
      </c>
      <c r="G348" t="inlineStr">
        <is>
          <t>LUDVIKA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46326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46326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45929</v>
      </c>
      <c r="E351" s="1" t="n">
        <v>46326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12497-2024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45379</v>
      </c>
      <c r="E352" s="1" t="n">
        <v>46326</v>
      </c>
      <c r="F352" t="inlineStr">
        <is>
          <t>DALARNAS LÄN</t>
        </is>
      </c>
      <c r="G352" t="inlineStr">
        <is>
          <t>LUDVIKA</t>
        </is>
      </c>
      <c r="H352" t="inlineStr">
        <is>
          <t>Naturvårdsverket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46326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59444-2025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45989</v>
      </c>
      <c r="E354" s="1" t="n">
        <v>46326</v>
      </c>
      <c r="F354" t="inlineStr">
        <is>
          <t>DALARNAS LÄN</t>
        </is>
      </c>
      <c r="G354" t="inlineStr">
        <is>
          <t>LUDVIKA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46326</v>
      </c>
      <c r="F355" t="inlineStr">
        <is>
          <t>DALARNAS LÄN</t>
        </is>
      </c>
      <c r="G355" t="inlineStr">
        <is>
          <t>LUDVIKA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59530-2025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46326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45099</v>
      </c>
      <c r="E357" s="1" t="n">
        <v>46326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46326</v>
      </c>
      <c r="F358" t="inlineStr">
        <is>
          <t>DALARNAS LÄN</t>
        </is>
      </c>
      <c r="G358" t="inlineStr">
        <is>
          <t>LUDVIKA</t>
        </is>
      </c>
      <c r="H358" t="inlineStr">
        <is>
          <t>Kommuner</t>
        </is>
      </c>
      <c r="I358" t="n">
        <v>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45995</v>
      </c>
      <c r="E359" s="1" t="n">
        <v>46326</v>
      </c>
      <c r="F359" t="inlineStr">
        <is>
          <t>DALARNAS LÄN</t>
        </is>
      </c>
      <c r="G359" t="inlineStr">
        <is>
          <t>LUDVIKA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46326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46326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45488</v>
      </c>
      <c r="E362" s="1" t="n">
        <v>46326</v>
      </c>
      <c r="F362" t="inlineStr">
        <is>
          <t>DALARNAS LÄN</t>
        </is>
      </c>
      <c r="G362" t="inlineStr">
        <is>
          <t>LUDVIKA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44970</v>
      </c>
      <c r="E363" s="1" t="n">
        <v>46326</v>
      </c>
      <c r="F363" t="inlineStr">
        <is>
          <t>DALARNAS LÄN</t>
        </is>
      </c>
      <c r="G363" t="inlineStr">
        <is>
          <t>LUDVIKA</t>
        </is>
      </c>
      <c r="H363" t="inlineStr">
        <is>
          <t>Övriga Aktiebolag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44970</v>
      </c>
      <c r="E364" s="1" t="n">
        <v>46326</v>
      </c>
      <c r="F364" t="inlineStr">
        <is>
          <t>DALARNAS LÄN</t>
        </is>
      </c>
      <c r="G364" t="inlineStr">
        <is>
          <t>LUDVIKA</t>
        </is>
      </c>
      <c r="H364" t="inlineStr">
        <is>
          <t>Övriga Aktiebolag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46326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39519-2024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45551</v>
      </c>
      <c r="E366" s="1" t="n">
        <v>46326</v>
      </c>
      <c r="F366" t="inlineStr">
        <is>
          <t>DALARNAS LÄN</t>
        </is>
      </c>
      <c r="G366" t="inlineStr">
        <is>
          <t>LUDVIKA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46326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47496-2022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44853</v>
      </c>
      <c r="E368" s="1" t="n">
        <v>46326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46326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46326</v>
      </c>
      <c r="F370" t="inlineStr">
        <is>
          <t>DALARNAS LÄN</t>
        </is>
      </c>
      <c r="G370" t="inlineStr">
        <is>
          <t>LUDVIKA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45099</v>
      </c>
      <c r="E371" s="1" t="n">
        <v>46326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46326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46326</v>
      </c>
      <c r="F373" t="inlineStr">
        <is>
          <t>DALARNAS LÄN</t>
        </is>
      </c>
      <c r="G373" t="inlineStr">
        <is>
          <t>LUDVIKA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46326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62706-2025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46326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62930-2025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46326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62945-2025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46009</v>
      </c>
      <c r="E377" s="1" t="n">
        <v>46326</v>
      </c>
      <c r="F377" t="inlineStr">
        <is>
          <t>DALARNAS LÄN</t>
        </is>
      </c>
      <c r="G377" t="inlineStr">
        <is>
          <t>LUDVIKA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46326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46326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62838-2025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46326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46326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62842-2025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46326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46326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41158-2022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44825</v>
      </c>
      <c r="E384" s="1" t="n">
        <v>46326</v>
      </c>
      <c r="F384" t="inlineStr">
        <is>
          <t>DALARNAS LÄN</t>
        </is>
      </c>
      <c r="G384" t="inlineStr">
        <is>
          <t>LUDVIKA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46326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46326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18708-2023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45043</v>
      </c>
      <c r="E387" s="1" t="n">
        <v>46326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14986-2024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45399</v>
      </c>
      <c r="E388" s="1" t="n">
        <v>46326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60843-2024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45644</v>
      </c>
      <c r="E389" s="1" t="n">
        <v>46326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65104-2023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45288</v>
      </c>
      <c r="E390" s="1" t="n">
        <v>46326</v>
      </c>
      <c r="F390" t="inlineStr">
        <is>
          <t>DALARNAS LÄN</t>
        </is>
      </c>
      <c r="G390" t="inlineStr">
        <is>
          <t>LUDVIKA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14881-2025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45743</v>
      </c>
      <c r="E391" s="1" t="n">
        <v>46326</v>
      </c>
      <c r="F391" t="inlineStr">
        <is>
          <t>DALARNAS LÄN</t>
        </is>
      </c>
      <c r="G391" t="inlineStr">
        <is>
          <t>LUDVIKA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59050-2022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44903</v>
      </c>
      <c r="E392" s="1" t="n">
        <v>46326</v>
      </c>
      <c r="F392" t="inlineStr">
        <is>
          <t>DALARNAS LÄN</t>
        </is>
      </c>
      <c r="G392" t="inlineStr">
        <is>
          <t>LUDVIKA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45544-2024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45579</v>
      </c>
      <c r="E393" s="1" t="n">
        <v>46326</v>
      </c>
      <c r="F393" t="inlineStr">
        <is>
          <t>DALARNAS LÄN</t>
        </is>
      </c>
      <c r="G393" t="inlineStr">
        <is>
          <t>LUDVIKA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45579</v>
      </c>
      <c r="E394" s="1" t="n">
        <v>46326</v>
      </c>
      <c r="F394" t="inlineStr">
        <is>
          <t>DALARNAS LÄN</t>
        </is>
      </c>
      <c r="G394" t="inlineStr">
        <is>
          <t>LUDVIKA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46114</v>
      </c>
      <c r="E395" s="1" t="n">
        <v>46326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46119</v>
      </c>
      <c r="E396" s="1" t="n">
        <v>46326</v>
      </c>
      <c r="F396" t="inlineStr">
        <is>
          <t>DALARNAS LÄN</t>
        </is>
      </c>
      <c r="G396" t="inlineStr">
        <is>
          <t>LUDVIKA</t>
        </is>
      </c>
      <c r="H396" t="inlineStr">
        <is>
          <t>Naturvårdsverket</t>
        </is>
      </c>
      <c r="I396" t="n">
        <v>19.8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46122</v>
      </c>
      <c r="E397" s="1" t="n">
        <v>46326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46122</v>
      </c>
      <c r="E398" s="1" t="n">
        <v>46326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46326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18357-2026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46326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46126</v>
      </c>
      <c r="E401" s="1" t="n">
        <v>46326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46326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45705</v>
      </c>
      <c r="E403" s="1" t="n">
        <v>46326</v>
      </c>
      <c r="F403" t="inlineStr">
        <is>
          <t>DALARNAS LÄN</t>
        </is>
      </c>
      <c r="G403" t="inlineStr">
        <is>
          <t>LUDVIKA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32854-2023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45112</v>
      </c>
      <c r="E404" s="1" t="n">
        <v>46326</v>
      </c>
      <c r="F404" t="inlineStr">
        <is>
          <t>DALARNAS LÄN</t>
        </is>
      </c>
      <c r="G404" t="inlineStr">
        <is>
          <t>LUDVIKA</t>
        </is>
      </c>
      <c r="H404" t="inlineStr">
        <is>
          <t>Kommuner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46620-2023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45198</v>
      </c>
      <c r="E405" s="1" t="n">
        <v>46326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61507-2023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45265</v>
      </c>
      <c r="E406" s="1" t="n">
        <v>46326</v>
      </c>
      <c r="F406" t="inlineStr">
        <is>
          <t>DALARNAS LÄN</t>
        </is>
      </c>
      <c r="G406" t="inlineStr">
        <is>
          <t>LUDVIKA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18829-2026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46128</v>
      </c>
      <c r="E407" s="1" t="n">
        <v>46326</v>
      </c>
      <c r="F407" t="inlineStr">
        <is>
          <t>DALARNAS LÄN</t>
        </is>
      </c>
      <c r="G407" t="inlineStr">
        <is>
          <t>LUDVIKA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49951-2022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44865</v>
      </c>
      <c r="E408" s="1" t="n">
        <v>46326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46134</v>
      </c>
      <c r="E409" s="1" t="n">
        <v>46326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46326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46326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46326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29114-2024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45481</v>
      </c>
      <c r="E413" s="1" t="n">
        <v>46326</v>
      </c>
      <c r="F413" t="inlineStr">
        <is>
          <t>DALARNAS LÄN</t>
        </is>
      </c>
      <c r="G413" t="inlineStr">
        <is>
          <t>LUDVIKA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32224-2025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46326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16814-2024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45411</v>
      </c>
      <c r="E415" s="1" t="n">
        <v>46326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31270-2022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44771</v>
      </c>
      <c r="E416" s="1" t="n">
        <v>46326</v>
      </c>
      <c r="F416" t="inlineStr">
        <is>
          <t>DALARNAS LÄN</t>
        </is>
      </c>
      <c r="G416" t="inlineStr">
        <is>
          <t>LUDVIKA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45624</v>
      </c>
      <c r="E417" s="1" t="n">
        <v>46326</v>
      </c>
      <c r="F417" t="inlineStr">
        <is>
          <t>DALARNAS LÄN</t>
        </is>
      </c>
      <c r="G417" t="inlineStr">
        <is>
          <t>LUDVIKA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28507-2023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45103</v>
      </c>
      <c r="E418" s="1" t="n">
        <v>46326</v>
      </c>
      <c r="F418" t="inlineStr">
        <is>
          <t>DALARNAS LÄN</t>
        </is>
      </c>
      <c r="G418" t="inlineStr">
        <is>
          <t>LUDVIKA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55151-2025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45968</v>
      </c>
      <c r="E419" s="1" t="n">
        <v>46326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45775</v>
      </c>
      <c r="E420" s="1" t="n">
        <v>46326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39437-2023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45166</v>
      </c>
      <c r="E421" s="1" t="n">
        <v>46326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35353-2024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45531</v>
      </c>
      <c r="E422" s="1" t="n">
        <v>46326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45849</v>
      </c>
      <c r="E423" s="1" t="n">
        <v>46326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52912-2025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45954</v>
      </c>
      <c r="E424" s="1" t="n">
        <v>46326</v>
      </c>
      <c r="F424" t="inlineStr">
        <is>
          <t>DALARNAS LÄN</t>
        </is>
      </c>
      <c r="G424" t="inlineStr">
        <is>
          <t>LUDVIKA</t>
        </is>
      </c>
      <c r="I424" t="n">
        <v>9.800000000000001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29578-2025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45825</v>
      </c>
      <c r="E425" s="1" t="n">
        <v>46326</v>
      </c>
      <c r="F425" t="inlineStr">
        <is>
          <t>DALARNAS LÄN</t>
        </is>
      </c>
      <c r="G425" t="inlineStr">
        <is>
          <t>LUDVIKA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33839-2024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45520</v>
      </c>
      <c r="E426" s="1" t="n">
        <v>46326</v>
      </c>
      <c r="F426" t="inlineStr">
        <is>
          <t>DALARNAS LÄN</t>
        </is>
      </c>
      <c r="G426" t="inlineStr">
        <is>
          <t>LUDVIKA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54730-2022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44883</v>
      </c>
      <c r="E427" s="1" t="n">
        <v>46326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46326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41828-2025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45902</v>
      </c>
      <c r="E429" s="1" t="n">
        <v>46326</v>
      </c>
      <c r="F429" t="inlineStr">
        <is>
          <t>DALARNAS LÄN</t>
        </is>
      </c>
      <c r="G429" t="inlineStr">
        <is>
          <t>LUDVIKA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45062</v>
      </c>
      <c r="E430" s="1" t="n">
        <v>46326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45860</v>
      </c>
      <c r="E431" s="1" t="n">
        <v>46326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45168</v>
      </c>
      <c r="E432" s="1" t="n">
        <v>46326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34875-2025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45849</v>
      </c>
      <c r="E433" s="1" t="n">
        <v>46326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45616</v>
      </c>
      <c r="E434" s="1" t="n">
        <v>46326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45765</v>
      </c>
      <c r="E435" s="1" t="n">
        <v>46326</v>
      </c>
      <c r="F435" t="inlineStr">
        <is>
          <t>DALARNAS LÄN</t>
        </is>
      </c>
      <c r="G435" t="inlineStr">
        <is>
          <t>LUDVIKA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45594</v>
      </c>
      <c r="E436" s="1" t="n">
        <v>46326</v>
      </c>
      <c r="F436" t="inlineStr">
        <is>
          <t>DALARNAS LÄN</t>
        </is>
      </c>
      <c r="G436" t="inlineStr">
        <is>
          <t>LUDVIKA</t>
        </is>
      </c>
      <c r="H436" t="inlineStr">
        <is>
          <t>Naturvårdsverket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46326</v>
      </c>
      <c r="F437" t="inlineStr">
        <is>
          <t>DALARNAS LÄN</t>
        </is>
      </c>
      <c r="G437" t="inlineStr">
        <is>
          <t>LUDVIKA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46326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25.7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42106-2024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46326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45588</v>
      </c>
      <c r="E440" s="1" t="n">
        <v>46326</v>
      </c>
      <c r="F440" t="inlineStr">
        <is>
          <t>DALARNAS LÄN</t>
        </is>
      </c>
      <c r="G440" t="inlineStr">
        <is>
          <t>LUDVIKA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45845</v>
      </c>
      <c r="E441" s="1" t="n">
        <v>46326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46326</v>
      </c>
      <c r="F442" t="inlineStr">
        <is>
          <t>DALARNAS LÄN</t>
        </is>
      </c>
      <c r="G442" t="inlineStr">
        <is>
          <t>LUDVIKA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52466-2023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45225</v>
      </c>
      <c r="E443" s="1" t="n">
        <v>46326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44537-2024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46326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70046-2021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44533</v>
      </c>
      <c r="E445" s="1" t="n">
        <v>46326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46326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20789-2026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46326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43704-2024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45569</v>
      </c>
      <c r="E448" s="1" t="n">
        <v>46326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46326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45110</v>
      </c>
      <c r="E450" s="1" t="n">
        <v>46326</v>
      </c>
      <c r="F450" t="inlineStr">
        <is>
          <t>DALARNAS LÄN</t>
        </is>
      </c>
      <c r="G450" t="inlineStr">
        <is>
          <t>LUDVIKA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46185-2024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45581</v>
      </c>
      <c r="E451" s="1" t="n">
        <v>46326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46326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45166</v>
      </c>
      <c r="E453" s="1" t="n">
        <v>46326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32119-2023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45119</v>
      </c>
      <c r="E454" s="1" t="n">
        <v>46326</v>
      </c>
      <c r="F454" t="inlineStr">
        <is>
          <t>DALARNAS LÄN</t>
        </is>
      </c>
      <c r="G454" t="inlineStr">
        <is>
          <t>LUDVIKA</t>
        </is>
      </c>
      <c r="H454" t="inlineStr">
        <is>
          <t>Naturvårdsverket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8728-2026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46326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46326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20888-2026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46142</v>
      </c>
      <c r="E457" s="1" t="n">
        <v>46326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34845-2024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45526</v>
      </c>
      <c r="E458" s="1" t="n">
        <v>46326</v>
      </c>
      <c r="F458" t="inlineStr">
        <is>
          <t>DALARNAS LÄN</t>
        </is>
      </c>
      <c r="G458" t="inlineStr">
        <is>
          <t>LUDVIKA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25299-2022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44730</v>
      </c>
      <c r="E459" s="1" t="n">
        <v>46326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45373</v>
      </c>
      <c r="E460" s="1" t="n">
        <v>46326</v>
      </c>
      <c r="F460" t="inlineStr">
        <is>
          <t>DALARNAS LÄN</t>
        </is>
      </c>
      <c r="G460" t="inlineStr">
        <is>
          <t>LUDVIKA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45243</v>
      </c>
      <c r="E461" s="1" t="n">
        <v>46326</v>
      </c>
      <c r="F461" t="inlineStr">
        <is>
          <t>DALARNAS LÄN</t>
        </is>
      </c>
      <c r="G461" t="inlineStr">
        <is>
          <t>LUDVIKA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45512</v>
      </c>
      <c r="E462" s="1" t="n">
        <v>46326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45883</v>
      </c>
      <c r="E463" s="1" t="n">
        <v>46326</v>
      </c>
      <c r="F463" t="inlineStr">
        <is>
          <t>DALARNAS LÄN</t>
        </is>
      </c>
      <c r="G463" t="inlineStr">
        <is>
          <t>LUDVIKA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21462-2026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46326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46326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44915</v>
      </c>
      <c r="E466" s="1" t="n">
        <v>46326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45485</v>
      </c>
      <c r="E467" s="1" t="n">
        <v>46326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60788-2024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45644</v>
      </c>
      <c r="E468" s="1" t="n">
        <v>46326</v>
      </c>
      <c r="F468" t="inlineStr">
        <is>
          <t>DALARNAS LÄN</t>
        </is>
      </c>
      <c r="G468" t="inlineStr">
        <is>
          <t>LUDVIKA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51043-2024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46326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17.9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46326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55034-2024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45621</v>
      </c>
      <c r="E471" s="1" t="n">
        <v>46326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55972-2025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45973</v>
      </c>
      <c r="E472" s="1" t="n">
        <v>46326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46326</v>
      </c>
      <c r="F473" t="inlineStr">
        <is>
          <t>DALARNAS LÄN</t>
        </is>
      </c>
      <c r="G473" t="inlineStr">
        <is>
          <t>LUDVIKA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46326</v>
      </c>
      <c r="F474" t="inlineStr">
        <is>
          <t>DALARNAS LÄN</t>
        </is>
      </c>
      <c r="G474" t="inlineStr">
        <is>
          <t>LUDVIKA</t>
        </is>
      </c>
      <c r="I474" t="n">
        <v>13.1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21002-2026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46326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45679</v>
      </c>
      <c r="E476" s="1" t="n">
        <v>46326</v>
      </c>
      <c r="F476" t="inlineStr">
        <is>
          <t>DALARNAS LÄN</t>
        </is>
      </c>
      <c r="G476" t="inlineStr">
        <is>
          <t>LUDVIKA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16843-2026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46113</v>
      </c>
      <c r="E477" s="1" t="n">
        <v>46326</v>
      </c>
      <c r="F477" t="inlineStr">
        <is>
          <t>DALARNAS LÄN</t>
        </is>
      </c>
      <c r="G477" t="inlineStr">
        <is>
          <t>LUDVIKA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22585-2026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46326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46326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46326</v>
      </c>
      <c r="F480" t="inlineStr">
        <is>
          <t>DALARNAS LÄN</t>
        </is>
      </c>
      <c r="G480" t="inlineStr">
        <is>
          <t>LUDVIKA</t>
        </is>
      </c>
      <c r="H480" t="inlineStr">
        <is>
          <t>Naturvårdsverket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46326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16768-2025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45754</v>
      </c>
      <c r="E482" s="1" t="n">
        <v>46326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23097-2025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46326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5970-2022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44599</v>
      </c>
      <c r="E484" s="1" t="n">
        <v>46326</v>
      </c>
      <c r="F484" t="inlineStr">
        <is>
          <t>DALARNAS LÄN</t>
        </is>
      </c>
      <c r="G484" t="inlineStr">
        <is>
          <t>LUDVIKA</t>
        </is>
      </c>
      <c r="I484" t="n">
        <v>8.4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46326</v>
      </c>
      <c r="F485" t="inlineStr">
        <is>
          <t>DALARNAS LÄN</t>
        </is>
      </c>
      <c r="G485" t="inlineStr">
        <is>
          <t>LUDVIKA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44970</v>
      </c>
      <c r="E486" s="1" t="n">
        <v>46326</v>
      </c>
      <c r="F486" t="inlineStr">
        <is>
          <t>DALARNAS LÄN</t>
        </is>
      </c>
      <c r="G486" t="inlineStr">
        <is>
          <t>LUDVIKA</t>
        </is>
      </c>
      <c r="H486" t="inlineStr">
        <is>
          <t>Övriga Aktiebolag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46038</v>
      </c>
      <c r="E487" s="1" t="n">
        <v>46326</v>
      </c>
      <c r="F487" t="inlineStr">
        <is>
          <t>DALARNAS LÄN</t>
        </is>
      </c>
      <c r="G487" t="inlineStr">
        <is>
          <t>LUDVIKA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45198</v>
      </c>
      <c r="E488" s="1" t="n">
        <v>46326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45833</v>
      </c>
      <c r="E489" s="1" t="n">
        <v>46326</v>
      </c>
      <c r="F489" t="inlineStr">
        <is>
          <t>DALARNAS LÄN</t>
        </is>
      </c>
      <c r="G489" t="inlineStr">
        <is>
          <t>LUDVIKA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31818-2025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45834</v>
      </c>
      <c r="E490" s="1" t="n">
        <v>46326</v>
      </c>
      <c r="F490" t="inlineStr">
        <is>
          <t>DALARNAS LÄN</t>
        </is>
      </c>
      <c r="G490" t="inlineStr">
        <is>
          <t>LUDVIKA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24768-2026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46171</v>
      </c>
      <c r="E491" s="1" t="n">
        <v>46326</v>
      </c>
      <c r="F491" t="inlineStr">
        <is>
          <t>DALARNAS LÄN</t>
        </is>
      </c>
      <c r="G491" t="inlineStr">
        <is>
          <t>LUDVIKA</t>
        </is>
      </c>
      <c r="H491" t="inlineStr">
        <is>
          <t>Naturvårdsverket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24776-2026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46326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53620-2022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44879</v>
      </c>
      <c r="E493" s="1" t="n">
        <v>46326</v>
      </c>
      <c r="F493" t="inlineStr">
        <is>
          <t>DALARNAS LÄN</t>
        </is>
      </c>
      <c r="G493" t="inlineStr">
        <is>
          <t>LUDVIKA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46326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46326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46326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46326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46326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46326</v>
      </c>
      <c r="F499" t="inlineStr">
        <is>
          <t>DALARNAS LÄN</t>
        </is>
      </c>
      <c r="G499" t="inlineStr">
        <is>
          <t>LUDVIKA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46326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24687-2026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46326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23917-2026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46326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57969-2024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45631</v>
      </c>
      <c r="E503" s="1" t="n">
        <v>46326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39761-2022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44819</v>
      </c>
      <c r="E504" s="1" t="n">
        <v>46326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20969-2026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46142</v>
      </c>
      <c r="E505" s="1" t="n">
        <v>46326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49166-2025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45938</v>
      </c>
      <c r="E506" s="1" t="n">
        <v>46326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46326</v>
      </c>
      <c r="F507" t="inlineStr">
        <is>
          <t>DALARNAS LÄN</t>
        </is>
      </c>
      <c r="G507" t="inlineStr">
        <is>
          <t>LUDVIKA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21145-2023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46326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15851-2024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45404</v>
      </c>
      <c r="E509" s="1" t="n">
        <v>46326</v>
      </c>
      <c r="F509" t="inlineStr">
        <is>
          <t>DALARNAS LÄN</t>
        </is>
      </c>
      <c r="G509" t="inlineStr">
        <is>
          <t>LUDVIKA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41400-2022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44826</v>
      </c>
      <c r="E510" s="1" t="n">
        <v>46326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46183</v>
      </c>
      <c r="E511" s="1" t="n">
        <v>46326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26888-2026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46326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46326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48774-2024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45593</v>
      </c>
      <c r="E514" s="1" t="n">
        <v>46326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46326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37392-2023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45156</v>
      </c>
      <c r="E516" s="1" t="n">
        <v>46326</v>
      </c>
      <c r="F516" t="inlineStr">
        <is>
          <t>DALARNAS LÄN</t>
        </is>
      </c>
      <c r="G516" t="inlineStr">
        <is>
          <t>LUDVIKA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26574-2026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46326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11436-2024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45372</v>
      </c>
      <c r="E518" s="1" t="n">
        <v>46326</v>
      </c>
      <c r="F518" t="inlineStr">
        <is>
          <t>DALARNAS LÄN</t>
        </is>
      </c>
      <c r="G518" t="inlineStr">
        <is>
          <t>LUDVIKA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46191</v>
      </c>
      <c r="E519" s="1" t="n">
        <v>46326</v>
      </c>
      <c r="F519" t="inlineStr">
        <is>
          <t>DALARNAS LÄN</t>
        </is>
      </c>
      <c r="G519" t="inlineStr">
        <is>
          <t>LUDVIKA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46326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46326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46326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40142-2022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44820</v>
      </c>
      <c r="E523" s="1" t="n">
        <v>46326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40151-2022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44820</v>
      </c>
      <c r="E524" s="1" t="n">
        <v>46326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21741-2022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44708</v>
      </c>
      <c r="E525" s="1" t="n">
        <v>46326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46326</v>
      </c>
      <c r="F526" t="inlineStr">
        <is>
          <t>DALARNAS LÄN</t>
        </is>
      </c>
      <c r="G526" t="inlineStr">
        <is>
          <t>LUDVIKA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51015-2023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46326</v>
      </c>
      <c r="F527" t="inlineStr">
        <is>
          <t>DALARNAS LÄN</t>
        </is>
      </c>
      <c r="G527" t="inlineStr">
        <is>
          <t>LUDVIKA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46326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46160</v>
      </c>
      <c r="E529" s="1" t="n">
        <v>46326</v>
      </c>
      <c r="F529" t="inlineStr">
        <is>
          <t>DALARNAS LÄN</t>
        </is>
      </c>
      <c r="G529" t="inlineStr">
        <is>
          <t>LUDVIKA</t>
        </is>
      </c>
      <c r="H529" t="inlineStr">
        <is>
          <t>Naturvårdsverket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28714-2026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46326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46160</v>
      </c>
      <c r="E531" s="1" t="n">
        <v>46326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46160</v>
      </c>
      <c r="E532" s="1" t="n">
        <v>46326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9.9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46326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46326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46326</v>
      </c>
      <c r="F535" t="inlineStr">
        <is>
          <t>DALARNAS LÄN</t>
        </is>
      </c>
      <c r="G535" t="inlineStr">
        <is>
          <t>LUDVIKA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41616-2024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45560</v>
      </c>
      <c r="E536" s="1" t="n">
        <v>46326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45519</v>
      </c>
      <c r="E537" s="1" t="n">
        <v>46326</v>
      </c>
      <c r="F537" t="inlineStr">
        <is>
          <t>DALARNAS LÄN</t>
        </is>
      </c>
      <c r="G537" t="inlineStr">
        <is>
          <t>LUDVIKA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22611-2026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46326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22555-2023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45071</v>
      </c>
      <c r="E539" s="1" t="n">
        <v>46326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3280-2024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45317</v>
      </c>
      <c r="E540" s="1" t="n">
        <v>46326</v>
      </c>
      <c r="F540" t="inlineStr">
        <is>
          <t>DALARNAS LÄN</t>
        </is>
      </c>
      <c r="G540" t="inlineStr">
        <is>
          <t>LUDVIKA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3470-2025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45680</v>
      </c>
      <c r="E541" s="1" t="n">
        <v>46326</v>
      </c>
      <c r="F541" t="inlineStr">
        <is>
          <t>DALARNAS LÄN</t>
        </is>
      </c>
      <c r="G541" t="inlineStr">
        <is>
          <t>LUDVIKA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48288-2023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45205</v>
      </c>
      <c r="E542" s="1" t="n">
        <v>46326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46326</v>
      </c>
      <c r="F543" t="inlineStr">
        <is>
          <t>DALARNAS LÄN</t>
        </is>
      </c>
      <c r="G543" t="inlineStr">
        <is>
          <t>LUDVIKA</t>
        </is>
      </c>
      <c r="H543" t="inlineStr">
        <is>
          <t>Naturvårdsverket</t>
        </is>
      </c>
      <c r="I543" t="n">
        <v>8.300000000000001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46326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46326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2838-2022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44581</v>
      </c>
      <c r="E546" s="1" t="n">
        <v>46326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46326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51029-2024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45603</v>
      </c>
      <c r="E548" s="1" t="n">
        <v>46326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40125-2024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45554</v>
      </c>
      <c r="E549" s="1" t="n">
        <v>46326</v>
      </c>
      <c r="F549" t="inlineStr">
        <is>
          <t>DALARNAS LÄN</t>
        </is>
      </c>
      <c r="G549" t="inlineStr">
        <is>
          <t>LUDVIKA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45253</v>
      </c>
      <c r="E550" s="1" t="n">
        <v>46326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43839-2023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46326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46326</v>
      </c>
      <c r="F552" t="inlineStr">
        <is>
          <t>DALARNAS LÄN</t>
        </is>
      </c>
      <c r="G552" t="inlineStr">
        <is>
          <t>LUDVIKA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46326</v>
      </c>
      <c r="F553" t="inlineStr">
        <is>
          <t>DALARNAS LÄN</t>
        </is>
      </c>
      <c r="G553" t="inlineStr">
        <is>
          <t>LUDVIKA</t>
        </is>
      </c>
      <c r="H553" t="inlineStr">
        <is>
          <t>Kommuner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28062-2026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46195</v>
      </c>
      <c r="E554" s="1" t="n">
        <v>46326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46326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25273-2022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44729</v>
      </c>
      <c r="E556" s="1" t="n">
        <v>46326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46142</v>
      </c>
      <c r="E557" s="1" t="n">
        <v>46326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46326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46154</v>
      </c>
      <c r="E559" s="1" t="n">
        <v>46326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46326</v>
      </c>
      <c r="F560" t="inlineStr">
        <is>
          <t>DALARNAS LÄN</t>
        </is>
      </c>
      <c r="G560" t="inlineStr">
        <is>
          <t>LUDVIKA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46326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28132-2026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46326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28162-2026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46326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46326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28158-2026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46326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46326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46326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46326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46326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46326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46326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46326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31299-2026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46218</v>
      </c>
      <c r="E573" s="1" t="n">
        <v>46326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44967</v>
      </c>
      <c r="E574" s="1" t="n">
        <v>46326</v>
      </c>
      <c r="F574" t="inlineStr">
        <is>
          <t>DALARNAS LÄN</t>
        </is>
      </c>
      <c r="G574" t="inlineStr">
        <is>
          <t>LUDVIKA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46217</v>
      </c>
      <c r="E575" s="1" t="n">
        <v>46326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46326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46219</v>
      </c>
      <c r="E577" s="1" t="n">
        <v>46326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60138-2023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45258</v>
      </c>
      <c r="E578" s="1" t="n">
        <v>46326</v>
      </c>
      <c r="F578" t="inlineStr">
        <is>
          <t>DALARNAS LÄN</t>
        </is>
      </c>
      <c r="G578" t="inlineStr">
        <is>
          <t>LUDVIKA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31646-2026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46225</v>
      </c>
      <c r="E579" s="1" t="n">
        <v>46326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46230</v>
      </c>
      <c r="E580" s="1" t="n">
        <v>46326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31776-2026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46230</v>
      </c>
      <c r="E581" s="1" t="n">
        <v>46326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46326</v>
      </c>
      <c r="F582" t="inlineStr">
        <is>
          <t>DALARNAS LÄN</t>
        </is>
      </c>
      <c r="G582" t="inlineStr">
        <is>
          <t>LUDVIKA</t>
        </is>
      </c>
      <c r="H582" t="inlineStr">
        <is>
          <t>Naturvårdsverket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37586-2024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45541</v>
      </c>
      <c r="E583" s="1" t="n">
        <v>46326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55551-2024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45622</v>
      </c>
      <c r="E584" s="1" t="n">
        <v>46326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46326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30844-2024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45497</v>
      </c>
      <c r="E586" s="1" t="n">
        <v>46326</v>
      </c>
      <c r="F586" t="inlineStr">
        <is>
          <t>DALARNAS LÄN</t>
        </is>
      </c>
      <c r="G586" t="inlineStr">
        <is>
          <t>LUDVIKA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20411-2023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45056</v>
      </c>
      <c r="E587" s="1" t="n">
        <v>46326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45638</v>
      </c>
      <c r="E588" s="1" t="n">
        <v>46326</v>
      </c>
      <c r="F588" t="inlineStr">
        <is>
          <t>DALARNAS LÄN</t>
        </is>
      </c>
      <c r="G588" t="inlineStr">
        <is>
          <t>LUDVIKA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50777-2024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46326</v>
      </c>
      <c r="F589" t="inlineStr">
        <is>
          <t>DALARNAS LÄN</t>
        </is>
      </c>
      <c r="G589" t="inlineStr">
        <is>
          <t>LUDVIKA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46241</v>
      </c>
      <c r="E590" s="1" t="n">
        <v>46326</v>
      </c>
      <c r="F590" t="inlineStr">
        <is>
          <t>DALARNAS LÄN</t>
        </is>
      </c>
      <c r="G590" t="inlineStr">
        <is>
          <t>LUDVIKA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41668-2023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45176</v>
      </c>
      <c r="E591" s="1" t="n">
        <v>46326</v>
      </c>
      <c r="F591" t="inlineStr">
        <is>
          <t>DALARNAS LÄN</t>
        </is>
      </c>
      <c r="G591" t="inlineStr">
        <is>
          <t>LUDVIKA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39093-2026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46287</v>
      </c>
      <c r="E592" s="1" t="n">
        <v>46326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55462-2024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45622</v>
      </c>
      <c r="E593" s="1" t="n">
        <v>46326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55474-2024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45622</v>
      </c>
      <c r="E594" s="1" t="n">
        <v>46326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55510-2024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45622</v>
      </c>
      <c r="E595" s="1" t="n">
        <v>46326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46287</v>
      </c>
      <c r="E596" s="1" t="n">
        <v>46326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4550-2025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45687</v>
      </c>
      <c r="E597" s="1" t="n">
        <v>46326</v>
      </c>
      <c r="F597" t="inlineStr">
        <is>
          <t>DALARNAS LÄN</t>
        </is>
      </c>
      <c r="G597" t="inlineStr">
        <is>
          <t>LUDVIKA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45762</v>
      </c>
      <c r="E598" s="1" t="n">
        <v>46326</v>
      </c>
      <c r="F598" t="inlineStr">
        <is>
          <t>DALARNAS LÄN</t>
        </is>
      </c>
      <c r="G598" t="inlineStr">
        <is>
          <t>LUDVIKA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46241</v>
      </c>
      <c r="E599" s="1" t="n">
        <v>46326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32780-2026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46241</v>
      </c>
      <c r="E600" s="1" t="n">
        <v>46326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50714-2024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45602</v>
      </c>
      <c r="E601" s="1" t="n">
        <v>46326</v>
      </c>
      <c r="F601" t="inlineStr">
        <is>
          <t>DALARNAS LÄN</t>
        </is>
      </c>
      <c r="G601" t="inlineStr">
        <is>
          <t>LUDVIKA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32752-2026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46241</v>
      </c>
      <c r="E602" s="1" t="n">
        <v>46326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32757-2026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46241</v>
      </c>
      <c r="E603" s="1" t="n">
        <v>46326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39435-2026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46288</v>
      </c>
      <c r="E604" s="1" t="n">
        <v>46326</v>
      </c>
      <c r="F604" t="inlineStr">
        <is>
          <t>DALARNAS LÄN</t>
        </is>
      </c>
      <c r="G604" t="inlineStr">
        <is>
          <t>LUDVIKA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38359-2024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45545</v>
      </c>
      <c r="E605" s="1" t="n">
        <v>46326</v>
      </c>
      <c r="F605" t="inlineStr">
        <is>
          <t>DALARNAS LÄN</t>
        </is>
      </c>
      <c r="G605" t="inlineStr">
        <is>
          <t>LUDVIKA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38869-2026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46326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21893-2025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45784</v>
      </c>
      <c r="E607" s="1" t="n">
        <v>46326</v>
      </c>
      <c r="F607" t="inlineStr">
        <is>
          <t>DALARNAS LÄN</t>
        </is>
      </c>
      <c r="G607" t="inlineStr">
        <is>
          <t>LUDVIKA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42421-2024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45565</v>
      </c>
      <c r="E608" s="1" t="n">
        <v>46326</v>
      </c>
      <c r="F608" t="inlineStr">
        <is>
          <t>DALARNAS LÄN</t>
        </is>
      </c>
      <c r="G608" t="inlineStr">
        <is>
          <t>LUDVIKA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53602-2023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45230</v>
      </c>
      <c r="E609" s="1" t="n">
        <v>46326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46290</v>
      </c>
      <c r="E610" s="1" t="n">
        <v>46326</v>
      </c>
      <c r="F610" t="inlineStr">
        <is>
          <t>DALARNAS LÄN</t>
        </is>
      </c>
      <c r="G610" t="inlineStr">
        <is>
          <t>LUDVIKA</t>
        </is>
      </c>
      <c r="H610" t="inlineStr">
        <is>
          <t>Naturvårdsverket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39855-2026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46290</v>
      </c>
      <c r="E611" s="1" t="n">
        <v>46326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45609</v>
      </c>
      <c r="E612" s="1" t="n">
        <v>46326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33419-2026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46247</v>
      </c>
      <c r="E613" s="1" t="n">
        <v>46326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21891-2025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45784</v>
      </c>
      <c r="E614" s="1" t="n">
        <v>46326</v>
      </c>
      <c r="F614" t="inlineStr">
        <is>
          <t>DALARNAS LÄN</t>
        </is>
      </c>
      <c r="G614" t="inlineStr">
        <is>
          <t>LUDVIKA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38831-2026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46286</v>
      </c>
      <c r="E615" s="1" t="n">
        <v>46326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33689-2026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46248</v>
      </c>
      <c r="E616" s="1" t="n">
        <v>46326</v>
      </c>
      <c r="F616" t="inlineStr">
        <is>
          <t>DALARNAS LÄN</t>
        </is>
      </c>
      <c r="G616" t="inlineStr">
        <is>
          <t>LUDVIKA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33914-2023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45134</v>
      </c>
      <c r="E617" s="1" t="n">
        <v>46326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46095-2024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45581</v>
      </c>
      <c r="E618" s="1" t="n">
        <v>46326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41539-2024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46326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33373-2026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46247</v>
      </c>
      <c r="E620" s="1" t="n">
        <v>46326</v>
      </c>
      <c r="F620" t="inlineStr">
        <is>
          <t>DALARNAS LÄN</t>
        </is>
      </c>
      <c r="G620" t="inlineStr">
        <is>
          <t>LUDVIKA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22610-2025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45789</v>
      </c>
      <c r="E621" s="1" t="n">
        <v>46326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46093-2024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45581</v>
      </c>
      <c r="E622" s="1" t="n">
        <v>46326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46107-2024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45581</v>
      </c>
      <c r="E623" s="1" t="n">
        <v>46326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39878-2026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46290</v>
      </c>
      <c r="E624" s="1" t="n">
        <v>46326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39789-2026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46290</v>
      </c>
      <c r="E625" s="1" t="n">
        <v>46326</v>
      </c>
      <c r="F625" t="inlineStr">
        <is>
          <t>DALARNAS LÄN</t>
        </is>
      </c>
      <c r="G625" t="inlineStr">
        <is>
          <t>LUDVIKA</t>
        </is>
      </c>
      <c r="H625" t="inlineStr">
        <is>
          <t>Naturvårdsverket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50240-2024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45600</v>
      </c>
      <c r="E626" s="1" t="n">
        <v>46326</v>
      </c>
      <c r="F626" t="inlineStr">
        <is>
          <t>DALARNAS LÄN</t>
        </is>
      </c>
      <c r="G626" t="inlineStr">
        <is>
          <t>LUDVIKA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43702-2024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45569</v>
      </c>
      <c r="E627" s="1" t="n">
        <v>46326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24712-2024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45460</v>
      </c>
      <c r="E628" s="1" t="n">
        <v>46326</v>
      </c>
      <c r="F628" t="inlineStr">
        <is>
          <t>DALARNAS LÄN</t>
        </is>
      </c>
      <c r="G628" t="inlineStr">
        <is>
          <t>LUDVIKA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23088-2025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45791</v>
      </c>
      <c r="E629" s="1" t="n">
        <v>46326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40392-2026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46294</v>
      </c>
      <c r="E630" s="1" t="n">
        <v>46326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34280-2024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45524</v>
      </c>
      <c r="E631" s="1" t="n">
        <v>46326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40438-2026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46294</v>
      </c>
      <c r="E632" s="1" t="n">
        <v>46326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40445-2026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46294</v>
      </c>
      <c r="E633" s="1" t="n">
        <v>46326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36066-2024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45533</v>
      </c>
      <c r="E634" s="1" t="n">
        <v>46326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47233-2024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45586</v>
      </c>
      <c r="E635" s="1" t="n">
        <v>46326</v>
      </c>
      <c r="F635" t="inlineStr">
        <is>
          <t>DALARNAS LÄN</t>
        </is>
      </c>
      <c r="G635" t="inlineStr">
        <is>
          <t>LUDVIKA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22686-2025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45786</v>
      </c>
      <c r="E636" s="1" t="n">
        <v>46326</v>
      </c>
      <c r="F636" t="inlineStr">
        <is>
          <t>DALARNAS LÄN</t>
        </is>
      </c>
      <c r="G636" t="inlineStr">
        <is>
          <t>LUDVIKA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61278-2022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44915</v>
      </c>
      <c r="E637" s="1" t="n">
        <v>46326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19677-2025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45770</v>
      </c>
      <c r="E638" s="1" t="n">
        <v>46326</v>
      </c>
      <c r="F638" t="inlineStr">
        <is>
          <t>DALARNAS LÄN</t>
        </is>
      </c>
      <c r="G638" t="inlineStr">
        <is>
          <t>LUDVIKA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23137-2025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45791</v>
      </c>
      <c r="E639" s="1" t="n">
        <v>46326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40431-2026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46294</v>
      </c>
      <c r="E640" s="1" t="n">
        <v>46326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6.7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46294</v>
      </c>
      <c r="E641" s="1" t="n">
        <v>46326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23443-2024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45453</v>
      </c>
      <c r="E642" s="1" t="n">
        <v>46326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45541</v>
      </c>
      <c r="E643" s="1" t="n">
        <v>46326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20642-2025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45776</v>
      </c>
      <c r="E644" s="1" t="n">
        <v>46326</v>
      </c>
      <c r="F644" t="inlineStr">
        <is>
          <t>DALARNAS LÄN</t>
        </is>
      </c>
      <c r="G644" t="inlineStr">
        <is>
          <t>LUDVIKA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24027-2025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45796</v>
      </c>
      <c r="E645" s="1" t="n">
        <v>46326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23117-2025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45791</v>
      </c>
      <c r="E646" s="1" t="n">
        <v>46326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23139-2025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45791</v>
      </c>
      <c r="E647" s="1" t="n">
        <v>46326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30977-2024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45499</v>
      </c>
      <c r="E648" s="1" t="n">
        <v>46326</v>
      </c>
      <c r="F648" t="inlineStr">
        <is>
          <t>DALARNAS LÄN</t>
        </is>
      </c>
      <c r="G648" t="inlineStr">
        <is>
          <t>LUDVIKA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46122</v>
      </c>
      <c r="E649" s="1" t="n">
        <v>46326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34584-2026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46255</v>
      </c>
      <c r="E650" s="1" t="n">
        <v>46326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34638-2026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46255</v>
      </c>
      <c r="E651" s="1" t="n">
        <v>46326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34631-2026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46255</v>
      </c>
      <c r="E652" s="1" t="n">
        <v>46326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34558-2026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46326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34780-2026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46258</v>
      </c>
      <c r="E654" s="1" t="n">
        <v>46326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41443-2026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46301</v>
      </c>
      <c r="E655" s="1" t="n">
        <v>46326</v>
      </c>
      <c r="F655" t="inlineStr">
        <is>
          <t>DALARNAS LÄN</t>
        </is>
      </c>
      <c r="G655" t="inlineStr">
        <is>
          <t>LUDVIKA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34632-2026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46326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34550-2026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46326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46326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35105-2026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46326</v>
      </c>
      <c r="F659" t="inlineStr">
        <is>
          <t>DALARNAS LÄN</t>
        </is>
      </c>
      <c r="G659" t="inlineStr">
        <is>
          <t>LUDVIKA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35179-2026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46260</v>
      </c>
      <c r="E660" s="1" t="n">
        <v>46326</v>
      </c>
      <c r="F660" t="inlineStr">
        <is>
          <t>DALARNAS LÄN</t>
        </is>
      </c>
      <c r="G660" t="inlineStr">
        <is>
          <t>LUDVIKA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34796-2026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46258</v>
      </c>
      <c r="E661" s="1" t="n">
        <v>46326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38921-2025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45887</v>
      </c>
      <c r="E662" s="1" t="n">
        <v>46326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42335-2026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46307</v>
      </c>
      <c r="E663" s="1" t="n">
        <v>46326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9.699999999999999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49669-2024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45596</v>
      </c>
      <c r="E664" s="1" t="n">
        <v>46326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33397-2026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46247</v>
      </c>
      <c r="E665" s="1" t="n">
        <v>46326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29734-2026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46204</v>
      </c>
      <c r="E666" s="1" t="n">
        <v>46326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31393-2026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46220</v>
      </c>
      <c r="E667" s="1" t="n">
        <v>46326</v>
      </c>
      <c r="F667" t="inlineStr">
        <is>
          <t>DALARNAS LÄN</t>
        </is>
      </c>
      <c r="G667" t="inlineStr">
        <is>
          <t>LUDVIKA</t>
        </is>
      </c>
      <c r="H667" t="inlineStr">
        <is>
          <t>Naturvårdsverket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46307</v>
      </c>
      <c r="E668" s="1" t="n">
        <v>46326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56615-2025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45975</v>
      </c>
      <c r="E669" s="1" t="n">
        <v>46326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35490-2026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46262</v>
      </c>
      <c r="E670" s="1" t="n">
        <v>46326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19.9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42743-2026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46309</v>
      </c>
      <c r="E671" s="1" t="n">
        <v>46326</v>
      </c>
      <c r="F671" t="inlineStr">
        <is>
          <t>DALARNAS LÄN</t>
        </is>
      </c>
      <c r="G671" t="inlineStr">
        <is>
          <t>LUDVIKA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38868-2026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46286</v>
      </c>
      <c r="E672" s="1" t="n">
        <v>46326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46265</v>
      </c>
      <c r="E673" s="1" t="n">
        <v>46326</v>
      </c>
      <c r="F673" t="inlineStr">
        <is>
          <t>DALARNAS LÄN</t>
        </is>
      </c>
      <c r="G673" t="inlineStr">
        <is>
          <t>LUDVIKA</t>
        </is>
      </c>
      <c r="H673" t="inlineStr">
        <is>
          <t>Kyrkan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35648-2026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46265</v>
      </c>
      <c r="E674" s="1" t="n">
        <v>46326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36073-2026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46267</v>
      </c>
      <c r="E675" s="1" t="n">
        <v>46326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43009-2026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46311</v>
      </c>
      <c r="E676" s="1" t="n">
        <v>46326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39854-2026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46290</v>
      </c>
      <c r="E677" s="1" t="n">
        <v>46326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39777-2026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46326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36126-2026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46267</v>
      </c>
      <c r="E679" s="1" t="n">
        <v>46326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36820-2026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46272</v>
      </c>
      <c r="E680" s="1" t="n">
        <v>46326</v>
      </c>
      <c r="F680" t="inlineStr">
        <is>
          <t>DALARNAS LÄN</t>
        </is>
      </c>
      <c r="G680" t="inlineStr">
        <is>
          <t>LUDVIKA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43265-2026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46314</v>
      </c>
      <c r="E681" s="1" t="n">
        <v>46326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36065-2026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46326</v>
      </c>
      <c r="F682" t="inlineStr">
        <is>
          <t>DALARNAS LÄN</t>
        </is>
      </c>
      <c r="G682" t="inlineStr">
        <is>
          <t>LUDVIKA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46314</v>
      </c>
      <c r="E683" s="1" t="n">
        <v>46326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43544-2026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46315</v>
      </c>
      <c r="E684" s="1" t="n">
        <v>46326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43519-2026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46315</v>
      </c>
      <c r="E685" s="1" t="n">
        <v>46326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9.800000000000001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46171</v>
      </c>
      <c r="E686" s="1" t="n">
        <v>46326</v>
      </c>
      <c r="F686" t="inlineStr">
        <is>
          <t>DALARNAS LÄN</t>
        </is>
      </c>
      <c r="G686" t="inlineStr">
        <is>
          <t>LUDVIKA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35103-2026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46260</v>
      </c>
      <c r="E687" s="1" t="n">
        <v>46326</v>
      </c>
      <c r="F687" t="inlineStr">
        <is>
          <t>DALARNAS LÄN</t>
        </is>
      </c>
      <c r="G687" t="inlineStr">
        <is>
          <t>LUDVIKA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37033-2026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46273</v>
      </c>
      <c r="E688" s="1" t="n">
        <v>46326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10.1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37052-2026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46273</v>
      </c>
      <c r="E689" s="1" t="n">
        <v>46326</v>
      </c>
      <c r="F689" t="inlineStr">
        <is>
          <t>DALARNAS LÄN</t>
        </is>
      </c>
      <c r="G689" t="inlineStr">
        <is>
          <t>LUDVIKA</t>
        </is>
      </c>
      <c r="I689" t="n">
        <v>8.5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37015-2026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46273</v>
      </c>
      <c r="E690" s="1" t="n">
        <v>46326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37000-2026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46273</v>
      </c>
      <c r="E691" s="1" t="n">
        <v>46326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37626-2026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46276</v>
      </c>
      <c r="E692" s="1" t="n">
        <v>46326</v>
      </c>
      <c r="F692" t="inlineStr">
        <is>
          <t>DALARNAS LÄN</t>
        </is>
      </c>
      <c r="G692" t="inlineStr">
        <is>
          <t>LUDVIKA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22830-2026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46160</v>
      </c>
      <c r="E693" s="1" t="n">
        <v>46326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46318</v>
      </c>
      <c r="E694" s="1" t="n">
        <v>46326</v>
      </c>
      <c r="F694" t="inlineStr">
        <is>
          <t>DALARNAS LÄN</t>
        </is>
      </c>
      <c r="G694" t="inlineStr">
        <is>
          <t>LUDVIKA</t>
        </is>
      </c>
      <c r="H694" t="inlineStr">
        <is>
          <t>Naturvårdsverket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44121-2026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46318</v>
      </c>
      <c r="E695" s="1" t="n">
        <v>46326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44123-2026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46318</v>
      </c>
      <c r="E696" s="1" t="n">
        <v>46326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21798-2026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46150</v>
      </c>
      <c r="E697" s="1" t="n">
        <v>46326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44141-2026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46318</v>
      </c>
      <c r="E698" s="1" t="n">
        <v>46326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22599-2025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45789</v>
      </c>
      <c r="E699" s="1" t="n">
        <v>46326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37359-2026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46275</v>
      </c>
      <c r="E700" s="1" t="n">
        <v>46326</v>
      </c>
      <c r="F700" t="inlineStr">
        <is>
          <t>DALARNAS LÄN</t>
        </is>
      </c>
      <c r="G700" t="inlineStr">
        <is>
          <t>LUDVIKA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44261-2026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46318</v>
      </c>
      <c r="E701" s="1" t="n">
        <v>46326</v>
      </c>
      <c r="F701" t="inlineStr">
        <is>
          <t>DALARNAS LÄN</t>
        </is>
      </c>
      <c r="G701" t="inlineStr">
        <is>
          <t>LUDVIKA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46029-2025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45924</v>
      </c>
      <c r="E702" s="1" t="n">
        <v>46326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44238-2026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46318</v>
      </c>
      <c r="E703" s="1" t="n">
        <v>46326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37955-2026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46326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44880-2026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46323</v>
      </c>
      <c r="E705" s="1" t="n">
        <v>46326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37719-2026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46279</v>
      </c>
      <c r="E706" s="1" t="n">
        <v>46326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34147-2026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46253</v>
      </c>
      <c r="E707" s="1" t="n">
        <v>46326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37706-2026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46279</v>
      </c>
      <c r="E708" s="1" t="n">
        <v>46326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46326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37702-2026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46326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44512-2026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46321</v>
      </c>
      <c r="E711" s="1" t="n">
        <v>46326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19.6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45196-2026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46325</v>
      </c>
      <c r="E712" s="1" t="n">
        <v>46326</v>
      </c>
      <c r="F712" t="inlineStr">
        <is>
          <t>DALARNAS LÄN</t>
        </is>
      </c>
      <c r="G712" t="inlineStr">
        <is>
          <t>LUDVIKA</t>
        </is>
      </c>
      <c r="H712" t="inlineStr">
        <is>
          <t>Naturvårdsverket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46282</v>
      </c>
      <c r="E713" s="1" t="n">
        <v>46326</v>
      </c>
      <c r="F713" t="inlineStr">
        <is>
          <t>DALARNAS LÄN</t>
        </is>
      </c>
      <c r="G713" t="inlineStr">
        <is>
          <t>LUDVIKA</t>
        </is>
      </c>
      <c r="H713" t="inlineStr">
        <is>
          <t>Naturvårdsverket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38620-2026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46283</v>
      </c>
      <c r="E714" s="1" t="n">
        <v>46326</v>
      </c>
      <c r="F714" t="inlineStr">
        <is>
          <t>DALARNAS LÄN</t>
        </is>
      </c>
      <c r="G714" t="inlineStr">
        <is>
          <t>LUDVIKA</t>
        </is>
      </c>
      <c r="H714" t="inlineStr">
        <is>
          <t>Naturvårdsverket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38638-2026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46283</v>
      </c>
      <c r="E715" s="1" t="n">
        <v>46326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38656-2026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46283</v>
      </c>
      <c r="E716" s="1" t="n">
        <v>46326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46325</v>
      </c>
      <c r="E717" s="1" t="n">
        <v>46326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45025-2026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46324</v>
      </c>
      <c r="E718" s="1" t="n">
        <v>46326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45040-2026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46324</v>
      </c>
      <c r="E719" s="1" t="n">
        <v>46326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45052-2026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46324</v>
      </c>
      <c r="E720" s="1" t="n">
        <v>46326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45095-2026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46324</v>
      </c>
      <c r="E721" s="1" t="n">
        <v>46326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38160-2026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46281</v>
      </c>
      <c r="E722" s="1" t="n">
        <v>46326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45069-2026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46324</v>
      </c>
      <c r="E723" s="1" t="n">
        <v>46326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8.9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38661-2026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46283</v>
      </c>
      <c r="E724" s="1" t="n">
        <v>46326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45033-2026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46324</v>
      </c>
      <c r="E725" s="1" t="n">
        <v>46326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6.1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45090-2026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46324</v>
      </c>
      <c r="E726" s="1" t="n">
        <v>46326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2837-2023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45167</v>
      </c>
      <c r="E727" s="1" t="n">
        <v>46326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1122-2023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46326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115.7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3660-2023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45216</v>
      </c>
      <c r="E729" s="1" t="n">
        <v>46326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1246-2024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45400</v>
      </c>
      <c r="E730" s="1" t="n">
        <v>46326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35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1096-2024</t>
        </is>
      </c>
      <c r="B731" t="inlineStr">
        <is>
          <t>samrådsanmälan</t>
        </is>
      </c>
      <c r="C731" t="inlineStr">
        <is>
          <t>Skogsgödsling</t>
        </is>
      </c>
      <c r="D731" s="1" t="n">
        <v>45391</v>
      </c>
      <c r="E731" s="1" t="n">
        <v>46326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26.7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4863-2022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44805</v>
      </c>
      <c r="E732" s="1" t="n">
        <v>46326</v>
      </c>
      <c r="F732" t="inlineStr">
        <is>
          <t>DALARNAS LÄN</t>
        </is>
      </c>
      <c r="G732" t="inlineStr">
        <is>
          <t>LUDVIKA</t>
        </is>
      </c>
      <c r="H732" t="inlineStr">
        <is>
          <t>Bergvik skog väst AB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1113-2023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45015</v>
      </c>
      <c r="E733" s="1" t="n">
        <v>46326</v>
      </c>
      <c r="F733" t="inlineStr">
        <is>
          <t>DALARNAS LÄN</t>
        </is>
      </c>
      <c r="G733" t="inlineStr">
        <is>
          <t>LUDVIKA</t>
        </is>
      </c>
      <c r="H733" t="inlineStr">
        <is>
          <t>Bergvik skog väst AB</t>
        </is>
      </c>
      <c r="I733" t="n">
        <v>37.9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>
      <c r="A734" t="inlineStr">
        <is>
          <t>S 1815-2026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46190</v>
      </c>
      <c r="E734" s="1" t="n">
        <v>46326</v>
      </c>
      <c r="F734" t="inlineStr">
        <is>
          <t>DALARNAS LÄN</t>
        </is>
      </c>
      <c r="G734" t="inlineStr">
        <is>
          <t>LUDVIKA</t>
        </is>
      </c>
      <c r="H734" t="inlineStr">
        <is>
          <t>Bergvik skog väst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2026-10-31T03:23:47Z</dcterms:created>
  <dcterms:modified xmlns:dcterms="http://purl.org/dc/terms/" xmlns:xsi="http://www.w3.org/2001/XMLSchema-instance" xsi:type="dcterms:W3CDTF">2026-10-31T03:23:47Z</dcterms:modified>
</cp:coreProperties>
</file>
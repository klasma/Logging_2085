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45510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45510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45510</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45510</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45510</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45510</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45510</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45510</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45510</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45510</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45510</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45510</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45510</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45510</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45510</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45510</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45510</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45510</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45510</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45510</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45510</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45510</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45510</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45510</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45510</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45510</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45510</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45510</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45510</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45510</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45510</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45510</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45510</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45510</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45510</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45510</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45510</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45510</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45510</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45510</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45510</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45510</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45510</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45510</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45510</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45510</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45510</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45510</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45510</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45510</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45510</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45510</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45510</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45510</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45510</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45510</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45510</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45510</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45510</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45510</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29758-2024</t>
        </is>
      </c>
      <c r="B62" s="1" t="n">
        <v>45485</v>
      </c>
      <c r="C62" s="1" t="n">
        <v>45510</v>
      </c>
      <c r="D62" t="inlineStr">
        <is>
          <t>DALARNAS LÄN</t>
        </is>
      </c>
      <c r="E62" t="inlineStr">
        <is>
          <t>LUDVIKA</t>
        </is>
      </c>
      <c r="F62" t="inlineStr">
        <is>
          <t>Övriga Aktiebolag</t>
        </is>
      </c>
      <c r="G62" t="n">
        <v>8.699999999999999</v>
      </c>
      <c r="H62" t="n">
        <v>0</v>
      </c>
      <c r="I62" t="n">
        <v>1</v>
      </c>
      <c r="J62" t="n">
        <v>0</v>
      </c>
      <c r="K62" t="n">
        <v>0</v>
      </c>
      <c r="L62" t="n">
        <v>0</v>
      </c>
      <c r="M62" t="n">
        <v>0</v>
      </c>
      <c r="N62" t="n">
        <v>0</v>
      </c>
      <c r="O62" t="n">
        <v>0</v>
      </c>
      <c r="P62" t="n">
        <v>0</v>
      </c>
      <c r="Q62" t="n">
        <v>1</v>
      </c>
      <c r="R62" s="2" t="inlineStr">
        <is>
          <t>Dropptaggsvamp</t>
        </is>
      </c>
      <c r="S62">
        <f>HYPERLINK("https://klasma.github.io/Logging_2085/artfynd/A 29758-2024 artfynd.xlsx", "A 29758-2024")</f>
        <v/>
      </c>
      <c r="T62">
        <f>HYPERLINK("https://klasma.github.io/Logging_2085/kartor/A 29758-2024 karta.png", "A 29758-2024")</f>
        <v/>
      </c>
      <c r="V62">
        <f>HYPERLINK("https://klasma.github.io/Logging_2085/klagomål/A 29758-2024 FSC-klagomål.docx", "A 29758-2024")</f>
        <v/>
      </c>
      <c r="W62">
        <f>HYPERLINK("https://klasma.github.io/Logging_2085/klagomålsmail/A 29758-2024 FSC-klagomål mail.docx", "A 29758-2024")</f>
        <v/>
      </c>
      <c r="X62">
        <f>HYPERLINK("https://klasma.github.io/Logging_2085/tillsyn/A 29758-2024 tillsynsbegäran.docx", "A 29758-2024")</f>
        <v/>
      </c>
      <c r="Y62">
        <f>HYPERLINK("https://klasma.github.io/Logging_2085/tillsynsmail/A 29758-2024 tillsynsbegäran mail.docx", "A 29758-2024")</f>
        <v/>
      </c>
    </row>
    <row r="63" ht="15" customHeight="1">
      <c r="A63" t="inlineStr">
        <is>
          <t>A 29793-2024</t>
        </is>
      </c>
      <c r="B63" s="1" t="n">
        <v>45485</v>
      </c>
      <c r="C63" s="1" t="n">
        <v>45510</v>
      </c>
      <c r="D63" t="inlineStr">
        <is>
          <t>DALARNAS LÄN</t>
        </is>
      </c>
      <c r="E63" t="inlineStr">
        <is>
          <t>LUDVIKA</t>
        </is>
      </c>
      <c r="F63" t="inlineStr">
        <is>
          <t>Övriga Aktiebolag</t>
        </is>
      </c>
      <c r="G63" t="n">
        <v>13.2</v>
      </c>
      <c r="H63" t="n">
        <v>0</v>
      </c>
      <c r="I63" t="n">
        <v>1</v>
      </c>
      <c r="J63" t="n">
        <v>0</v>
      </c>
      <c r="K63" t="n">
        <v>0</v>
      </c>
      <c r="L63" t="n">
        <v>0</v>
      </c>
      <c r="M63" t="n">
        <v>0</v>
      </c>
      <c r="N63" t="n">
        <v>0</v>
      </c>
      <c r="O63" t="n">
        <v>0</v>
      </c>
      <c r="P63" t="n">
        <v>0</v>
      </c>
      <c r="Q63" t="n">
        <v>1</v>
      </c>
      <c r="R63" s="2" t="inlineStr">
        <is>
          <t>Olivspindling</t>
        </is>
      </c>
      <c r="S63">
        <f>HYPERLINK("https://klasma.github.io/Logging_2085/artfynd/A 29793-2024 artfynd.xlsx", "A 29793-2024")</f>
        <v/>
      </c>
      <c r="T63">
        <f>HYPERLINK("https://klasma.github.io/Logging_2085/kartor/A 29793-2024 karta.png",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row>
    <row r="64" ht="15" customHeight="1">
      <c r="A64" t="inlineStr">
        <is>
          <t>A 31862-2024</t>
        </is>
      </c>
      <c r="B64" s="1" t="n">
        <v>45509</v>
      </c>
      <c r="C64" s="1" t="n">
        <v>45510</v>
      </c>
      <c r="D64" t="inlineStr">
        <is>
          <t>DALARNAS LÄN</t>
        </is>
      </c>
      <c r="E64" t="inlineStr">
        <is>
          <t>LUDVIKA</t>
        </is>
      </c>
      <c r="F64" t="inlineStr">
        <is>
          <t>Bergvik skog väst AB</t>
        </is>
      </c>
      <c r="G64" t="n">
        <v>7.4</v>
      </c>
      <c r="H64" t="n">
        <v>0</v>
      </c>
      <c r="I64" t="n">
        <v>0</v>
      </c>
      <c r="J64" t="n">
        <v>1</v>
      </c>
      <c r="K64" t="n">
        <v>0</v>
      </c>
      <c r="L64" t="n">
        <v>0</v>
      </c>
      <c r="M64" t="n">
        <v>0</v>
      </c>
      <c r="N64" t="n">
        <v>0</v>
      </c>
      <c r="O64" t="n">
        <v>1</v>
      </c>
      <c r="P64" t="n">
        <v>0</v>
      </c>
      <c r="Q64" t="n">
        <v>1</v>
      </c>
      <c r="R64" s="2" t="inlineStr">
        <is>
          <t>Gultoppig fingersvamp</t>
        </is>
      </c>
      <c r="S64">
        <f>HYPERLINK("https://klasma.github.io/Logging_2085/artfynd/A 31862-2024 artfynd.xlsx", "A 31862-2024")</f>
        <v/>
      </c>
      <c r="T64">
        <f>HYPERLINK("https://klasma.github.io/Logging_2085/kartor/A 31862-2024 karta.png", "A 31862-2024")</f>
        <v/>
      </c>
      <c r="V64">
        <f>HYPERLINK("https://klasma.github.io/Logging_2085/klagomål/A 31862-2024 FSC-klagomål.docx", "A 31862-2024")</f>
        <v/>
      </c>
      <c r="W64">
        <f>HYPERLINK("https://klasma.github.io/Logging_2085/klagomålsmail/A 31862-2024 FSC-klagomål mail.docx", "A 31862-2024")</f>
        <v/>
      </c>
      <c r="X64">
        <f>HYPERLINK("https://klasma.github.io/Logging_2085/tillsyn/A 31862-2024 tillsynsbegäran.docx", "A 31862-2024")</f>
        <v/>
      </c>
      <c r="Y64">
        <f>HYPERLINK("https://klasma.github.io/Logging_2085/tillsynsmail/A 31862-2024 tillsynsbegäran mail.docx", "A 31862-2024")</f>
        <v/>
      </c>
    </row>
    <row r="65" ht="15" customHeight="1">
      <c r="A65" t="inlineStr">
        <is>
          <t>A 17947-2019</t>
        </is>
      </c>
      <c r="B65" s="1" t="n">
        <v>43557</v>
      </c>
      <c r="C65" s="1" t="n">
        <v>45510</v>
      </c>
      <c r="D65" t="inlineStr">
        <is>
          <t>DALARNAS LÄN</t>
        </is>
      </c>
      <c r="E65" t="inlineStr">
        <is>
          <t>LUDVIKA</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19571-2019</t>
        </is>
      </c>
      <c r="B66" s="1" t="n">
        <v>43566</v>
      </c>
      <c r="C66" s="1" t="n">
        <v>45510</v>
      </c>
      <c r="D66" t="inlineStr">
        <is>
          <t>DALARNAS LÄN</t>
        </is>
      </c>
      <c r="E66" t="inlineStr">
        <is>
          <t>LUDVIKA</t>
        </is>
      </c>
      <c r="G66" t="n">
        <v>3.7</v>
      </c>
      <c r="H66" t="n">
        <v>0</v>
      </c>
      <c r="I66" t="n">
        <v>0</v>
      </c>
      <c r="J66" t="n">
        <v>0</v>
      </c>
      <c r="K66" t="n">
        <v>0</v>
      </c>
      <c r="L66" t="n">
        <v>0</v>
      </c>
      <c r="M66" t="n">
        <v>0</v>
      </c>
      <c r="N66" t="n">
        <v>0</v>
      </c>
      <c r="O66" t="n">
        <v>0</v>
      </c>
      <c r="P66" t="n">
        <v>0</v>
      </c>
      <c r="Q66" t="n">
        <v>0</v>
      </c>
      <c r="R66" s="2" t="inlineStr"/>
    </row>
    <row r="67" ht="15" customHeight="1">
      <c r="A67" t="inlineStr">
        <is>
          <t>A 23351-2019</t>
        </is>
      </c>
      <c r="B67" s="1" t="n">
        <v>43593</v>
      </c>
      <c r="C67" s="1" t="n">
        <v>45510</v>
      </c>
      <c r="D67" t="inlineStr">
        <is>
          <t>DALARNAS LÄN</t>
        </is>
      </c>
      <c r="E67" t="inlineStr">
        <is>
          <t>LUDVIKA</t>
        </is>
      </c>
      <c r="G67" t="n">
        <v>3.3</v>
      </c>
      <c r="H67" t="n">
        <v>0</v>
      </c>
      <c r="I67" t="n">
        <v>0</v>
      </c>
      <c r="J67" t="n">
        <v>0</v>
      </c>
      <c r="K67" t="n">
        <v>0</v>
      </c>
      <c r="L67" t="n">
        <v>0</v>
      </c>
      <c r="M67" t="n">
        <v>0</v>
      </c>
      <c r="N67" t="n">
        <v>0</v>
      </c>
      <c r="O67" t="n">
        <v>0</v>
      </c>
      <c r="P67" t="n">
        <v>0</v>
      </c>
      <c r="Q67" t="n">
        <v>0</v>
      </c>
      <c r="R67" s="2" t="inlineStr"/>
    </row>
    <row r="68" ht="15" customHeight="1">
      <c r="A68" t="inlineStr">
        <is>
          <t>A 23487-2019</t>
        </is>
      </c>
      <c r="B68" s="1" t="n">
        <v>43594</v>
      </c>
      <c r="C68" s="1" t="n">
        <v>45510</v>
      </c>
      <c r="D68" t="inlineStr">
        <is>
          <t>DALARNAS LÄN</t>
        </is>
      </c>
      <c r="E68" t="inlineStr">
        <is>
          <t>LUDVIKA</t>
        </is>
      </c>
      <c r="G68" t="n">
        <v>2.5</v>
      </c>
      <c r="H68" t="n">
        <v>0</v>
      </c>
      <c r="I68" t="n">
        <v>0</v>
      </c>
      <c r="J68" t="n">
        <v>0</v>
      </c>
      <c r="K68" t="n">
        <v>0</v>
      </c>
      <c r="L68" t="n">
        <v>0</v>
      </c>
      <c r="M68" t="n">
        <v>0</v>
      </c>
      <c r="N68" t="n">
        <v>0</v>
      </c>
      <c r="O68" t="n">
        <v>0</v>
      </c>
      <c r="P68" t="n">
        <v>0</v>
      </c>
      <c r="Q68" t="n">
        <v>0</v>
      </c>
      <c r="R68" s="2" t="inlineStr"/>
    </row>
    <row r="69" ht="15" customHeight="1">
      <c r="A69" t="inlineStr">
        <is>
          <t>A 24629-2019</t>
        </is>
      </c>
      <c r="B69" s="1" t="n">
        <v>43601</v>
      </c>
      <c r="C69" s="1" t="n">
        <v>45510</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25116-2019</t>
        </is>
      </c>
      <c r="B70" s="1" t="n">
        <v>43605</v>
      </c>
      <c r="C70" s="1" t="n">
        <v>45510</v>
      </c>
      <c r="D70" t="inlineStr">
        <is>
          <t>DALARNAS LÄN</t>
        </is>
      </c>
      <c r="E70" t="inlineStr">
        <is>
          <t>LUDVIKA</t>
        </is>
      </c>
      <c r="G70" t="n">
        <v>3</v>
      </c>
      <c r="H70" t="n">
        <v>0</v>
      </c>
      <c r="I70" t="n">
        <v>0</v>
      </c>
      <c r="J70" t="n">
        <v>0</v>
      </c>
      <c r="K70" t="n">
        <v>0</v>
      </c>
      <c r="L70" t="n">
        <v>0</v>
      </c>
      <c r="M70" t="n">
        <v>0</v>
      </c>
      <c r="N70" t="n">
        <v>0</v>
      </c>
      <c r="O70" t="n">
        <v>0</v>
      </c>
      <c r="P70" t="n">
        <v>0</v>
      </c>
      <c r="Q70" t="n">
        <v>0</v>
      </c>
      <c r="R70" s="2" t="inlineStr"/>
    </row>
    <row r="71" ht="15" customHeight="1">
      <c r="A71" t="inlineStr">
        <is>
          <t>A 27005-2019</t>
        </is>
      </c>
      <c r="B71" s="1" t="n">
        <v>43614</v>
      </c>
      <c r="C71" s="1" t="n">
        <v>45510</v>
      </c>
      <c r="D71" t="inlineStr">
        <is>
          <t>DALARNAS LÄN</t>
        </is>
      </c>
      <c r="E71" t="inlineStr">
        <is>
          <t>LUDVIKA</t>
        </is>
      </c>
      <c r="F71" t="inlineStr">
        <is>
          <t>Bergvik skog väst AB</t>
        </is>
      </c>
      <c r="G71" t="n">
        <v>22.4</v>
      </c>
      <c r="H71" t="n">
        <v>0</v>
      </c>
      <c r="I71" t="n">
        <v>0</v>
      </c>
      <c r="J71" t="n">
        <v>0</v>
      </c>
      <c r="K71" t="n">
        <v>0</v>
      </c>
      <c r="L71" t="n">
        <v>0</v>
      </c>
      <c r="M71" t="n">
        <v>0</v>
      </c>
      <c r="N71" t="n">
        <v>0</v>
      </c>
      <c r="O71" t="n">
        <v>0</v>
      </c>
      <c r="P71" t="n">
        <v>0</v>
      </c>
      <c r="Q71" t="n">
        <v>0</v>
      </c>
      <c r="R71" s="2" t="inlineStr"/>
    </row>
    <row r="72" ht="15" customHeight="1">
      <c r="A72" t="inlineStr">
        <is>
          <t>A 29027-2019</t>
        </is>
      </c>
      <c r="B72" s="1" t="n">
        <v>43628</v>
      </c>
      <c r="C72" s="1" t="n">
        <v>45510</v>
      </c>
      <c r="D72" t="inlineStr">
        <is>
          <t>DALARNAS LÄN</t>
        </is>
      </c>
      <c r="E72" t="inlineStr">
        <is>
          <t>LUDVIKA</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30233-2019</t>
        </is>
      </c>
      <c r="B73" s="1" t="n">
        <v>43630</v>
      </c>
      <c r="C73" s="1" t="n">
        <v>45510</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30102-2019</t>
        </is>
      </c>
      <c r="B74" s="1" t="n">
        <v>43630</v>
      </c>
      <c r="C74" s="1" t="n">
        <v>45510</v>
      </c>
      <c r="D74" t="inlineStr">
        <is>
          <t>DALARNAS LÄN</t>
        </is>
      </c>
      <c r="E74" t="inlineStr">
        <is>
          <t>LUDVIKA</t>
        </is>
      </c>
      <c r="G74" t="n">
        <v>2.3</v>
      </c>
      <c r="H74" t="n">
        <v>0</v>
      </c>
      <c r="I74" t="n">
        <v>0</v>
      </c>
      <c r="J74" t="n">
        <v>0</v>
      </c>
      <c r="K74" t="n">
        <v>0</v>
      </c>
      <c r="L74" t="n">
        <v>0</v>
      </c>
      <c r="M74" t="n">
        <v>0</v>
      </c>
      <c r="N74" t="n">
        <v>0</v>
      </c>
      <c r="O74" t="n">
        <v>0</v>
      </c>
      <c r="P74" t="n">
        <v>0</v>
      </c>
      <c r="Q74" t="n">
        <v>0</v>
      </c>
      <c r="R74" s="2" t="inlineStr"/>
    </row>
    <row r="75" ht="15" customHeight="1">
      <c r="A75" t="inlineStr">
        <is>
          <t>A 30121-2019</t>
        </is>
      </c>
      <c r="B75" s="1" t="n">
        <v>43630</v>
      </c>
      <c r="C75" s="1" t="n">
        <v>45510</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30040-2019</t>
        </is>
      </c>
      <c r="B76" s="1" t="n">
        <v>43633</v>
      </c>
      <c r="C76" s="1" t="n">
        <v>45510</v>
      </c>
      <c r="D76" t="inlineStr">
        <is>
          <t>DALARNAS LÄN</t>
        </is>
      </c>
      <c r="E76" t="inlineStr">
        <is>
          <t>LUDVIKA</t>
        </is>
      </c>
      <c r="G76" t="n">
        <v>8.800000000000001</v>
      </c>
      <c r="H76" t="n">
        <v>0</v>
      </c>
      <c r="I76" t="n">
        <v>0</v>
      </c>
      <c r="J76" t="n">
        <v>0</v>
      </c>
      <c r="K76" t="n">
        <v>0</v>
      </c>
      <c r="L76" t="n">
        <v>0</v>
      </c>
      <c r="M76" t="n">
        <v>0</v>
      </c>
      <c r="N76" t="n">
        <v>0</v>
      </c>
      <c r="O76" t="n">
        <v>0</v>
      </c>
      <c r="P76" t="n">
        <v>0</v>
      </c>
      <c r="Q76" t="n">
        <v>0</v>
      </c>
      <c r="R76" s="2" t="inlineStr"/>
    </row>
    <row r="77" ht="15" customHeight="1">
      <c r="A77" t="inlineStr">
        <is>
          <t>A 30887-2019</t>
        </is>
      </c>
      <c r="B77" s="1" t="n">
        <v>43636</v>
      </c>
      <c r="C77" s="1" t="n">
        <v>45510</v>
      </c>
      <c r="D77" t="inlineStr">
        <is>
          <t>DALARNAS LÄN</t>
        </is>
      </c>
      <c r="E77" t="inlineStr">
        <is>
          <t>LUDVIKA</t>
        </is>
      </c>
      <c r="F77" t="inlineStr">
        <is>
          <t>Bergvik skog väst AB</t>
        </is>
      </c>
      <c r="G77" t="n">
        <v>5.5</v>
      </c>
      <c r="H77" t="n">
        <v>0</v>
      </c>
      <c r="I77" t="n">
        <v>0</v>
      </c>
      <c r="J77" t="n">
        <v>0</v>
      </c>
      <c r="K77" t="n">
        <v>0</v>
      </c>
      <c r="L77" t="n">
        <v>0</v>
      </c>
      <c r="M77" t="n">
        <v>0</v>
      </c>
      <c r="N77" t="n">
        <v>0</v>
      </c>
      <c r="O77" t="n">
        <v>0</v>
      </c>
      <c r="P77" t="n">
        <v>0</v>
      </c>
      <c r="Q77" t="n">
        <v>0</v>
      </c>
      <c r="R77" s="2" t="inlineStr"/>
    </row>
    <row r="78" ht="15" customHeight="1">
      <c r="A78" t="inlineStr">
        <is>
          <t>A 33194-2019</t>
        </is>
      </c>
      <c r="B78" s="1" t="n">
        <v>43649</v>
      </c>
      <c r="C78" s="1" t="n">
        <v>45510</v>
      </c>
      <c r="D78" t="inlineStr">
        <is>
          <t>DALARNAS LÄN</t>
        </is>
      </c>
      <c r="E78" t="inlineStr">
        <is>
          <t>LUDVIKA</t>
        </is>
      </c>
      <c r="G78" t="n">
        <v>0.4</v>
      </c>
      <c r="H78" t="n">
        <v>0</v>
      </c>
      <c r="I78" t="n">
        <v>0</v>
      </c>
      <c r="J78" t="n">
        <v>0</v>
      </c>
      <c r="K78" t="n">
        <v>0</v>
      </c>
      <c r="L78" t="n">
        <v>0</v>
      </c>
      <c r="M78" t="n">
        <v>0</v>
      </c>
      <c r="N78" t="n">
        <v>0</v>
      </c>
      <c r="O78" t="n">
        <v>0</v>
      </c>
      <c r="P78" t="n">
        <v>0</v>
      </c>
      <c r="Q78" t="n">
        <v>0</v>
      </c>
      <c r="R78" s="2" t="inlineStr"/>
    </row>
    <row r="79" ht="15" customHeight="1">
      <c r="A79" t="inlineStr">
        <is>
          <t>A 34472-2019</t>
        </is>
      </c>
      <c r="B79" s="1" t="n">
        <v>43656</v>
      </c>
      <c r="C79" s="1" t="n">
        <v>45510</v>
      </c>
      <c r="D79" t="inlineStr">
        <is>
          <t>DALARNAS LÄN</t>
        </is>
      </c>
      <c r="E79" t="inlineStr">
        <is>
          <t>LUDVIKA</t>
        </is>
      </c>
      <c r="G79" t="n">
        <v>1.2</v>
      </c>
      <c r="H79" t="n">
        <v>0</v>
      </c>
      <c r="I79" t="n">
        <v>0</v>
      </c>
      <c r="J79" t="n">
        <v>0</v>
      </c>
      <c r="K79" t="n">
        <v>0</v>
      </c>
      <c r="L79" t="n">
        <v>0</v>
      </c>
      <c r="M79" t="n">
        <v>0</v>
      </c>
      <c r="N79" t="n">
        <v>0</v>
      </c>
      <c r="O79" t="n">
        <v>0</v>
      </c>
      <c r="P79" t="n">
        <v>0</v>
      </c>
      <c r="Q79" t="n">
        <v>0</v>
      </c>
      <c r="R79" s="2" t="inlineStr"/>
    </row>
    <row r="80" ht="15" customHeight="1">
      <c r="A80" t="inlineStr">
        <is>
          <t>A 35230-2019</t>
        </is>
      </c>
      <c r="B80" s="1" t="n">
        <v>43662</v>
      </c>
      <c r="C80" s="1" t="n">
        <v>45510</v>
      </c>
      <c r="D80" t="inlineStr">
        <is>
          <t>DALARNAS LÄN</t>
        </is>
      </c>
      <c r="E80" t="inlineStr">
        <is>
          <t>LUDVIKA</t>
        </is>
      </c>
      <c r="G80" t="n">
        <v>0.4</v>
      </c>
      <c r="H80" t="n">
        <v>0</v>
      </c>
      <c r="I80" t="n">
        <v>0</v>
      </c>
      <c r="J80" t="n">
        <v>0</v>
      </c>
      <c r="K80" t="n">
        <v>0</v>
      </c>
      <c r="L80" t="n">
        <v>0</v>
      </c>
      <c r="M80" t="n">
        <v>0</v>
      </c>
      <c r="N80" t="n">
        <v>0</v>
      </c>
      <c r="O80" t="n">
        <v>0</v>
      </c>
      <c r="P80" t="n">
        <v>0</v>
      </c>
      <c r="Q80" t="n">
        <v>0</v>
      </c>
      <c r="R80" s="2" t="inlineStr"/>
    </row>
    <row r="81" ht="15" customHeight="1">
      <c r="A81" t="inlineStr">
        <is>
          <t>A 35634-2019</t>
        </is>
      </c>
      <c r="B81" s="1" t="n">
        <v>43664</v>
      </c>
      <c r="C81" s="1" t="n">
        <v>45510</v>
      </c>
      <c r="D81" t="inlineStr">
        <is>
          <t>DALARNAS LÄN</t>
        </is>
      </c>
      <c r="E81" t="inlineStr">
        <is>
          <t>LUDVIKA</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37612-2019</t>
        </is>
      </c>
      <c r="B82" s="1" t="n">
        <v>43681</v>
      </c>
      <c r="C82" s="1" t="n">
        <v>45510</v>
      </c>
      <c r="D82" t="inlineStr">
        <is>
          <t>DALARNAS LÄN</t>
        </is>
      </c>
      <c r="E82" t="inlineStr">
        <is>
          <t>LUDVIKA</t>
        </is>
      </c>
      <c r="G82" t="n">
        <v>2.7</v>
      </c>
      <c r="H82" t="n">
        <v>0</v>
      </c>
      <c r="I82" t="n">
        <v>0</v>
      </c>
      <c r="J82" t="n">
        <v>0</v>
      </c>
      <c r="K82" t="n">
        <v>0</v>
      </c>
      <c r="L82" t="n">
        <v>0</v>
      </c>
      <c r="M82" t="n">
        <v>0</v>
      </c>
      <c r="N82" t="n">
        <v>0</v>
      </c>
      <c r="O82" t="n">
        <v>0</v>
      </c>
      <c r="P82" t="n">
        <v>0</v>
      </c>
      <c r="Q82" t="n">
        <v>0</v>
      </c>
      <c r="R82" s="2" t="inlineStr"/>
    </row>
    <row r="83" ht="15" customHeight="1">
      <c r="A83" t="inlineStr">
        <is>
          <t>A 40358-2019</t>
        </is>
      </c>
      <c r="B83" s="1" t="n">
        <v>43696</v>
      </c>
      <c r="C83" s="1" t="n">
        <v>45510</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41395-2019</t>
        </is>
      </c>
      <c r="B84" s="1" t="n">
        <v>43698</v>
      </c>
      <c r="C84" s="1" t="n">
        <v>45510</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42849-2019</t>
        </is>
      </c>
      <c r="B85" s="1" t="n">
        <v>43700</v>
      </c>
      <c r="C85" s="1" t="n">
        <v>45510</v>
      </c>
      <c r="D85" t="inlineStr">
        <is>
          <t>DALARNAS LÄN</t>
        </is>
      </c>
      <c r="E85" t="inlineStr">
        <is>
          <t>LUDVIKA</t>
        </is>
      </c>
      <c r="G85" t="n">
        <v>1.4</v>
      </c>
      <c r="H85" t="n">
        <v>0</v>
      </c>
      <c r="I85" t="n">
        <v>0</v>
      </c>
      <c r="J85" t="n">
        <v>0</v>
      </c>
      <c r="K85" t="n">
        <v>0</v>
      </c>
      <c r="L85" t="n">
        <v>0</v>
      </c>
      <c r="M85" t="n">
        <v>0</v>
      </c>
      <c r="N85" t="n">
        <v>0</v>
      </c>
      <c r="O85" t="n">
        <v>0</v>
      </c>
      <c r="P85" t="n">
        <v>0</v>
      </c>
      <c r="Q85" t="n">
        <v>0</v>
      </c>
      <c r="R85" s="2" t="inlineStr"/>
    </row>
    <row r="86" ht="15" customHeight="1">
      <c r="A86" t="inlineStr">
        <is>
          <t>A 43074-2019</t>
        </is>
      </c>
      <c r="B86" s="1" t="n">
        <v>43705</v>
      </c>
      <c r="C86" s="1" t="n">
        <v>45510</v>
      </c>
      <c r="D86" t="inlineStr">
        <is>
          <t>DALARNAS LÄN</t>
        </is>
      </c>
      <c r="E86" t="inlineStr">
        <is>
          <t>LUDVIKA</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45480-2019</t>
        </is>
      </c>
      <c r="B87" s="1" t="n">
        <v>43714</v>
      </c>
      <c r="C87" s="1" t="n">
        <v>45510</v>
      </c>
      <c r="D87" t="inlineStr">
        <is>
          <t>DALARNAS LÄN</t>
        </is>
      </c>
      <c r="E87" t="inlineStr">
        <is>
          <t>LUDVIKA</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47012-2019</t>
        </is>
      </c>
      <c r="B88" s="1" t="n">
        <v>43720</v>
      </c>
      <c r="C88" s="1" t="n">
        <v>45510</v>
      </c>
      <c r="D88" t="inlineStr">
        <is>
          <t>DALARNAS LÄN</t>
        </is>
      </c>
      <c r="E88" t="inlineStr">
        <is>
          <t>LUDVIKA</t>
        </is>
      </c>
      <c r="F88" t="inlineStr">
        <is>
          <t>Kyrkan</t>
        </is>
      </c>
      <c r="G88" t="n">
        <v>2</v>
      </c>
      <c r="H88" t="n">
        <v>0</v>
      </c>
      <c r="I88" t="n">
        <v>0</v>
      </c>
      <c r="J88" t="n">
        <v>0</v>
      </c>
      <c r="K88" t="n">
        <v>0</v>
      </c>
      <c r="L88" t="n">
        <v>0</v>
      </c>
      <c r="M88" t="n">
        <v>0</v>
      </c>
      <c r="N88" t="n">
        <v>0</v>
      </c>
      <c r="O88" t="n">
        <v>0</v>
      </c>
      <c r="P88" t="n">
        <v>0</v>
      </c>
      <c r="Q88" t="n">
        <v>0</v>
      </c>
      <c r="R88" s="2" t="inlineStr"/>
    </row>
    <row r="89" ht="15" customHeight="1">
      <c r="A89" t="inlineStr">
        <is>
          <t>A 49329-2019</t>
        </is>
      </c>
      <c r="B89" s="1" t="n">
        <v>43731</v>
      </c>
      <c r="C89" s="1" t="n">
        <v>45510</v>
      </c>
      <c r="D89" t="inlineStr">
        <is>
          <t>DALARNAS LÄN</t>
        </is>
      </c>
      <c r="E89" t="inlineStr">
        <is>
          <t>LUDVIKA</t>
        </is>
      </c>
      <c r="G89" t="n">
        <v>1.2</v>
      </c>
      <c r="H89" t="n">
        <v>0</v>
      </c>
      <c r="I89" t="n">
        <v>0</v>
      </c>
      <c r="J89" t="n">
        <v>0</v>
      </c>
      <c r="K89" t="n">
        <v>0</v>
      </c>
      <c r="L89" t="n">
        <v>0</v>
      </c>
      <c r="M89" t="n">
        <v>0</v>
      </c>
      <c r="N89" t="n">
        <v>0</v>
      </c>
      <c r="O89" t="n">
        <v>0</v>
      </c>
      <c r="P89" t="n">
        <v>0</v>
      </c>
      <c r="Q89" t="n">
        <v>0</v>
      </c>
      <c r="R89" s="2" t="inlineStr"/>
    </row>
    <row r="90" ht="15" customHeight="1">
      <c r="A90" t="inlineStr">
        <is>
          <t>A 49699-2019</t>
        </is>
      </c>
      <c r="B90" s="1" t="n">
        <v>43733</v>
      </c>
      <c r="C90" s="1" t="n">
        <v>45510</v>
      </c>
      <c r="D90" t="inlineStr">
        <is>
          <t>DALARNAS LÄN</t>
        </is>
      </c>
      <c r="E90" t="inlineStr">
        <is>
          <t>LUDVIKA</t>
        </is>
      </c>
      <c r="G90" t="n">
        <v>2.1</v>
      </c>
      <c r="H90" t="n">
        <v>0</v>
      </c>
      <c r="I90" t="n">
        <v>0</v>
      </c>
      <c r="J90" t="n">
        <v>0</v>
      </c>
      <c r="K90" t="n">
        <v>0</v>
      </c>
      <c r="L90" t="n">
        <v>0</v>
      </c>
      <c r="M90" t="n">
        <v>0</v>
      </c>
      <c r="N90" t="n">
        <v>0</v>
      </c>
      <c r="O90" t="n">
        <v>0</v>
      </c>
      <c r="P90" t="n">
        <v>0</v>
      </c>
      <c r="Q90" t="n">
        <v>0</v>
      </c>
      <c r="R90" s="2" t="inlineStr"/>
    </row>
    <row r="91" ht="15" customHeight="1">
      <c r="A91" t="inlineStr">
        <is>
          <t>A 50024-2019</t>
        </is>
      </c>
      <c r="B91" s="1" t="n">
        <v>43734</v>
      </c>
      <c r="C91" s="1" t="n">
        <v>45510</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53038-2019</t>
        </is>
      </c>
      <c r="B92" s="1" t="n">
        <v>43747</v>
      </c>
      <c r="C92" s="1" t="n">
        <v>45510</v>
      </c>
      <c r="D92" t="inlineStr">
        <is>
          <t>DALARNAS LÄN</t>
        </is>
      </c>
      <c r="E92" t="inlineStr">
        <is>
          <t>LUDVIKA</t>
        </is>
      </c>
      <c r="G92" t="n">
        <v>10.6</v>
      </c>
      <c r="H92" t="n">
        <v>0</v>
      </c>
      <c r="I92" t="n">
        <v>0</v>
      </c>
      <c r="J92" t="n">
        <v>0</v>
      </c>
      <c r="K92" t="n">
        <v>0</v>
      </c>
      <c r="L92" t="n">
        <v>0</v>
      </c>
      <c r="M92" t="n">
        <v>0</v>
      </c>
      <c r="N92" t="n">
        <v>0</v>
      </c>
      <c r="O92" t="n">
        <v>0</v>
      </c>
      <c r="P92" t="n">
        <v>0</v>
      </c>
      <c r="Q92" t="n">
        <v>0</v>
      </c>
      <c r="R92" s="2" t="inlineStr"/>
    </row>
    <row r="93" ht="15" customHeight="1">
      <c r="A93" t="inlineStr">
        <is>
          <t>A 59304-2019</t>
        </is>
      </c>
      <c r="B93" s="1" t="n">
        <v>43770</v>
      </c>
      <c r="C93" s="1" t="n">
        <v>45510</v>
      </c>
      <c r="D93" t="inlineStr">
        <is>
          <t>DALARNAS LÄN</t>
        </is>
      </c>
      <c r="E93" t="inlineStr">
        <is>
          <t>LUDVIKA</t>
        </is>
      </c>
      <c r="G93" t="n">
        <v>3.2</v>
      </c>
      <c r="H93" t="n">
        <v>0</v>
      </c>
      <c r="I93" t="n">
        <v>0</v>
      </c>
      <c r="J93" t="n">
        <v>0</v>
      </c>
      <c r="K93" t="n">
        <v>0</v>
      </c>
      <c r="L93" t="n">
        <v>0</v>
      </c>
      <c r="M93" t="n">
        <v>0</v>
      </c>
      <c r="N93" t="n">
        <v>0</v>
      </c>
      <c r="O93" t="n">
        <v>0</v>
      </c>
      <c r="P93" t="n">
        <v>0</v>
      </c>
      <c r="Q93" t="n">
        <v>0</v>
      </c>
      <c r="R93" s="2" t="inlineStr"/>
    </row>
    <row r="94" ht="15" customHeight="1">
      <c r="A94" t="inlineStr">
        <is>
          <t>A 60221-2019</t>
        </is>
      </c>
      <c r="B94" s="1" t="n">
        <v>43780</v>
      </c>
      <c r="C94" s="1" t="n">
        <v>45510</v>
      </c>
      <c r="D94" t="inlineStr">
        <is>
          <t>DALARNAS LÄN</t>
        </is>
      </c>
      <c r="E94" t="inlineStr">
        <is>
          <t>LUDVIKA</t>
        </is>
      </c>
      <c r="G94" t="n">
        <v>3.4</v>
      </c>
      <c r="H94" t="n">
        <v>0</v>
      </c>
      <c r="I94" t="n">
        <v>0</v>
      </c>
      <c r="J94" t="n">
        <v>0</v>
      </c>
      <c r="K94" t="n">
        <v>0</v>
      </c>
      <c r="L94" t="n">
        <v>0</v>
      </c>
      <c r="M94" t="n">
        <v>0</v>
      </c>
      <c r="N94" t="n">
        <v>0</v>
      </c>
      <c r="O94" t="n">
        <v>0</v>
      </c>
      <c r="P94" t="n">
        <v>0</v>
      </c>
      <c r="Q94" t="n">
        <v>0</v>
      </c>
      <c r="R94" s="2" t="inlineStr"/>
    </row>
    <row r="95" ht="15" customHeight="1">
      <c r="A95" t="inlineStr">
        <is>
          <t>A 61027-2019</t>
        </is>
      </c>
      <c r="B95" s="1" t="n">
        <v>43782</v>
      </c>
      <c r="C95" s="1" t="n">
        <v>45510</v>
      </c>
      <c r="D95" t="inlineStr">
        <is>
          <t>DALARNAS LÄN</t>
        </is>
      </c>
      <c r="E95" t="inlineStr">
        <is>
          <t>LUDVIKA</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62356-2019</t>
        </is>
      </c>
      <c r="B96" s="1" t="n">
        <v>43788</v>
      </c>
      <c r="C96" s="1" t="n">
        <v>45510</v>
      </c>
      <c r="D96" t="inlineStr">
        <is>
          <t>DALARNAS LÄN</t>
        </is>
      </c>
      <c r="E96" t="inlineStr">
        <is>
          <t>LUDVIKA</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63149-2019</t>
        </is>
      </c>
      <c r="B97" s="1" t="n">
        <v>43791</v>
      </c>
      <c r="C97" s="1" t="n">
        <v>45510</v>
      </c>
      <c r="D97" t="inlineStr">
        <is>
          <t>DALARNAS LÄN</t>
        </is>
      </c>
      <c r="E97" t="inlineStr">
        <is>
          <t>LUDVIKA</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64300-2019</t>
        </is>
      </c>
      <c r="B98" s="1" t="n">
        <v>43797</v>
      </c>
      <c r="C98" s="1" t="n">
        <v>45510</v>
      </c>
      <c r="D98" t="inlineStr">
        <is>
          <t>DALARNAS LÄN</t>
        </is>
      </c>
      <c r="E98" t="inlineStr">
        <is>
          <t>LUDVIKA</t>
        </is>
      </c>
      <c r="G98" t="n">
        <v>7.2</v>
      </c>
      <c r="H98" t="n">
        <v>0</v>
      </c>
      <c r="I98" t="n">
        <v>0</v>
      </c>
      <c r="J98" t="n">
        <v>0</v>
      </c>
      <c r="K98" t="n">
        <v>0</v>
      </c>
      <c r="L98" t="n">
        <v>0</v>
      </c>
      <c r="M98" t="n">
        <v>0</v>
      </c>
      <c r="N98" t="n">
        <v>0</v>
      </c>
      <c r="O98" t="n">
        <v>0</v>
      </c>
      <c r="P98" t="n">
        <v>0</v>
      </c>
      <c r="Q98" t="n">
        <v>0</v>
      </c>
      <c r="R98" s="2" t="inlineStr"/>
    </row>
    <row r="99" ht="15" customHeight="1">
      <c r="A99" t="inlineStr">
        <is>
          <t>A 64583-2019</t>
        </is>
      </c>
      <c r="B99" s="1" t="n">
        <v>43798</v>
      </c>
      <c r="C99" s="1" t="n">
        <v>45510</v>
      </c>
      <c r="D99" t="inlineStr">
        <is>
          <t>DALARNAS LÄN</t>
        </is>
      </c>
      <c r="E99" t="inlineStr">
        <is>
          <t>LUDVIKA</t>
        </is>
      </c>
      <c r="F99" t="inlineStr">
        <is>
          <t>Bergvik skog väst AB</t>
        </is>
      </c>
      <c r="G99" t="n">
        <v>1.2</v>
      </c>
      <c r="H99" t="n">
        <v>0</v>
      </c>
      <c r="I99" t="n">
        <v>0</v>
      </c>
      <c r="J99" t="n">
        <v>0</v>
      </c>
      <c r="K99" t="n">
        <v>0</v>
      </c>
      <c r="L99" t="n">
        <v>0</v>
      </c>
      <c r="M99" t="n">
        <v>0</v>
      </c>
      <c r="N99" t="n">
        <v>0</v>
      </c>
      <c r="O99" t="n">
        <v>0</v>
      </c>
      <c r="P99" t="n">
        <v>0</v>
      </c>
      <c r="Q99" t="n">
        <v>0</v>
      </c>
      <c r="R99" s="2" t="inlineStr"/>
    </row>
    <row r="100" ht="15" customHeight="1">
      <c r="A100" t="inlineStr">
        <is>
          <t>A 64684-2019</t>
        </is>
      </c>
      <c r="B100" s="1" t="n">
        <v>43798</v>
      </c>
      <c r="C100" s="1" t="n">
        <v>45510</v>
      </c>
      <c r="D100" t="inlineStr">
        <is>
          <t>DALARNAS LÄN</t>
        </is>
      </c>
      <c r="E100" t="inlineStr">
        <is>
          <t>LUDVIKA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64693-2019</t>
        </is>
      </c>
      <c r="B101" s="1" t="n">
        <v>43798</v>
      </c>
      <c r="C101" s="1" t="n">
        <v>45510</v>
      </c>
      <c r="D101" t="inlineStr">
        <is>
          <t>DALARNAS LÄN</t>
        </is>
      </c>
      <c r="E101" t="inlineStr">
        <is>
          <t>LUDVIKA</t>
        </is>
      </c>
      <c r="F101" t="inlineStr">
        <is>
          <t>Bergvik skog väst AB</t>
        </is>
      </c>
      <c r="G101" t="n">
        <v>3.6</v>
      </c>
      <c r="H101" t="n">
        <v>0</v>
      </c>
      <c r="I101" t="n">
        <v>0</v>
      </c>
      <c r="J101" t="n">
        <v>0</v>
      </c>
      <c r="K101" t="n">
        <v>0</v>
      </c>
      <c r="L101" t="n">
        <v>0</v>
      </c>
      <c r="M101" t="n">
        <v>0</v>
      </c>
      <c r="N101" t="n">
        <v>0</v>
      </c>
      <c r="O101" t="n">
        <v>0</v>
      </c>
      <c r="P101" t="n">
        <v>0</v>
      </c>
      <c r="Q101" t="n">
        <v>0</v>
      </c>
      <c r="R101" s="2" t="inlineStr"/>
    </row>
    <row r="102" ht="15" customHeight="1">
      <c r="A102" t="inlineStr">
        <is>
          <t>A 64628-2019</t>
        </is>
      </c>
      <c r="B102" s="1" t="n">
        <v>43798</v>
      </c>
      <c r="C102" s="1" t="n">
        <v>45510</v>
      </c>
      <c r="D102" t="inlineStr">
        <is>
          <t>DALARNAS LÄN</t>
        </is>
      </c>
      <c r="E102" t="inlineStr">
        <is>
          <t>LUDVIKA</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64961-2019</t>
        </is>
      </c>
      <c r="B103" s="1" t="n">
        <v>43801</v>
      </c>
      <c r="C103" s="1" t="n">
        <v>45510</v>
      </c>
      <c r="D103" t="inlineStr">
        <is>
          <t>DALARNAS LÄN</t>
        </is>
      </c>
      <c r="E103" t="inlineStr">
        <is>
          <t>LUDVIKA</t>
        </is>
      </c>
      <c r="G103" t="n">
        <v>1.3</v>
      </c>
      <c r="H103" t="n">
        <v>0</v>
      </c>
      <c r="I103" t="n">
        <v>0</v>
      </c>
      <c r="J103" t="n">
        <v>0</v>
      </c>
      <c r="K103" t="n">
        <v>0</v>
      </c>
      <c r="L103" t="n">
        <v>0</v>
      </c>
      <c r="M103" t="n">
        <v>0</v>
      </c>
      <c r="N103" t="n">
        <v>0</v>
      </c>
      <c r="O103" t="n">
        <v>0</v>
      </c>
      <c r="P103" t="n">
        <v>0</v>
      </c>
      <c r="Q103" t="n">
        <v>0</v>
      </c>
      <c r="R103" s="2" t="inlineStr"/>
    </row>
    <row r="104" ht="15" customHeight="1">
      <c r="A104" t="inlineStr">
        <is>
          <t>A 68226-2019</t>
        </is>
      </c>
      <c r="B104" s="1" t="n">
        <v>43817</v>
      </c>
      <c r="C104" s="1" t="n">
        <v>45510</v>
      </c>
      <c r="D104" t="inlineStr">
        <is>
          <t>DALARNAS LÄN</t>
        </is>
      </c>
      <c r="E104" t="inlineStr">
        <is>
          <t>LUDVIKA</t>
        </is>
      </c>
      <c r="G104" t="n">
        <v>4.4</v>
      </c>
      <c r="H104" t="n">
        <v>0</v>
      </c>
      <c r="I104" t="n">
        <v>0</v>
      </c>
      <c r="J104" t="n">
        <v>0</v>
      </c>
      <c r="K104" t="n">
        <v>0</v>
      </c>
      <c r="L104" t="n">
        <v>0</v>
      </c>
      <c r="M104" t="n">
        <v>0</v>
      </c>
      <c r="N104" t="n">
        <v>0</v>
      </c>
      <c r="O104" t="n">
        <v>0</v>
      </c>
      <c r="P104" t="n">
        <v>0</v>
      </c>
      <c r="Q104" t="n">
        <v>0</v>
      </c>
      <c r="R104" s="2" t="inlineStr"/>
    </row>
    <row r="105" ht="15" customHeight="1">
      <c r="A105" t="inlineStr">
        <is>
          <t>A 68721-2019</t>
        </is>
      </c>
      <c r="B105" s="1" t="n">
        <v>43819</v>
      </c>
      <c r="C105" s="1" t="n">
        <v>45510</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2572-2020</t>
        </is>
      </c>
      <c r="B106" s="1" t="n">
        <v>43847</v>
      </c>
      <c r="C106" s="1" t="n">
        <v>45510</v>
      </c>
      <c r="D106" t="inlineStr">
        <is>
          <t>DALARNAS LÄN</t>
        </is>
      </c>
      <c r="E106" t="inlineStr">
        <is>
          <t>LUDVIKA</t>
        </is>
      </c>
      <c r="G106" t="n">
        <v>5.4</v>
      </c>
      <c r="H106" t="n">
        <v>0</v>
      </c>
      <c r="I106" t="n">
        <v>0</v>
      </c>
      <c r="J106" t="n">
        <v>0</v>
      </c>
      <c r="K106" t="n">
        <v>0</v>
      </c>
      <c r="L106" t="n">
        <v>0</v>
      </c>
      <c r="M106" t="n">
        <v>0</v>
      </c>
      <c r="N106" t="n">
        <v>0</v>
      </c>
      <c r="O106" t="n">
        <v>0</v>
      </c>
      <c r="P106" t="n">
        <v>0</v>
      </c>
      <c r="Q106" t="n">
        <v>0</v>
      </c>
      <c r="R106" s="2" t="inlineStr"/>
    </row>
    <row r="107" ht="15" customHeight="1">
      <c r="A107" t="inlineStr">
        <is>
          <t>A 4071-2020</t>
        </is>
      </c>
      <c r="B107" s="1" t="n">
        <v>43847</v>
      </c>
      <c r="C107" s="1" t="n">
        <v>45510</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4611-2020</t>
        </is>
      </c>
      <c r="B108" s="1" t="n">
        <v>43858</v>
      </c>
      <c r="C108" s="1" t="n">
        <v>45510</v>
      </c>
      <c r="D108" t="inlineStr">
        <is>
          <t>DALARNAS LÄN</t>
        </is>
      </c>
      <c r="E108" t="inlineStr">
        <is>
          <t>LUDVIKA</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5243-2020</t>
        </is>
      </c>
      <c r="B109" s="1" t="n">
        <v>43860</v>
      </c>
      <c r="C109" s="1" t="n">
        <v>45510</v>
      </c>
      <c r="D109" t="inlineStr">
        <is>
          <t>DALARNAS LÄN</t>
        </is>
      </c>
      <c r="E109" t="inlineStr">
        <is>
          <t>LUDVIKA</t>
        </is>
      </c>
      <c r="F109" t="inlineStr">
        <is>
          <t>Bergvik skog väst AB</t>
        </is>
      </c>
      <c r="G109" t="n">
        <v>3.2</v>
      </c>
      <c r="H109" t="n">
        <v>0</v>
      </c>
      <c r="I109" t="n">
        <v>0</v>
      </c>
      <c r="J109" t="n">
        <v>0</v>
      </c>
      <c r="K109" t="n">
        <v>0</v>
      </c>
      <c r="L109" t="n">
        <v>0</v>
      </c>
      <c r="M109" t="n">
        <v>0</v>
      </c>
      <c r="N109" t="n">
        <v>0</v>
      </c>
      <c r="O109" t="n">
        <v>0</v>
      </c>
      <c r="P109" t="n">
        <v>0</v>
      </c>
      <c r="Q109" t="n">
        <v>0</v>
      </c>
      <c r="R109" s="2" t="inlineStr"/>
    </row>
    <row r="110" ht="15" customHeight="1">
      <c r="A110" t="inlineStr">
        <is>
          <t>A 5481-2020</t>
        </is>
      </c>
      <c r="B110" s="1" t="n">
        <v>43861</v>
      </c>
      <c r="C110" s="1" t="n">
        <v>45510</v>
      </c>
      <c r="D110" t="inlineStr">
        <is>
          <t>DALARNAS LÄN</t>
        </is>
      </c>
      <c r="E110" t="inlineStr">
        <is>
          <t>LUDVIKA</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5829-2020</t>
        </is>
      </c>
      <c r="B111" s="1" t="n">
        <v>43861</v>
      </c>
      <c r="C111" s="1" t="n">
        <v>45510</v>
      </c>
      <c r="D111" t="inlineStr">
        <is>
          <t>DALARNAS LÄN</t>
        </is>
      </c>
      <c r="E111" t="inlineStr">
        <is>
          <t>LUDVIKA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6948-2020</t>
        </is>
      </c>
      <c r="B112" s="1" t="n">
        <v>43868</v>
      </c>
      <c r="C112" s="1" t="n">
        <v>45510</v>
      </c>
      <c r="D112" t="inlineStr">
        <is>
          <t>DALARNAS LÄN</t>
        </is>
      </c>
      <c r="E112" t="inlineStr">
        <is>
          <t>LUDVIKA</t>
        </is>
      </c>
      <c r="G112" t="n">
        <v>2.4</v>
      </c>
      <c r="H112" t="n">
        <v>0</v>
      </c>
      <c r="I112" t="n">
        <v>0</v>
      </c>
      <c r="J112" t="n">
        <v>0</v>
      </c>
      <c r="K112" t="n">
        <v>0</v>
      </c>
      <c r="L112" t="n">
        <v>0</v>
      </c>
      <c r="M112" t="n">
        <v>0</v>
      </c>
      <c r="N112" t="n">
        <v>0</v>
      </c>
      <c r="O112" t="n">
        <v>0</v>
      </c>
      <c r="P112" t="n">
        <v>0</v>
      </c>
      <c r="Q112" t="n">
        <v>0</v>
      </c>
      <c r="R112" s="2" t="inlineStr"/>
    </row>
    <row r="113" ht="15" customHeight="1">
      <c r="A113" t="inlineStr">
        <is>
          <t>A 7010-2020</t>
        </is>
      </c>
      <c r="B113" s="1" t="n">
        <v>43868</v>
      </c>
      <c r="C113" s="1" t="n">
        <v>45510</v>
      </c>
      <c r="D113" t="inlineStr">
        <is>
          <t>DALARNAS LÄN</t>
        </is>
      </c>
      <c r="E113" t="inlineStr">
        <is>
          <t>LUDVIKA</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7709-2020</t>
        </is>
      </c>
      <c r="B114" s="1" t="n">
        <v>43872</v>
      </c>
      <c r="C114" s="1" t="n">
        <v>45510</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7851-2020</t>
        </is>
      </c>
      <c r="B115" s="1" t="n">
        <v>43873</v>
      </c>
      <c r="C115" s="1" t="n">
        <v>45510</v>
      </c>
      <c r="D115" t="inlineStr">
        <is>
          <t>DALARNAS LÄN</t>
        </is>
      </c>
      <c r="E115" t="inlineStr">
        <is>
          <t>LUDVIKA</t>
        </is>
      </c>
      <c r="F115" t="inlineStr">
        <is>
          <t>Naturvårdsverket</t>
        </is>
      </c>
      <c r="G115" t="n">
        <v>1.9</v>
      </c>
      <c r="H115" t="n">
        <v>0</v>
      </c>
      <c r="I115" t="n">
        <v>0</v>
      </c>
      <c r="J115" t="n">
        <v>0</v>
      </c>
      <c r="K115" t="n">
        <v>0</v>
      </c>
      <c r="L115" t="n">
        <v>0</v>
      </c>
      <c r="M115" t="n">
        <v>0</v>
      </c>
      <c r="N115" t="n">
        <v>0</v>
      </c>
      <c r="O115" t="n">
        <v>0</v>
      </c>
      <c r="P115" t="n">
        <v>0</v>
      </c>
      <c r="Q115" t="n">
        <v>0</v>
      </c>
      <c r="R115" s="2" t="inlineStr"/>
    </row>
    <row r="116" ht="15" customHeight="1">
      <c r="A116" t="inlineStr">
        <is>
          <t>A 9552-2020</t>
        </is>
      </c>
      <c r="B116" s="1" t="n">
        <v>43881</v>
      </c>
      <c r="C116" s="1" t="n">
        <v>45510</v>
      </c>
      <c r="D116" t="inlineStr">
        <is>
          <t>DALARNAS LÄN</t>
        </is>
      </c>
      <c r="E116" t="inlineStr">
        <is>
          <t>LUDVIKA</t>
        </is>
      </c>
      <c r="F116" t="inlineStr">
        <is>
          <t>Övriga Aktiebolag</t>
        </is>
      </c>
      <c r="G116" t="n">
        <v>1.3</v>
      </c>
      <c r="H116" t="n">
        <v>0</v>
      </c>
      <c r="I116" t="n">
        <v>0</v>
      </c>
      <c r="J116" t="n">
        <v>0</v>
      </c>
      <c r="K116" t="n">
        <v>0</v>
      </c>
      <c r="L116" t="n">
        <v>0</v>
      </c>
      <c r="M116" t="n">
        <v>0</v>
      </c>
      <c r="N116" t="n">
        <v>0</v>
      </c>
      <c r="O116" t="n">
        <v>0</v>
      </c>
      <c r="P116" t="n">
        <v>0</v>
      </c>
      <c r="Q116" t="n">
        <v>0</v>
      </c>
      <c r="R116" s="2" t="inlineStr"/>
    </row>
    <row r="117" ht="15" customHeight="1">
      <c r="A117" t="inlineStr">
        <is>
          <t>A 9805-2020</t>
        </is>
      </c>
      <c r="B117" s="1" t="n">
        <v>43881</v>
      </c>
      <c r="C117" s="1" t="n">
        <v>45510</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9932-2020</t>
        </is>
      </c>
      <c r="B118" s="1" t="n">
        <v>43882</v>
      </c>
      <c r="C118" s="1" t="n">
        <v>45510</v>
      </c>
      <c r="D118" t="inlineStr">
        <is>
          <t>DALARNAS LÄN</t>
        </is>
      </c>
      <c r="E118" t="inlineStr">
        <is>
          <t>LUDVIKA</t>
        </is>
      </c>
      <c r="G118" t="n">
        <v>0.6</v>
      </c>
      <c r="H118" t="n">
        <v>0</v>
      </c>
      <c r="I118" t="n">
        <v>0</v>
      </c>
      <c r="J118" t="n">
        <v>0</v>
      </c>
      <c r="K118" t="n">
        <v>0</v>
      </c>
      <c r="L118" t="n">
        <v>0</v>
      </c>
      <c r="M118" t="n">
        <v>0</v>
      </c>
      <c r="N118" t="n">
        <v>0</v>
      </c>
      <c r="O118" t="n">
        <v>0</v>
      </c>
      <c r="P118" t="n">
        <v>0</v>
      </c>
      <c r="Q118" t="n">
        <v>0</v>
      </c>
      <c r="R118" s="2" t="inlineStr"/>
    </row>
    <row r="119" ht="15" customHeight="1">
      <c r="A119" t="inlineStr">
        <is>
          <t>A 10578-2020</t>
        </is>
      </c>
      <c r="B119" s="1" t="n">
        <v>43887</v>
      </c>
      <c r="C119" s="1" t="n">
        <v>45510</v>
      </c>
      <c r="D119" t="inlineStr">
        <is>
          <t>DALARNAS LÄN</t>
        </is>
      </c>
      <c r="E119" t="inlineStr">
        <is>
          <t>LUDVIKA</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ht="15" customHeight="1">
      <c r="A120" t="inlineStr">
        <is>
          <t>A 10600-2020</t>
        </is>
      </c>
      <c r="B120" s="1" t="n">
        <v>43887</v>
      </c>
      <c r="C120" s="1" t="n">
        <v>45510</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12439-2020</t>
        </is>
      </c>
      <c r="B121" s="1" t="n">
        <v>43892</v>
      </c>
      <c r="C121" s="1" t="n">
        <v>45510</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11207-2020</t>
        </is>
      </c>
      <c r="B122" s="1" t="n">
        <v>43892</v>
      </c>
      <c r="C122" s="1" t="n">
        <v>45510</v>
      </c>
      <c r="D122" t="inlineStr">
        <is>
          <t>DALARNAS LÄN</t>
        </is>
      </c>
      <c r="E122" t="inlineStr">
        <is>
          <t>LUDVIKA</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11559-2020</t>
        </is>
      </c>
      <c r="B123" s="1" t="n">
        <v>43893</v>
      </c>
      <c r="C123" s="1" t="n">
        <v>45510</v>
      </c>
      <c r="D123" t="inlineStr">
        <is>
          <t>DALARNAS LÄN</t>
        </is>
      </c>
      <c r="E123" t="inlineStr">
        <is>
          <t>LUDVIKA</t>
        </is>
      </c>
      <c r="G123" t="n">
        <v>32.7</v>
      </c>
      <c r="H123" t="n">
        <v>0</v>
      </c>
      <c r="I123" t="n">
        <v>0</v>
      </c>
      <c r="J123" t="n">
        <v>0</v>
      </c>
      <c r="K123" t="n">
        <v>0</v>
      </c>
      <c r="L123" t="n">
        <v>0</v>
      </c>
      <c r="M123" t="n">
        <v>0</v>
      </c>
      <c r="N123" t="n">
        <v>0</v>
      </c>
      <c r="O123" t="n">
        <v>0</v>
      </c>
      <c r="P123" t="n">
        <v>0</v>
      </c>
      <c r="Q123" t="n">
        <v>0</v>
      </c>
      <c r="R123" s="2" t="inlineStr"/>
    </row>
    <row r="124" ht="15" customHeight="1">
      <c r="A124" t="inlineStr">
        <is>
          <t>A 11626-2020</t>
        </is>
      </c>
      <c r="B124" s="1" t="n">
        <v>43893</v>
      </c>
      <c r="C124" s="1" t="n">
        <v>45510</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13483-2020</t>
        </is>
      </c>
      <c r="B125" s="1" t="n">
        <v>43894</v>
      </c>
      <c r="C125" s="1" t="n">
        <v>45510</v>
      </c>
      <c r="D125" t="inlineStr">
        <is>
          <t>DALARNAS LÄN</t>
        </is>
      </c>
      <c r="E125" t="inlineStr">
        <is>
          <t>LUDVIKA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12049-2020</t>
        </is>
      </c>
      <c r="B126" s="1" t="n">
        <v>43894</v>
      </c>
      <c r="C126" s="1" t="n">
        <v>45510</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12223-2020</t>
        </is>
      </c>
      <c r="B127" s="1" t="n">
        <v>43895</v>
      </c>
      <c r="C127" s="1" t="n">
        <v>45510</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12560-2020</t>
        </is>
      </c>
      <c r="B128" s="1" t="n">
        <v>43898</v>
      </c>
      <c r="C128" s="1" t="n">
        <v>45510</v>
      </c>
      <c r="D128" t="inlineStr">
        <is>
          <t>DALARNAS LÄN</t>
        </is>
      </c>
      <c r="E128" t="inlineStr">
        <is>
          <t>LUDVIKA</t>
        </is>
      </c>
      <c r="G128" t="n">
        <v>2.7</v>
      </c>
      <c r="H128" t="n">
        <v>0</v>
      </c>
      <c r="I128" t="n">
        <v>0</v>
      </c>
      <c r="J128" t="n">
        <v>0</v>
      </c>
      <c r="K128" t="n">
        <v>0</v>
      </c>
      <c r="L128" t="n">
        <v>0</v>
      </c>
      <c r="M128" t="n">
        <v>0</v>
      </c>
      <c r="N128" t="n">
        <v>0</v>
      </c>
      <c r="O128" t="n">
        <v>0</v>
      </c>
      <c r="P128" t="n">
        <v>0</v>
      </c>
      <c r="Q128" t="n">
        <v>0</v>
      </c>
      <c r="R128" s="2" t="inlineStr"/>
    </row>
    <row r="129" ht="15" customHeight="1">
      <c r="A129" t="inlineStr">
        <is>
          <t>A 12935-2020</t>
        </is>
      </c>
      <c r="B129" s="1" t="n">
        <v>43900</v>
      </c>
      <c r="C129" s="1" t="n">
        <v>45510</v>
      </c>
      <c r="D129" t="inlineStr">
        <is>
          <t>DALARNAS LÄN</t>
        </is>
      </c>
      <c r="E129" t="inlineStr">
        <is>
          <t>LUDVIKA</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13757-2020</t>
        </is>
      </c>
      <c r="B130" s="1" t="n">
        <v>43903</v>
      </c>
      <c r="C130" s="1" t="n">
        <v>45510</v>
      </c>
      <c r="D130" t="inlineStr">
        <is>
          <t>DALARNAS LÄN</t>
        </is>
      </c>
      <c r="E130" t="inlineStr">
        <is>
          <t>LUDVIKA</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13767-2020</t>
        </is>
      </c>
      <c r="B131" s="1" t="n">
        <v>43903</v>
      </c>
      <c r="C131" s="1" t="n">
        <v>45510</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14373-2020</t>
        </is>
      </c>
      <c r="B132" s="1" t="n">
        <v>43908</v>
      </c>
      <c r="C132" s="1" t="n">
        <v>45510</v>
      </c>
      <c r="D132" t="inlineStr">
        <is>
          <t>DALARNAS LÄN</t>
        </is>
      </c>
      <c r="E132" t="inlineStr">
        <is>
          <t>LUDVIKA</t>
        </is>
      </c>
      <c r="F132" t="inlineStr">
        <is>
          <t>Bergvik skog väst AB</t>
        </is>
      </c>
      <c r="G132" t="n">
        <v>5.5</v>
      </c>
      <c r="H132" t="n">
        <v>0</v>
      </c>
      <c r="I132" t="n">
        <v>0</v>
      </c>
      <c r="J132" t="n">
        <v>0</v>
      </c>
      <c r="K132" t="n">
        <v>0</v>
      </c>
      <c r="L132" t="n">
        <v>0</v>
      </c>
      <c r="M132" t="n">
        <v>0</v>
      </c>
      <c r="N132" t="n">
        <v>0</v>
      </c>
      <c r="O132" t="n">
        <v>0</v>
      </c>
      <c r="P132" t="n">
        <v>0</v>
      </c>
      <c r="Q132" t="n">
        <v>0</v>
      </c>
      <c r="R132" s="2" t="inlineStr"/>
    </row>
    <row r="133" ht="15" customHeight="1">
      <c r="A133" t="inlineStr">
        <is>
          <t>A 15053-2020</t>
        </is>
      </c>
      <c r="B133" s="1" t="n">
        <v>43910</v>
      </c>
      <c r="C133" s="1" t="n">
        <v>45510</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15861-2020</t>
        </is>
      </c>
      <c r="B134" s="1" t="n">
        <v>43915</v>
      </c>
      <c r="C134" s="1" t="n">
        <v>45510</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16407-2020</t>
        </is>
      </c>
      <c r="B135" s="1" t="n">
        <v>43918</v>
      </c>
      <c r="C135" s="1" t="n">
        <v>45510</v>
      </c>
      <c r="D135" t="inlineStr">
        <is>
          <t>DALARNAS LÄN</t>
        </is>
      </c>
      <c r="E135" t="inlineStr">
        <is>
          <t>LUDVIKA</t>
        </is>
      </c>
      <c r="F135" t="inlineStr">
        <is>
          <t>Bergvik skog väst AB</t>
        </is>
      </c>
      <c r="G135" t="n">
        <v>32.8</v>
      </c>
      <c r="H135" t="n">
        <v>0</v>
      </c>
      <c r="I135" t="n">
        <v>0</v>
      </c>
      <c r="J135" t="n">
        <v>0</v>
      </c>
      <c r="K135" t="n">
        <v>0</v>
      </c>
      <c r="L135" t="n">
        <v>0</v>
      </c>
      <c r="M135" t="n">
        <v>0</v>
      </c>
      <c r="N135" t="n">
        <v>0</v>
      </c>
      <c r="O135" t="n">
        <v>0</v>
      </c>
      <c r="P135" t="n">
        <v>0</v>
      </c>
      <c r="Q135" t="n">
        <v>0</v>
      </c>
      <c r="R135" s="2" t="inlineStr"/>
    </row>
    <row r="136" ht="15" customHeight="1">
      <c r="A136" t="inlineStr">
        <is>
          <t>A 16782-2020</t>
        </is>
      </c>
      <c r="B136" s="1" t="n">
        <v>43921</v>
      </c>
      <c r="C136" s="1" t="n">
        <v>45510</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16781-2020</t>
        </is>
      </c>
      <c r="B137" s="1" t="n">
        <v>43921</v>
      </c>
      <c r="C137" s="1" t="n">
        <v>45510</v>
      </c>
      <c r="D137" t="inlineStr">
        <is>
          <t>DALARNAS LÄN</t>
        </is>
      </c>
      <c r="E137" t="inlineStr">
        <is>
          <t>LUDVIKA</t>
        </is>
      </c>
      <c r="F137" t="inlineStr">
        <is>
          <t>Bergvik skog väst AB</t>
        </is>
      </c>
      <c r="G137" t="n">
        <v>1.7</v>
      </c>
      <c r="H137" t="n">
        <v>0</v>
      </c>
      <c r="I137" t="n">
        <v>0</v>
      </c>
      <c r="J137" t="n">
        <v>0</v>
      </c>
      <c r="K137" t="n">
        <v>0</v>
      </c>
      <c r="L137" t="n">
        <v>0</v>
      </c>
      <c r="M137" t="n">
        <v>0</v>
      </c>
      <c r="N137" t="n">
        <v>0</v>
      </c>
      <c r="O137" t="n">
        <v>0</v>
      </c>
      <c r="P137" t="n">
        <v>0</v>
      </c>
      <c r="Q137" t="n">
        <v>0</v>
      </c>
      <c r="R137" s="2" t="inlineStr"/>
    </row>
    <row r="138" ht="15" customHeight="1">
      <c r="A138" t="inlineStr">
        <is>
          <t>A 17166-2020</t>
        </is>
      </c>
      <c r="B138" s="1" t="n">
        <v>43922</v>
      </c>
      <c r="C138" s="1" t="n">
        <v>45510</v>
      </c>
      <c r="D138" t="inlineStr">
        <is>
          <t>DALARNAS LÄN</t>
        </is>
      </c>
      <c r="E138" t="inlineStr">
        <is>
          <t>LUDVIKA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17597-2020</t>
        </is>
      </c>
      <c r="B139" s="1" t="n">
        <v>43923</v>
      </c>
      <c r="C139" s="1" t="n">
        <v>45510</v>
      </c>
      <c r="D139" t="inlineStr">
        <is>
          <t>DALARNAS LÄN</t>
        </is>
      </c>
      <c r="E139" t="inlineStr">
        <is>
          <t>LUDVIKA</t>
        </is>
      </c>
      <c r="F139" t="inlineStr">
        <is>
          <t>Bergvik skog väst AB</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17605-2020</t>
        </is>
      </c>
      <c r="B140" s="1" t="n">
        <v>43923</v>
      </c>
      <c r="C140" s="1" t="n">
        <v>45510</v>
      </c>
      <c r="D140" t="inlineStr">
        <is>
          <t>DALARNAS LÄN</t>
        </is>
      </c>
      <c r="E140" t="inlineStr">
        <is>
          <t>LUDVIKA</t>
        </is>
      </c>
      <c r="F140" t="inlineStr">
        <is>
          <t>Bergvik skog väst AB</t>
        </is>
      </c>
      <c r="G140" t="n">
        <v>4.2</v>
      </c>
      <c r="H140" t="n">
        <v>0</v>
      </c>
      <c r="I140" t="n">
        <v>0</v>
      </c>
      <c r="J140" t="n">
        <v>0</v>
      </c>
      <c r="K140" t="n">
        <v>0</v>
      </c>
      <c r="L140" t="n">
        <v>0</v>
      </c>
      <c r="M140" t="n">
        <v>0</v>
      </c>
      <c r="N140" t="n">
        <v>0</v>
      </c>
      <c r="O140" t="n">
        <v>0</v>
      </c>
      <c r="P140" t="n">
        <v>0</v>
      </c>
      <c r="Q140" t="n">
        <v>0</v>
      </c>
      <c r="R140" s="2" t="inlineStr"/>
    </row>
    <row r="141" ht="15" customHeight="1">
      <c r="A141" t="inlineStr">
        <is>
          <t>A 17602-2020</t>
        </is>
      </c>
      <c r="B141" s="1" t="n">
        <v>43923</v>
      </c>
      <c r="C141" s="1" t="n">
        <v>45510</v>
      </c>
      <c r="D141" t="inlineStr">
        <is>
          <t>DALARNAS LÄN</t>
        </is>
      </c>
      <c r="E141" t="inlineStr">
        <is>
          <t>LUDVIKA</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17603-2020</t>
        </is>
      </c>
      <c r="B142" s="1" t="n">
        <v>43923</v>
      </c>
      <c r="C142" s="1" t="n">
        <v>45510</v>
      </c>
      <c r="D142" t="inlineStr">
        <is>
          <t>DALARNAS LÄN</t>
        </is>
      </c>
      <c r="E142" t="inlineStr">
        <is>
          <t>LUDVIKA</t>
        </is>
      </c>
      <c r="F142" t="inlineStr">
        <is>
          <t>Bergvik skog väst AB</t>
        </is>
      </c>
      <c r="G142" t="n">
        <v>19.9</v>
      </c>
      <c r="H142" t="n">
        <v>0</v>
      </c>
      <c r="I142" t="n">
        <v>0</v>
      </c>
      <c r="J142" t="n">
        <v>0</v>
      </c>
      <c r="K142" t="n">
        <v>0</v>
      </c>
      <c r="L142" t="n">
        <v>0</v>
      </c>
      <c r="M142" t="n">
        <v>0</v>
      </c>
      <c r="N142" t="n">
        <v>0</v>
      </c>
      <c r="O142" t="n">
        <v>0</v>
      </c>
      <c r="P142" t="n">
        <v>0</v>
      </c>
      <c r="Q142" t="n">
        <v>0</v>
      </c>
      <c r="R142" s="2" t="inlineStr"/>
    </row>
    <row r="143" ht="15" customHeight="1">
      <c r="A143" t="inlineStr">
        <is>
          <t>A 17598-2020</t>
        </is>
      </c>
      <c r="B143" s="1" t="n">
        <v>43923</v>
      </c>
      <c r="C143" s="1" t="n">
        <v>45510</v>
      </c>
      <c r="D143" t="inlineStr">
        <is>
          <t>DALARNAS LÄN</t>
        </is>
      </c>
      <c r="E143" t="inlineStr">
        <is>
          <t>LUDVIKA</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17344-2020</t>
        </is>
      </c>
      <c r="B144" s="1" t="n">
        <v>43923</v>
      </c>
      <c r="C144" s="1" t="n">
        <v>45510</v>
      </c>
      <c r="D144" t="inlineStr">
        <is>
          <t>DALARNAS LÄN</t>
        </is>
      </c>
      <c r="E144" t="inlineStr">
        <is>
          <t>LUDVIKA</t>
        </is>
      </c>
      <c r="G144" t="n">
        <v>1.6</v>
      </c>
      <c r="H144" t="n">
        <v>0</v>
      </c>
      <c r="I144" t="n">
        <v>0</v>
      </c>
      <c r="J144" t="n">
        <v>0</v>
      </c>
      <c r="K144" t="n">
        <v>0</v>
      </c>
      <c r="L144" t="n">
        <v>0</v>
      </c>
      <c r="M144" t="n">
        <v>0</v>
      </c>
      <c r="N144" t="n">
        <v>0</v>
      </c>
      <c r="O144" t="n">
        <v>0</v>
      </c>
      <c r="P144" t="n">
        <v>0</v>
      </c>
      <c r="Q144" t="n">
        <v>0</v>
      </c>
      <c r="R144" s="2" t="inlineStr"/>
    </row>
    <row r="145" ht="15" customHeight="1">
      <c r="A145" t="inlineStr">
        <is>
          <t>A 17809-2020</t>
        </is>
      </c>
      <c r="B145" s="1" t="n">
        <v>43924</v>
      </c>
      <c r="C145" s="1" t="n">
        <v>45510</v>
      </c>
      <c r="D145" t="inlineStr">
        <is>
          <t>DALARNAS LÄN</t>
        </is>
      </c>
      <c r="E145" t="inlineStr">
        <is>
          <t>LUDVIKA</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20725-2020</t>
        </is>
      </c>
      <c r="B146" s="1" t="n">
        <v>43949</v>
      </c>
      <c r="C146" s="1" t="n">
        <v>45510</v>
      </c>
      <c r="D146" t="inlineStr">
        <is>
          <t>DALARNAS LÄN</t>
        </is>
      </c>
      <c r="E146" t="inlineStr">
        <is>
          <t>LUDVIKA</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23086-2020</t>
        </is>
      </c>
      <c r="B147" s="1" t="n">
        <v>43965</v>
      </c>
      <c r="C147" s="1" t="n">
        <v>45510</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23079-2020</t>
        </is>
      </c>
      <c r="B148" s="1" t="n">
        <v>43965</v>
      </c>
      <c r="C148" s="1" t="n">
        <v>45510</v>
      </c>
      <c r="D148" t="inlineStr">
        <is>
          <t>DALARNAS LÄN</t>
        </is>
      </c>
      <c r="E148" t="inlineStr">
        <is>
          <t>LUDVIKA</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23452-2020</t>
        </is>
      </c>
      <c r="B149" s="1" t="n">
        <v>43969</v>
      </c>
      <c r="C149" s="1" t="n">
        <v>45510</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24742-2020</t>
        </is>
      </c>
      <c r="B150" s="1" t="n">
        <v>43978</v>
      </c>
      <c r="C150" s="1" t="n">
        <v>45510</v>
      </c>
      <c r="D150" t="inlineStr">
        <is>
          <t>DALARNAS LÄN</t>
        </is>
      </c>
      <c r="E150" t="inlineStr">
        <is>
          <t>LUDVIKA</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25450-2020</t>
        </is>
      </c>
      <c r="B151" s="1" t="n">
        <v>43983</v>
      </c>
      <c r="C151" s="1" t="n">
        <v>45510</v>
      </c>
      <c r="D151" t="inlineStr">
        <is>
          <t>DALARNAS LÄN</t>
        </is>
      </c>
      <c r="E151" t="inlineStr">
        <is>
          <t>LUDVIKA</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25441-2020</t>
        </is>
      </c>
      <c r="B152" s="1" t="n">
        <v>43983</v>
      </c>
      <c r="C152" s="1" t="n">
        <v>45510</v>
      </c>
      <c r="D152" t="inlineStr">
        <is>
          <t>DALARNAS LÄN</t>
        </is>
      </c>
      <c r="E152" t="inlineStr">
        <is>
          <t>LUDVIKA</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25471-2020</t>
        </is>
      </c>
      <c r="B153" s="1" t="n">
        <v>43983</v>
      </c>
      <c r="C153" s="1" t="n">
        <v>45510</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25554-2020</t>
        </is>
      </c>
      <c r="B154" s="1" t="n">
        <v>43983</v>
      </c>
      <c r="C154" s="1" t="n">
        <v>45510</v>
      </c>
      <c r="D154" t="inlineStr">
        <is>
          <t>DALARNAS LÄN</t>
        </is>
      </c>
      <c r="E154" t="inlineStr">
        <is>
          <t>LUDVIKA</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25581-2020</t>
        </is>
      </c>
      <c r="B155" s="1" t="n">
        <v>43983</v>
      </c>
      <c r="C155" s="1" t="n">
        <v>45510</v>
      </c>
      <c r="D155" t="inlineStr">
        <is>
          <t>DALARNAS LÄN</t>
        </is>
      </c>
      <c r="E155" t="inlineStr">
        <is>
          <t>LUDVIKA</t>
        </is>
      </c>
      <c r="F155" t="inlineStr">
        <is>
          <t>Bergvik skog väst AB</t>
        </is>
      </c>
      <c r="G155" t="n">
        <v>0.9</v>
      </c>
      <c r="H155" t="n">
        <v>0</v>
      </c>
      <c r="I155" t="n">
        <v>0</v>
      </c>
      <c r="J155" t="n">
        <v>0</v>
      </c>
      <c r="K155" t="n">
        <v>0</v>
      </c>
      <c r="L155" t="n">
        <v>0</v>
      </c>
      <c r="M155" t="n">
        <v>0</v>
      </c>
      <c r="N155" t="n">
        <v>0</v>
      </c>
      <c r="O155" t="n">
        <v>0</v>
      </c>
      <c r="P155" t="n">
        <v>0</v>
      </c>
      <c r="Q155" t="n">
        <v>0</v>
      </c>
      <c r="R155" s="2" t="inlineStr"/>
    </row>
    <row r="156" ht="15" customHeight="1">
      <c r="A156" t="inlineStr">
        <is>
          <t>A 25458-2020</t>
        </is>
      </c>
      <c r="B156" s="1" t="n">
        <v>43983</v>
      </c>
      <c r="C156" s="1" t="n">
        <v>45510</v>
      </c>
      <c r="D156" t="inlineStr">
        <is>
          <t>DALARNAS LÄN</t>
        </is>
      </c>
      <c r="E156" t="inlineStr">
        <is>
          <t>LUDVIKA</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28524-2020</t>
        </is>
      </c>
      <c r="B157" s="1" t="n">
        <v>43999</v>
      </c>
      <c r="C157" s="1" t="n">
        <v>45510</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28802-2020</t>
        </is>
      </c>
      <c r="B158" s="1" t="n">
        <v>44000</v>
      </c>
      <c r="C158" s="1" t="n">
        <v>45510</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28798-2020</t>
        </is>
      </c>
      <c r="B159" s="1" t="n">
        <v>44000</v>
      </c>
      <c r="C159" s="1" t="n">
        <v>45510</v>
      </c>
      <c r="D159" t="inlineStr">
        <is>
          <t>DALARNAS LÄN</t>
        </is>
      </c>
      <c r="E159" t="inlineStr">
        <is>
          <t>LUDVIKA</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29869-2020</t>
        </is>
      </c>
      <c r="B160" s="1" t="n">
        <v>44006</v>
      </c>
      <c r="C160" s="1" t="n">
        <v>45510</v>
      </c>
      <c r="D160" t="inlineStr">
        <is>
          <t>DALARNAS LÄN</t>
        </is>
      </c>
      <c r="E160" t="inlineStr">
        <is>
          <t>LUDVIKA</t>
        </is>
      </c>
      <c r="G160" t="n">
        <v>2.1</v>
      </c>
      <c r="H160" t="n">
        <v>0</v>
      </c>
      <c r="I160" t="n">
        <v>0</v>
      </c>
      <c r="J160" t="n">
        <v>0</v>
      </c>
      <c r="K160" t="n">
        <v>0</v>
      </c>
      <c r="L160" t="n">
        <v>0</v>
      </c>
      <c r="M160" t="n">
        <v>0</v>
      </c>
      <c r="N160" t="n">
        <v>0</v>
      </c>
      <c r="O160" t="n">
        <v>0</v>
      </c>
      <c r="P160" t="n">
        <v>0</v>
      </c>
      <c r="Q160" t="n">
        <v>0</v>
      </c>
      <c r="R160" s="2" t="inlineStr"/>
    </row>
    <row r="161" ht="15" customHeight="1">
      <c r="A161" t="inlineStr">
        <is>
          <t>A 31257-2020</t>
        </is>
      </c>
      <c r="B161" s="1" t="n">
        <v>44012</v>
      </c>
      <c r="C161" s="1" t="n">
        <v>45510</v>
      </c>
      <c r="D161" t="inlineStr">
        <is>
          <t>DALARNAS LÄN</t>
        </is>
      </c>
      <c r="E161" t="inlineStr">
        <is>
          <t>LUDVIKA</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32994-2020</t>
        </is>
      </c>
      <c r="B162" s="1" t="n">
        <v>44020</v>
      </c>
      <c r="C162" s="1" t="n">
        <v>45510</v>
      </c>
      <c r="D162" t="inlineStr">
        <is>
          <t>DALARNAS LÄN</t>
        </is>
      </c>
      <c r="E162" t="inlineStr">
        <is>
          <t>LUDVIKA</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33357-2020</t>
        </is>
      </c>
      <c r="B163" s="1" t="n">
        <v>44022</v>
      </c>
      <c r="C163" s="1" t="n">
        <v>45510</v>
      </c>
      <c r="D163" t="inlineStr">
        <is>
          <t>DALARNAS LÄN</t>
        </is>
      </c>
      <c r="E163" t="inlineStr">
        <is>
          <t>LUDVIKA</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34915-2020</t>
        </is>
      </c>
      <c r="B164" s="1" t="n">
        <v>44036</v>
      </c>
      <c r="C164" s="1" t="n">
        <v>45510</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39915-2020</t>
        </is>
      </c>
      <c r="B165" s="1" t="n">
        <v>44067</v>
      </c>
      <c r="C165" s="1" t="n">
        <v>45510</v>
      </c>
      <c r="D165" t="inlineStr">
        <is>
          <t>DALARNAS LÄN</t>
        </is>
      </c>
      <c r="E165" t="inlineStr">
        <is>
          <t>LUDVIKA</t>
        </is>
      </c>
      <c r="F165" t="inlineStr">
        <is>
          <t>Naturvårdsverket</t>
        </is>
      </c>
      <c r="G165" t="n">
        <v>17.7</v>
      </c>
      <c r="H165" t="n">
        <v>0</v>
      </c>
      <c r="I165" t="n">
        <v>0</v>
      </c>
      <c r="J165" t="n">
        <v>0</v>
      </c>
      <c r="K165" t="n">
        <v>0</v>
      </c>
      <c r="L165" t="n">
        <v>0</v>
      </c>
      <c r="M165" t="n">
        <v>0</v>
      </c>
      <c r="N165" t="n">
        <v>0</v>
      </c>
      <c r="O165" t="n">
        <v>0</v>
      </c>
      <c r="P165" t="n">
        <v>0</v>
      </c>
      <c r="Q165" t="n">
        <v>0</v>
      </c>
      <c r="R165" s="2" t="inlineStr"/>
    </row>
    <row r="166" ht="15" customHeight="1">
      <c r="A166" t="inlineStr">
        <is>
          <t>A 40472-2020</t>
        </is>
      </c>
      <c r="B166" s="1" t="n">
        <v>44069</v>
      </c>
      <c r="C166" s="1" t="n">
        <v>45510</v>
      </c>
      <c r="D166" t="inlineStr">
        <is>
          <t>DALARNAS LÄN</t>
        </is>
      </c>
      <c r="E166" t="inlineStr">
        <is>
          <t>LUDVIKA</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40504-2020</t>
        </is>
      </c>
      <c r="B167" s="1" t="n">
        <v>44069</v>
      </c>
      <c r="C167" s="1" t="n">
        <v>45510</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40978-2020</t>
        </is>
      </c>
      <c r="B168" s="1" t="n">
        <v>44070</v>
      </c>
      <c r="C168" s="1" t="n">
        <v>45510</v>
      </c>
      <c r="D168" t="inlineStr">
        <is>
          <t>DALARNAS LÄN</t>
        </is>
      </c>
      <c r="E168" t="inlineStr">
        <is>
          <t>LUDVIKA</t>
        </is>
      </c>
      <c r="F168" t="inlineStr">
        <is>
          <t>Bergvik skog väst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43162-2020</t>
        </is>
      </c>
      <c r="B169" s="1" t="n">
        <v>44081</v>
      </c>
      <c r="C169" s="1" t="n">
        <v>45510</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44747-2020</t>
        </is>
      </c>
      <c r="B170" s="1" t="n">
        <v>44085</v>
      </c>
      <c r="C170" s="1" t="n">
        <v>45510</v>
      </c>
      <c r="D170" t="inlineStr">
        <is>
          <t>DALARNAS LÄN</t>
        </is>
      </c>
      <c r="E170" t="inlineStr">
        <is>
          <t>LUDVIKA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44746-2020</t>
        </is>
      </c>
      <c r="B171" s="1" t="n">
        <v>44085</v>
      </c>
      <c r="C171" s="1" t="n">
        <v>45510</v>
      </c>
      <c r="D171" t="inlineStr">
        <is>
          <t>DALARNAS LÄN</t>
        </is>
      </c>
      <c r="E171" t="inlineStr">
        <is>
          <t>LUDVIKA</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45390-2020</t>
        </is>
      </c>
      <c r="B172" s="1" t="n">
        <v>44085</v>
      </c>
      <c r="C172" s="1" t="n">
        <v>45510</v>
      </c>
      <c r="D172" t="inlineStr">
        <is>
          <t>DALARNAS LÄN</t>
        </is>
      </c>
      <c r="E172" t="inlineStr">
        <is>
          <t>LUDVIKA</t>
        </is>
      </c>
      <c r="G172" t="n">
        <v>4.4</v>
      </c>
      <c r="H172" t="n">
        <v>0</v>
      </c>
      <c r="I172" t="n">
        <v>0</v>
      </c>
      <c r="J172" t="n">
        <v>0</v>
      </c>
      <c r="K172" t="n">
        <v>0</v>
      </c>
      <c r="L172" t="n">
        <v>0</v>
      </c>
      <c r="M172" t="n">
        <v>0</v>
      </c>
      <c r="N172" t="n">
        <v>0</v>
      </c>
      <c r="O172" t="n">
        <v>0</v>
      </c>
      <c r="P172" t="n">
        <v>0</v>
      </c>
      <c r="Q172" t="n">
        <v>0</v>
      </c>
      <c r="R172" s="2" t="inlineStr"/>
    </row>
    <row r="173" ht="15" customHeight="1">
      <c r="A173" t="inlineStr">
        <is>
          <t>A 44745-2020</t>
        </is>
      </c>
      <c r="B173" s="1" t="n">
        <v>44085</v>
      </c>
      <c r="C173" s="1" t="n">
        <v>45510</v>
      </c>
      <c r="D173" t="inlineStr">
        <is>
          <t>DALARNAS LÄN</t>
        </is>
      </c>
      <c r="E173" t="inlineStr">
        <is>
          <t>LUDVIKA</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45309-2020</t>
        </is>
      </c>
      <c r="B174" s="1" t="n">
        <v>44089</v>
      </c>
      <c r="C174" s="1" t="n">
        <v>45510</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45613-2020</t>
        </is>
      </c>
      <c r="B175" s="1" t="n">
        <v>44090</v>
      </c>
      <c r="C175" s="1" t="n">
        <v>45510</v>
      </c>
      <c r="D175" t="inlineStr">
        <is>
          <t>DALARNAS LÄN</t>
        </is>
      </c>
      <c r="E175" t="inlineStr">
        <is>
          <t>LUDVIKA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46252-2020</t>
        </is>
      </c>
      <c r="B176" s="1" t="n">
        <v>44092</v>
      </c>
      <c r="C176" s="1" t="n">
        <v>45510</v>
      </c>
      <c r="D176" t="inlineStr">
        <is>
          <t>DALARNAS LÄN</t>
        </is>
      </c>
      <c r="E176" t="inlineStr">
        <is>
          <t>LUDVIKA</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46268-2020</t>
        </is>
      </c>
      <c r="B177" s="1" t="n">
        <v>44092</v>
      </c>
      <c r="C177" s="1" t="n">
        <v>45510</v>
      </c>
      <c r="D177" t="inlineStr">
        <is>
          <t>DALARNAS LÄN</t>
        </is>
      </c>
      <c r="E177" t="inlineStr">
        <is>
          <t>LUDVIKA</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46329-2020</t>
        </is>
      </c>
      <c r="B178" s="1" t="n">
        <v>44092</v>
      </c>
      <c r="C178" s="1" t="n">
        <v>45510</v>
      </c>
      <c r="D178" t="inlineStr">
        <is>
          <t>DALARNAS LÄN</t>
        </is>
      </c>
      <c r="E178" t="inlineStr">
        <is>
          <t>LUDVIKA</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46147-2020</t>
        </is>
      </c>
      <c r="B179" s="1" t="n">
        <v>44092</v>
      </c>
      <c r="C179" s="1" t="n">
        <v>45510</v>
      </c>
      <c r="D179" t="inlineStr">
        <is>
          <t>DALARNAS LÄN</t>
        </is>
      </c>
      <c r="E179" t="inlineStr">
        <is>
          <t>LUDVIKA</t>
        </is>
      </c>
      <c r="G179" t="n">
        <v>0.5</v>
      </c>
      <c r="H179" t="n">
        <v>0</v>
      </c>
      <c r="I179" t="n">
        <v>0</v>
      </c>
      <c r="J179" t="n">
        <v>0</v>
      </c>
      <c r="K179" t="n">
        <v>0</v>
      </c>
      <c r="L179" t="n">
        <v>0</v>
      </c>
      <c r="M179" t="n">
        <v>0</v>
      </c>
      <c r="N179" t="n">
        <v>0</v>
      </c>
      <c r="O179" t="n">
        <v>0</v>
      </c>
      <c r="P179" t="n">
        <v>0</v>
      </c>
      <c r="Q179" t="n">
        <v>0</v>
      </c>
      <c r="R179" s="2" t="inlineStr"/>
    </row>
    <row r="180" ht="15" customHeight="1">
      <c r="A180" t="inlineStr">
        <is>
          <t>A 46146-2020</t>
        </is>
      </c>
      <c r="B180" s="1" t="n">
        <v>44092</v>
      </c>
      <c r="C180" s="1" t="n">
        <v>45510</v>
      </c>
      <c r="D180" t="inlineStr">
        <is>
          <t>DALARNAS LÄN</t>
        </is>
      </c>
      <c r="E180" t="inlineStr">
        <is>
          <t>LUDVIKA</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46275-2020</t>
        </is>
      </c>
      <c r="B181" s="1" t="n">
        <v>44092</v>
      </c>
      <c r="C181" s="1" t="n">
        <v>45510</v>
      </c>
      <c r="D181" t="inlineStr">
        <is>
          <t>DALARNAS LÄN</t>
        </is>
      </c>
      <c r="E181" t="inlineStr">
        <is>
          <t>LUDVIKA</t>
        </is>
      </c>
      <c r="F181" t="inlineStr">
        <is>
          <t>Sveaskog</t>
        </is>
      </c>
      <c r="G181" t="n">
        <v>6.1</v>
      </c>
      <c r="H181" t="n">
        <v>0</v>
      </c>
      <c r="I181" t="n">
        <v>0</v>
      </c>
      <c r="J181" t="n">
        <v>0</v>
      </c>
      <c r="K181" t="n">
        <v>0</v>
      </c>
      <c r="L181" t="n">
        <v>0</v>
      </c>
      <c r="M181" t="n">
        <v>0</v>
      </c>
      <c r="N181" t="n">
        <v>0</v>
      </c>
      <c r="O181" t="n">
        <v>0</v>
      </c>
      <c r="P181" t="n">
        <v>0</v>
      </c>
      <c r="Q181" t="n">
        <v>0</v>
      </c>
      <c r="R181" s="2" t="inlineStr"/>
    </row>
    <row r="182" ht="15" customHeight="1">
      <c r="A182" t="inlineStr">
        <is>
          <t>A 46284-2020</t>
        </is>
      </c>
      <c r="B182" s="1" t="n">
        <v>44092</v>
      </c>
      <c r="C182" s="1" t="n">
        <v>45510</v>
      </c>
      <c r="D182" t="inlineStr">
        <is>
          <t>DALARNAS LÄN</t>
        </is>
      </c>
      <c r="E182" t="inlineStr">
        <is>
          <t>LUDVIKA</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46369-2020</t>
        </is>
      </c>
      <c r="B183" s="1" t="n">
        <v>44093</v>
      </c>
      <c r="C183" s="1" t="n">
        <v>45510</v>
      </c>
      <c r="D183" t="inlineStr">
        <is>
          <t>DALARNAS LÄN</t>
        </is>
      </c>
      <c r="E183" t="inlineStr">
        <is>
          <t>LUDVIKA</t>
        </is>
      </c>
      <c r="G183" t="n">
        <v>3.8</v>
      </c>
      <c r="H183" t="n">
        <v>0</v>
      </c>
      <c r="I183" t="n">
        <v>0</v>
      </c>
      <c r="J183" t="n">
        <v>0</v>
      </c>
      <c r="K183" t="n">
        <v>0</v>
      </c>
      <c r="L183" t="n">
        <v>0</v>
      </c>
      <c r="M183" t="n">
        <v>0</v>
      </c>
      <c r="N183" t="n">
        <v>0</v>
      </c>
      <c r="O183" t="n">
        <v>0</v>
      </c>
      <c r="P183" t="n">
        <v>0</v>
      </c>
      <c r="Q183" t="n">
        <v>0</v>
      </c>
      <c r="R183" s="2" t="inlineStr"/>
    </row>
    <row r="184" ht="15" customHeight="1">
      <c r="A184" t="inlineStr">
        <is>
          <t>A 47194-2020</t>
        </is>
      </c>
      <c r="B184" s="1" t="n">
        <v>44097</v>
      </c>
      <c r="C184" s="1" t="n">
        <v>45510</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47471-2020</t>
        </is>
      </c>
      <c r="B185" s="1" t="n">
        <v>44097</v>
      </c>
      <c r="C185" s="1" t="n">
        <v>45510</v>
      </c>
      <c r="D185" t="inlineStr">
        <is>
          <t>DALARNAS LÄN</t>
        </is>
      </c>
      <c r="E185" t="inlineStr">
        <is>
          <t>LUDVIKA</t>
        </is>
      </c>
      <c r="G185" t="n">
        <v>0.7</v>
      </c>
      <c r="H185" t="n">
        <v>0</v>
      </c>
      <c r="I185" t="n">
        <v>0</v>
      </c>
      <c r="J185" t="n">
        <v>0</v>
      </c>
      <c r="K185" t="n">
        <v>0</v>
      </c>
      <c r="L185" t="n">
        <v>0</v>
      </c>
      <c r="M185" t="n">
        <v>0</v>
      </c>
      <c r="N185" t="n">
        <v>0</v>
      </c>
      <c r="O185" t="n">
        <v>0</v>
      </c>
      <c r="P185" t="n">
        <v>0</v>
      </c>
      <c r="Q185" t="n">
        <v>0</v>
      </c>
      <c r="R185" s="2" t="inlineStr"/>
    </row>
    <row r="186" ht="15" customHeight="1">
      <c r="A186" t="inlineStr">
        <is>
          <t>A 48557-2020</t>
        </is>
      </c>
      <c r="B186" s="1" t="n">
        <v>44103</v>
      </c>
      <c r="C186" s="1" t="n">
        <v>45510</v>
      </c>
      <c r="D186" t="inlineStr">
        <is>
          <t>DALARNAS LÄN</t>
        </is>
      </c>
      <c r="E186" t="inlineStr">
        <is>
          <t>LUDVIKA</t>
        </is>
      </c>
      <c r="G186" t="n">
        <v>1</v>
      </c>
      <c r="H186" t="n">
        <v>0</v>
      </c>
      <c r="I186" t="n">
        <v>0</v>
      </c>
      <c r="J186" t="n">
        <v>0</v>
      </c>
      <c r="K186" t="n">
        <v>0</v>
      </c>
      <c r="L186" t="n">
        <v>0</v>
      </c>
      <c r="M186" t="n">
        <v>0</v>
      </c>
      <c r="N186" t="n">
        <v>0</v>
      </c>
      <c r="O186" t="n">
        <v>0</v>
      </c>
      <c r="P186" t="n">
        <v>0</v>
      </c>
      <c r="Q186" t="n">
        <v>0</v>
      </c>
      <c r="R186" s="2" t="inlineStr"/>
    </row>
    <row r="187" ht="15" customHeight="1">
      <c r="A187" t="inlineStr">
        <is>
          <t>A 48482-2020</t>
        </is>
      </c>
      <c r="B187" s="1" t="n">
        <v>44103</v>
      </c>
      <c r="C187" s="1" t="n">
        <v>45510</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50146-2020</t>
        </is>
      </c>
      <c r="B188" s="1" t="n">
        <v>44104</v>
      </c>
      <c r="C188" s="1" t="n">
        <v>45510</v>
      </c>
      <c r="D188" t="inlineStr">
        <is>
          <t>DALARNAS LÄN</t>
        </is>
      </c>
      <c r="E188" t="inlineStr">
        <is>
          <t>LUDVIKA</t>
        </is>
      </c>
      <c r="G188" t="n">
        <v>4.7</v>
      </c>
      <c r="H188" t="n">
        <v>0</v>
      </c>
      <c r="I188" t="n">
        <v>0</v>
      </c>
      <c r="J188" t="n">
        <v>0</v>
      </c>
      <c r="K188" t="n">
        <v>0</v>
      </c>
      <c r="L188" t="n">
        <v>0</v>
      </c>
      <c r="M188" t="n">
        <v>0</v>
      </c>
      <c r="N188" t="n">
        <v>0</v>
      </c>
      <c r="O188" t="n">
        <v>0</v>
      </c>
      <c r="P188" t="n">
        <v>0</v>
      </c>
      <c r="Q188" t="n">
        <v>0</v>
      </c>
      <c r="R188" s="2" t="inlineStr"/>
    </row>
    <row r="189" ht="15" customHeight="1">
      <c r="A189" t="inlineStr">
        <is>
          <t>A 51439-2020</t>
        </is>
      </c>
      <c r="B189" s="1" t="n">
        <v>44113</v>
      </c>
      <c r="C189" s="1" t="n">
        <v>45510</v>
      </c>
      <c r="D189" t="inlineStr">
        <is>
          <t>DALARNAS LÄN</t>
        </is>
      </c>
      <c r="E189" t="inlineStr">
        <is>
          <t>LUDVIKA</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51777-2020</t>
        </is>
      </c>
      <c r="B190" s="1" t="n">
        <v>44116</v>
      </c>
      <c r="C190" s="1" t="n">
        <v>45510</v>
      </c>
      <c r="D190" t="inlineStr">
        <is>
          <t>DALARNAS LÄN</t>
        </is>
      </c>
      <c r="E190" t="inlineStr">
        <is>
          <t>LUDVIKA</t>
        </is>
      </c>
      <c r="G190" t="n">
        <v>11.2</v>
      </c>
      <c r="H190" t="n">
        <v>0</v>
      </c>
      <c r="I190" t="n">
        <v>0</v>
      </c>
      <c r="J190" t="n">
        <v>0</v>
      </c>
      <c r="K190" t="n">
        <v>0</v>
      </c>
      <c r="L190" t="n">
        <v>0</v>
      </c>
      <c r="M190" t="n">
        <v>0</v>
      </c>
      <c r="N190" t="n">
        <v>0</v>
      </c>
      <c r="O190" t="n">
        <v>0</v>
      </c>
      <c r="P190" t="n">
        <v>0</v>
      </c>
      <c r="Q190" t="n">
        <v>0</v>
      </c>
      <c r="R190" s="2" t="inlineStr"/>
    </row>
    <row r="191" ht="15" customHeight="1">
      <c r="A191" t="inlineStr">
        <is>
          <t>A 51895-2020</t>
        </is>
      </c>
      <c r="B191" s="1" t="n">
        <v>44116</v>
      </c>
      <c r="C191" s="1" t="n">
        <v>45510</v>
      </c>
      <c r="D191" t="inlineStr">
        <is>
          <t>DALARNAS LÄN</t>
        </is>
      </c>
      <c r="E191" t="inlineStr">
        <is>
          <t>LUDVIKA</t>
        </is>
      </c>
      <c r="F191" t="inlineStr">
        <is>
          <t>Bergvik skog väst AB</t>
        </is>
      </c>
      <c r="G191" t="n">
        <v>2.5</v>
      </c>
      <c r="H191" t="n">
        <v>0</v>
      </c>
      <c r="I191" t="n">
        <v>0</v>
      </c>
      <c r="J191" t="n">
        <v>0</v>
      </c>
      <c r="K191" t="n">
        <v>0</v>
      </c>
      <c r="L191" t="n">
        <v>0</v>
      </c>
      <c r="M191" t="n">
        <v>0</v>
      </c>
      <c r="N191" t="n">
        <v>0</v>
      </c>
      <c r="O191" t="n">
        <v>0</v>
      </c>
      <c r="P191" t="n">
        <v>0</v>
      </c>
      <c r="Q191" t="n">
        <v>0</v>
      </c>
      <c r="R191" s="2" t="inlineStr"/>
    </row>
    <row r="192" ht="15" customHeight="1">
      <c r="A192" t="inlineStr">
        <is>
          <t>A 52425-2020</t>
        </is>
      </c>
      <c r="B192" s="1" t="n">
        <v>44118</v>
      </c>
      <c r="C192" s="1" t="n">
        <v>45510</v>
      </c>
      <c r="D192" t="inlineStr">
        <is>
          <t>DALARNAS LÄN</t>
        </is>
      </c>
      <c r="E192" t="inlineStr">
        <is>
          <t>LUDVIKA</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52748-2020</t>
        </is>
      </c>
      <c r="B193" s="1" t="n">
        <v>44119</v>
      </c>
      <c r="C193" s="1" t="n">
        <v>45510</v>
      </c>
      <c r="D193" t="inlineStr">
        <is>
          <t>DALARNAS LÄN</t>
        </is>
      </c>
      <c r="E193" t="inlineStr">
        <is>
          <t>LUDVIKA</t>
        </is>
      </c>
      <c r="G193" t="n">
        <v>1</v>
      </c>
      <c r="H193" t="n">
        <v>0</v>
      </c>
      <c r="I193" t="n">
        <v>0</v>
      </c>
      <c r="J193" t="n">
        <v>0</v>
      </c>
      <c r="K193" t="n">
        <v>0</v>
      </c>
      <c r="L193" t="n">
        <v>0</v>
      </c>
      <c r="M193" t="n">
        <v>0</v>
      </c>
      <c r="N193" t="n">
        <v>0</v>
      </c>
      <c r="O193" t="n">
        <v>0</v>
      </c>
      <c r="P193" t="n">
        <v>0</v>
      </c>
      <c r="Q193" t="n">
        <v>0</v>
      </c>
      <c r="R193" s="2" t="inlineStr"/>
    </row>
    <row r="194" ht="15" customHeight="1">
      <c r="A194" t="inlineStr">
        <is>
          <t>A 52853-2020</t>
        </is>
      </c>
      <c r="B194" s="1" t="n">
        <v>44119</v>
      </c>
      <c r="C194" s="1" t="n">
        <v>45510</v>
      </c>
      <c r="D194" t="inlineStr">
        <is>
          <t>DALARNAS LÄN</t>
        </is>
      </c>
      <c r="E194" t="inlineStr">
        <is>
          <t>LUDVIKA</t>
        </is>
      </c>
      <c r="G194" t="n">
        <v>28</v>
      </c>
      <c r="H194" t="n">
        <v>0</v>
      </c>
      <c r="I194" t="n">
        <v>0</v>
      </c>
      <c r="J194" t="n">
        <v>0</v>
      </c>
      <c r="K194" t="n">
        <v>0</v>
      </c>
      <c r="L194" t="n">
        <v>0</v>
      </c>
      <c r="M194" t="n">
        <v>0</v>
      </c>
      <c r="N194" t="n">
        <v>0</v>
      </c>
      <c r="O194" t="n">
        <v>0</v>
      </c>
      <c r="P194" t="n">
        <v>0</v>
      </c>
      <c r="Q194" t="n">
        <v>0</v>
      </c>
      <c r="R194" s="2" t="inlineStr"/>
    </row>
    <row r="195" ht="15" customHeight="1">
      <c r="A195" t="inlineStr">
        <is>
          <t>A 52929-2020</t>
        </is>
      </c>
      <c r="B195" s="1" t="n">
        <v>44120</v>
      </c>
      <c r="C195" s="1" t="n">
        <v>45510</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53960-2020</t>
        </is>
      </c>
      <c r="B196" s="1" t="n">
        <v>44123</v>
      </c>
      <c r="C196" s="1" t="n">
        <v>45510</v>
      </c>
      <c r="D196" t="inlineStr">
        <is>
          <t>DALARNAS LÄN</t>
        </is>
      </c>
      <c r="E196" t="inlineStr">
        <is>
          <t>LUDVIKA</t>
        </is>
      </c>
      <c r="G196" t="n">
        <v>3.5</v>
      </c>
      <c r="H196" t="n">
        <v>0</v>
      </c>
      <c r="I196" t="n">
        <v>0</v>
      </c>
      <c r="J196" t="n">
        <v>0</v>
      </c>
      <c r="K196" t="n">
        <v>0</v>
      </c>
      <c r="L196" t="n">
        <v>0</v>
      </c>
      <c r="M196" t="n">
        <v>0</v>
      </c>
      <c r="N196" t="n">
        <v>0</v>
      </c>
      <c r="O196" t="n">
        <v>0</v>
      </c>
      <c r="P196" t="n">
        <v>0</v>
      </c>
      <c r="Q196" t="n">
        <v>0</v>
      </c>
      <c r="R196" s="2" t="inlineStr"/>
    </row>
    <row r="197" ht="15" customHeight="1">
      <c r="A197" t="inlineStr">
        <is>
          <t>A 53756-2020</t>
        </is>
      </c>
      <c r="B197" s="1" t="n">
        <v>44124</v>
      </c>
      <c r="C197" s="1" t="n">
        <v>45510</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55646-2020</t>
        </is>
      </c>
      <c r="B198" s="1" t="n">
        <v>44131</v>
      </c>
      <c r="C198" s="1" t="n">
        <v>45510</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61004-2020</t>
        </is>
      </c>
      <c r="B199" s="1" t="n">
        <v>44154</v>
      </c>
      <c r="C199" s="1" t="n">
        <v>45510</v>
      </c>
      <c r="D199" t="inlineStr">
        <is>
          <t>DALARNAS LÄN</t>
        </is>
      </c>
      <c r="E199" t="inlineStr">
        <is>
          <t>LUDVIKA</t>
        </is>
      </c>
      <c r="F199" t="inlineStr">
        <is>
          <t>Bergvik skog väst AB</t>
        </is>
      </c>
      <c r="G199" t="n">
        <v>2.8</v>
      </c>
      <c r="H199" t="n">
        <v>0</v>
      </c>
      <c r="I199" t="n">
        <v>0</v>
      </c>
      <c r="J199" t="n">
        <v>0</v>
      </c>
      <c r="K199" t="n">
        <v>0</v>
      </c>
      <c r="L199" t="n">
        <v>0</v>
      </c>
      <c r="M199" t="n">
        <v>0</v>
      </c>
      <c r="N199" t="n">
        <v>0</v>
      </c>
      <c r="O199" t="n">
        <v>0</v>
      </c>
      <c r="P199" t="n">
        <v>0</v>
      </c>
      <c r="Q199" t="n">
        <v>0</v>
      </c>
      <c r="R199" s="2" t="inlineStr"/>
    </row>
    <row r="200" ht="15" customHeight="1">
      <c r="A200" t="inlineStr">
        <is>
          <t>A 60913-2020</t>
        </is>
      </c>
      <c r="B200" s="1" t="n">
        <v>44154</v>
      </c>
      <c r="C200" s="1" t="n">
        <v>45510</v>
      </c>
      <c r="D200" t="inlineStr">
        <is>
          <t>DALARNAS LÄN</t>
        </is>
      </c>
      <c r="E200" t="inlineStr">
        <is>
          <t>LUDVIKA</t>
        </is>
      </c>
      <c r="G200" t="n">
        <v>2.2</v>
      </c>
      <c r="H200" t="n">
        <v>0</v>
      </c>
      <c r="I200" t="n">
        <v>0</v>
      </c>
      <c r="J200" t="n">
        <v>0</v>
      </c>
      <c r="K200" t="n">
        <v>0</v>
      </c>
      <c r="L200" t="n">
        <v>0</v>
      </c>
      <c r="M200" t="n">
        <v>0</v>
      </c>
      <c r="N200" t="n">
        <v>0</v>
      </c>
      <c r="O200" t="n">
        <v>0</v>
      </c>
      <c r="P200" t="n">
        <v>0</v>
      </c>
      <c r="Q200" t="n">
        <v>0</v>
      </c>
      <c r="R200" s="2" t="inlineStr"/>
    </row>
    <row r="201" ht="15" customHeight="1">
      <c r="A201" t="inlineStr">
        <is>
          <t>A 60822-2020</t>
        </is>
      </c>
      <c r="B201" s="1" t="n">
        <v>44154</v>
      </c>
      <c r="C201" s="1" t="n">
        <v>45510</v>
      </c>
      <c r="D201" t="inlineStr">
        <is>
          <t>DALARNAS LÄN</t>
        </is>
      </c>
      <c r="E201" t="inlineStr">
        <is>
          <t>LUDVIKA</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61491-2020</t>
        </is>
      </c>
      <c r="B202" s="1" t="n">
        <v>44154</v>
      </c>
      <c r="C202" s="1" t="n">
        <v>45510</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61501-2020</t>
        </is>
      </c>
      <c r="B203" s="1" t="n">
        <v>44154</v>
      </c>
      <c r="C203" s="1" t="n">
        <v>45510</v>
      </c>
      <c r="D203" t="inlineStr">
        <is>
          <t>DALARNAS LÄN</t>
        </is>
      </c>
      <c r="E203" t="inlineStr">
        <is>
          <t>LUDVIKA</t>
        </is>
      </c>
      <c r="G203" t="n">
        <v>10</v>
      </c>
      <c r="H203" t="n">
        <v>0</v>
      </c>
      <c r="I203" t="n">
        <v>0</v>
      </c>
      <c r="J203" t="n">
        <v>0</v>
      </c>
      <c r="K203" t="n">
        <v>0</v>
      </c>
      <c r="L203" t="n">
        <v>0</v>
      </c>
      <c r="M203" t="n">
        <v>0</v>
      </c>
      <c r="N203" t="n">
        <v>0</v>
      </c>
      <c r="O203" t="n">
        <v>0</v>
      </c>
      <c r="P203" t="n">
        <v>0</v>
      </c>
      <c r="Q203" t="n">
        <v>0</v>
      </c>
      <c r="R203" s="2" t="inlineStr"/>
    </row>
    <row r="204" ht="15" customHeight="1">
      <c r="A204" t="inlineStr">
        <is>
          <t>A 61838-2020</t>
        </is>
      </c>
      <c r="B204" s="1" t="n">
        <v>44159</v>
      </c>
      <c r="C204" s="1" t="n">
        <v>45510</v>
      </c>
      <c r="D204" t="inlineStr">
        <is>
          <t>DALARNAS LÄN</t>
        </is>
      </c>
      <c r="E204" t="inlineStr">
        <is>
          <t>LUDVIKA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63799-2020</t>
        </is>
      </c>
      <c r="B205" s="1" t="n">
        <v>44165</v>
      </c>
      <c r="C205" s="1" t="n">
        <v>45510</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63767-2020</t>
        </is>
      </c>
      <c r="B206" s="1" t="n">
        <v>44166</v>
      </c>
      <c r="C206" s="1" t="n">
        <v>45510</v>
      </c>
      <c r="D206" t="inlineStr">
        <is>
          <t>DALARNAS LÄN</t>
        </is>
      </c>
      <c r="E206" t="inlineStr">
        <is>
          <t>LUDVIKA</t>
        </is>
      </c>
      <c r="F206" t="inlineStr">
        <is>
          <t>Kommuner</t>
        </is>
      </c>
      <c r="G206" t="n">
        <v>1.9</v>
      </c>
      <c r="H206" t="n">
        <v>0</v>
      </c>
      <c r="I206" t="n">
        <v>0</v>
      </c>
      <c r="J206" t="n">
        <v>0</v>
      </c>
      <c r="K206" t="n">
        <v>0</v>
      </c>
      <c r="L206" t="n">
        <v>0</v>
      </c>
      <c r="M206" t="n">
        <v>0</v>
      </c>
      <c r="N206" t="n">
        <v>0</v>
      </c>
      <c r="O206" t="n">
        <v>0</v>
      </c>
      <c r="P206" t="n">
        <v>0</v>
      </c>
      <c r="Q206" t="n">
        <v>0</v>
      </c>
      <c r="R206" s="2" t="inlineStr"/>
    </row>
    <row r="207" ht="15" customHeight="1">
      <c r="A207" t="inlineStr">
        <is>
          <t>A 65150-2020</t>
        </is>
      </c>
      <c r="B207" s="1" t="n">
        <v>44168</v>
      </c>
      <c r="C207" s="1" t="n">
        <v>45510</v>
      </c>
      <c r="D207" t="inlineStr">
        <is>
          <t>DALARNAS LÄN</t>
        </is>
      </c>
      <c r="E207" t="inlineStr">
        <is>
          <t>LUDVIKA</t>
        </is>
      </c>
      <c r="G207" t="n">
        <v>0.9</v>
      </c>
      <c r="H207" t="n">
        <v>0</v>
      </c>
      <c r="I207" t="n">
        <v>0</v>
      </c>
      <c r="J207" t="n">
        <v>0</v>
      </c>
      <c r="K207" t="n">
        <v>0</v>
      </c>
      <c r="L207" t="n">
        <v>0</v>
      </c>
      <c r="M207" t="n">
        <v>0</v>
      </c>
      <c r="N207" t="n">
        <v>0</v>
      </c>
      <c r="O207" t="n">
        <v>0</v>
      </c>
      <c r="P207" t="n">
        <v>0</v>
      </c>
      <c r="Q207" t="n">
        <v>0</v>
      </c>
      <c r="R207" s="2" t="inlineStr"/>
    </row>
    <row r="208" ht="15" customHeight="1">
      <c r="A208" t="inlineStr">
        <is>
          <t>A 66188-2020</t>
        </is>
      </c>
      <c r="B208" s="1" t="n">
        <v>44174</v>
      </c>
      <c r="C208" s="1" t="n">
        <v>45510</v>
      </c>
      <c r="D208" t="inlineStr">
        <is>
          <t>DALARNAS LÄN</t>
        </is>
      </c>
      <c r="E208" t="inlineStr">
        <is>
          <t>LUDVIKA</t>
        </is>
      </c>
      <c r="G208" t="n">
        <v>3.5</v>
      </c>
      <c r="H208" t="n">
        <v>0</v>
      </c>
      <c r="I208" t="n">
        <v>0</v>
      </c>
      <c r="J208" t="n">
        <v>0</v>
      </c>
      <c r="K208" t="n">
        <v>0</v>
      </c>
      <c r="L208" t="n">
        <v>0</v>
      </c>
      <c r="M208" t="n">
        <v>0</v>
      </c>
      <c r="N208" t="n">
        <v>0</v>
      </c>
      <c r="O208" t="n">
        <v>0</v>
      </c>
      <c r="P208" t="n">
        <v>0</v>
      </c>
      <c r="Q208" t="n">
        <v>0</v>
      </c>
      <c r="R208" s="2" t="inlineStr"/>
    </row>
    <row r="209" ht="15" customHeight="1">
      <c r="A209" t="inlineStr">
        <is>
          <t>A 69094-2020</t>
        </is>
      </c>
      <c r="B209" s="1" t="n">
        <v>44188</v>
      </c>
      <c r="C209" s="1" t="n">
        <v>45510</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69157-2020</t>
        </is>
      </c>
      <c r="B210" s="1" t="n">
        <v>44188</v>
      </c>
      <c r="C210" s="1" t="n">
        <v>45510</v>
      </c>
      <c r="D210" t="inlineStr">
        <is>
          <t>DALARNAS LÄN</t>
        </is>
      </c>
      <c r="E210" t="inlineStr">
        <is>
          <t>LUDVIKA</t>
        </is>
      </c>
      <c r="F210" t="inlineStr">
        <is>
          <t>Kommuner</t>
        </is>
      </c>
      <c r="G210" t="n">
        <v>5.2</v>
      </c>
      <c r="H210" t="n">
        <v>0</v>
      </c>
      <c r="I210" t="n">
        <v>0</v>
      </c>
      <c r="J210" t="n">
        <v>0</v>
      </c>
      <c r="K210" t="n">
        <v>0</v>
      </c>
      <c r="L210" t="n">
        <v>0</v>
      </c>
      <c r="M210" t="n">
        <v>0</v>
      </c>
      <c r="N210" t="n">
        <v>0</v>
      </c>
      <c r="O210" t="n">
        <v>0</v>
      </c>
      <c r="P210" t="n">
        <v>0</v>
      </c>
      <c r="Q210" t="n">
        <v>0</v>
      </c>
      <c r="R210" s="2" t="inlineStr"/>
    </row>
    <row r="211" ht="15" customHeight="1">
      <c r="A211" t="inlineStr">
        <is>
          <t>A 69154-2020</t>
        </is>
      </c>
      <c r="B211" s="1" t="n">
        <v>44188</v>
      </c>
      <c r="C211" s="1" t="n">
        <v>45510</v>
      </c>
      <c r="D211" t="inlineStr">
        <is>
          <t>DALARNAS LÄN</t>
        </is>
      </c>
      <c r="E211" t="inlineStr">
        <is>
          <t>LUDVIKA</t>
        </is>
      </c>
      <c r="F211" t="inlineStr">
        <is>
          <t>Kommuner</t>
        </is>
      </c>
      <c r="G211" t="n">
        <v>13.3</v>
      </c>
      <c r="H211" t="n">
        <v>0</v>
      </c>
      <c r="I211" t="n">
        <v>0</v>
      </c>
      <c r="J211" t="n">
        <v>0</v>
      </c>
      <c r="K211" t="n">
        <v>0</v>
      </c>
      <c r="L211" t="n">
        <v>0</v>
      </c>
      <c r="M211" t="n">
        <v>0</v>
      </c>
      <c r="N211" t="n">
        <v>0</v>
      </c>
      <c r="O211" t="n">
        <v>0</v>
      </c>
      <c r="P211" t="n">
        <v>0</v>
      </c>
      <c r="Q211" t="n">
        <v>0</v>
      </c>
      <c r="R211" s="2" t="inlineStr"/>
    </row>
    <row r="212" ht="15" customHeight="1">
      <c r="A212" t="inlineStr">
        <is>
          <t>A 69090-2020</t>
        </is>
      </c>
      <c r="B212" s="1" t="n">
        <v>44188</v>
      </c>
      <c r="C212" s="1" t="n">
        <v>45510</v>
      </c>
      <c r="D212" t="inlineStr">
        <is>
          <t>DALARNAS LÄN</t>
        </is>
      </c>
      <c r="E212" t="inlineStr">
        <is>
          <t>LUDVIKA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69165-2020</t>
        </is>
      </c>
      <c r="B213" s="1" t="n">
        <v>44188</v>
      </c>
      <c r="C213" s="1" t="n">
        <v>45510</v>
      </c>
      <c r="D213" t="inlineStr">
        <is>
          <t>DALARNAS LÄN</t>
        </is>
      </c>
      <c r="E213" t="inlineStr">
        <is>
          <t>LUDVIKA</t>
        </is>
      </c>
      <c r="F213" t="inlineStr">
        <is>
          <t>Kommuner</t>
        </is>
      </c>
      <c r="G213" t="n">
        <v>1.4</v>
      </c>
      <c r="H213" t="n">
        <v>0</v>
      </c>
      <c r="I213" t="n">
        <v>0</v>
      </c>
      <c r="J213" t="n">
        <v>0</v>
      </c>
      <c r="K213" t="n">
        <v>0</v>
      </c>
      <c r="L213" t="n">
        <v>0</v>
      </c>
      <c r="M213" t="n">
        <v>0</v>
      </c>
      <c r="N213" t="n">
        <v>0</v>
      </c>
      <c r="O213" t="n">
        <v>0</v>
      </c>
      <c r="P213" t="n">
        <v>0</v>
      </c>
      <c r="Q213" t="n">
        <v>0</v>
      </c>
      <c r="R213" s="2" t="inlineStr"/>
    </row>
    <row r="214" ht="15" customHeight="1">
      <c r="A214" t="inlineStr">
        <is>
          <t>A 1633-2021</t>
        </is>
      </c>
      <c r="B214" s="1" t="n">
        <v>44209</v>
      </c>
      <c r="C214" s="1" t="n">
        <v>45510</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3104-2021</t>
        </is>
      </c>
      <c r="B215" s="1" t="n">
        <v>44217</v>
      </c>
      <c r="C215" s="1" t="n">
        <v>45510</v>
      </c>
      <c r="D215" t="inlineStr">
        <is>
          <t>DALARNAS LÄN</t>
        </is>
      </c>
      <c r="E215" t="inlineStr">
        <is>
          <t>LUDVIKA</t>
        </is>
      </c>
      <c r="G215" t="n">
        <v>2.1</v>
      </c>
      <c r="H215" t="n">
        <v>0</v>
      </c>
      <c r="I215" t="n">
        <v>0</v>
      </c>
      <c r="J215" t="n">
        <v>0</v>
      </c>
      <c r="K215" t="n">
        <v>0</v>
      </c>
      <c r="L215" t="n">
        <v>0</v>
      </c>
      <c r="M215" t="n">
        <v>0</v>
      </c>
      <c r="N215" t="n">
        <v>0</v>
      </c>
      <c r="O215" t="n">
        <v>0</v>
      </c>
      <c r="P215" t="n">
        <v>0</v>
      </c>
      <c r="Q215" t="n">
        <v>0</v>
      </c>
      <c r="R215" s="2" t="inlineStr"/>
    </row>
    <row r="216" ht="15" customHeight="1">
      <c r="A216" t="inlineStr">
        <is>
          <t>A 3403-2021</t>
        </is>
      </c>
      <c r="B216" s="1" t="n">
        <v>44218</v>
      </c>
      <c r="C216" s="1" t="n">
        <v>45510</v>
      </c>
      <c r="D216" t="inlineStr">
        <is>
          <t>DALARNAS LÄN</t>
        </is>
      </c>
      <c r="E216" t="inlineStr">
        <is>
          <t>LUDVIKA</t>
        </is>
      </c>
      <c r="F216" t="inlineStr">
        <is>
          <t>Bergvik skog väst AB</t>
        </is>
      </c>
      <c r="G216" t="n">
        <v>0.3</v>
      </c>
      <c r="H216" t="n">
        <v>0</v>
      </c>
      <c r="I216" t="n">
        <v>0</v>
      </c>
      <c r="J216" t="n">
        <v>0</v>
      </c>
      <c r="K216" t="n">
        <v>0</v>
      </c>
      <c r="L216" t="n">
        <v>0</v>
      </c>
      <c r="M216" t="n">
        <v>0</v>
      </c>
      <c r="N216" t="n">
        <v>0</v>
      </c>
      <c r="O216" t="n">
        <v>0</v>
      </c>
      <c r="P216" t="n">
        <v>0</v>
      </c>
      <c r="Q216" t="n">
        <v>0</v>
      </c>
      <c r="R216" s="2" t="inlineStr"/>
    </row>
    <row r="217" ht="15" customHeight="1">
      <c r="A217" t="inlineStr">
        <is>
          <t>A 4569-2021</t>
        </is>
      </c>
      <c r="B217" s="1" t="n">
        <v>44224</v>
      </c>
      <c r="C217" s="1" t="n">
        <v>45510</v>
      </c>
      <c r="D217" t="inlineStr">
        <is>
          <t>DALARNAS LÄN</t>
        </is>
      </c>
      <c r="E217" t="inlineStr">
        <is>
          <t>LUDVIKA</t>
        </is>
      </c>
      <c r="F217" t="inlineStr">
        <is>
          <t>Kommuner</t>
        </is>
      </c>
      <c r="G217" t="n">
        <v>2.7</v>
      </c>
      <c r="H217" t="n">
        <v>0</v>
      </c>
      <c r="I217" t="n">
        <v>0</v>
      </c>
      <c r="J217" t="n">
        <v>0</v>
      </c>
      <c r="K217" t="n">
        <v>0</v>
      </c>
      <c r="L217" t="n">
        <v>0</v>
      </c>
      <c r="M217" t="n">
        <v>0</v>
      </c>
      <c r="N217" t="n">
        <v>0</v>
      </c>
      <c r="O217" t="n">
        <v>0</v>
      </c>
      <c r="P217" t="n">
        <v>0</v>
      </c>
      <c r="Q217" t="n">
        <v>0</v>
      </c>
      <c r="R217" s="2" t="inlineStr"/>
    </row>
    <row r="218" ht="15" customHeight="1">
      <c r="A218" t="inlineStr">
        <is>
          <t>A 7073-2021</t>
        </is>
      </c>
      <c r="B218" s="1" t="n">
        <v>44237</v>
      </c>
      <c r="C218" s="1" t="n">
        <v>45510</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8321-2021</t>
        </is>
      </c>
      <c r="B219" s="1" t="n">
        <v>44244</v>
      </c>
      <c r="C219" s="1" t="n">
        <v>45510</v>
      </c>
      <c r="D219" t="inlineStr">
        <is>
          <t>DALARNAS LÄN</t>
        </is>
      </c>
      <c r="E219" t="inlineStr">
        <is>
          <t>LUDVIKA</t>
        </is>
      </c>
      <c r="G219" t="n">
        <v>1.9</v>
      </c>
      <c r="H219" t="n">
        <v>0</v>
      </c>
      <c r="I219" t="n">
        <v>0</v>
      </c>
      <c r="J219" t="n">
        <v>0</v>
      </c>
      <c r="K219" t="n">
        <v>0</v>
      </c>
      <c r="L219" t="n">
        <v>0</v>
      </c>
      <c r="M219" t="n">
        <v>0</v>
      </c>
      <c r="N219" t="n">
        <v>0</v>
      </c>
      <c r="O219" t="n">
        <v>0</v>
      </c>
      <c r="P219" t="n">
        <v>0</v>
      </c>
      <c r="Q219" t="n">
        <v>0</v>
      </c>
      <c r="R219" s="2" t="inlineStr"/>
    </row>
    <row r="220" ht="15" customHeight="1">
      <c r="A220" t="inlineStr">
        <is>
          <t>A 8319-2021</t>
        </is>
      </c>
      <c r="B220" s="1" t="n">
        <v>44244</v>
      </c>
      <c r="C220" s="1" t="n">
        <v>45510</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9292-2021</t>
        </is>
      </c>
      <c r="B221" s="1" t="n">
        <v>44249</v>
      </c>
      <c r="C221" s="1" t="n">
        <v>45510</v>
      </c>
      <c r="D221" t="inlineStr">
        <is>
          <t>DALARNAS LÄN</t>
        </is>
      </c>
      <c r="E221" t="inlineStr">
        <is>
          <t>LUDVIKA</t>
        </is>
      </c>
      <c r="G221" t="n">
        <v>5.1</v>
      </c>
      <c r="H221" t="n">
        <v>0</v>
      </c>
      <c r="I221" t="n">
        <v>0</v>
      </c>
      <c r="J221" t="n">
        <v>0</v>
      </c>
      <c r="K221" t="n">
        <v>0</v>
      </c>
      <c r="L221" t="n">
        <v>0</v>
      </c>
      <c r="M221" t="n">
        <v>0</v>
      </c>
      <c r="N221" t="n">
        <v>0</v>
      </c>
      <c r="O221" t="n">
        <v>0</v>
      </c>
      <c r="P221" t="n">
        <v>0</v>
      </c>
      <c r="Q221" t="n">
        <v>0</v>
      </c>
      <c r="R221" s="2" t="inlineStr"/>
    </row>
    <row r="222" ht="15" customHeight="1">
      <c r="A222" t="inlineStr">
        <is>
          <t>A 11611-2021</t>
        </is>
      </c>
      <c r="B222" s="1" t="n">
        <v>44264</v>
      </c>
      <c r="C222" s="1" t="n">
        <v>45510</v>
      </c>
      <c r="D222" t="inlineStr">
        <is>
          <t>DALARNAS LÄN</t>
        </is>
      </c>
      <c r="E222" t="inlineStr">
        <is>
          <t>LUDVIKA</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13778-2021</t>
        </is>
      </c>
      <c r="B223" s="1" t="n">
        <v>44274</v>
      </c>
      <c r="C223" s="1" t="n">
        <v>45510</v>
      </c>
      <c r="D223" t="inlineStr">
        <is>
          <t>DALARNAS LÄN</t>
        </is>
      </c>
      <c r="E223" t="inlineStr">
        <is>
          <t>LUDVIKA</t>
        </is>
      </c>
      <c r="G223" t="n">
        <v>5.8</v>
      </c>
      <c r="H223" t="n">
        <v>0</v>
      </c>
      <c r="I223" t="n">
        <v>0</v>
      </c>
      <c r="J223" t="n">
        <v>0</v>
      </c>
      <c r="K223" t="n">
        <v>0</v>
      </c>
      <c r="L223" t="n">
        <v>0</v>
      </c>
      <c r="M223" t="n">
        <v>0</v>
      </c>
      <c r="N223" t="n">
        <v>0</v>
      </c>
      <c r="O223" t="n">
        <v>0</v>
      </c>
      <c r="P223" t="n">
        <v>0</v>
      </c>
      <c r="Q223" t="n">
        <v>0</v>
      </c>
      <c r="R223" s="2" t="inlineStr"/>
    </row>
    <row r="224" ht="15" customHeight="1">
      <c r="A224" t="inlineStr">
        <is>
          <t>A 15020-2021</t>
        </is>
      </c>
      <c r="B224" s="1" t="n">
        <v>44281</v>
      </c>
      <c r="C224" s="1" t="n">
        <v>45510</v>
      </c>
      <c r="D224" t="inlineStr">
        <is>
          <t>DALARNAS LÄN</t>
        </is>
      </c>
      <c r="E224" t="inlineStr">
        <is>
          <t>LUDVIKA</t>
        </is>
      </c>
      <c r="F224" t="inlineStr">
        <is>
          <t>Bergvik skog väst AB</t>
        </is>
      </c>
      <c r="G224" t="n">
        <v>0.4</v>
      </c>
      <c r="H224" t="n">
        <v>0</v>
      </c>
      <c r="I224" t="n">
        <v>0</v>
      </c>
      <c r="J224" t="n">
        <v>0</v>
      </c>
      <c r="K224" t="n">
        <v>0</v>
      </c>
      <c r="L224" t="n">
        <v>0</v>
      </c>
      <c r="M224" t="n">
        <v>0</v>
      </c>
      <c r="N224" t="n">
        <v>0</v>
      </c>
      <c r="O224" t="n">
        <v>0</v>
      </c>
      <c r="P224" t="n">
        <v>0</v>
      </c>
      <c r="Q224" t="n">
        <v>0</v>
      </c>
      <c r="R224" s="2" t="inlineStr"/>
    </row>
    <row r="225" ht="15" customHeight="1">
      <c r="A225" t="inlineStr">
        <is>
          <t>A 15700-2021</t>
        </is>
      </c>
      <c r="B225" s="1" t="n">
        <v>44286</v>
      </c>
      <c r="C225" s="1" t="n">
        <v>45510</v>
      </c>
      <c r="D225" t="inlineStr">
        <is>
          <t>DALARNAS LÄN</t>
        </is>
      </c>
      <c r="E225" t="inlineStr">
        <is>
          <t>LUDVIKA</t>
        </is>
      </c>
      <c r="G225" t="n">
        <v>2.2</v>
      </c>
      <c r="H225" t="n">
        <v>0</v>
      </c>
      <c r="I225" t="n">
        <v>0</v>
      </c>
      <c r="J225" t="n">
        <v>0</v>
      </c>
      <c r="K225" t="n">
        <v>0</v>
      </c>
      <c r="L225" t="n">
        <v>0</v>
      </c>
      <c r="M225" t="n">
        <v>0</v>
      </c>
      <c r="N225" t="n">
        <v>0</v>
      </c>
      <c r="O225" t="n">
        <v>0</v>
      </c>
      <c r="P225" t="n">
        <v>0</v>
      </c>
      <c r="Q225" t="n">
        <v>0</v>
      </c>
      <c r="R225" s="2" t="inlineStr"/>
    </row>
    <row r="226" ht="15" customHeight="1">
      <c r="A226" t="inlineStr">
        <is>
          <t>A 16108-2021</t>
        </is>
      </c>
      <c r="B226" s="1" t="n">
        <v>44291</v>
      </c>
      <c r="C226" s="1" t="n">
        <v>45510</v>
      </c>
      <c r="D226" t="inlineStr">
        <is>
          <t>DALARNAS LÄN</t>
        </is>
      </c>
      <c r="E226" t="inlineStr">
        <is>
          <t>LUDVIKA</t>
        </is>
      </c>
      <c r="G226" t="n">
        <v>2.9</v>
      </c>
      <c r="H226" t="n">
        <v>0</v>
      </c>
      <c r="I226" t="n">
        <v>0</v>
      </c>
      <c r="J226" t="n">
        <v>0</v>
      </c>
      <c r="K226" t="n">
        <v>0</v>
      </c>
      <c r="L226" t="n">
        <v>0</v>
      </c>
      <c r="M226" t="n">
        <v>0</v>
      </c>
      <c r="N226" t="n">
        <v>0</v>
      </c>
      <c r="O226" t="n">
        <v>0</v>
      </c>
      <c r="P226" t="n">
        <v>0</v>
      </c>
      <c r="Q226" t="n">
        <v>0</v>
      </c>
      <c r="R226" s="2" t="inlineStr"/>
    </row>
    <row r="227" ht="15" customHeight="1">
      <c r="A227" t="inlineStr">
        <is>
          <t>A 16187-2021</t>
        </is>
      </c>
      <c r="B227" s="1" t="n">
        <v>44292</v>
      </c>
      <c r="C227" s="1" t="n">
        <v>45510</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16203-2021</t>
        </is>
      </c>
      <c r="B228" s="1" t="n">
        <v>44292</v>
      </c>
      <c r="C228" s="1" t="n">
        <v>45510</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17420-2021</t>
        </is>
      </c>
      <c r="B229" s="1" t="n">
        <v>44299</v>
      </c>
      <c r="C229" s="1" t="n">
        <v>45510</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18025-2021</t>
        </is>
      </c>
      <c r="B230" s="1" t="n">
        <v>44302</v>
      </c>
      <c r="C230" s="1" t="n">
        <v>45510</v>
      </c>
      <c r="D230" t="inlineStr">
        <is>
          <t>DALARNAS LÄN</t>
        </is>
      </c>
      <c r="E230" t="inlineStr">
        <is>
          <t>LUDVIKA</t>
        </is>
      </c>
      <c r="G230" t="n">
        <v>0.8</v>
      </c>
      <c r="H230" t="n">
        <v>0</v>
      </c>
      <c r="I230" t="n">
        <v>0</v>
      </c>
      <c r="J230" t="n">
        <v>0</v>
      </c>
      <c r="K230" t="n">
        <v>0</v>
      </c>
      <c r="L230" t="n">
        <v>0</v>
      </c>
      <c r="M230" t="n">
        <v>0</v>
      </c>
      <c r="N230" t="n">
        <v>0</v>
      </c>
      <c r="O230" t="n">
        <v>0</v>
      </c>
      <c r="P230" t="n">
        <v>0</v>
      </c>
      <c r="Q230" t="n">
        <v>0</v>
      </c>
      <c r="R230" s="2" t="inlineStr"/>
    </row>
    <row r="231" ht="15" customHeight="1">
      <c r="A231" t="inlineStr">
        <is>
          <t>A 20598-2021</t>
        </is>
      </c>
      <c r="B231" s="1" t="n">
        <v>44316</v>
      </c>
      <c r="C231" s="1" t="n">
        <v>45510</v>
      </c>
      <c r="D231" t="inlineStr">
        <is>
          <t>DALARNAS LÄN</t>
        </is>
      </c>
      <c r="E231" t="inlineStr">
        <is>
          <t>LUDVIKA</t>
        </is>
      </c>
      <c r="F231" t="inlineStr">
        <is>
          <t>Naturvårdsverket</t>
        </is>
      </c>
      <c r="G231" t="n">
        <v>2.4</v>
      </c>
      <c r="H231" t="n">
        <v>0</v>
      </c>
      <c r="I231" t="n">
        <v>0</v>
      </c>
      <c r="J231" t="n">
        <v>0</v>
      </c>
      <c r="K231" t="n">
        <v>0</v>
      </c>
      <c r="L231" t="n">
        <v>0</v>
      </c>
      <c r="M231" t="n">
        <v>0</v>
      </c>
      <c r="N231" t="n">
        <v>0</v>
      </c>
      <c r="O231" t="n">
        <v>0</v>
      </c>
      <c r="P231" t="n">
        <v>0</v>
      </c>
      <c r="Q231" t="n">
        <v>0</v>
      </c>
      <c r="R231" s="2" t="inlineStr"/>
    </row>
    <row r="232" ht="15" customHeight="1">
      <c r="A232" t="inlineStr">
        <is>
          <t>A 20599-2021</t>
        </is>
      </c>
      <c r="B232" s="1" t="n">
        <v>44316</v>
      </c>
      <c r="C232" s="1" t="n">
        <v>45510</v>
      </c>
      <c r="D232" t="inlineStr">
        <is>
          <t>DALARNAS LÄN</t>
        </is>
      </c>
      <c r="E232" t="inlineStr">
        <is>
          <t>LUDVIKA</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20690-2021</t>
        </is>
      </c>
      <c r="B233" s="1" t="n">
        <v>44316</v>
      </c>
      <c r="C233" s="1" t="n">
        <v>45510</v>
      </c>
      <c r="D233" t="inlineStr">
        <is>
          <t>DALARNAS LÄN</t>
        </is>
      </c>
      <c r="E233" t="inlineStr">
        <is>
          <t>LUDVIKA</t>
        </is>
      </c>
      <c r="F233" t="inlineStr">
        <is>
          <t>Naturvårdsverket</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20700-2021</t>
        </is>
      </c>
      <c r="B234" s="1" t="n">
        <v>44316</v>
      </c>
      <c r="C234" s="1" t="n">
        <v>45510</v>
      </c>
      <c r="D234" t="inlineStr">
        <is>
          <t>DALARNAS LÄN</t>
        </is>
      </c>
      <c r="E234" t="inlineStr">
        <is>
          <t>LUDVIKA</t>
        </is>
      </c>
      <c r="F234" t="inlineStr">
        <is>
          <t>Naturvårdsverket</t>
        </is>
      </c>
      <c r="G234" t="n">
        <v>2.5</v>
      </c>
      <c r="H234" t="n">
        <v>0</v>
      </c>
      <c r="I234" t="n">
        <v>0</v>
      </c>
      <c r="J234" t="n">
        <v>0</v>
      </c>
      <c r="K234" t="n">
        <v>0</v>
      </c>
      <c r="L234" t="n">
        <v>0</v>
      </c>
      <c r="M234" t="n">
        <v>0</v>
      </c>
      <c r="N234" t="n">
        <v>0</v>
      </c>
      <c r="O234" t="n">
        <v>0</v>
      </c>
      <c r="P234" t="n">
        <v>0</v>
      </c>
      <c r="Q234" t="n">
        <v>0</v>
      </c>
      <c r="R234" s="2" t="inlineStr"/>
    </row>
    <row r="235" ht="15" customHeight="1">
      <c r="A235" t="inlineStr">
        <is>
          <t>A 20596-2021</t>
        </is>
      </c>
      <c r="B235" s="1" t="n">
        <v>44316</v>
      </c>
      <c r="C235" s="1" t="n">
        <v>45510</v>
      </c>
      <c r="D235" t="inlineStr">
        <is>
          <t>DALARNAS LÄN</t>
        </is>
      </c>
      <c r="E235" t="inlineStr">
        <is>
          <t>LUDVIKA</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21712-2021</t>
        </is>
      </c>
      <c r="B236" s="1" t="n">
        <v>44322</v>
      </c>
      <c r="C236" s="1" t="n">
        <v>45510</v>
      </c>
      <c r="D236" t="inlineStr">
        <is>
          <t>DALARNAS LÄN</t>
        </is>
      </c>
      <c r="E236" t="inlineStr">
        <is>
          <t>LUDVIKA</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21716-2021</t>
        </is>
      </c>
      <c r="B237" s="1" t="n">
        <v>44322</v>
      </c>
      <c r="C237" s="1" t="n">
        <v>45510</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21887-2021</t>
        </is>
      </c>
      <c r="B238" s="1" t="n">
        <v>44322</v>
      </c>
      <c r="C238" s="1" t="n">
        <v>45510</v>
      </c>
      <c r="D238" t="inlineStr">
        <is>
          <t>DALARNAS LÄN</t>
        </is>
      </c>
      <c r="E238" t="inlineStr">
        <is>
          <t>LUDVIKA</t>
        </is>
      </c>
      <c r="F238" t="inlineStr">
        <is>
          <t>Bergvik skog väst AB</t>
        </is>
      </c>
      <c r="G238" t="n">
        <v>3.8</v>
      </c>
      <c r="H238" t="n">
        <v>0</v>
      </c>
      <c r="I238" t="n">
        <v>0</v>
      </c>
      <c r="J238" t="n">
        <v>0</v>
      </c>
      <c r="K238" t="n">
        <v>0</v>
      </c>
      <c r="L238" t="n">
        <v>0</v>
      </c>
      <c r="M238" t="n">
        <v>0</v>
      </c>
      <c r="N238" t="n">
        <v>0</v>
      </c>
      <c r="O238" t="n">
        <v>0</v>
      </c>
      <c r="P238" t="n">
        <v>0</v>
      </c>
      <c r="Q238" t="n">
        <v>0</v>
      </c>
      <c r="R238" s="2" t="inlineStr"/>
    </row>
    <row r="239" ht="15" customHeight="1">
      <c r="A239" t="inlineStr">
        <is>
          <t>A 23101-2021</t>
        </is>
      </c>
      <c r="B239" s="1" t="n">
        <v>44330</v>
      </c>
      <c r="C239" s="1" t="n">
        <v>45510</v>
      </c>
      <c r="D239" t="inlineStr">
        <is>
          <t>DALARNAS LÄN</t>
        </is>
      </c>
      <c r="E239" t="inlineStr">
        <is>
          <t>LUDVIKA</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23245-2021</t>
        </is>
      </c>
      <c r="B240" s="1" t="n">
        <v>44333</v>
      </c>
      <c r="C240" s="1" t="n">
        <v>45510</v>
      </c>
      <c r="D240" t="inlineStr">
        <is>
          <t>DALARNAS LÄN</t>
        </is>
      </c>
      <c r="E240" t="inlineStr">
        <is>
          <t>LUDVIKA</t>
        </is>
      </c>
      <c r="F240" t="inlineStr">
        <is>
          <t>Kyrkan</t>
        </is>
      </c>
      <c r="G240" t="n">
        <v>3.2</v>
      </c>
      <c r="H240" t="n">
        <v>0</v>
      </c>
      <c r="I240" t="n">
        <v>0</v>
      </c>
      <c r="J240" t="n">
        <v>0</v>
      </c>
      <c r="K240" t="n">
        <v>0</v>
      </c>
      <c r="L240" t="n">
        <v>0</v>
      </c>
      <c r="M240" t="n">
        <v>0</v>
      </c>
      <c r="N240" t="n">
        <v>0</v>
      </c>
      <c r="O240" t="n">
        <v>0</v>
      </c>
      <c r="P240" t="n">
        <v>0</v>
      </c>
      <c r="Q240" t="n">
        <v>0</v>
      </c>
      <c r="R240" s="2" t="inlineStr"/>
    </row>
    <row r="241" ht="15" customHeight="1">
      <c r="A241" t="inlineStr">
        <is>
          <t>A 23271-2021</t>
        </is>
      </c>
      <c r="B241" s="1" t="n">
        <v>44333</v>
      </c>
      <c r="C241" s="1" t="n">
        <v>45510</v>
      </c>
      <c r="D241" t="inlineStr">
        <is>
          <t>DALARNAS LÄN</t>
        </is>
      </c>
      <c r="E241" t="inlineStr">
        <is>
          <t>LUDVIKA</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24033-2021</t>
        </is>
      </c>
      <c r="B242" s="1" t="n">
        <v>44336</v>
      </c>
      <c r="C242" s="1" t="n">
        <v>45510</v>
      </c>
      <c r="D242" t="inlineStr">
        <is>
          <t>DALARNAS LÄN</t>
        </is>
      </c>
      <c r="E242" t="inlineStr">
        <is>
          <t>LUDVIKA</t>
        </is>
      </c>
      <c r="F242" t="inlineStr">
        <is>
          <t>Allmännings- och besparingsskogar</t>
        </is>
      </c>
      <c r="G242" t="n">
        <v>0.9</v>
      </c>
      <c r="H242" t="n">
        <v>0</v>
      </c>
      <c r="I242" t="n">
        <v>0</v>
      </c>
      <c r="J242" t="n">
        <v>0</v>
      </c>
      <c r="K242" t="n">
        <v>0</v>
      </c>
      <c r="L242" t="n">
        <v>0</v>
      </c>
      <c r="M242" t="n">
        <v>0</v>
      </c>
      <c r="N242" t="n">
        <v>0</v>
      </c>
      <c r="O242" t="n">
        <v>0</v>
      </c>
      <c r="P242" t="n">
        <v>0</v>
      </c>
      <c r="Q242" t="n">
        <v>0</v>
      </c>
      <c r="R242" s="2" t="inlineStr"/>
    </row>
    <row r="243" ht="15" customHeight="1">
      <c r="A243" t="inlineStr">
        <is>
          <t>A 24080-2021</t>
        </is>
      </c>
      <c r="B243" s="1" t="n">
        <v>44336</v>
      </c>
      <c r="C243" s="1" t="n">
        <v>45510</v>
      </c>
      <c r="D243" t="inlineStr">
        <is>
          <t>DALARNAS LÄN</t>
        </is>
      </c>
      <c r="E243" t="inlineStr">
        <is>
          <t>LUDVIKA</t>
        </is>
      </c>
      <c r="G243" t="n">
        <v>0.7</v>
      </c>
      <c r="H243" t="n">
        <v>0</v>
      </c>
      <c r="I243" t="n">
        <v>0</v>
      </c>
      <c r="J243" t="n">
        <v>0</v>
      </c>
      <c r="K243" t="n">
        <v>0</v>
      </c>
      <c r="L243" t="n">
        <v>0</v>
      </c>
      <c r="M243" t="n">
        <v>0</v>
      </c>
      <c r="N243" t="n">
        <v>0</v>
      </c>
      <c r="O243" t="n">
        <v>0</v>
      </c>
      <c r="P243" t="n">
        <v>0</v>
      </c>
      <c r="Q243" t="n">
        <v>0</v>
      </c>
      <c r="R243" s="2" t="inlineStr"/>
    </row>
    <row r="244" ht="15" customHeight="1">
      <c r="A244" t="inlineStr">
        <is>
          <t>A 24469-2021</t>
        </is>
      </c>
      <c r="B244" s="1" t="n">
        <v>44337</v>
      </c>
      <c r="C244" s="1" t="n">
        <v>45510</v>
      </c>
      <c r="D244" t="inlineStr">
        <is>
          <t>DALARNAS LÄN</t>
        </is>
      </c>
      <c r="E244" t="inlineStr">
        <is>
          <t>LUDVIKA</t>
        </is>
      </c>
      <c r="F244" t="inlineStr">
        <is>
          <t>Bergvik skog väst AB</t>
        </is>
      </c>
      <c r="G244" t="n">
        <v>6.9</v>
      </c>
      <c r="H244" t="n">
        <v>0</v>
      </c>
      <c r="I244" t="n">
        <v>0</v>
      </c>
      <c r="J244" t="n">
        <v>0</v>
      </c>
      <c r="K244" t="n">
        <v>0</v>
      </c>
      <c r="L244" t="n">
        <v>0</v>
      </c>
      <c r="M244" t="n">
        <v>0</v>
      </c>
      <c r="N244" t="n">
        <v>0</v>
      </c>
      <c r="O244" t="n">
        <v>0</v>
      </c>
      <c r="P244" t="n">
        <v>0</v>
      </c>
      <c r="Q244" t="n">
        <v>0</v>
      </c>
      <c r="R244" s="2" t="inlineStr"/>
    </row>
    <row r="245" ht="15" customHeight="1">
      <c r="A245" t="inlineStr">
        <is>
          <t>A 24906-2021</t>
        </is>
      </c>
      <c r="B245" s="1" t="n">
        <v>44341</v>
      </c>
      <c r="C245" s="1" t="n">
        <v>45510</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26066-2021</t>
        </is>
      </c>
      <c r="B246" s="1" t="n">
        <v>44344</v>
      </c>
      <c r="C246" s="1" t="n">
        <v>45510</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26054-2021</t>
        </is>
      </c>
      <c r="B247" s="1" t="n">
        <v>44344</v>
      </c>
      <c r="C247" s="1" t="n">
        <v>45510</v>
      </c>
      <c r="D247" t="inlineStr">
        <is>
          <t>DALARNAS LÄN</t>
        </is>
      </c>
      <c r="E247" t="inlineStr">
        <is>
          <t>LUDVIKA</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29000-2021</t>
        </is>
      </c>
      <c r="B248" s="1" t="n">
        <v>44358</v>
      </c>
      <c r="C248" s="1" t="n">
        <v>45510</v>
      </c>
      <c r="D248" t="inlineStr">
        <is>
          <t>DALARNAS LÄN</t>
        </is>
      </c>
      <c r="E248" t="inlineStr">
        <is>
          <t>LUDVIKA</t>
        </is>
      </c>
      <c r="F248" t="inlineStr">
        <is>
          <t>Bergvik skog väst AB</t>
        </is>
      </c>
      <c r="G248" t="n">
        <v>0.5</v>
      </c>
      <c r="H248" t="n">
        <v>0</v>
      </c>
      <c r="I248" t="n">
        <v>0</v>
      </c>
      <c r="J248" t="n">
        <v>0</v>
      </c>
      <c r="K248" t="n">
        <v>0</v>
      </c>
      <c r="L248" t="n">
        <v>0</v>
      </c>
      <c r="M248" t="n">
        <v>0</v>
      </c>
      <c r="N248" t="n">
        <v>0</v>
      </c>
      <c r="O248" t="n">
        <v>0</v>
      </c>
      <c r="P248" t="n">
        <v>0</v>
      </c>
      <c r="Q248" t="n">
        <v>0</v>
      </c>
      <c r="R248" s="2" t="inlineStr"/>
    </row>
    <row r="249" ht="15" customHeight="1">
      <c r="A249" t="inlineStr">
        <is>
          <t>A 29789-2021</t>
        </is>
      </c>
      <c r="B249" s="1" t="n">
        <v>44362</v>
      </c>
      <c r="C249" s="1" t="n">
        <v>45510</v>
      </c>
      <c r="D249" t="inlineStr">
        <is>
          <t>DALARNAS LÄN</t>
        </is>
      </c>
      <c r="E249" t="inlineStr">
        <is>
          <t>LUDVIKA</t>
        </is>
      </c>
      <c r="F249" t="inlineStr">
        <is>
          <t>Övriga Aktiebolag</t>
        </is>
      </c>
      <c r="G249" t="n">
        <v>0.9</v>
      </c>
      <c r="H249" t="n">
        <v>0</v>
      </c>
      <c r="I249" t="n">
        <v>0</v>
      </c>
      <c r="J249" t="n">
        <v>0</v>
      </c>
      <c r="K249" t="n">
        <v>0</v>
      </c>
      <c r="L249" t="n">
        <v>0</v>
      </c>
      <c r="M249" t="n">
        <v>0</v>
      </c>
      <c r="N249" t="n">
        <v>0</v>
      </c>
      <c r="O249" t="n">
        <v>0</v>
      </c>
      <c r="P249" t="n">
        <v>0</v>
      </c>
      <c r="Q249" t="n">
        <v>0</v>
      </c>
      <c r="R249" s="2" t="inlineStr"/>
    </row>
    <row r="250" ht="15" customHeight="1">
      <c r="A250" t="inlineStr">
        <is>
          <t>A 30502-2021</t>
        </is>
      </c>
      <c r="B250" s="1" t="n">
        <v>44364</v>
      </c>
      <c r="C250" s="1" t="n">
        <v>45510</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31086-2021</t>
        </is>
      </c>
      <c r="B251" s="1" t="n">
        <v>44368</v>
      </c>
      <c r="C251" s="1" t="n">
        <v>45510</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31465-2021</t>
        </is>
      </c>
      <c r="B252" s="1" t="n">
        <v>44369</v>
      </c>
      <c r="C252" s="1" t="n">
        <v>45510</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31550-2021</t>
        </is>
      </c>
      <c r="B253" s="1" t="n">
        <v>44369</v>
      </c>
      <c r="C253" s="1" t="n">
        <v>45510</v>
      </c>
      <c r="D253" t="inlineStr">
        <is>
          <t>DALARNAS LÄN</t>
        </is>
      </c>
      <c r="E253" t="inlineStr">
        <is>
          <t>LUDVIKA</t>
        </is>
      </c>
      <c r="G253" t="n">
        <v>2.8</v>
      </c>
      <c r="H253" t="n">
        <v>0</v>
      </c>
      <c r="I253" t="n">
        <v>0</v>
      </c>
      <c r="J253" t="n">
        <v>0</v>
      </c>
      <c r="K253" t="n">
        <v>0</v>
      </c>
      <c r="L253" t="n">
        <v>0</v>
      </c>
      <c r="M253" t="n">
        <v>0</v>
      </c>
      <c r="N253" t="n">
        <v>0</v>
      </c>
      <c r="O253" t="n">
        <v>0</v>
      </c>
      <c r="P253" t="n">
        <v>0</v>
      </c>
      <c r="Q253" t="n">
        <v>0</v>
      </c>
      <c r="R253" s="2" t="inlineStr"/>
    </row>
    <row r="254" ht="15" customHeight="1">
      <c r="A254" t="inlineStr">
        <is>
          <t>A 31921-2021</t>
        </is>
      </c>
      <c r="B254" s="1" t="n">
        <v>44370</v>
      </c>
      <c r="C254" s="1" t="n">
        <v>45510</v>
      </c>
      <c r="D254" t="inlineStr">
        <is>
          <t>DALARNAS LÄN</t>
        </is>
      </c>
      <c r="E254" t="inlineStr">
        <is>
          <t>LUDVIKA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31925-2021</t>
        </is>
      </c>
      <c r="B255" s="1" t="n">
        <v>44370</v>
      </c>
      <c r="C255" s="1" t="n">
        <v>45510</v>
      </c>
      <c r="D255" t="inlineStr">
        <is>
          <t>DALARNAS LÄN</t>
        </is>
      </c>
      <c r="E255" t="inlineStr">
        <is>
          <t>LUDVIKA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32015-2021</t>
        </is>
      </c>
      <c r="B256" s="1" t="n">
        <v>44370</v>
      </c>
      <c r="C256" s="1" t="n">
        <v>45510</v>
      </c>
      <c r="D256" t="inlineStr">
        <is>
          <t>DALARNAS LÄN</t>
        </is>
      </c>
      <c r="E256" t="inlineStr">
        <is>
          <t>LUDVIKA</t>
        </is>
      </c>
      <c r="G256" t="n">
        <v>1.6</v>
      </c>
      <c r="H256" t="n">
        <v>0</v>
      </c>
      <c r="I256" t="n">
        <v>0</v>
      </c>
      <c r="J256" t="n">
        <v>0</v>
      </c>
      <c r="K256" t="n">
        <v>0</v>
      </c>
      <c r="L256" t="n">
        <v>0</v>
      </c>
      <c r="M256" t="n">
        <v>0</v>
      </c>
      <c r="N256" t="n">
        <v>0</v>
      </c>
      <c r="O256" t="n">
        <v>0</v>
      </c>
      <c r="P256" t="n">
        <v>0</v>
      </c>
      <c r="Q256" t="n">
        <v>0</v>
      </c>
      <c r="R256" s="2" t="inlineStr"/>
    </row>
    <row r="257" ht="15" customHeight="1">
      <c r="A257" t="inlineStr">
        <is>
          <t>A 32054-2021</t>
        </is>
      </c>
      <c r="B257" s="1" t="n">
        <v>44370</v>
      </c>
      <c r="C257" s="1" t="n">
        <v>45510</v>
      </c>
      <c r="D257" t="inlineStr">
        <is>
          <t>DALARNAS LÄN</t>
        </is>
      </c>
      <c r="E257" t="inlineStr">
        <is>
          <t>LUDVIKA</t>
        </is>
      </c>
      <c r="G257" t="n">
        <v>28.7</v>
      </c>
      <c r="H257" t="n">
        <v>0</v>
      </c>
      <c r="I257" t="n">
        <v>0</v>
      </c>
      <c r="J257" t="n">
        <v>0</v>
      </c>
      <c r="K257" t="n">
        <v>0</v>
      </c>
      <c r="L257" t="n">
        <v>0</v>
      </c>
      <c r="M257" t="n">
        <v>0</v>
      </c>
      <c r="N257" t="n">
        <v>0</v>
      </c>
      <c r="O257" t="n">
        <v>0</v>
      </c>
      <c r="P257" t="n">
        <v>0</v>
      </c>
      <c r="Q257" t="n">
        <v>0</v>
      </c>
      <c r="R257" s="2" t="inlineStr"/>
    </row>
    <row r="258" ht="15" customHeight="1">
      <c r="A258" t="inlineStr">
        <is>
          <t>A 33032-2021</t>
        </is>
      </c>
      <c r="B258" s="1" t="n">
        <v>44376</v>
      </c>
      <c r="C258" s="1" t="n">
        <v>45510</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33416-2021</t>
        </is>
      </c>
      <c r="B259" s="1" t="n">
        <v>44377</v>
      </c>
      <c r="C259" s="1" t="n">
        <v>45510</v>
      </c>
      <c r="D259" t="inlineStr">
        <is>
          <t>DALARNAS LÄN</t>
        </is>
      </c>
      <c r="E259" t="inlineStr">
        <is>
          <t>LUDVIKA</t>
        </is>
      </c>
      <c r="F259" t="inlineStr">
        <is>
          <t>Bergvik skog väst AB</t>
        </is>
      </c>
      <c r="G259" t="n">
        <v>8</v>
      </c>
      <c r="H259" t="n">
        <v>0</v>
      </c>
      <c r="I259" t="n">
        <v>0</v>
      </c>
      <c r="J259" t="n">
        <v>0</v>
      </c>
      <c r="K259" t="n">
        <v>0</v>
      </c>
      <c r="L259" t="n">
        <v>0</v>
      </c>
      <c r="M259" t="n">
        <v>0</v>
      </c>
      <c r="N259" t="n">
        <v>0</v>
      </c>
      <c r="O259" t="n">
        <v>0</v>
      </c>
      <c r="P259" t="n">
        <v>0</v>
      </c>
      <c r="Q259" t="n">
        <v>0</v>
      </c>
      <c r="R259" s="2" t="inlineStr"/>
    </row>
    <row r="260" ht="15" customHeight="1">
      <c r="A260" t="inlineStr">
        <is>
          <t>A 33505-2021</t>
        </is>
      </c>
      <c r="B260" s="1" t="n">
        <v>44377</v>
      </c>
      <c r="C260" s="1" t="n">
        <v>45510</v>
      </c>
      <c r="D260" t="inlineStr">
        <is>
          <t>DALARNAS LÄN</t>
        </is>
      </c>
      <c r="E260" t="inlineStr">
        <is>
          <t>LUDVIKA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35731-2021</t>
        </is>
      </c>
      <c r="B261" s="1" t="n">
        <v>44386</v>
      </c>
      <c r="C261" s="1" t="n">
        <v>45510</v>
      </c>
      <c r="D261" t="inlineStr">
        <is>
          <t>DALARNAS LÄN</t>
        </is>
      </c>
      <c r="E261" t="inlineStr">
        <is>
          <t>LUDVIKA</t>
        </is>
      </c>
      <c r="F261" t="inlineStr">
        <is>
          <t>Kyrkan</t>
        </is>
      </c>
      <c r="G261" t="n">
        <v>2.7</v>
      </c>
      <c r="H261" t="n">
        <v>0</v>
      </c>
      <c r="I261" t="n">
        <v>0</v>
      </c>
      <c r="J261" t="n">
        <v>0</v>
      </c>
      <c r="K261" t="n">
        <v>0</v>
      </c>
      <c r="L261" t="n">
        <v>0</v>
      </c>
      <c r="M261" t="n">
        <v>0</v>
      </c>
      <c r="N261" t="n">
        <v>0</v>
      </c>
      <c r="O261" t="n">
        <v>0</v>
      </c>
      <c r="P261" t="n">
        <v>0</v>
      </c>
      <c r="Q261" t="n">
        <v>0</v>
      </c>
      <c r="R261" s="2" t="inlineStr"/>
    </row>
    <row r="262" ht="15" customHeight="1">
      <c r="A262" t="inlineStr">
        <is>
          <t>A 35720-2021</t>
        </is>
      </c>
      <c r="B262" s="1" t="n">
        <v>44386</v>
      </c>
      <c r="C262" s="1" t="n">
        <v>45510</v>
      </c>
      <c r="D262" t="inlineStr">
        <is>
          <t>DALARNAS LÄN</t>
        </is>
      </c>
      <c r="E262" t="inlineStr">
        <is>
          <t>LUDVIKA</t>
        </is>
      </c>
      <c r="F262" t="inlineStr">
        <is>
          <t>Kyrkan</t>
        </is>
      </c>
      <c r="G262" t="n">
        <v>1.9</v>
      </c>
      <c r="H262" t="n">
        <v>0</v>
      </c>
      <c r="I262" t="n">
        <v>0</v>
      </c>
      <c r="J262" t="n">
        <v>0</v>
      </c>
      <c r="K262" t="n">
        <v>0</v>
      </c>
      <c r="L262" t="n">
        <v>0</v>
      </c>
      <c r="M262" t="n">
        <v>0</v>
      </c>
      <c r="N262" t="n">
        <v>0</v>
      </c>
      <c r="O262" t="n">
        <v>0</v>
      </c>
      <c r="P262" t="n">
        <v>0</v>
      </c>
      <c r="Q262" t="n">
        <v>0</v>
      </c>
      <c r="R262" s="2" t="inlineStr"/>
    </row>
    <row r="263" ht="15" customHeight="1">
      <c r="A263" t="inlineStr">
        <is>
          <t>A 35892-2021</t>
        </is>
      </c>
      <c r="B263" s="1" t="n">
        <v>44387</v>
      </c>
      <c r="C263" s="1" t="n">
        <v>45510</v>
      </c>
      <c r="D263" t="inlineStr">
        <is>
          <t>DALARNAS LÄN</t>
        </is>
      </c>
      <c r="E263" t="inlineStr">
        <is>
          <t>LUDVIKA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36862-2021</t>
        </is>
      </c>
      <c r="B264" s="1" t="n">
        <v>44393</v>
      </c>
      <c r="C264" s="1" t="n">
        <v>45510</v>
      </c>
      <c r="D264" t="inlineStr">
        <is>
          <t>DALARNAS LÄN</t>
        </is>
      </c>
      <c r="E264" t="inlineStr">
        <is>
          <t>LUDVIKA</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37384-2021</t>
        </is>
      </c>
      <c r="B265" s="1" t="n">
        <v>44397</v>
      </c>
      <c r="C265" s="1" t="n">
        <v>45510</v>
      </c>
      <c r="D265" t="inlineStr">
        <is>
          <t>DALARNAS LÄN</t>
        </is>
      </c>
      <c r="E265" t="inlineStr">
        <is>
          <t>LUDVIKA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38084-2021</t>
        </is>
      </c>
      <c r="B266" s="1" t="n">
        <v>44404</v>
      </c>
      <c r="C266" s="1" t="n">
        <v>45510</v>
      </c>
      <c r="D266" t="inlineStr">
        <is>
          <t>DALARNAS LÄN</t>
        </is>
      </c>
      <c r="E266" t="inlineStr">
        <is>
          <t>LUDVIKA</t>
        </is>
      </c>
      <c r="G266" t="n">
        <v>0.3</v>
      </c>
      <c r="H266" t="n">
        <v>0</v>
      </c>
      <c r="I266" t="n">
        <v>0</v>
      </c>
      <c r="J266" t="n">
        <v>0</v>
      </c>
      <c r="K266" t="n">
        <v>0</v>
      </c>
      <c r="L266" t="n">
        <v>0</v>
      </c>
      <c r="M266" t="n">
        <v>0</v>
      </c>
      <c r="N266" t="n">
        <v>0</v>
      </c>
      <c r="O266" t="n">
        <v>0</v>
      </c>
      <c r="P266" t="n">
        <v>0</v>
      </c>
      <c r="Q266" t="n">
        <v>0</v>
      </c>
      <c r="R266" s="2" t="inlineStr"/>
    </row>
    <row r="267" ht="15" customHeight="1">
      <c r="A267" t="inlineStr">
        <is>
          <t>A 38223-2021</t>
        </is>
      </c>
      <c r="B267" s="1" t="n">
        <v>44405</v>
      </c>
      <c r="C267" s="1" t="n">
        <v>45510</v>
      </c>
      <c r="D267" t="inlineStr">
        <is>
          <t>DALARNAS LÄN</t>
        </is>
      </c>
      <c r="E267" t="inlineStr">
        <is>
          <t>LUDVIKA</t>
        </is>
      </c>
      <c r="G267" t="n">
        <v>2.3</v>
      </c>
      <c r="H267" t="n">
        <v>0</v>
      </c>
      <c r="I267" t="n">
        <v>0</v>
      </c>
      <c r="J267" t="n">
        <v>0</v>
      </c>
      <c r="K267" t="n">
        <v>0</v>
      </c>
      <c r="L267" t="n">
        <v>0</v>
      </c>
      <c r="M267" t="n">
        <v>0</v>
      </c>
      <c r="N267" t="n">
        <v>0</v>
      </c>
      <c r="O267" t="n">
        <v>0</v>
      </c>
      <c r="P267" t="n">
        <v>0</v>
      </c>
      <c r="Q267" t="n">
        <v>0</v>
      </c>
      <c r="R267" s="2" t="inlineStr"/>
    </row>
    <row r="268" ht="15" customHeight="1">
      <c r="A268" t="inlineStr">
        <is>
          <t>A 38371-2021</t>
        </is>
      </c>
      <c r="B268" s="1" t="n">
        <v>44406</v>
      </c>
      <c r="C268" s="1" t="n">
        <v>45510</v>
      </c>
      <c r="D268" t="inlineStr">
        <is>
          <t>DALARNAS LÄN</t>
        </is>
      </c>
      <c r="E268" t="inlineStr">
        <is>
          <t>LUDVIKA</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39247-2021</t>
        </is>
      </c>
      <c r="B269" s="1" t="n">
        <v>44413</v>
      </c>
      <c r="C269" s="1" t="n">
        <v>45510</v>
      </c>
      <c r="D269" t="inlineStr">
        <is>
          <t>DALARNAS LÄN</t>
        </is>
      </c>
      <c r="E269" t="inlineStr">
        <is>
          <t>LUDVIKA</t>
        </is>
      </c>
      <c r="G269" t="n">
        <v>6</v>
      </c>
      <c r="H269" t="n">
        <v>0</v>
      </c>
      <c r="I269" t="n">
        <v>0</v>
      </c>
      <c r="J269" t="n">
        <v>0</v>
      </c>
      <c r="K269" t="n">
        <v>0</v>
      </c>
      <c r="L269" t="n">
        <v>0</v>
      </c>
      <c r="M269" t="n">
        <v>0</v>
      </c>
      <c r="N269" t="n">
        <v>0</v>
      </c>
      <c r="O269" t="n">
        <v>0</v>
      </c>
      <c r="P269" t="n">
        <v>0</v>
      </c>
      <c r="Q269" t="n">
        <v>0</v>
      </c>
      <c r="R269" s="2" t="inlineStr"/>
    </row>
    <row r="270" ht="15" customHeight="1">
      <c r="A270" t="inlineStr">
        <is>
          <t>A 40582-2021</t>
        </is>
      </c>
      <c r="B270" s="1" t="n">
        <v>44420</v>
      </c>
      <c r="C270" s="1" t="n">
        <v>45510</v>
      </c>
      <c r="D270" t="inlineStr">
        <is>
          <t>DALARNAS LÄN</t>
        </is>
      </c>
      <c r="E270" t="inlineStr">
        <is>
          <t>LUDVIKA</t>
        </is>
      </c>
      <c r="G270" t="n">
        <v>2.2</v>
      </c>
      <c r="H270" t="n">
        <v>0</v>
      </c>
      <c r="I270" t="n">
        <v>0</v>
      </c>
      <c r="J270" t="n">
        <v>0</v>
      </c>
      <c r="K270" t="n">
        <v>0</v>
      </c>
      <c r="L270" t="n">
        <v>0</v>
      </c>
      <c r="M270" t="n">
        <v>0</v>
      </c>
      <c r="N270" t="n">
        <v>0</v>
      </c>
      <c r="O270" t="n">
        <v>0</v>
      </c>
      <c r="P270" t="n">
        <v>0</v>
      </c>
      <c r="Q270" t="n">
        <v>0</v>
      </c>
      <c r="R270" s="2" t="inlineStr"/>
    </row>
    <row r="271" ht="15" customHeight="1">
      <c r="A271" t="inlineStr">
        <is>
          <t>A 43115-2021</t>
        </is>
      </c>
      <c r="B271" s="1" t="n">
        <v>44431</v>
      </c>
      <c r="C271" s="1" t="n">
        <v>45510</v>
      </c>
      <c r="D271" t="inlineStr">
        <is>
          <t>DALARNAS LÄN</t>
        </is>
      </c>
      <c r="E271" t="inlineStr">
        <is>
          <t>LUDVIKA</t>
        </is>
      </c>
      <c r="G271" t="n">
        <v>3.5</v>
      </c>
      <c r="H271" t="n">
        <v>0</v>
      </c>
      <c r="I271" t="n">
        <v>0</v>
      </c>
      <c r="J271" t="n">
        <v>0</v>
      </c>
      <c r="K271" t="n">
        <v>0</v>
      </c>
      <c r="L271" t="n">
        <v>0</v>
      </c>
      <c r="M271" t="n">
        <v>0</v>
      </c>
      <c r="N271" t="n">
        <v>0</v>
      </c>
      <c r="O271" t="n">
        <v>0</v>
      </c>
      <c r="P271" t="n">
        <v>0</v>
      </c>
      <c r="Q271" t="n">
        <v>0</v>
      </c>
      <c r="R271" s="2" t="inlineStr"/>
    </row>
    <row r="272" ht="15" customHeight="1">
      <c r="A272" t="inlineStr">
        <is>
          <t>A 43907-2021</t>
        </is>
      </c>
      <c r="B272" s="1" t="n">
        <v>44434</v>
      </c>
      <c r="C272" s="1" t="n">
        <v>45510</v>
      </c>
      <c r="D272" t="inlineStr">
        <is>
          <t>DALARNAS LÄN</t>
        </is>
      </c>
      <c r="E272" t="inlineStr">
        <is>
          <t>LUDVIKA</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44270-2021</t>
        </is>
      </c>
      <c r="B273" s="1" t="n">
        <v>44435</v>
      </c>
      <c r="C273" s="1" t="n">
        <v>45510</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44264-2021</t>
        </is>
      </c>
      <c r="B274" s="1" t="n">
        <v>44435</v>
      </c>
      <c r="C274" s="1" t="n">
        <v>45510</v>
      </c>
      <c r="D274" t="inlineStr">
        <is>
          <t>DALARNAS LÄN</t>
        </is>
      </c>
      <c r="E274" t="inlineStr">
        <is>
          <t>LUDVIKA</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45313-2021</t>
        </is>
      </c>
      <c r="B275" s="1" t="n">
        <v>44439</v>
      </c>
      <c r="C275" s="1" t="n">
        <v>45510</v>
      </c>
      <c r="D275" t="inlineStr">
        <is>
          <t>DALARNAS LÄN</t>
        </is>
      </c>
      <c r="E275" t="inlineStr">
        <is>
          <t>LUDVIKA</t>
        </is>
      </c>
      <c r="G275" t="n">
        <v>2.6</v>
      </c>
      <c r="H275" t="n">
        <v>0</v>
      </c>
      <c r="I275" t="n">
        <v>0</v>
      </c>
      <c r="J275" t="n">
        <v>0</v>
      </c>
      <c r="K275" t="n">
        <v>0</v>
      </c>
      <c r="L275" t="n">
        <v>0</v>
      </c>
      <c r="M275" t="n">
        <v>0</v>
      </c>
      <c r="N275" t="n">
        <v>0</v>
      </c>
      <c r="O275" t="n">
        <v>0</v>
      </c>
      <c r="P275" t="n">
        <v>0</v>
      </c>
      <c r="Q275" t="n">
        <v>0</v>
      </c>
      <c r="R275" s="2" t="inlineStr"/>
    </row>
    <row r="276" ht="15" customHeight="1">
      <c r="A276" t="inlineStr">
        <is>
          <t>A 45309-2021</t>
        </is>
      </c>
      <c r="B276" s="1" t="n">
        <v>44439</v>
      </c>
      <c r="C276" s="1" t="n">
        <v>45510</v>
      </c>
      <c r="D276" t="inlineStr">
        <is>
          <t>DALARNAS LÄN</t>
        </is>
      </c>
      <c r="E276" t="inlineStr">
        <is>
          <t>LUDVIKA</t>
        </is>
      </c>
      <c r="G276" t="n">
        <v>1.9</v>
      </c>
      <c r="H276" t="n">
        <v>0</v>
      </c>
      <c r="I276" t="n">
        <v>0</v>
      </c>
      <c r="J276" t="n">
        <v>0</v>
      </c>
      <c r="K276" t="n">
        <v>0</v>
      </c>
      <c r="L276" t="n">
        <v>0</v>
      </c>
      <c r="M276" t="n">
        <v>0</v>
      </c>
      <c r="N276" t="n">
        <v>0</v>
      </c>
      <c r="O276" t="n">
        <v>0</v>
      </c>
      <c r="P276" t="n">
        <v>0</v>
      </c>
      <c r="Q276" t="n">
        <v>0</v>
      </c>
      <c r="R276" s="2" t="inlineStr"/>
    </row>
    <row r="277" ht="15" customHeight="1">
      <c r="A277" t="inlineStr">
        <is>
          <t>A 45995-2021</t>
        </is>
      </c>
      <c r="B277" s="1" t="n">
        <v>44441</v>
      </c>
      <c r="C277" s="1" t="n">
        <v>45510</v>
      </c>
      <c r="D277" t="inlineStr">
        <is>
          <t>DALARNAS LÄN</t>
        </is>
      </c>
      <c r="E277" t="inlineStr">
        <is>
          <t>LUDVIKA</t>
        </is>
      </c>
      <c r="G277" t="n">
        <v>1.2</v>
      </c>
      <c r="H277" t="n">
        <v>0</v>
      </c>
      <c r="I277" t="n">
        <v>0</v>
      </c>
      <c r="J277" t="n">
        <v>0</v>
      </c>
      <c r="K277" t="n">
        <v>0</v>
      </c>
      <c r="L277" t="n">
        <v>0</v>
      </c>
      <c r="M277" t="n">
        <v>0</v>
      </c>
      <c r="N277" t="n">
        <v>0</v>
      </c>
      <c r="O277" t="n">
        <v>0</v>
      </c>
      <c r="P277" t="n">
        <v>0</v>
      </c>
      <c r="Q277" t="n">
        <v>0</v>
      </c>
      <c r="R277" s="2" t="inlineStr"/>
    </row>
    <row r="278" ht="15" customHeight="1">
      <c r="A278" t="inlineStr">
        <is>
          <t>A 47216-2021</t>
        </is>
      </c>
      <c r="B278" s="1" t="n">
        <v>44447</v>
      </c>
      <c r="C278" s="1" t="n">
        <v>45510</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48003-2021</t>
        </is>
      </c>
      <c r="B279" s="1" t="n">
        <v>44449</v>
      </c>
      <c r="C279" s="1" t="n">
        <v>45510</v>
      </c>
      <c r="D279" t="inlineStr">
        <is>
          <t>DALARNAS LÄN</t>
        </is>
      </c>
      <c r="E279" t="inlineStr">
        <is>
          <t>LUDVIKA</t>
        </is>
      </c>
      <c r="F279" t="inlineStr">
        <is>
          <t>Naturvårdsverket</t>
        </is>
      </c>
      <c r="G279" t="n">
        <v>0.8</v>
      </c>
      <c r="H279" t="n">
        <v>0</v>
      </c>
      <c r="I279" t="n">
        <v>0</v>
      </c>
      <c r="J279" t="n">
        <v>0</v>
      </c>
      <c r="K279" t="n">
        <v>0</v>
      </c>
      <c r="L279" t="n">
        <v>0</v>
      </c>
      <c r="M279" t="n">
        <v>0</v>
      </c>
      <c r="N279" t="n">
        <v>0</v>
      </c>
      <c r="O279" t="n">
        <v>0</v>
      </c>
      <c r="P279" t="n">
        <v>0</v>
      </c>
      <c r="Q279" t="n">
        <v>0</v>
      </c>
      <c r="R279" s="2" t="inlineStr"/>
    </row>
    <row r="280" ht="15" customHeight="1">
      <c r="A280" t="inlineStr">
        <is>
          <t>A 48580-2021</t>
        </is>
      </c>
      <c r="B280" s="1" t="n">
        <v>44452</v>
      </c>
      <c r="C280" s="1" t="n">
        <v>45510</v>
      </c>
      <c r="D280" t="inlineStr">
        <is>
          <t>DALARNAS LÄN</t>
        </is>
      </c>
      <c r="E280" t="inlineStr">
        <is>
          <t>LUDVIKA</t>
        </is>
      </c>
      <c r="G280" t="n">
        <v>1.3</v>
      </c>
      <c r="H280" t="n">
        <v>0</v>
      </c>
      <c r="I280" t="n">
        <v>0</v>
      </c>
      <c r="J280" t="n">
        <v>0</v>
      </c>
      <c r="K280" t="n">
        <v>0</v>
      </c>
      <c r="L280" t="n">
        <v>0</v>
      </c>
      <c r="M280" t="n">
        <v>0</v>
      </c>
      <c r="N280" t="n">
        <v>0</v>
      </c>
      <c r="O280" t="n">
        <v>0</v>
      </c>
      <c r="P280" t="n">
        <v>0</v>
      </c>
      <c r="Q280" t="n">
        <v>0</v>
      </c>
      <c r="R280" s="2" t="inlineStr"/>
    </row>
    <row r="281" ht="15" customHeight="1">
      <c r="A281" t="inlineStr">
        <is>
          <t>A 48942-2021</t>
        </is>
      </c>
      <c r="B281" s="1" t="n">
        <v>44453</v>
      </c>
      <c r="C281" s="1" t="n">
        <v>45510</v>
      </c>
      <c r="D281" t="inlineStr">
        <is>
          <t>DALARNAS LÄN</t>
        </is>
      </c>
      <c r="E281" t="inlineStr">
        <is>
          <t>LUDVIKA</t>
        </is>
      </c>
      <c r="F281" t="inlineStr">
        <is>
          <t>Naturvårdsverket</t>
        </is>
      </c>
      <c r="G281" t="n">
        <v>1.4</v>
      </c>
      <c r="H281" t="n">
        <v>0</v>
      </c>
      <c r="I281" t="n">
        <v>0</v>
      </c>
      <c r="J281" t="n">
        <v>0</v>
      </c>
      <c r="K281" t="n">
        <v>0</v>
      </c>
      <c r="L281" t="n">
        <v>0</v>
      </c>
      <c r="M281" t="n">
        <v>0</v>
      </c>
      <c r="N281" t="n">
        <v>0</v>
      </c>
      <c r="O281" t="n">
        <v>0</v>
      </c>
      <c r="P281" t="n">
        <v>0</v>
      </c>
      <c r="Q281" t="n">
        <v>0</v>
      </c>
      <c r="R281" s="2" t="inlineStr"/>
    </row>
    <row r="282" ht="15" customHeight="1">
      <c r="A282" t="inlineStr">
        <is>
          <t>A 50004-2021</t>
        </is>
      </c>
      <c r="B282" s="1" t="n">
        <v>44456</v>
      </c>
      <c r="C282" s="1" t="n">
        <v>45510</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49977-2021</t>
        </is>
      </c>
      <c r="B283" s="1" t="n">
        <v>44456</v>
      </c>
      <c r="C283" s="1" t="n">
        <v>45510</v>
      </c>
      <c r="D283" t="inlineStr">
        <is>
          <t>DALARNAS LÄN</t>
        </is>
      </c>
      <c r="E283" t="inlineStr">
        <is>
          <t>LUDVIKA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50273-2021</t>
        </is>
      </c>
      <c r="B284" s="1" t="n">
        <v>44459</v>
      </c>
      <c r="C284" s="1" t="n">
        <v>45510</v>
      </c>
      <c r="D284" t="inlineStr">
        <is>
          <t>DALARNAS LÄN</t>
        </is>
      </c>
      <c r="E284" t="inlineStr">
        <is>
          <t>LUDVIKA</t>
        </is>
      </c>
      <c r="F284" t="inlineStr">
        <is>
          <t>Bergvik skog väst AB</t>
        </is>
      </c>
      <c r="G284" t="n">
        <v>0.8</v>
      </c>
      <c r="H284" t="n">
        <v>0</v>
      </c>
      <c r="I284" t="n">
        <v>0</v>
      </c>
      <c r="J284" t="n">
        <v>0</v>
      </c>
      <c r="K284" t="n">
        <v>0</v>
      </c>
      <c r="L284" t="n">
        <v>0</v>
      </c>
      <c r="M284" t="n">
        <v>0</v>
      </c>
      <c r="N284" t="n">
        <v>0</v>
      </c>
      <c r="O284" t="n">
        <v>0</v>
      </c>
      <c r="P284" t="n">
        <v>0</v>
      </c>
      <c r="Q284" t="n">
        <v>0</v>
      </c>
      <c r="R284" s="2" t="inlineStr"/>
    </row>
    <row r="285" ht="15" customHeight="1">
      <c r="A285" t="inlineStr">
        <is>
          <t>A 50347-2021</t>
        </is>
      </c>
      <c r="B285" s="1" t="n">
        <v>44459</v>
      </c>
      <c r="C285" s="1" t="n">
        <v>45510</v>
      </c>
      <c r="D285" t="inlineStr">
        <is>
          <t>DALARNAS LÄN</t>
        </is>
      </c>
      <c r="E285" t="inlineStr">
        <is>
          <t>LUDVIKA</t>
        </is>
      </c>
      <c r="G285" t="n">
        <v>1.1</v>
      </c>
      <c r="H285" t="n">
        <v>0</v>
      </c>
      <c r="I285" t="n">
        <v>0</v>
      </c>
      <c r="J285" t="n">
        <v>0</v>
      </c>
      <c r="K285" t="n">
        <v>0</v>
      </c>
      <c r="L285" t="n">
        <v>0</v>
      </c>
      <c r="M285" t="n">
        <v>0</v>
      </c>
      <c r="N285" t="n">
        <v>0</v>
      </c>
      <c r="O285" t="n">
        <v>0</v>
      </c>
      <c r="P285" t="n">
        <v>0</v>
      </c>
      <c r="Q285" t="n">
        <v>0</v>
      </c>
      <c r="R285" s="2" t="inlineStr"/>
    </row>
    <row r="286" ht="15" customHeight="1">
      <c r="A286" t="inlineStr">
        <is>
          <t>A 50995-2021</t>
        </is>
      </c>
      <c r="B286" s="1" t="n">
        <v>44460</v>
      </c>
      <c r="C286" s="1" t="n">
        <v>45510</v>
      </c>
      <c r="D286" t="inlineStr">
        <is>
          <t>DALARNAS LÄN</t>
        </is>
      </c>
      <c r="E286" t="inlineStr">
        <is>
          <t>LUDVIKA</t>
        </is>
      </c>
      <c r="G286" t="n">
        <v>0.9</v>
      </c>
      <c r="H286" t="n">
        <v>0</v>
      </c>
      <c r="I286" t="n">
        <v>0</v>
      </c>
      <c r="J286" t="n">
        <v>0</v>
      </c>
      <c r="K286" t="n">
        <v>0</v>
      </c>
      <c r="L286" t="n">
        <v>0</v>
      </c>
      <c r="M286" t="n">
        <v>0</v>
      </c>
      <c r="N286" t="n">
        <v>0</v>
      </c>
      <c r="O286" t="n">
        <v>0</v>
      </c>
      <c r="P286" t="n">
        <v>0</v>
      </c>
      <c r="Q286" t="n">
        <v>0</v>
      </c>
      <c r="R286" s="2" t="inlineStr"/>
    </row>
    <row r="287" ht="15" customHeight="1">
      <c r="A287" t="inlineStr">
        <is>
          <t>A 51485-2021</t>
        </is>
      </c>
      <c r="B287" s="1" t="n">
        <v>44462</v>
      </c>
      <c r="C287" s="1" t="n">
        <v>45510</v>
      </c>
      <c r="D287" t="inlineStr">
        <is>
          <t>DALARNAS LÄN</t>
        </is>
      </c>
      <c r="E287" t="inlineStr">
        <is>
          <t>LUDVIKA</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54279-2021</t>
        </is>
      </c>
      <c r="B288" s="1" t="n">
        <v>44470</v>
      </c>
      <c r="C288" s="1" t="n">
        <v>45510</v>
      </c>
      <c r="D288" t="inlineStr">
        <is>
          <t>DALARNAS LÄN</t>
        </is>
      </c>
      <c r="E288" t="inlineStr">
        <is>
          <t>LUDVIKA</t>
        </is>
      </c>
      <c r="G288" t="n">
        <v>1.1</v>
      </c>
      <c r="H288" t="n">
        <v>0</v>
      </c>
      <c r="I288" t="n">
        <v>0</v>
      </c>
      <c r="J288" t="n">
        <v>0</v>
      </c>
      <c r="K288" t="n">
        <v>0</v>
      </c>
      <c r="L288" t="n">
        <v>0</v>
      </c>
      <c r="M288" t="n">
        <v>0</v>
      </c>
      <c r="N288" t="n">
        <v>0</v>
      </c>
      <c r="O288" t="n">
        <v>0</v>
      </c>
      <c r="P288" t="n">
        <v>0</v>
      </c>
      <c r="Q288" t="n">
        <v>0</v>
      </c>
      <c r="R288" s="2" t="inlineStr"/>
    </row>
    <row r="289" ht="15" customHeight="1">
      <c r="A289" t="inlineStr">
        <is>
          <t>A 55633-2021</t>
        </is>
      </c>
      <c r="B289" s="1" t="n">
        <v>44476</v>
      </c>
      <c r="C289" s="1" t="n">
        <v>45510</v>
      </c>
      <c r="D289" t="inlineStr">
        <is>
          <t>DALARNAS LÄN</t>
        </is>
      </c>
      <c r="E289" t="inlineStr">
        <is>
          <t>LUDVIKA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56113-2021</t>
        </is>
      </c>
      <c r="B290" s="1" t="n">
        <v>44477</v>
      </c>
      <c r="C290" s="1" t="n">
        <v>45510</v>
      </c>
      <c r="D290" t="inlineStr">
        <is>
          <t>DALARNAS LÄN</t>
        </is>
      </c>
      <c r="E290" t="inlineStr">
        <is>
          <t>LUDVIKA</t>
        </is>
      </c>
      <c r="F290" t="inlineStr">
        <is>
          <t>Bergvik skog väst AB</t>
        </is>
      </c>
      <c r="G290" t="n">
        <v>6.5</v>
      </c>
      <c r="H290" t="n">
        <v>0</v>
      </c>
      <c r="I290" t="n">
        <v>0</v>
      </c>
      <c r="J290" t="n">
        <v>0</v>
      </c>
      <c r="K290" t="n">
        <v>0</v>
      </c>
      <c r="L290" t="n">
        <v>0</v>
      </c>
      <c r="M290" t="n">
        <v>0</v>
      </c>
      <c r="N290" t="n">
        <v>0</v>
      </c>
      <c r="O290" t="n">
        <v>0</v>
      </c>
      <c r="P290" t="n">
        <v>0</v>
      </c>
      <c r="Q290" t="n">
        <v>0</v>
      </c>
      <c r="R290" s="2" t="inlineStr"/>
    </row>
    <row r="291" ht="15" customHeight="1">
      <c r="A291" t="inlineStr">
        <is>
          <t>A 56119-2021</t>
        </is>
      </c>
      <c r="B291" s="1" t="n">
        <v>44477</v>
      </c>
      <c r="C291" s="1" t="n">
        <v>45510</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56996-2021</t>
        </is>
      </c>
      <c r="B292" s="1" t="n">
        <v>44482</v>
      </c>
      <c r="C292" s="1" t="n">
        <v>45510</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57076-2021</t>
        </is>
      </c>
      <c r="B293" s="1" t="n">
        <v>44482</v>
      </c>
      <c r="C293" s="1" t="n">
        <v>45510</v>
      </c>
      <c r="D293" t="inlineStr">
        <is>
          <t>DALARNAS LÄN</t>
        </is>
      </c>
      <c r="E293" t="inlineStr">
        <is>
          <t>LUDVIKA</t>
        </is>
      </c>
      <c r="G293" t="n">
        <v>4.7</v>
      </c>
      <c r="H293" t="n">
        <v>0</v>
      </c>
      <c r="I293" t="n">
        <v>0</v>
      </c>
      <c r="J293" t="n">
        <v>0</v>
      </c>
      <c r="K293" t="n">
        <v>0</v>
      </c>
      <c r="L293" t="n">
        <v>0</v>
      </c>
      <c r="M293" t="n">
        <v>0</v>
      </c>
      <c r="N293" t="n">
        <v>0</v>
      </c>
      <c r="O293" t="n">
        <v>0</v>
      </c>
      <c r="P293" t="n">
        <v>0</v>
      </c>
      <c r="Q293" t="n">
        <v>0</v>
      </c>
      <c r="R293" s="2" t="inlineStr"/>
    </row>
    <row r="294" ht="15" customHeight="1">
      <c r="A294" t="inlineStr">
        <is>
          <t>A 57002-2021</t>
        </is>
      </c>
      <c r="B294" s="1" t="n">
        <v>44482</v>
      </c>
      <c r="C294" s="1" t="n">
        <v>45510</v>
      </c>
      <c r="D294" t="inlineStr">
        <is>
          <t>DALARNAS LÄN</t>
        </is>
      </c>
      <c r="E294" t="inlineStr">
        <is>
          <t>LUDVIKA</t>
        </is>
      </c>
      <c r="G294" t="n">
        <v>3.5</v>
      </c>
      <c r="H294" t="n">
        <v>0</v>
      </c>
      <c r="I294" t="n">
        <v>0</v>
      </c>
      <c r="J294" t="n">
        <v>0</v>
      </c>
      <c r="K294" t="n">
        <v>0</v>
      </c>
      <c r="L294" t="n">
        <v>0</v>
      </c>
      <c r="M294" t="n">
        <v>0</v>
      </c>
      <c r="N294" t="n">
        <v>0</v>
      </c>
      <c r="O294" t="n">
        <v>0</v>
      </c>
      <c r="P294" t="n">
        <v>0</v>
      </c>
      <c r="Q294" t="n">
        <v>0</v>
      </c>
      <c r="R294" s="2" t="inlineStr"/>
    </row>
    <row r="295" ht="15" customHeight="1">
      <c r="A295" t="inlineStr">
        <is>
          <t>A 62152-2021</t>
        </is>
      </c>
      <c r="B295" s="1" t="n">
        <v>44502</v>
      </c>
      <c r="C295" s="1" t="n">
        <v>45510</v>
      </c>
      <c r="D295" t="inlineStr">
        <is>
          <t>DALARNAS LÄN</t>
        </is>
      </c>
      <c r="E295" t="inlineStr">
        <is>
          <t>LUDVIKA</t>
        </is>
      </c>
      <c r="G295" t="n">
        <v>6.1</v>
      </c>
      <c r="H295" t="n">
        <v>0</v>
      </c>
      <c r="I295" t="n">
        <v>0</v>
      </c>
      <c r="J295" t="n">
        <v>0</v>
      </c>
      <c r="K295" t="n">
        <v>0</v>
      </c>
      <c r="L295" t="n">
        <v>0</v>
      </c>
      <c r="M295" t="n">
        <v>0</v>
      </c>
      <c r="N295" t="n">
        <v>0</v>
      </c>
      <c r="O295" t="n">
        <v>0</v>
      </c>
      <c r="P295" t="n">
        <v>0</v>
      </c>
      <c r="Q295" t="n">
        <v>0</v>
      </c>
      <c r="R295" s="2" t="inlineStr"/>
    </row>
    <row r="296" ht="15" customHeight="1">
      <c r="A296" t="inlineStr">
        <is>
          <t>A 62467-2021</t>
        </is>
      </c>
      <c r="B296" s="1" t="n">
        <v>44503</v>
      </c>
      <c r="C296" s="1" t="n">
        <v>45510</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63267-2021</t>
        </is>
      </c>
      <c r="B297" s="1" t="n">
        <v>44508</v>
      </c>
      <c r="C297" s="1" t="n">
        <v>45510</v>
      </c>
      <c r="D297" t="inlineStr">
        <is>
          <t>DALARNAS LÄN</t>
        </is>
      </c>
      <c r="E297" t="inlineStr">
        <is>
          <t>LUDVIKA</t>
        </is>
      </c>
      <c r="F297" t="inlineStr">
        <is>
          <t>Bergvik skog väst AB</t>
        </is>
      </c>
      <c r="G297" t="n">
        <v>0.2</v>
      </c>
      <c r="H297" t="n">
        <v>0</v>
      </c>
      <c r="I297" t="n">
        <v>0</v>
      </c>
      <c r="J297" t="n">
        <v>0</v>
      </c>
      <c r="K297" t="n">
        <v>0</v>
      </c>
      <c r="L297" t="n">
        <v>0</v>
      </c>
      <c r="M297" t="n">
        <v>0</v>
      </c>
      <c r="N297" t="n">
        <v>0</v>
      </c>
      <c r="O297" t="n">
        <v>0</v>
      </c>
      <c r="P297" t="n">
        <v>0</v>
      </c>
      <c r="Q297" t="n">
        <v>0</v>
      </c>
      <c r="R297" s="2" t="inlineStr"/>
    </row>
    <row r="298" ht="15" customHeight="1">
      <c r="A298" t="inlineStr">
        <is>
          <t>A 65195-2021</t>
        </is>
      </c>
      <c r="B298" s="1" t="n">
        <v>44515</v>
      </c>
      <c r="C298" s="1" t="n">
        <v>45510</v>
      </c>
      <c r="D298" t="inlineStr">
        <is>
          <t>DALARNAS LÄN</t>
        </is>
      </c>
      <c r="E298" t="inlineStr">
        <is>
          <t>LUDVIKA</t>
        </is>
      </c>
      <c r="F298" t="inlineStr">
        <is>
          <t>Bergvik skog väst AB</t>
        </is>
      </c>
      <c r="G298" t="n">
        <v>0.5</v>
      </c>
      <c r="H298" t="n">
        <v>0</v>
      </c>
      <c r="I298" t="n">
        <v>0</v>
      </c>
      <c r="J298" t="n">
        <v>0</v>
      </c>
      <c r="K298" t="n">
        <v>0</v>
      </c>
      <c r="L298" t="n">
        <v>0</v>
      </c>
      <c r="M298" t="n">
        <v>0</v>
      </c>
      <c r="N298" t="n">
        <v>0</v>
      </c>
      <c r="O298" t="n">
        <v>0</v>
      </c>
      <c r="P298" t="n">
        <v>0</v>
      </c>
      <c r="Q298" t="n">
        <v>0</v>
      </c>
      <c r="R298" s="2" t="inlineStr"/>
    </row>
    <row r="299" ht="15" customHeight="1">
      <c r="A299" t="inlineStr">
        <is>
          <t>A 65699-2021</t>
        </is>
      </c>
      <c r="B299" s="1" t="n">
        <v>44516</v>
      </c>
      <c r="C299" s="1" t="n">
        <v>45510</v>
      </c>
      <c r="D299" t="inlineStr">
        <is>
          <t>DALARNAS LÄN</t>
        </is>
      </c>
      <c r="E299" t="inlineStr">
        <is>
          <t>LUDVIKA</t>
        </is>
      </c>
      <c r="G299" t="n">
        <v>1.4</v>
      </c>
      <c r="H299" t="n">
        <v>0</v>
      </c>
      <c r="I299" t="n">
        <v>0</v>
      </c>
      <c r="J299" t="n">
        <v>0</v>
      </c>
      <c r="K299" t="n">
        <v>0</v>
      </c>
      <c r="L299" t="n">
        <v>0</v>
      </c>
      <c r="M299" t="n">
        <v>0</v>
      </c>
      <c r="N299" t="n">
        <v>0</v>
      </c>
      <c r="O299" t="n">
        <v>0</v>
      </c>
      <c r="P299" t="n">
        <v>0</v>
      </c>
      <c r="Q299" t="n">
        <v>0</v>
      </c>
      <c r="R299" s="2" t="inlineStr"/>
    </row>
    <row r="300" ht="15" customHeight="1">
      <c r="A300" t="inlineStr">
        <is>
          <t>A 65667-2021</t>
        </is>
      </c>
      <c r="B300" s="1" t="n">
        <v>44516</v>
      </c>
      <c r="C300" s="1" t="n">
        <v>45510</v>
      </c>
      <c r="D300" t="inlineStr">
        <is>
          <t>DALARNAS LÄN</t>
        </is>
      </c>
      <c r="E300" t="inlineStr">
        <is>
          <t>LUDVIKA</t>
        </is>
      </c>
      <c r="G300" t="n">
        <v>1.5</v>
      </c>
      <c r="H300" t="n">
        <v>0</v>
      </c>
      <c r="I300" t="n">
        <v>0</v>
      </c>
      <c r="J300" t="n">
        <v>0</v>
      </c>
      <c r="K300" t="n">
        <v>0</v>
      </c>
      <c r="L300" t="n">
        <v>0</v>
      </c>
      <c r="M300" t="n">
        <v>0</v>
      </c>
      <c r="N300" t="n">
        <v>0</v>
      </c>
      <c r="O300" t="n">
        <v>0</v>
      </c>
      <c r="P300" t="n">
        <v>0</v>
      </c>
      <c r="Q300" t="n">
        <v>0</v>
      </c>
      <c r="R300" s="2" t="inlineStr"/>
    </row>
    <row r="301" ht="15" customHeight="1">
      <c r="A301" t="inlineStr">
        <is>
          <t>A 65685-2021</t>
        </is>
      </c>
      <c r="B301" s="1" t="n">
        <v>44516</v>
      </c>
      <c r="C301" s="1" t="n">
        <v>45510</v>
      </c>
      <c r="D301" t="inlineStr">
        <is>
          <t>DALARNAS LÄN</t>
        </is>
      </c>
      <c r="E301" t="inlineStr">
        <is>
          <t>LUDVIKA</t>
        </is>
      </c>
      <c r="G301" t="n">
        <v>1</v>
      </c>
      <c r="H301" t="n">
        <v>0</v>
      </c>
      <c r="I301" t="n">
        <v>0</v>
      </c>
      <c r="J301" t="n">
        <v>0</v>
      </c>
      <c r="K301" t="n">
        <v>0</v>
      </c>
      <c r="L301" t="n">
        <v>0</v>
      </c>
      <c r="M301" t="n">
        <v>0</v>
      </c>
      <c r="N301" t="n">
        <v>0</v>
      </c>
      <c r="O301" t="n">
        <v>0</v>
      </c>
      <c r="P301" t="n">
        <v>0</v>
      </c>
      <c r="Q301" t="n">
        <v>0</v>
      </c>
      <c r="R301" s="2" t="inlineStr"/>
    </row>
    <row r="302" ht="15" customHeight="1">
      <c r="A302" t="inlineStr">
        <is>
          <t>A 70046-2021</t>
        </is>
      </c>
      <c r="B302" s="1" t="n">
        <v>44533</v>
      </c>
      <c r="C302" s="1" t="n">
        <v>45510</v>
      </c>
      <c r="D302" t="inlineStr">
        <is>
          <t>DALARNAS LÄN</t>
        </is>
      </c>
      <c r="E302" t="inlineStr">
        <is>
          <t>LUDVIKA</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70291-2021</t>
        </is>
      </c>
      <c r="B303" s="1" t="n">
        <v>44536</v>
      </c>
      <c r="C303" s="1" t="n">
        <v>45510</v>
      </c>
      <c r="D303" t="inlineStr">
        <is>
          <t>DALARNAS LÄN</t>
        </is>
      </c>
      <c r="E303" t="inlineStr">
        <is>
          <t>LUDVIKA</t>
        </is>
      </c>
      <c r="G303" t="n">
        <v>1</v>
      </c>
      <c r="H303" t="n">
        <v>0</v>
      </c>
      <c r="I303" t="n">
        <v>0</v>
      </c>
      <c r="J303" t="n">
        <v>0</v>
      </c>
      <c r="K303" t="n">
        <v>0</v>
      </c>
      <c r="L303" t="n">
        <v>0</v>
      </c>
      <c r="M303" t="n">
        <v>0</v>
      </c>
      <c r="N303" t="n">
        <v>0</v>
      </c>
      <c r="O303" t="n">
        <v>0</v>
      </c>
      <c r="P303" t="n">
        <v>0</v>
      </c>
      <c r="Q303" t="n">
        <v>0</v>
      </c>
      <c r="R303" s="2" t="inlineStr"/>
    </row>
    <row r="304" ht="15" customHeight="1">
      <c r="A304" t="inlineStr">
        <is>
          <t>A 71639-2021</t>
        </is>
      </c>
      <c r="B304" s="1" t="n">
        <v>44543</v>
      </c>
      <c r="C304" s="1" t="n">
        <v>45510</v>
      </c>
      <c r="D304" t="inlineStr">
        <is>
          <t>DALARNAS LÄN</t>
        </is>
      </c>
      <c r="E304" t="inlineStr">
        <is>
          <t>LUDVIKA</t>
        </is>
      </c>
      <c r="F304" t="inlineStr">
        <is>
          <t>Naturvårdsverket</t>
        </is>
      </c>
      <c r="G304" t="n">
        <v>2.2</v>
      </c>
      <c r="H304" t="n">
        <v>0</v>
      </c>
      <c r="I304" t="n">
        <v>0</v>
      </c>
      <c r="J304" t="n">
        <v>0</v>
      </c>
      <c r="K304" t="n">
        <v>0</v>
      </c>
      <c r="L304" t="n">
        <v>0</v>
      </c>
      <c r="M304" t="n">
        <v>0</v>
      </c>
      <c r="N304" t="n">
        <v>0</v>
      </c>
      <c r="O304" t="n">
        <v>0</v>
      </c>
      <c r="P304" t="n">
        <v>0</v>
      </c>
      <c r="Q304" t="n">
        <v>0</v>
      </c>
      <c r="R304" s="2" t="inlineStr"/>
    </row>
    <row r="305" ht="15" customHeight="1">
      <c r="A305" t="inlineStr">
        <is>
          <t>A 73167-2021</t>
        </is>
      </c>
      <c r="B305" s="1" t="n">
        <v>44550</v>
      </c>
      <c r="C305" s="1" t="n">
        <v>45510</v>
      </c>
      <c r="D305" t="inlineStr">
        <is>
          <t>DALARNAS LÄN</t>
        </is>
      </c>
      <c r="E305" t="inlineStr">
        <is>
          <t>LUDVIKA</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73703-2021</t>
        </is>
      </c>
      <c r="B306" s="1" t="n">
        <v>44552</v>
      </c>
      <c r="C306" s="1" t="n">
        <v>45510</v>
      </c>
      <c r="D306" t="inlineStr">
        <is>
          <t>DALARNAS LÄN</t>
        </is>
      </c>
      <c r="E306" t="inlineStr">
        <is>
          <t>LUDVIKA</t>
        </is>
      </c>
      <c r="G306" t="n">
        <v>0.5</v>
      </c>
      <c r="H306" t="n">
        <v>0</v>
      </c>
      <c r="I306" t="n">
        <v>0</v>
      </c>
      <c r="J306" t="n">
        <v>0</v>
      </c>
      <c r="K306" t="n">
        <v>0</v>
      </c>
      <c r="L306" t="n">
        <v>0</v>
      </c>
      <c r="M306" t="n">
        <v>0</v>
      </c>
      <c r="N306" t="n">
        <v>0</v>
      </c>
      <c r="O306" t="n">
        <v>0</v>
      </c>
      <c r="P306" t="n">
        <v>0</v>
      </c>
      <c r="Q306" t="n">
        <v>0</v>
      </c>
      <c r="R306" s="2" t="inlineStr"/>
    </row>
    <row r="307" ht="15" customHeight="1">
      <c r="A307" t="inlineStr">
        <is>
          <t>A 74427-2021</t>
        </is>
      </c>
      <c r="B307" s="1" t="n">
        <v>44560</v>
      </c>
      <c r="C307" s="1" t="n">
        <v>45510</v>
      </c>
      <c r="D307" t="inlineStr">
        <is>
          <t>DALARNAS LÄN</t>
        </is>
      </c>
      <c r="E307" t="inlineStr">
        <is>
          <t>LUDVIKA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74432-2021</t>
        </is>
      </c>
      <c r="B308" s="1" t="n">
        <v>44560</v>
      </c>
      <c r="C308" s="1" t="n">
        <v>45510</v>
      </c>
      <c r="D308" t="inlineStr">
        <is>
          <t>DALARNAS LÄN</t>
        </is>
      </c>
      <c r="E308" t="inlineStr">
        <is>
          <t>LUDVIKA</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1299-2022</t>
        </is>
      </c>
      <c r="B309" s="1" t="n">
        <v>44572</v>
      </c>
      <c r="C309" s="1" t="n">
        <v>45510</v>
      </c>
      <c r="D309" t="inlineStr">
        <is>
          <t>DALARNAS LÄN</t>
        </is>
      </c>
      <c r="E309" t="inlineStr">
        <is>
          <t>LUDVIKA</t>
        </is>
      </c>
      <c r="G309" t="n">
        <v>0.8</v>
      </c>
      <c r="H309" t="n">
        <v>0</v>
      </c>
      <c r="I309" t="n">
        <v>0</v>
      </c>
      <c r="J309" t="n">
        <v>0</v>
      </c>
      <c r="K309" t="n">
        <v>0</v>
      </c>
      <c r="L309" t="n">
        <v>0</v>
      </c>
      <c r="M309" t="n">
        <v>0</v>
      </c>
      <c r="N309" t="n">
        <v>0</v>
      </c>
      <c r="O309" t="n">
        <v>0</v>
      </c>
      <c r="P309" t="n">
        <v>0</v>
      </c>
      <c r="Q309" t="n">
        <v>0</v>
      </c>
      <c r="R309" s="2" t="inlineStr"/>
    </row>
    <row r="310" ht="15" customHeight="1">
      <c r="A310" t="inlineStr">
        <is>
          <t>A 2422-2022</t>
        </is>
      </c>
      <c r="B310" s="1" t="n">
        <v>44579</v>
      </c>
      <c r="C310" s="1" t="n">
        <v>45510</v>
      </c>
      <c r="D310" t="inlineStr">
        <is>
          <t>DALARNAS LÄN</t>
        </is>
      </c>
      <c r="E310" t="inlineStr">
        <is>
          <t>LUDVIKA</t>
        </is>
      </c>
      <c r="G310" t="n">
        <v>2.3</v>
      </c>
      <c r="H310" t="n">
        <v>0</v>
      </c>
      <c r="I310" t="n">
        <v>0</v>
      </c>
      <c r="J310" t="n">
        <v>0</v>
      </c>
      <c r="K310" t="n">
        <v>0</v>
      </c>
      <c r="L310" t="n">
        <v>0</v>
      </c>
      <c r="M310" t="n">
        <v>0</v>
      </c>
      <c r="N310" t="n">
        <v>0</v>
      </c>
      <c r="O310" t="n">
        <v>0</v>
      </c>
      <c r="P310" t="n">
        <v>0</v>
      </c>
      <c r="Q310" t="n">
        <v>0</v>
      </c>
      <c r="R310" s="2" t="inlineStr"/>
    </row>
    <row r="311" ht="15" customHeight="1">
      <c r="A311" t="inlineStr">
        <is>
          <t>A 2491-2022</t>
        </is>
      </c>
      <c r="B311" s="1" t="n">
        <v>44579</v>
      </c>
      <c r="C311" s="1" t="n">
        <v>45510</v>
      </c>
      <c r="D311" t="inlineStr">
        <is>
          <t>DALARNAS LÄN</t>
        </is>
      </c>
      <c r="E311" t="inlineStr">
        <is>
          <t>LUDVIKA</t>
        </is>
      </c>
      <c r="G311" t="n">
        <v>2.8</v>
      </c>
      <c r="H311" t="n">
        <v>0</v>
      </c>
      <c r="I311" t="n">
        <v>0</v>
      </c>
      <c r="J311" t="n">
        <v>0</v>
      </c>
      <c r="K311" t="n">
        <v>0</v>
      </c>
      <c r="L311" t="n">
        <v>0</v>
      </c>
      <c r="M311" t="n">
        <v>0</v>
      </c>
      <c r="N311" t="n">
        <v>0</v>
      </c>
      <c r="O311" t="n">
        <v>0</v>
      </c>
      <c r="P311" t="n">
        <v>0</v>
      </c>
      <c r="Q311" t="n">
        <v>0</v>
      </c>
      <c r="R311" s="2" t="inlineStr"/>
    </row>
    <row r="312" ht="15" customHeight="1">
      <c r="A312" t="inlineStr">
        <is>
          <t>A 2838-2022</t>
        </is>
      </c>
      <c r="B312" s="1" t="n">
        <v>44581</v>
      </c>
      <c r="C312" s="1" t="n">
        <v>45510</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4551-2022</t>
        </is>
      </c>
      <c r="B313" s="1" t="n">
        <v>44590</v>
      </c>
      <c r="C313" s="1" t="n">
        <v>45510</v>
      </c>
      <c r="D313" t="inlineStr">
        <is>
          <t>DALARNAS LÄN</t>
        </is>
      </c>
      <c r="E313" t="inlineStr">
        <is>
          <t>LUDVIKA</t>
        </is>
      </c>
      <c r="G313" t="n">
        <v>1.1</v>
      </c>
      <c r="H313" t="n">
        <v>0</v>
      </c>
      <c r="I313" t="n">
        <v>0</v>
      </c>
      <c r="J313" t="n">
        <v>0</v>
      </c>
      <c r="K313" t="n">
        <v>0</v>
      </c>
      <c r="L313" t="n">
        <v>0</v>
      </c>
      <c r="M313" t="n">
        <v>0</v>
      </c>
      <c r="N313" t="n">
        <v>0</v>
      </c>
      <c r="O313" t="n">
        <v>0</v>
      </c>
      <c r="P313" t="n">
        <v>0</v>
      </c>
      <c r="Q313" t="n">
        <v>0</v>
      </c>
      <c r="R313" s="2" t="inlineStr"/>
    </row>
    <row r="314" ht="15" customHeight="1">
      <c r="A314" t="inlineStr">
        <is>
          <t>A 5970-2022</t>
        </is>
      </c>
      <c r="B314" s="1" t="n">
        <v>44599</v>
      </c>
      <c r="C314" s="1" t="n">
        <v>45510</v>
      </c>
      <c r="D314" t="inlineStr">
        <is>
          <t>DALARNAS LÄN</t>
        </is>
      </c>
      <c r="E314" t="inlineStr">
        <is>
          <t>LUDVIKA</t>
        </is>
      </c>
      <c r="G314" t="n">
        <v>8.4</v>
      </c>
      <c r="H314" t="n">
        <v>0</v>
      </c>
      <c r="I314" t="n">
        <v>0</v>
      </c>
      <c r="J314" t="n">
        <v>0</v>
      </c>
      <c r="K314" t="n">
        <v>0</v>
      </c>
      <c r="L314" t="n">
        <v>0</v>
      </c>
      <c r="M314" t="n">
        <v>0</v>
      </c>
      <c r="N314" t="n">
        <v>0</v>
      </c>
      <c r="O314" t="n">
        <v>0</v>
      </c>
      <c r="P314" t="n">
        <v>0</v>
      </c>
      <c r="Q314" t="n">
        <v>0</v>
      </c>
      <c r="R314" s="2" t="inlineStr"/>
    </row>
    <row r="315" ht="15" customHeight="1">
      <c r="A315" t="inlineStr">
        <is>
          <t>A 6364-2022</t>
        </is>
      </c>
      <c r="B315" s="1" t="n">
        <v>44600</v>
      </c>
      <c r="C315" s="1" t="n">
        <v>45510</v>
      </c>
      <c r="D315" t="inlineStr">
        <is>
          <t>DALARNAS LÄN</t>
        </is>
      </c>
      <c r="E315" t="inlineStr">
        <is>
          <t>LUDVIKA</t>
        </is>
      </c>
      <c r="F315" t="inlineStr">
        <is>
          <t>Övriga Aktiebolag</t>
        </is>
      </c>
      <c r="G315" t="n">
        <v>52.3</v>
      </c>
      <c r="H315" t="n">
        <v>0</v>
      </c>
      <c r="I315" t="n">
        <v>0</v>
      </c>
      <c r="J315" t="n">
        <v>0</v>
      </c>
      <c r="K315" t="n">
        <v>0</v>
      </c>
      <c r="L315" t="n">
        <v>0</v>
      </c>
      <c r="M315" t="n">
        <v>0</v>
      </c>
      <c r="N315" t="n">
        <v>0</v>
      </c>
      <c r="O315" t="n">
        <v>0</v>
      </c>
      <c r="P315" t="n">
        <v>0</v>
      </c>
      <c r="Q315" t="n">
        <v>0</v>
      </c>
      <c r="R315" s="2" t="inlineStr"/>
    </row>
    <row r="316" ht="15" customHeight="1">
      <c r="A316" t="inlineStr">
        <is>
          <t>A 6836-2022</t>
        </is>
      </c>
      <c r="B316" s="1" t="n">
        <v>44602</v>
      </c>
      <c r="C316" s="1" t="n">
        <v>45510</v>
      </c>
      <c r="D316" t="inlineStr">
        <is>
          <t>DALARNAS LÄN</t>
        </is>
      </c>
      <c r="E316" t="inlineStr">
        <is>
          <t>LUDVIKA</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7011-2022</t>
        </is>
      </c>
      <c r="B317" s="1" t="n">
        <v>44603</v>
      </c>
      <c r="C317" s="1" t="n">
        <v>45510</v>
      </c>
      <c r="D317" t="inlineStr">
        <is>
          <t>DALARNAS LÄN</t>
        </is>
      </c>
      <c r="E317" t="inlineStr">
        <is>
          <t>LUDVIKA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9464-2022</t>
        </is>
      </c>
      <c r="B318" s="1" t="n">
        <v>44616</v>
      </c>
      <c r="C318" s="1" t="n">
        <v>45510</v>
      </c>
      <c r="D318" t="inlineStr">
        <is>
          <t>DALARNAS LÄN</t>
        </is>
      </c>
      <c r="E318" t="inlineStr">
        <is>
          <t>LUDVIKA</t>
        </is>
      </c>
      <c r="G318" t="n">
        <v>4.1</v>
      </c>
      <c r="H318" t="n">
        <v>0</v>
      </c>
      <c r="I318" t="n">
        <v>0</v>
      </c>
      <c r="J318" t="n">
        <v>0</v>
      </c>
      <c r="K318" t="n">
        <v>0</v>
      </c>
      <c r="L318" t="n">
        <v>0</v>
      </c>
      <c r="M318" t="n">
        <v>0</v>
      </c>
      <c r="N318" t="n">
        <v>0</v>
      </c>
      <c r="O318" t="n">
        <v>0</v>
      </c>
      <c r="P318" t="n">
        <v>0</v>
      </c>
      <c r="Q318" t="n">
        <v>0</v>
      </c>
      <c r="R318" s="2" t="inlineStr"/>
    </row>
    <row r="319" ht="15" customHeight="1">
      <c r="A319" t="inlineStr">
        <is>
          <t>A 13051-2022</t>
        </is>
      </c>
      <c r="B319" s="1" t="n">
        <v>44643</v>
      </c>
      <c r="C319" s="1" t="n">
        <v>45510</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14387-2022</t>
        </is>
      </c>
      <c r="B320" s="1" t="n">
        <v>44652</v>
      </c>
      <c r="C320" s="1" t="n">
        <v>45510</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14872-2022</t>
        </is>
      </c>
      <c r="B321" s="1" t="n">
        <v>44656</v>
      </c>
      <c r="C321" s="1" t="n">
        <v>45510</v>
      </c>
      <c r="D321" t="inlineStr">
        <is>
          <t>DALARNAS LÄN</t>
        </is>
      </c>
      <c r="E321" t="inlineStr">
        <is>
          <t>LUDVIKA</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15145-2022</t>
        </is>
      </c>
      <c r="B322" s="1" t="n">
        <v>44658</v>
      </c>
      <c r="C322" s="1" t="n">
        <v>45510</v>
      </c>
      <c r="D322" t="inlineStr">
        <is>
          <t>DALARNAS LÄN</t>
        </is>
      </c>
      <c r="E322" t="inlineStr">
        <is>
          <t>LUDVIKA</t>
        </is>
      </c>
      <c r="G322" t="n">
        <v>3.7</v>
      </c>
      <c r="H322" t="n">
        <v>0</v>
      </c>
      <c r="I322" t="n">
        <v>0</v>
      </c>
      <c r="J322" t="n">
        <v>0</v>
      </c>
      <c r="K322" t="n">
        <v>0</v>
      </c>
      <c r="L322" t="n">
        <v>0</v>
      </c>
      <c r="M322" t="n">
        <v>0</v>
      </c>
      <c r="N322" t="n">
        <v>0</v>
      </c>
      <c r="O322" t="n">
        <v>0</v>
      </c>
      <c r="P322" t="n">
        <v>0</v>
      </c>
      <c r="Q322" t="n">
        <v>0</v>
      </c>
      <c r="R322" s="2" t="inlineStr"/>
    </row>
    <row r="323" ht="15" customHeight="1">
      <c r="A323" t="inlineStr">
        <is>
          <t>A 15617-2022</t>
        </is>
      </c>
      <c r="B323" s="1" t="n">
        <v>44662</v>
      </c>
      <c r="C323" s="1" t="n">
        <v>45510</v>
      </c>
      <c r="D323" t="inlineStr">
        <is>
          <t>DALARNAS LÄN</t>
        </is>
      </c>
      <c r="E323" t="inlineStr">
        <is>
          <t>LUDVIKA</t>
        </is>
      </c>
      <c r="F323" t="inlineStr">
        <is>
          <t>Bergvik skog väst AB</t>
        </is>
      </c>
      <c r="G323" t="n">
        <v>7.8</v>
      </c>
      <c r="H323" t="n">
        <v>0</v>
      </c>
      <c r="I323" t="n">
        <v>0</v>
      </c>
      <c r="J323" t="n">
        <v>0</v>
      </c>
      <c r="K323" t="n">
        <v>0</v>
      </c>
      <c r="L323" t="n">
        <v>0</v>
      </c>
      <c r="M323" t="n">
        <v>0</v>
      </c>
      <c r="N323" t="n">
        <v>0</v>
      </c>
      <c r="O323" t="n">
        <v>0</v>
      </c>
      <c r="P323" t="n">
        <v>0</v>
      </c>
      <c r="Q323" t="n">
        <v>0</v>
      </c>
      <c r="R323" s="2" t="inlineStr"/>
    </row>
    <row r="324" ht="15" customHeight="1">
      <c r="A324" t="inlineStr">
        <is>
          <t>A 17677-2022</t>
        </is>
      </c>
      <c r="B324" s="1" t="n">
        <v>44680</v>
      </c>
      <c r="C324" s="1" t="n">
        <v>45510</v>
      </c>
      <c r="D324" t="inlineStr">
        <is>
          <t>DALARNAS LÄN</t>
        </is>
      </c>
      <c r="E324" t="inlineStr">
        <is>
          <t>LUDVIKA</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18289-2022</t>
        </is>
      </c>
      <c r="B325" s="1" t="n">
        <v>44685</v>
      </c>
      <c r="C325" s="1" t="n">
        <v>45510</v>
      </c>
      <c r="D325" t="inlineStr">
        <is>
          <t>DALARNAS LÄN</t>
        </is>
      </c>
      <c r="E325" t="inlineStr">
        <is>
          <t>LUDVIKA</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18703-2022</t>
        </is>
      </c>
      <c r="B326" s="1" t="n">
        <v>44687</v>
      </c>
      <c r="C326" s="1" t="n">
        <v>45510</v>
      </c>
      <c r="D326" t="inlineStr">
        <is>
          <t>DALARNAS LÄN</t>
        </is>
      </c>
      <c r="E326" t="inlineStr">
        <is>
          <t>LUDVIKA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18724-2022</t>
        </is>
      </c>
      <c r="B327" s="1" t="n">
        <v>44687</v>
      </c>
      <c r="C327" s="1" t="n">
        <v>45510</v>
      </c>
      <c r="D327" t="inlineStr">
        <is>
          <t>DALARNAS LÄN</t>
        </is>
      </c>
      <c r="E327" t="inlineStr">
        <is>
          <t>LUDVIKA</t>
        </is>
      </c>
      <c r="G327" t="n">
        <v>4.3</v>
      </c>
      <c r="H327" t="n">
        <v>0</v>
      </c>
      <c r="I327" t="n">
        <v>0</v>
      </c>
      <c r="J327" t="n">
        <v>0</v>
      </c>
      <c r="K327" t="n">
        <v>0</v>
      </c>
      <c r="L327" t="n">
        <v>0</v>
      </c>
      <c r="M327" t="n">
        <v>0</v>
      </c>
      <c r="N327" t="n">
        <v>0</v>
      </c>
      <c r="O327" t="n">
        <v>0</v>
      </c>
      <c r="P327" t="n">
        <v>0</v>
      </c>
      <c r="Q327" t="n">
        <v>0</v>
      </c>
      <c r="R327" s="2" t="inlineStr"/>
    </row>
    <row r="328" ht="15" customHeight="1">
      <c r="A328" t="inlineStr">
        <is>
          <t>A 20656-2022</t>
        </is>
      </c>
      <c r="B328" s="1" t="n">
        <v>44700</v>
      </c>
      <c r="C328" s="1" t="n">
        <v>45510</v>
      </c>
      <c r="D328" t="inlineStr">
        <is>
          <t>DALARNAS LÄN</t>
        </is>
      </c>
      <c r="E328" t="inlineStr">
        <is>
          <t>LUDVIKA</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20852-2022</t>
        </is>
      </c>
      <c r="B329" s="1" t="n">
        <v>44701</v>
      </c>
      <c r="C329" s="1" t="n">
        <v>45510</v>
      </c>
      <c r="D329" t="inlineStr">
        <is>
          <t>DALARNAS LÄN</t>
        </is>
      </c>
      <c r="E329" t="inlineStr">
        <is>
          <t>LUDVIKA</t>
        </is>
      </c>
      <c r="F329" t="inlineStr">
        <is>
          <t>Bergvik skog väst AB</t>
        </is>
      </c>
      <c r="G329" t="n">
        <v>0.4</v>
      </c>
      <c r="H329" t="n">
        <v>0</v>
      </c>
      <c r="I329" t="n">
        <v>0</v>
      </c>
      <c r="J329" t="n">
        <v>0</v>
      </c>
      <c r="K329" t="n">
        <v>0</v>
      </c>
      <c r="L329" t="n">
        <v>0</v>
      </c>
      <c r="M329" t="n">
        <v>0</v>
      </c>
      <c r="N329" t="n">
        <v>0</v>
      </c>
      <c r="O329" t="n">
        <v>0</v>
      </c>
      <c r="P329" t="n">
        <v>0</v>
      </c>
      <c r="Q329" t="n">
        <v>0</v>
      </c>
      <c r="R329" s="2" t="inlineStr"/>
    </row>
    <row r="330" ht="15" customHeight="1">
      <c r="A330" t="inlineStr">
        <is>
          <t>A 21466-2022</t>
        </is>
      </c>
      <c r="B330" s="1" t="n">
        <v>44706</v>
      </c>
      <c r="C330" s="1" t="n">
        <v>45510</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21502-2022</t>
        </is>
      </c>
      <c r="B331" s="1" t="n">
        <v>44706</v>
      </c>
      <c r="C331" s="1" t="n">
        <v>45510</v>
      </c>
      <c r="D331" t="inlineStr">
        <is>
          <t>DALARNAS LÄN</t>
        </is>
      </c>
      <c r="E331" t="inlineStr">
        <is>
          <t>LUDVIKA</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21741-2022</t>
        </is>
      </c>
      <c r="B332" s="1" t="n">
        <v>44708</v>
      </c>
      <c r="C332" s="1" t="n">
        <v>45510</v>
      </c>
      <c r="D332" t="inlineStr">
        <is>
          <t>DALARNAS LÄN</t>
        </is>
      </c>
      <c r="E332" t="inlineStr">
        <is>
          <t>LUDVIKA</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22000-2022</t>
        </is>
      </c>
      <c r="B333" s="1" t="n">
        <v>44711</v>
      </c>
      <c r="C333" s="1" t="n">
        <v>45510</v>
      </c>
      <c r="D333" t="inlineStr">
        <is>
          <t>DALARNAS LÄN</t>
        </is>
      </c>
      <c r="E333" t="inlineStr">
        <is>
          <t>LUDVIKA</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22920-2022</t>
        </is>
      </c>
      <c r="B334" s="1" t="n">
        <v>44715</v>
      </c>
      <c r="C334" s="1" t="n">
        <v>45510</v>
      </c>
      <c r="D334" t="inlineStr">
        <is>
          <t>DALARNAS LÄN</t>
        </is>
      </c>
      <c r="E334" t="inlineStr">
        <is>
          <t>LUDVIKA</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23258-2022</t>
        </is>
      </c>
      <c r="B335" s="1" t="n">
        <v>44720</v>
      </c>
      <c r="C335" s="1" t="n">
        <v>45510</v>
      </c>
      <c r="D335" t="inlineStr">
        <is>
          <t>DALARNAS LÄN</t>
        </is>
      </c>
      <c r="E335" t="inlineStr">
        <is>
          <t>LUDVIKA</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23345-2022</t>
        </is>
      </c>
      <c r="B336" s="1" t="n">
        <v>44720</v>
      </c>
      <c r="C336" s="1" t="n">
        <v>45510</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24160-2022</t>
        </is>
      </c>
      <c r="B337" s="1" t="n">
        <v>44725</v>
      </c>
      <c r="C337" s="1" t="n">
        <v>45510</v>
      </c>
      <c r="D337" t="inlineStr">
        <is>
          <t>DALARNAS LÄN</t>
        </is>
      </c>
      <c r="E337" t="inlineStr">
        <is>
          <t>LUDVIKA</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25095-2022</t>
        </is>
      </c>
      <c r="B338" s="1" t="n">
        <v>44729</v>
      </c>
      <c r="C338" s="1" t="n">
        <v>45510</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25243-2022</t>
        </is>
      </c>
      <c r="B339" s="1" t="n">
        <v>44730</v>
      </c>
      <c r="C339" s="1" t="n">
        <v>45510</v>
      </c>
      <c r="D339" t="inlineStr">
        <is>
          <t>DALARNAS LÄN</t>
        </is>
      </c>
      <c r="E339" t="inlineStr">
        <is>
          <t>LUDVIKA</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25272-2022</t>
        </is>
      </c>
      <c r="B340" s="1" t="n">
        <v>44730</v>
      </c>
      <c r="C340" s="1" t="n">
        <v>45510</v>
      </c>
      <c r="D340" t="inlineStr">
        <is>
          <t>DALARNAS LÄN</t>
        </is>
      </c>
      <c r="E340" t="inlineStr">
        <is>
          <t>LUDVIKA</t>
        </is>
      </c>
      <c r="F340" t="inlineStr">
        <is>
          <t>Bergvik skog väst AB</t>
        </is>
      </c>
      <c r="G340" t="n">
        <v>9.6</v>
      </c>
      <c r="H340" t="n">
        <v>0</v>
      </c>
      <c r="I340" t="n">
        <v>0</v>
      </c>
      <c r="J340" t="n">
        <v>0</v>
      </c>
      <c r="K340" t="n">
        <v>0</v>
      </c>
      <c r="L340" t="n">
        <v>0</v>
      </c>
      <c r="M340" t="n">
        <v>0</v>
      </c>
      <c r="N340" t="n">
        <v>0</v>
      </c>
      <c r="O340" t="n">
        <v>0</v>
      </c>
      <c r="P340" t="n">
        <v>0</v>
      </c>
      <c r="Q340" t="n">
        <v>0</v>
      </c>
      <c r="R340" s="2" t="inlineStr"/>
    </row>
    <row r="341" ht="15" customHeight="1">
      <c r="A341" t="inlineStr">
        <is>
          <t>A 25274-2022</t>
        </is>
      </c>
      <c r="B341" s="1" t="n">
        <v>44730</v>
      </c>
      <c r="C341" s="1" t="n">
        <v>45510</v>
      </c>
      <c r="D341" t="inlineStr">
        <is>
          <t>DALARNAS LÄN</t>
        </is>
      </c>
      <c r="E341" t="inlineStr">
        <is>
          <t>LUDVIKA</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25273-2022</t>
        </is>
      </c>
      <c r="B342" s="1" t="n">
        <v>44730</v>
      </c>
      <c r="C342" s="1" t="n">
        <v>45510</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25292-2022</t>
        </is>
      </c>
      <c r="B343" s="1" t="n">
        <v>44731</v>
      </c>
      <c r="C343" s="1" t="n">
        <v>45510</v>
      </c>
      <c r="D343" t="inlineStr">
        <is>
          <t>DALARNAS LÄN</t>
        </is>
      </c>
      <c r="E343" t="inlineStr">
        <is>
          <t>LUDVIKA</t>
        </is>
      </c>
      <c r="F343" t="inlineStr">
        <is>
          <t>Bergvik skog väst AB</t>
        </is>
      </c>
      <c r="G343" t="n">
        <v>2.5</v>
      </c>
      <c r="H343" t="n">
        <v>0</v>
      </c>
      <c r="I343" t="n">
        <v>0</v>
      </c>
      <c r="J343" t="n">
        <v>0</v>
      </c>
      <c r="K343" t="n">
        <v>0</v>
      </c>
      <c r="L343" t="n">
        <v>0</v>
      </c>
      <c r="M343" t="n">
        <v>0</v>
      </c>
      <c r="N343" t="n">
        <v>0</v>
      </c>
      <c r="O343" t="n">
        <v>0</v>
      </c>
      <c r="P343" t="n">
        <v>0</v>
      </c>
      <c r="Q343" t="n">
        <v>0</v>
      </c>
      <c r="R343" s="2" t="inlineStr"/>
    </row>
    <row r="344" ht="15" customHeight="1">
      <c r="A344" t="inlineStr">
        <is>
          <t>A 25296-2022</t>
        </is>
      </c>
      <c r="B344" s="1" t="n">
        <v>44731</v>
      </c>
      <c r="C344" s="1" t="n">
        <v>45510</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25300-2022</t>
        </is>
      </c>
      <c r="B345" s="1" t="n">
        <v>44731</v>
      </c>
      <c r="C345" s="1" t="n">
        <v>45510</v>
      </c>
      <c r="D345" t="inlineStr">
        <is>
          <t>DALARNAS LÄN</t>
        </is>
      </c>
      <c r="E345" t="inlineStr">
        <is>
          <t>LUDVIKA</t>
        </is>
      </c>
      <c r="F345" t="inlineStr">
        <is>
          <t>Bergvik skog väst AB</t>
        </is>
      </c>
      <c r="G345" t="n">
        <v>1.2</v>
      </c>
      <c r="H345" t="n">
        <v>0</v>
      </c>
      <c r="I345" t="n">
        <v>0</v>
      </c>
      <c r="J345" t="n">
        <v>0</v>
      </c>
      <c r="K345" t="n">
        <v>0</v>
      </c>
      <c r="L345" t="n">
        <v>0</v>
      </c>
      <c r="M345" t="n">
        <v>0</v>
      </c>
      <c r="N345" t="n">
        <v>0</v>
      </c>
      <c r="O345" t="n">
        <v>0</v>
      </c>
      <c r="P345" t="n">
        <v>0</v>
      </c>
      <c r="Q345" t="n">
        <v>0</v>
      </c>
      <c r="R345" s="2" t="inlineStr"/>
    </row>
    <row r="346" ht="15" customHeight="1">
      <c r="A346" t="inlineStr">
        <is>
          <t>A 25289-2022</t>
        </is>
      </c>
      <c r="B346" s="1" t="n">
        <v>44731</v>
      </c>
      <c r="C346" s="1" t="n">
        <v>45510</v>
      </c>
      <c r="D346" t="inlineStr">
        <is>
          <t>DALARNAS LÄN</t>
        </is>
      </c>
      <c r="E346" t="inlineStr">
        <is>
          <t>LUDVIKA</t>
        </is>
      </c>
      <c r="F346" t="inlineStr">
        <is>
          <t>Bergvik skog väst AB</t>
        </is>
      </c>
      <c r="G346" t="n">
        <v>10.1</v>
      </c>
      <c r="H346" t="n">
        <v>0</v>
      </c>
      <c r="I346" t="n">
        <v>0</v>
      </c>
      <c r="J346" t="n">
        <v>0</v>
      </c>
      <c r="K346" t="n">
        <v>0</v>
      </c>
      <c r="L346" t="n">
        <v>0</v>
      </c>
      <c r="M346" t="n">
        <v>0</v>
      </c>
      <c r="N346" t="n">
        <v>0</v>
      </c>
      <c r="O346" t="n">
        <v>0</v>
      </c>
      <c r="P346" t="n">
        <v>0</v>
      </c>
      <c r="Q346" t="n">
        <v>0</v>
      </c>
      <c r="R346" s="2" t="inlineStr"/>
    </row>
    <row r="347" ht="15" customHeight="1">
      <c r="A347" t="inlineStr">
        <is>
          <t>A 25293-2022</t>
        </is>
      </c>
      <c r="B347" s="1" t="n">
        <v>44731</v>
      </c>
      <c r="C347" s="1" t="n">
        <v>45510</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25297-2022</t>
        </is>
      </c>
      <c r="B348" s="1" t="n">
        <v>44731</v>
      </c>
      <c r="C348" s="1" t="n">
        <v>45510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25301-2022</t>
        </is>
      </c>
      <c r="B349" s="1" t="n">
        <v>44731</v>
      </c>
      <c r="C349" s="1" t="n">
        <v>45510</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25290-2022</t>
        </is>
      </c>
      <c r="B350" s="1" t="n">
        <v>44731</v>
      </c>
      <c r="C350" s="1" t="n">
        <v>45510</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25294-2022</t>
        </is>
      </c>
      <c r="B351" s="1" t="n">
        <v>44730</v>
      </c>
      <c r="C351" s="1" t="n">
        <v>45510</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25298-2022</t>
        </is>
      </c>
      <c r="B352" s="1" t="n">
        <v>44731</v>
      </c>
      <c r="C352" s="1" t="n">
        <v>45510</v>
      </c>
      <c r="D352" t="inlineStr">
        <is>
          <t>DALARNAS LÄN</t>
        </is>
      </c>
      <c r="E352" t="inlineStr">
        <is>
          <t>LUDVIKA</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25291-2022</t>
        </is>
      </c>
      <c r="B353" s="1" t="n">
        <v>44731</v>
      </c>
      <c r="C353" s="1" t="n">
        <v>45510</v>
      </c>
      <c r="D353" t="inlineStr">
        <is>
          <t>DALARNAS LÄN</t>
        </is>
      </c>
      <c r="E353" t="inlineStr">
        <is>
          <t>LUDVIKA</t>
        </is>
      </c>
      <c r="F353" t="inlineStr">
        <is>
          <t>Bergvik skog väst AB</t>
        </is>
      </c>
      <c r="G353" t="n">
        <v>0.9</v>
      </c>
      <c r="H353" t="n">
        <v>0</v>
      </c>
      <c r="I353" t="n">
        <v>0</v>
      </c>
      <c r="J353" t="n">
        <v>0</v>
      </c>
      <c r="K353" t="n">
        <v>0</v>
      </c>
      <c r="L353" t="n">
        <v>0</v>
      </c>
      <c r="M353" t="n">
        <v>0</v>
      </c>
      <c r="N353" t="n">
        <v>0</v>
      </c>
      <c r="O353" t="n">
        <v>0</v>
      </c>
      <c r="P353" t="n">
        <v>0</v>
      </c>
      <c r="Q353" t="n">
        <v>0</v>
      </c>
      <c r="R353" s="2" t="inlineStr"/>
    </row>
    <row r="354" ht="15" customHeight="1">
      <c r="A354" t="inlineStr">
        <is>
          <t>A 25299-2022</t>
        </is>
      </c>
      <c r="B354" s="1" t="n">
        <v>44731</v>
      </c>
      <c r="C354" s="1" t="n">
        <v>45510</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25328-2022</t>
        </is>
      </c>
      <c r="B355" s="1" t="n">
        <v>44731</v>
      </c>
      <c r="C355" s="1" t="n">
        <v>45510</v>
      </c>
      <c r="D355" t="inlineStr">
        <is>
          <t>DALARNAS LÄN</t>
        </is>
      </c>
      <c r="E355" t="inlineStr">
        <is>
          <t>LUDVIKA</t>
        </is>
      </c>
      <c r="F355" t="inlineStr">
        <is>
          <t>Bergvik skog väst AB</t>
        </is>
      </c>
      <c r="G355" t="n">
        <v>17.2</v>
      </c>
      <c r="H355" t="n">
        <v>0</v>
      </c>
      <c r="I355" t="n">
        <v>0</v>
      </c>
      <c r="J355" t="n">
        <v>0</v>
      </c>
      <c r="K355" t="n">
        <v>0</v>
      </c>
      <c r="L355" t="n">
        <v>0</v>
      </c>
      <c r="M355" t="n">
        <v>0</v>
      </c>
      <c r="N355" t="n">
        <v>0</v>
      </c>
      <c r="O355" t="n">
        <v>0</v>
      </c>
      <c r="P355" t="n">
        <v>0</v>
      </c>
      <c r="Q355" t="n">
        <v>0</v>
      </c>
      <c r="R355" s="2" t="inlineStr"/>
    </row>
    <row r="356" ht="15" customHeight="1">
      <c r="A356" t="inlineStr">
        <is>
          <t>A 25454-2022</t>
        </is>
      </c>
      <c r="B356" s="1" t="n">
        <v>44732</v>
      </c>
      <c r="C356" s="1" t="n">
        <v>45510</v>
      </c>
      <c r="D356" t="inlineStr">
        <is>
          <t>DALARNAS LÄN</t>
        </is>
      </c>
      <c r="E356" t="inlineStr">
        <is>
          <t>LUDVIKA</t>
        </is>
      </c>
      <c r="G356" t="n">
        <v>1.8</v>
      </c>
      <c r="H356" t="n">
        <v>0</v>
      </c>
      <c r="I356" t="n">
        <v>0</v>
      </c>
      <c r="J356" t="n">
        <v>0</v>
      </c>
      <c r="K356" t="n">
        <v>0</v>
      </c>
      <c r="L356" t="n">
        <v>0</v>
      </c>
      <c r="M356" t="n">
        <v>0</v>
      </c>
      <c r="N356" t="n">
        <v>0</v>
      </c>
      <c r="O356" t="n">
        <v>0</v>
      </c>
      <c r="P356" t="n">
        <v>0</v>
      </c>
      <c r="Q356" t="n">
        <v>0</v>
      </c>
      <c r="R356" s="2" t="inlineStr"/>
    </row>
    <row r="357" ht="15" customHeight="1">
      <c r="A357" t="inlineStr">
        <is>
          <t>A 25755-2022</t>
        </is>
      </c>
      <c r="B357" s="1" t="n">
        <v>44733</v>
      </c>
      <c r="C357" s="1" t="n">
        <v>45510</v>
      </c>
      <c r="D357" t="inlineStr">
        <is>
          <t>DALARNAS LÄN</t>
        </is>
      </c>
      <c r="E357" t="inlineStr">
        <is>
          <t>LUDVIKA</t>
        </is>
      </c>
      <c r="F357" t="inlineStr">
        <is>
          <t>Bergvik skog väst AB</t>
        </is>
      </c>
      <c r="G357" t="n">
        <v>2</v>
      </c>
      <c r="H357" t="n">
        <v>0</v>
      </c>
      <c r="I357" t="n">
        <v>0</v>
      </c>
      <c r="J357" t="n">
        <v>0</v>
      </c>
      <c r="K357" t="n">
        <v>0</v>
      </c>
      <c r="L357" t="n">
        <v>0</v>
      </c>
      <c r="M357" t="n">
        <v>0</v>
      </c>
      <c r="N357" t="n">
        <v>0</v>
      </c>
      <c r="O357" t="n">
        <v>0</v>
      </c>
      <c r="P357" t="n">
        <v>0</v>
      </c>
      <c r="Q357" t="n">
        <v>0</v>
      </c>
      <c r="R357" s="2" t="inlineStr"/>
    </row>
    <row r="358" ht="15" customHeight="1">
      <c r="A358" t="inlineStr">
        <is>
          <t>A 27226-2022</t>
        </is>
      </c>
      <c r="B358" s="1" t="n">
        <v>44741</v>
      </c>
      <c r="C358" s="1" t="n">
        <v>45510</v>
      </c>
      <c r="D358" t="inlineStr">
        <is>
          <t>DALARNAS LÄN</t>
        </is>
      </c>
      <c r="E358" t="inlineStr">
        <is>
          <t>LUDVIKA</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27738-2022</t>
        </is>
      </c>
      <c r="B359" s="1" t="n">
        <v>44743</v>
      </c>
      <c r="C359" s="1" t="n">
        <v>45510</v>
      </c>
      <c r="D359" t="inlineStr">
        <is>
          <t>DALARNAS LÄN</t>
        </is>
      </c>
      <c r="E359" t="inlineStr">
        <is>
          <t>LUDVIKA</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31273-2022</t>
        </is>
      </c>
      <c r="B360" s="1" t="n">
        <v>44771</v>
      </c>
      <c r="C360" s="1" t="n">
        <v>45510</v>
      </c>
      <c r="D360" t="inlineStr">
        <is>
          <t>DALARNAS LÄN</t>
        </is>
      </c>
      <c r="E360" t="inlineStr">
        <is>
          <t>LUDVIKA</t>
        </is>
      </c>
      <c r="G360" t="n">
        <v>0.5</v>
      </c>
      <c r="H360" t="n">
        <v>0</v>
      </c>
      <c r="I360" t="n">
        <v>0</v>
      </c>
      <c r="J360" t="n">
        <v>0</v>
      </c>
      <c r="K360" t="n">
        <v>0</v>
      </c>
      <c r="L360" t="n">
        <v>0</v>
      </c>
      <c r="M360" t="n">
        <v>0</v>
      </c>
      <c r="N360" t="n">
        <v>0</v>
      </c>
      <c r="O360" t="n">
        <v>0</v>
      </c>
      <c r="P360" t="n">
        <v>0</v>
      </c>
      <c r="Q360" t="n">
        <v>0</v>
      </c>
      <c r="R360" s="2" t="inlineStr"/>
    </row>
    <row r="361" ht="15" customHeight="1">
      <c r="A361" t="inlineStr">
        <is>
          <t>A 31270-2022</t>
        </is>
      </c>
      <c r="B361" s="1" t="n">
        <v>44771</v>
      </c>
      <c r="C361" s="1" t="n">
        <v>45510</v>
      </c>
      <c r="D361" t="inlineStr">
        <is>
          <t>DALARNAS LÄN</t>
        </is>
      </c>
      <c r="E361" t="inlineStr">
        <is>
          <t>LUDVIKA</t>
        </is>
      </c>
      <c r="G361" t="n">
        <v>1.2</v>
      </c>
      <c r="H361" t="n">
        <v>0</v>
      </c>
      <c r="I361" t="n">
        <v>0</v>
      </c>
      <c r="J361" t="n">
        <v>0</v>
      </c>
      <c r="K361" t="n">
        <v>0</v>
      </c>
      <c r="L361" t="n">
        <v>0</v>
      </c>
      <c r="M361" t="n">
        <v>0</v>
      </c>
      <c r="N361" t="n">
        <v>0</v>
      </c>
      <c r="O361" t="n">
        <v>0</v>
      </c>
      <c r="P361" t="n">
        <v>0</v>
      </c>
      <c r="Q361" t="n">
        <v>0</v>
      </c>
      <c r="R361" s="2" t="inlineStr"/>
    </row>
    <row r="362" ht="15" customHeight="1">
      <c r="A362" t="inlineStr">
        <is>
          <t>A 31272-2022</t>
        </is>
      </c>
      <c r="B362" s="1" t="n">
        <v>44771</v>
      </c>
      <c r="C362" s="1" t="n">
        <v>45510</v>
      </c>
      <c r="D362" t="inlineStr">
        <is>
          <t>DALARNAS LÄN</t>
        </is>
      </c>
      <c r="E362" t="inlineStr">
        <is>
          <t>LUDVIKA</t>
        </is>
      </c>
      <c r="G362" t="n">
        <v>0.5</v>
      </c>
      <c r="H362" t="n">
        <v>0</v>
      </c>
      <c r="I362" t="n">
        <v>0</v>
      </c>
      <c r="J362" t="n">
        <v>0</v>
      </c>
      <c r="K362" t="n">
        <v>0</v>
      </c>
      <c r="L362" t="n">
        <v>0</v>
      </c>
      <c r="M362" t="n">
        <v>0</v>
      </c>
      <c r="N362" t="n">
        <v>0</v>
      </c>
      <c r="O362" t="n">
        <v>0</v>
      </c>
      <c r="P362" t="n">
        <v>0</v>
      </c>
      <c r="Q362" t="n">
        <v>0</v>
      </c>
      <c r="R362" s="2" t="inlineStr"/>
    </row>
    <row r="363" ht="15" customHeight="1">
      <c r="A363" t="inlineStr">
        <is>
          <t>A 33108-2022</t>
        </is>
      </c>
      <c r="B363" s="1" t="n">
        <v>44785</v>
      </c>
      <c r="C363" s="1" t="n">
        <v>45510</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33673-2022</t>
        </is>
      </c>
      <c r="B364" s="1" t="n">
        <v>44789</v>
      </c>
      <c r="C364" s="1" t="n">
        <v>45510</v>
      </c>
      <c r="D364" t="inlineStr">
        <is>
          <t>DALARNAS LÄN</t>
        </is>
      </c>
      <c r="E364" t="inlineStr">
        <is>
          <t>LUDVIKA</t>
        </is>
      </c>
      <c r="G364" t="n">
        <v>1.5</v>
      </c>
      <c r="H364" t="n">
        <v>0</v>
      </c>
      <c r="I364" t="n">
        <v>0</v>
      </c>
      <c r="J364" t="n">
        <v>0</v>
      </c>
      <c r="K364" t="n">
        <v>0</v>
      </c>
      <c r="L364" t="n">
        <v>0</v>
      </c>
      <c r="M364" t="n">
        <v>0</v>
      </c>
      <c r="N364" t="n">
        <v>0</v>
      </c>
      <c r="O364" t="n">
        <v>0</v>
      </c>
      <c r="P364" t="n">
        <v>0</v>
      </c>
      <c r="Q364" t="n">
        <v>0</v>
      </c>
      <c r="R364" s="2" t="inlineStr"/>
    </row>
    <row r="365" ht="15" customHeight="1">
      <c r="A365" t="inlineStr">
        <is>
          <t>A 36770-2022</t>
        </is>
      </c>
      <c r="B365" s="1" t="n">
        <v>44805</v>
      </c>
      <c r="C365" s="1" t="n">
        <v>45510</v>
      </c>
      <c r="D365" t="inlineStr">
        <is>
          <t>DALARNAS LÄN</t>
        </is>
      </c>
      <c r="E365" t="inlineStr">
        <is>
          <t>LUDVIKA</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36852-2022</t>
        </is>
      </c>
      <c r="B366" s="1" t="n">
        <v>44805</v>
      </c>
      <c r="C366" s="1" t="n">
        <v>45510</v>
      </c>
      <c r="D366" t="inlineStr">
        <is>
          <t>DALARNAS LÄN</t>
        </is>
      </c>
      <c r="E366" t="inlineStr">
        <is>
          <t>LUDVIKA</t>
        </is>
      </c>
      <c r="F366" t="inlineStr">
        <is>
          <t>Bergvik skog väst AB</t>
        </is>
      </c>
      <c r="G366" t="n">
        <v>5.7</v>
      </c>
      <c r="H366" t="n">
        <v>0</v>
      </c>
      <c r="I366" t="n">
        <v>0</v>
      </c>
      <c r="J366" t="n">
        <v>0</v>
      </c>
      <c r="K366" t="n">
        <v>0</v>
      </c>
      <c r="L366" t="n">
        <v>0</v>
      </c>
      <c r="M366" t="n">
        <v>0</v>
      </c>
      <c r="N366" t="n">
        <v>0</v>
      </c>
      <c r="O366" t="n">
        <v>0</v>
      </c>
      <c r="P366" t="n">
        <v>0</v>
      </c>
      <c r="Q366" t="n">
        <v>0</v>
      </c>
      <c r="R366" s="2" t="inlineStr"/>
    </row>
    <row r="367" ht="15" customHeight="1">
      <c r="A367" t="inlineStr">
        <is>
          <t>A 37495-2022</t>
        </is>
      </c>
      <c r="B367" s="1" t="n">
        <v>44809</v>
      </c>
      <c r="C367" s="1" t="n">
        <v>45510</v>
      </c>
      <c r="D367" t="inlineStr">
        <is>
          <t>DALARNAS LÄN</t>
        </is>
      </c>
      <c r="E367" t="inlineStr">
        <is>
          <t>LUDVIKA</t>
        </is>
      </c>
      <c r="F367" t="inlineStr">
        <is>
          <t>Naturvårdsverket</t>
        </is>
      </c>
      <c r="G367" t="n">
        <v>3.2</v>
      </c>
      <c r="H367" t="n">
        <v>0</v>
      </c>
      <c r="I367" t="n">
        <v>0</v>
      </c>
      <c r="J367" t="n">
        <v>0</v>
      </c>
      <c r="K367" t="n">
        <v>0</v>
      </c>
      <c r="L367" t="n">
        <v>0</v>
      </c>
      <c r="M367" t="n">
        <v>0</v>
      </c>
      <c r="N367" t="n">
        <v>0</v>
      </c>
      <c r="O367" t="n">
        <v>0</v>
      </c>
      <c r="P367" t="n">
        <v>0</v>
      </c>
      <c r="Q367" t="n">
        <v>0</v>
      </c>
      <c r="R367" s="2" t="inlineStr"/>
    </row>
    <row r="368" ht="15" customHeight="1">
      <c r="A368" t="inlineStr">
        <is>
          <t>A 37479-2022</t>
        </is>
      </c>
      <c r="B368" s="1" t="n">
        <v>44809</v>
      </c>
      <c r="C368" s="1" t="n">
        <v>45510</v>
      </c>
      <c r="D368" t="inlineStr">
        <is>
          <t>DALARNAS LÄN</t>
        </is>
      </c>
      <c r="E368" t="inlineStr">
        <is>
          <t>LUDVIKA</t>
        </is>
      </c>
      <c r="F368" t="inlineStr">
        <is>
          <t>Naturvårdsverket</t>
        </is>
      </c>
      <c r="G368" t="n">
        <v>2.4</v>
      </c>
      <c r="H368" t="n">
        <v>0</v>
      </c>
      <c r="I368" t="n">
        <v>0</v>
      </c>
      <c r="J368" t="n">
        <v>0</v>
      </c>
      <c r="K368" t="n">
        <v>0</v>
      </c>
      <c r="L368" t="n">
        <v>0</v>
      </c>
      <c r="M368" t="n">
        <v>0</v>
      </c>
      <c r="N368" t="n">
        <v>0</v>
      </c>
      <c r="O368" t="n">
        <v>0</v>
      </c>
      <c r="P368" t="n">
        <v>0</v>
      </c>
      <c r="Q368" t="n">
        <v>0</v>
      </c>
      <c r="R368" s="2" t="inlineStr"/>
    </row>
    <row r="369" ht="15" customHeight="1">
      <c r="A369" t="inlineStr">
        <is>
          <t>A 38014-2022</t>
        </is>
      </c>
      <c r="B369" s="1" t="n">
        <v>44811</v>
      </c>
      <c r="C369" s="1" t="n">
        <v>45510</v>
      </c>
      <c r="D369" t="inlineStr">
        <is>
          <t>DALARNAS LÄN</t>
        </is>
      </c>
      <c r="E369" t="inlineStr">
        <is>
          <t>LUDVIKA</t>
        </is>
      </c>
      <c r="F369" t="inlineStr">
        <is>
          <t>Naturvårdsverket</t>
        </is>
      </c>
      <c r="G369" t="n">
        <v>1.2</v>
      </c>
      <c r="H369" t="n">
        <v>0</v>
      </c>
      <c r="I369" t="n">
        <v>0</v>
      </c>
      <c r="J369" t="n">
        <v>0</v>
      </c>
      <c r="K369" t="n">
        <v>0</v>
      </c>
      <c r="L369" t="n">
        <v>0</v>
      </c>
      <c r="M369" t="n">
        <v>0</v>
      </c>
      <c r="N369" t="n">
        <v>0</v>
      </c>
      <c r="O369" t="n">
        <v>0</v>
      </c>
      <c r="P369" t="n">
        <v>0</v>
      </c>
      <c r="Q369" t="n">
        <v>0</v>
      </c>
      <c r="R369" s="2" t="inlineStr"/>
    </row>
    <row r="370" ht="15" customHeight="1">
      <c r="A370" t="inlineStr">
        <is>
          <t>A 38565-2022</t>
        </is>
      </c>
      <c r="B370" s="1" t="n">
        <v>44813</v>
      </c>
      <c r="C370" s="1" t="n">
        <v>45510</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39090-2022</t>
        </is>
      </c>
      <c r="B371" s="1" t="n">
        <v>44817</v>
      </c>
      <c r="C371" s="1" t="n">
        <v>45510</v>
      </c>
      <c r="D371" t="inlineStr">
        <is>
          <t>DALARNAS LÄN</t>
        </is>
      </c>
      <c r="E371" t="inlineStr">
        <is>
          <t>LUDVIKA</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39257-2022</t>
        </is>
      </c>
      <c r="B372" s="1" t="n">
        <v>44817</v>
      </c>
      <c r="C372" s="1" t="n">
        <v>45510</v>
      </c>
      <c r="D372" t="inlineStr">
        <is>
          <t>DALARNAS LÄN</t>
        </is>
      </c>
      <c r="E372" t="inlineStr">
        <is>
          <t>LUDVIKA</t>
        </is>
      </c>
      <c r="F372" t="inlineStr">
        <is>
          <t>Bergvik skog väst AB</t>
        </is>
      </c>
      <c r="G372" t="n">
        <v>10</v>
      </c>
      <c r="H372" t="n">
        <v>0</v>
      </c>
      <c r="I372" t="n">
        <v>0</v>
      </c>
      <c r="J372" t="n">
        <v>0</v>
      </c>
      <c r="K372" t="n">
        <v>0</v>
      </c>
      <c r="L372" t="n">
        <v>0</v>
      </c>
      <c r="M372" t="n">
        <v>0</v>
      </c>
      <c r="N372" t="n">
        <v>0</v>
      </c>
      <c r="O372" t="n">
        <v>0</v>
      </c>
      <c r="P372" t="n">
        <v>0</v>
      </c>
      <c r="Q372" t="n">
        <v>0</v>
      </c>
      <c r="R372" s="2" t="inlineStr"/>
    </row>
    <row r="373" ht="15" customHeight="1">
      <c r="A373" t="inlineStr">
        <is>
          <t>A 39761-2022</t>
        </is>
      </c>
      <c r="B373" s="1" t="n">
        <v>44819</v>
      </c>
      <c r="C373" s="1" t="n">
        <v>45510</v>
      </c>
      <c r="D373" t="inlineStr">
        <is>
          <t>DALARNAS LÄN</t>
        </is>
      </c>
      <c r="E373" t="inlineStr">
        <is>
          <t>LUDVIKA</t>
        </is>
      </c>
      <c r="F373" t="inlineStr">
        <is>
          <t>Naturvårdsverket</t>
        </is>
      </c>
      <c r="G373" t="n">
        <v>1</v>
      </c>
      <c r="H373" t="n">
        <v>0</v>
      </c>
      <c r="I373" t="n">
        <v>0</v>
      </c>
      <c r="J373" t="n">
        <v>0</v>
      </c>
      <c r="K373" t="n">
        <v>0</v>
      </c>
      <c r="L373" t="n">
        <v>0</v>
      </c>
      <c r="M373" t="n">
        <v>0</v>
      </c>
      <c r="N373" t="n">
        <v>0</v>
      </c>
      <c r="O373" t="n">
        <v>0</v>
      </c>
      <c r="P373" t="n">
        <v>0</v>
      </c>
      <c r="Q373" t="n">
        <v>0</v>
      </c>
      <c r="R373" s="2" t="inlineStr"/>
    </row>
    <row r="374" ht="15" customHeight="1">
      <c r="A374" t="inlineStr">
        <is>
          <t>A 40151-2022</t>
        </is>
      </c>
      <c r="B374" s="1" t="n">
        <v>44820</v>
      </c>
      <c r="C374" s="1" t="n">
        <v>45510</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40137-2022</t>
        </is>
      </c>
      <c r="B375" s="1" t="n">
        <v>44820</v>
      </c>
      <c r="C375" s="1" t="n">
        <v>45510</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40142-2022</t>
        </is>
      </c>
      <c r="B376" s="1" t="n">
        <v>44820</v>
      </c>
      <c r="C376" s="1" t="n">
        <v>45510</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41090-2022</t>
        </is>
      </c>
      <c r="B377" s="1" t="n">
        <v>44825</v>
      </c>
      <c r="C377" s="1" t="n">
        <v>45510</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41158-2022</t>
        </is>
      </c>
      <c r="B378" s="1" t="n">
        <v>44825</v>
      </c>
      <c r="C378" s="1" t="n">
        <v>45510</v>
      </c>
      <c r="D378" t="inlineStr">
        <is>
          <t>DALARNAS LÄN</t>
        </is>
      </c>
      <c r="E378" t="inlineStr">
        <is>
          <t>LUDVIKA</t>
        </is>
      </c>
      <c r="G378" t="n">
        <v>2.1</v>
      </c>
      <c r="H378" t="n">
        <v>0</v>
      </c>
      <c r="I378" t="n">
        <v>0</v>
      </c>
      <c r="J378" t="n">
        <v>0</v>
      </c>
      <c r="K378" t="n">
        <v>0</v>
      </c>
      <c r="L378" t="n">
        <v>0</v>
      </c>
      <c r="M378" t="n">
        <v>0</v>
      </c>
      <c r="N378" t="n">
        <v>0</v>
      </c>
      <c r="O378" t="n">
        <v>0</v>
      </c>
      <c r="P378" t="n">
        <v>0</v>
      </c>
      <c r="Q378" t="n">
        <v>0</v>
      </c>
      <c r="R378" s="2" t="inlineStr"/>
    </row>
    <row r="379" ht="15" customHeight="1">
      <c r="A379" t="inlineStr">
        <is>
          <t>A 41123-2022</t>
        </is>
      </c>
      <c r="B379" s="1" t="n">
        <v>44825</v>
      </c>
      <c r="C379" s="1" t="n">
        <v>45510</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41400-2022</t>
        </is>
      </c>
      <c r="B380" s="1" t="n">
        <v>44826</v>
      </c>
      <c r="C380" s="1" t="n">
        <v>45510</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41328-2022</t>
        </is>
      </c>
      <c r="B381" s="1" t="n">
        <v>44826</v>
      </c>
      <c r="C381" s="1" t="n">
        <v>45510</v>
      </c>
      <c r="D381" t="inlineStr">
        <is>
          <t>DALARNAS LÄN</t>
        </is>
      </c>
      <c r="E381" t="inlineStr">
        <is>
          <t>LUDVIKA</t>
        </is>
      </c>
      <c r="F381" t="inlineStr">
        <is>
          <t>Bergvik skog väst AB</t>
        </is>
      </c>
      <c r="G381" t="n">
        <v>6.1</v>
      </c>
      <c r="H381" t="n">
        <v>0</v>
      </c>
      <c r="I381" t="n">
        <v>0</v>
      </c>
      <c r="J381" t="n">
        <v>0</v>
      </c>
      <c r="K381" t="n">
        <v>0</v>
      </c>
      <c r="L381" t="n">
        <v>0</v>
      </c>
      <c r="M381" t="n">
        <v>0</v>
      </c>
      <c r="N381" t="n">
        <v>0</v>
      </c>
      <c r="O381" t="n">
        <v>0</v>
      </c>
      <c r="P381" t="n">
        <v>0</v>
      </c>
      <c r="Q381" t="n">
        <v>0</v>
      </c>
      <c r="R381" s="2" t="inlineStr"/>
    </row>
    <row r="382" ht="15" customHeight="1">
      <c r="A382" t="inlineStr">
        <is>
          <t>A 41712-2022</t>
        </is>
      </c>
      <c r="B382" s="1" t="n">
        <v>44827</v>
      </c>
      <c r="C382" s="1" t="n">
        <v>45510</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41594-2022</t>
        </is>
      </c>
      <c r="B383" s="1" t="n">
        <v>44827</v>
      </c>
      <c r="C383" s="1" t="n">
        <v>45510</v>
      </c>
      <c r="D383" t="inlineStr">
        <is>
          <t>DALARNAS LÄN</t>
        </is>
      </c>
      <c r="E383" t="inlineStr">
        <is>
          <t>LUDVIKA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41796-2022</t>
        </is>
      </c>
      <c r="B384" s="1" t="n">
        <v>44827</v>
      </c>
      <c r="C384" s="1" t="n">
        <v>45510</v>
      </c>
      <c r="D384" t="inlineStr">
        <is>
          <t>DALARNAS LÄN</t>
        </is>
      </c>
      <c r="E384" t="inlineStr">
        <is>
          <t>LUDVIKA</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41797-2022</t>
        </is>
      </c>
      <c r="B385" s="1" t="n">
        <v>44827</v>
      </c>
      <c r="C385" s="1" t="n">
        <v>45510</v>
      </c>
      <c r="D385" t="inlineStr">
        <is>
          <t>DALARNAS LÄN</t>
        </is>
      </c>
      <c r="E385" t="inlineStr">
        <is>
          <t>LUDVIKA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42140-2022</t>
        </is>
      </c>
      <c r="B386" s="1" t="n">
        <v>44830</v>
      </c>
      <c r="C386" s="1" t="n">
        <v>45510</v>
      </c>
      <c r="D386" t="inlineStr">
        <is>
          <t>DALARNAS LÄN</t>
        </is>
      </c>
      <c r="E386" t="inlineStr">
        <is>
          <t>LUDVIKA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42329-2022</t>
        </is>
      </c>
      <c r="B387" s="1" t="n">
        <v>44831</v>
      </c>
      <c r="C387" s="1" t="n">
        <v>45510</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42440-2022</t>
        </is>
      </c>
      <c r="B388" s="1" t="n">
        <v>44831</v>
      </c>
      <c r="C388" s="1" t="n">
        <v>45510</v>
      </c>
      <c r="D388" t="inlineStr">
        <is>
          <t>DALARNAS LÄN</t>
        </is>
      </c>
      <c r="E388" t="inlineStr">
        <is>
          <t>LUDVIKA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42572-2022</t>
        </is>
      </c>
      <c r="B389" s="1" t="n">
        <v>44831</v>
      </c>
      <c r="C389" s="1" t="n">
        <v>45510</v>
      </c>
      <c r="D389" t="inlineStr">
        <is>
          <t>DALARNAS LÄN</t>
        </is>
      </c>
      <c r="E389" t="inlineStr">
        <is>
          <t>LUDVIKA</t>
        </is>
      </c>
      <c r="F389" t="inlineStr">
        <is>
          <t>Bergvik skog väst AB</t>
        </is>
      </c>
      <c r="G389" t="n">
        <v>9.1</v>
      </c>
      <c r="H389" t="n">
        <v>0</v>
      </c>
      <c r="I389" t="n">
        <v>0</v>
      </c>
      <c r="J389" t="n">
        <v>0</v>
      </c>
      <c r="K389" t="n">
        <v>0</v>
      </c>
      <c r="L389" t="n">
        <v>0</v>
      </c>
      <c r="M389" t="n">
        <v>0</v>
      </c>
      <c r="N389" t="n">
        <v>0</v>
      </c>
      <c r="O389" t="n">
        <v>0</v>
      </c>
      <c r="P389" t="n">
        <v>0</v>
      </c>
      <c r="Q389" t="n">
        <v>0</v>
      </c>
      <c r="R389" s="2" t="inlineStr"/>
    </row>
    <row r="390" ht="15" customHeight="1">
      <c r="A390" t="inlineStr">
        <is>
          <t>A 42709-2022</t>
        </is>
      </c>
      <c r="B390" s="1" t="n">
        <v>44832</v>
      </c>
      <c r="C390" s="1" t="n">
        <v>45510</v>
      </c>
      <c r="D390" t="inlineStr">
        <is>
          <t>DALARNAS LÄN</t>
        </is>
      </c>
      <c r="E390" t="inlineStr">
        <is>
          <t>LUDVIKA</t>
        </is>
      </c>
      <c r="F390" t="inlineStr">
        <is>
          <t>Naturvårdsverket</t>
        </is>
      </c>
      <c r="G390" t="n">
        <v>4.5</v>
      </c>
      <c r="H390" t="n">
        <v>0</v>
      </c>
      <c r="I390" t="n">
        <v>0</v>
      </c>
      <c r="J390" t="n">
        <v>0</v>
      </c>
      <c r="K390" t="n">
        <v>0</v>
      </c>
      <c r="L390" t="n">
        <v>0</v>
      </c>
      <c r="M390" t="n">
        <v>0</v>
      </c>
      <c r="N390" t="n">
        <v>0</v>
      </c>
      <c r="O390" t="n">
        <v>0</v>
      </c>
      <c r="P390" t="n">
        <v>0</v>
      </c>
      <c r="Q390" t="n">
        <v>0</v>
      </c>
      <c r="R390" s="2" t="inlineStr"/>
    </row>
    <row r="391" ht="15" customHeight="1">
      <c r="A391" t="inlineStr">
        <is>
          <t>A 43008-2022</t>
        </is>
      </c>
      <c r="B391" s="1" t="n">
        <v>44833</v>
      </c>
      <c r="C391" s="1" t="n">
        <v>45510</v>
      </c>
      <c r="D391" t="inlineStr">
        <is>
          <t>DALARNAS LÄN</t>
        </is>
      </c>
      <c r="E391" t="inlineStr">
        <is>
          <t>LUDVIKA</t>
        </is>
      </c>
      <c r="G391" t="n">
        <v>0.8</v>
      </c>
      <c r="H391" t="n">
        <v>0</v>
      </c>
      <c r="I391" t="n">
        <v>0</v>
      </c>
      <c r="J391" t="n">
        <v>0</v>
      </c>
      <c r="K391" t="n">
        <v>0</v>
      </c>
      <c r="L391" t="n">
        <v>0</v>
      </c>
      <c r="M391" t="n">
        <v>0</v>
      </c>
      <c r="N391" t="n">
        <v>0</v>
      </c>
      <c r="O391" t="n">
        <v>0</v>
      </c>
      <c r="P391" t="n">
        <v>0</v>
      </c>
      <c r="Q391" t="n">
        <v>0</v>
      </c>
      <c r="R391" s="2" t="inlineStr"/>
    </row>
    <row r="392" ht="15" customHeight="1">
      <c r="A392" t="inlineStr">
        <is>
          <t>A 43047-2022</t>
        </is>
      </c>
      <c r="B392" s="1" t="n">
        <v>44833</v>
      </c>
      <c r="C392" s="1" t="n">
        <v>45510</v>
      </c>
      <c r="D392" t="inlineStr">
        <is>
          <t>DALARNAS LÄN</t>
        </is>
      </c>
      <c r="E392" t="inlineStr">
        <is>
          <t>LUDVIKA</t>
        </is>
      </c>
      <c r="F392" t="inlineStr">
        <is>
          <t>Bergvik skog väst AB</t>
        </is>
      </c>
      <c r="G392" t="n">
        <v>9.5</v>
      </c>
      <c r="H392" t="n">
        <v>0</v>
      </c>
      <c r="I392" t="n">
        <v>0</v>
      </c>
      <c r="J392" t="n">
        <v>0</v>
      </c>
      <c r="K392" t="n">
        <v>0</v>
      </c>
      <c r="L392" t="n">
        <v>0</v>
      </c>
      <c r="M392" t="n">
        <v>0</v>
      </c>
      <c r="N392" t="n">
        <v>0</v>
      </c>
      <c r="O392" t="n">
        <v>0</v>
      </c>
      <c r="P392" t="n">
        <v>0</v>
      </c>
      <c r="Q392" t="n">
        <v>0</v>
      </c>
      <c r="R392" s="2" t="inlineStr"/>
    </row>
    <row r="393" ht="15" customHeight="1">
      <c r="A393" t="inlineStr">
        <is>
          <t>A 45060-2022</t>
        </is>
      </c>
      <c r="B393" s="1" t="n">
        <v>44841</v>
      </c>
      <c r="C393" s="1" t="n">
        <v>45510</v>
      </c>
      <c r="D393" t="inlineStr">
        <is>
          <t>DALARNAS LÄN</t>
        </is>
      </c>
      <c r="E393" t="inlineStr">
        <is>
          <t>LUDVIKA</t>
        </is>
      </c>
      <c r="G393" t="n">
        <v>1.1</v>
      </c>
      <c r="H393" t="n">
        <v>0</v>
      </c>
      <c r="I393" t="n">
        <v>0</v>
      </c>
      <c r="J393" t="n">
        <v>0</v>
      </c>
      <c r="K393" t="n">
        <v>0</v>
      </c>
      <c r="L393" t="n">
        <v>0</v>
      </c>
      <c r="M393" t="n">
        <v>0</v>
      </c>
      <c r="N393" t="n">
        <v>0</v>
      </c>
      <c r="O393" t="n">
        <v>0</v>
      </c>
      <c r="P393" t="n">
        <v>0</v>
      </c>
      <c r="Q393" t="n">
        <v>0</v>
      </c>
      <c r="R393" s="2" t="inlineStr"/>
    </row>
    <row r="394" ht="15" customHeight="1">
      <c r="A394" t="inlineStr">
        <is>
          <t>A 45235-2022</t>
        </is>
      </c>
      <c r="B394" s="1" t="n">
        <v>44844</v>
      </c>
      <c r="C394" s="1" t="n">
        <v>45510</v>
      </c>
      <c r="D394" t="inlineStr">
        <is>
          <t>DALARNAS LÄN</t>
        </is>
      </c>
      <c r="E394" t="inlineStr">
        <is>
          <t>LUDVIKA</t>
        </is>
      </c>
      <c r="F394" t="inlineStr">
        <is>
          <t>Naturvårdsverket</t>
        </is>
      </c>
      <c r="G394" t="n">
        <v>4.1</v>
      </c>
      <c r="H394" t="n">
        <v>0</v>
      </c>
      <c r="I394" t="n">
        <v>0</v>
      </c>
      <c r="J394" t="n">
        <v>0</v>
      </c>
      <c r="K394" t="n">
        <v>0</v>
      </c>
      <c r="L394" t="n">
        <v>0</v>
      </c>
      <c r="M394" t="n">
        <v>0</v>
      </c>
      <c r="N394" t="n">
        <v>0</v>
      </c>
      <c r="O394" t="n">
        <v>0</v>
      </c>
      <c r="P394" t="n">
        <v>0</v>
      </c>
      <c r="Q394" t="n">
        <v>0</v>
      </c>
      <c r="R394" s="2" t="inlineStr"/>
    </row>
    <row r="395" ht="15" customHeight="1">
      <c r="A395" t="inlineStr">
        <is>
          <t>A 45179-2022</t>
        </is>
      </c>
      <c r="B395" s="1" t="n">
        <v>44844</v>
      </c>
      <c r="C395" s="1" t="n">
        <v>45510</v>
      </c>
      <c r="D395" t="inlineStr">
        <is>
          <t>DALARNAS LÄN</t>
        </is>
      </c>
      <c r="E395" t="inlineStr">
        <is>
          <t>LUDVIKA</t>
        </is>
      </c>
      <c r="F395" t="inlineStr">
        <is>
          <t>Naturvårdsverket</t>
        </is>
      </c>
      <c r="G395" t="n">
        <v>4.3</v>
      </c>
      <c r="H395" t="n">
        <v>0</v>
      </c>
      <c r="I395" t="n">
        <v>0</v>
      </c>
      <c r="J395" t="n">
        <v>0</v>
      </c>
      <c r="K395" t="n">
        <v>0</v>
      </c>
      <c r="L395" t="n">
        <v>0</v>
      </c>
      <c r="M395" t="n">
        <v>0</v>
      </c>
      <c r="N395" t="n">
        <v>0</v>
      </c>
      <c r="O395" t="n">
        <v>0</v>
      </c>
      <c r="P395" t="n">
        <v>0</v>
      </c>
      <c r="Q395" t="n">
        <v>0</v>
      </c>
      <c r="R395" s="2" t="inlineStr"/>
    </row>
    <row r="396" ht="15" customHeight="1">
      <c r="A396" t="inlineStr">
        <is>
          <t>A 45230-2022</t>
        </is>
      </c>
      <c r="B396" s="1" t="n">
        <v>44844</v>
      </c>
      <c r="C396" s="1" t="n">
        <v>45510</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45268-2022</t>
        </is>
      </c>
      <c r="B397" s="1" t="n">
        <v>44844</v>
      </c>
      <c r="C397" s="1" t="n">
        <v>45510</v>
      </c>
      <c r="D397" t="inlineStr">
        <is>
          <t>DALARNAS LÄN</t>
        </is>
      </c>
      <c r="E397" t="inlineStr">
        <is>
          <t>LUDVIKA</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45361-2022</t>
        </is>
      </c>
      <c r="B398" s="1" t="n">
        <v>44844</v>
      </c>
      <c r="C398" s="1" t="n">
        <v>45510</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45458-2022</t>
        </is>
      </c>
      <c r="B399" s="1" t="n">
        <v>44845</v>
      </c>
      <c r="C399" s="1" t="n">
        <v>45510</v>
      </c>
      <c r="D399" t="inlineStr">
        <is>
          <t>DALARNAS LÄN</t>
        </is>
      </c>
      <c r="E399" t="inlineStr">
        <is>
          <t>LUDVIKA</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46878-2022</t>
        </is>
      </c>
      <c r="B400" s="1" t="n">
        <v>44848</v>
      </c>
      <c r="C400" s="1" t="n">
        <v>45510</v>
      </c>
      <c r="D400" t="inlineStr">
        <is>
          <t>DALARNAS LÄN</t>
        </is>
      </c>
      <c r="E400" t="inlineStr">
        <is>
          <t>LUDVIKA</t>
        </is>
      </c>
      <c r="G400" t="n">
        <v>4</v>
      </c>
      <c r="H400" t="n">
        <v>0</v>
      </c>
      <c r="I400" t="n">
        <v>0</v>
      </c>
      <c r="J400" t="n">
        <v>0</v>
      </c>
      <c r="K400" t="n">
        <v>0</v>
      </c>
      <c r="L400" t="n">
        <v>0</v>
      </c>
      <c r="M400" t="n">
        <v>0</v>
      </c>
      <c r="N400" t="n">
        <v>0</v>
      </c>
      <c r="O400" t="n">
        <v>0</v>
      </c>
      <c r="P400" t="n">
        <v>0</v>
      </c>
      <c r="Q400" t="n">
        <v>0</v>
      </c>
      <c r="R400" s="2" t="inlineStr"/>
    </row>
    <row r="401" ht="15" customHeight="1">
      <c r="A401" t="inlineStr">
        <is>
          <t>A 46680-2022</t>
        </is>
      </c>
      <c r="B401" s="1" t="n">
        <v>44851</v>
      </c>
      <c r="C401" s="1" t="n">
        <v>45510</v>
      </c>
      <c r="D401" t="inlineStr">
        <is>
          <t>DALARNAS LÄN</t>
        </is>
      </c>
      <c r="E401" t="inlineStr">
        <is>
          <t>LUDVIKA</t>
        </is>
      </c>
      <c r="G401" t="n">
        <v>2.6</v>
      </c>
      <c r="H401" t="n">
        <v>0</v>
      </c>
      <c r="I401" t="n">
        <v>0</v>
      </c>
      <c r="J401" t="n">
        <v>0</v>
      </c>
      <c r="K401" t="n">
        <v>0</v>
      </c>
      <c r="L401" t="n">
        <v>0</v>
      </c>
      <c r="M401" t="n">
        <v>0</v>
      </c>
      <c r="N401" t="n">
        <v>0</v>
      </c>
      <c r="O401" t="n">
        <v>0</v>
      </c>
      <c r="P401" t="n">
        <v>0</v>
      </c>
      <c r="Q401" t="n">
        <v>0</v>
      </c>
      <c r="R401" s="2" t="inlineStr"/>
    </row>
    <row r="402" ht="15" customHeight="1">
      <c r="A402" t="inlineStr">
        <is>
          <t>A 46905-2022</t>
        </is>
      </c>
      <c r="B402" s="1" t="n">
        <v>44851</v>
      </c>
      <c r="C402" s="1" t="n">
        <v>45510</v>
      </c>
      <c r="D402" t="inlineStr">
        <is>
          <t>DALARNAS LÄN</t>
        </is>
      </c>
      <c r="E402" t="inlineStr">
        <is>
          <t>LUDVIKA</t>
        </is>
      </c>
      <c r="F402" t="inlineStr">
        <is>
          <t>Naturvårdsverket</t>
        </is>
      </c>
      <c r="G402" t="n">
        <v>0.6</v>
      </c>
      <c r="H402" t="n">
        <v>0</v>
      </c>
      <c r="I402" t="n">
        <v>0</v>
      </c>
      <c r="J402" t="n">
        <v>0</v>
      </c>
      <c r="K402" t="n">
        <v>0</v>
      </c>
      <c r="L402" t="n">
        <v>0</v>
      </c>
      <c r="M402" t="n">
        <v>0</v>
      </c>
      <c r="N402" t="n">
        <v>0</v>
      </c>
      <c r="O402" t="n">
        <v>0</v>
      </c>
      <c r="P402" t="n">
        <v>0</v>
      </c>
      <c r="Q402" t="n">
        <v>0</v>
      </c>
      <c r="R402" s="2" t="inlineStr"/>
    </row>
    <row r="403" ht="15" customHeight="1">
      <c r="A403" t="inlineStr">
        <is>
          <t>A 47071-2022</t>
        </is>
      </c>
      <c r="B403" s="1" t="n">
        <v>44852</v>
      </c>
      <c r="C403" s="1" t="n">
        <v>45510</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47496-2022</t>
        </is>
      </c>
      <c r="B404" s="1" t="n">
        <v>44853</v>
      </c>
      <c r="C404" s="1" t="n">
        <v>45510</v>
      </c>
      <c r="D404" t="inlineStr">
        <is>
          <t>DALARNAS LÄN</t>
        </is>
      </c>
      <c r="E404" t="inlineStr">
        <is>
          <t>LUDVIKA</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47731-2022</t>
        </is>
      </c>
      <c r="B405" s="1" t="n">
        <v>44854</v>
      </c>
      <c r="C405" s="1" t="n">
        <v>45510</v>
      </c>
      <c r="D405" t="inlineStr">
        <is>
          <t>DALARNAS LÄN</t>
        </is>
      </c>
      <c r="E405" t="inlineStr">
        <is>
          <t>LUDVIKA</t>
        </is>
      </c>
      <c r="F405" t="inlineStr">
        <is>
          <t>Naturvårdsverket</t>
        </is>
      </c>
      <c r="G405" t="n">
        <v>2.1</v>
      </c>
      <c r="H405" t="n">
        <v>0</v>
      </c>
      <c r="I405" t="n">
        <v>0</v>
      </c>
      <c r="J405" t="n">
        <v>0</v>
      </c>
      <c r="K405" t="n">
        <v>0</v>
      </c>
      <c r="L405" t="n">
        <v>0</v>
      </c>
      <c r="M405" t="n">
        <v>0</v>
      </c>
      <c r="N405" t="n">
        <v>0</v>
      </c>
      <c r="O405" t="n">
        <v>0</v>
      </c>
      <c r="P405" t="n">
        <v>0</v>
      </c>
      <c r="Q405" t="n">
        <v>0</v>
      </c>
      <c r="R405" s="2" t="inlineStr"/>
    </row>
    <row r="406" ht="15" customHeight="1">
      <c r="A406" t="inlineStr">
        <is>
          <t>A 48740-2022</t>
        </is>
      </c>
      <c r="B406" s="1" t="n">
        <v>44859</v>
      </c>
      <c r="C406" s="1" t="n">
        <v>45510</v>
      </c>
      <c r="D406" t="inlineStr">
        <is>
          <t>DALARNAS LÄN</t>
        </is>
      </c>
      <c r="E406" t="inlineStr">
        <is>
          <t>LUDVIKA</t>
        </is>
      </c>
      <c r="F406" t="inlineStr">
        <is>
          <t>Bergvik skog väst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48804-2022</t>
        </is>
      </c>
      <c r="B407" s="1" t="n">
        <v>44859</v>
      </c>
      <c r="C407" s="1" t="n">
        <v>45510</v>
      </c>
      <c r="D407" t="inlineStr">
        <is>
          <t>DALARNAS LÄN</t>
        </is>
      </c>
      <c r="E407" t="inlineStr">
        <is>
          <t>LUDVIKA</t>
        </is>
      </c>
      <c r="F407" t="inlineStr">
        <is>
          <t>Naturvårdsverket</t>
        </is>
      </c>
      <c r="G407" t="n">
        <v>5.1</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v>
      </c>
      <c r="C408" s="1" t="n">
        <v>45510</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48715-2022</t>
        </is>
      </c>
      <c r="B409" s="1" t="n">
        <v>44859</v>
      </c>
      <c r="C409" s="1" t="n">
        <v>45510</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48748-2022</t>
        </is>
      </c>
      <c r="B410" s="1" t="n">
        <v>44859</v>
      </c>
      <c r="C410" s="1" t="n">
        <v>45510</v>
      </c>
      <c r="D410" t="inlineStr">
        <is>
          <t>DALARNAS LÄN</t>
        </is>
      </c>
      <c r="E410" t="inlineStr">
        <is>
          <t>LUDVIKA</t>
        </is>
      </c>
      <c r="F410" t="inlineStr">
        <is>
          <t>Naturvårdsverket</t>
        </is>
      </c>
      <c r="G410" t="n">
        <v>1.2</v>
      </c>
      <c r="H410" t="n">
        <v>0</v>
      </c>
      <c r="I410" t="n">
        <v>0</v>
      </c>
      <c r="J410" t="n">
        <v>0</v>
      </c>
      <c r="K410" t="n">
        <v>0</v>
      </c>
      <c r="L410" t="n">
        <v>0</v>
      </c>
      <c r="M410" t="n">
        <v>0</v>
      </c>
      <c r="N410" t="n">
        <v>0</v>
      </c>
      <c r="O410" t="n">
        <v>0</v>
      </c>
      <c r="P410" t="n">
        <v>0</v>
      </c>
      <c r="Q410" t="n">
        <v>0</v>
      </c>
      <c r="R410" s="2" t="inlineStr"/>
    </row>
    <row r="411" ht="15" customHeight="1">
      <c r="A411" t="inlineStr">
        <is>
          <t>A 48857-2022</t>
        </is>
      </c>
      <c r="B411" s="1" t="n">
        <v>44859</v>
      </c>
      <c r="C411" s="1" t="n">
        <v>45510</v>
      </c>
      <c r="D411" t="inlineStr">
        <is>
          <t>DALARNAS LÄN</t>
        </is>
      </c>
      <c r="E411" t="inlineStr">
        <is>
          <t>LUDVIKA</t>
        </is>
      </c>
      <c r="G411" t="n">
        <v>1.8</v>
      </c>
      <c r="H411" t="n">
        <v>0</v>
      </c>
      <c r="I411" t="n">
        <v>0</v>
      </c>
      <c r="J411" t="n">
        <v>0</v>
      </c>
      <c r="K411" t="n">
        <v>0</v>
      </c>
      <c r="L411" t="n">
        <v>0</v>
      </c>
      <c r="M411" t="n">
        <v>0</v>
      </c>
      <c r="N411" t="n">
        <v>0</v>
      </c>
      <c r="O411" t="n">
        <v>0</v>
      </c>
      <c r="P411" t="n">
        <v>0</v>
      </c>
      <c r="Q411" t="n">
        <v>0</v>
      </c>
      <c r="R411" s="2" t="inlineStr"/>
    </row>
    <row r="412" ht="15" customHeight="1">
      <c r="A412" t="inlineStr">
        <is>
          <t>A 48673-2022</t>
        </is>
      </c>
      <c r="B412" s="1" t="n">
        <v>44859</v>
      </c>
      <c r="C412" s="1" t="n">
        <v>45510</v>
      </c>
      <c r="D412" t="inlineStr">
        <is>
          <t>DALARNAS LÄN</t>
        </is>
      </c>
      <c r="E412" t="inlineStr">
        <is>
          <t>LUDVIKA</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48759-2022</t>
        </is>
      </c>
      <c r="B413" s="1" t="n">
        <v>44859</v>
      </c>
      <c r="C413" s="1" t="n">
        <v>45510</v>
      </c>
      <c r="D413" t="inlineStr">
        <is>
          <t>DALARNAS LÄN</t>
        </is>
      </c>
      <c r="E413" t="inlineStr">
        <is>
          <t>LUDVIKA</t>
        </is>
      </c>
      <c r="F413" t="inlineStr">
        <is>
          <t>Naturvårdsverket</t>
        </is>
      </c>
      <c r="G413" t="n">
        <v>4.2</v>
      </c>
      <c r="H413" t="n">
        <v>0</v>
      </c>
      <c r="I413" t="n">
        <v>0</v>
      </c>
      <c r="J413" t="n">
        <v>0</v>
      </c>
      <c r="K413" t="n">
        <v>0</v>
      </c>
      <c r="L413" t="n">
        <v>0</v>
      </c>
      <c r="M413" t="n">
        <v>0</v>
      </c>
      <c r="N413" t="n">
        <v>0</v>
      </c>
      <c r="O413" t="n">
        <v>0</v>
      </c>
      <c r="P413" t="n">
        <v>0</v>
      </c>
      <c r="Q413" t="n">
        <v>0</v>
      </c>
      <c r="R413" s="2" t="inlineStr"/>
    </row>
    <row r="414" ht="15" customHeight="1">
      <c r="A414" t="inlineStr">
        <is>
          <t>A 49371-2022</t>
        </is>
      </c>
      <c r="B414" s="1" t="n">
        <v>44861</v>
      </c>
      <c r="C414" s="1" t="n">
        <v>45510</v>
      </c>
      <c r="D414" t="inlineStr">
        <is>
          <t>DALARNAS LÄN</t>
        </is>
      </c>
      <c r="E414" t="inlineStr">
        <is>
          <t>LUDVIKA</t>
        </is>
      </c>
      <c r="F414" t="inlineStr">
        <is>
          <t>Bergvik skog väst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49564-2022</t>
        </is>
      </c>
      <c r="B415" s="1" t="n">
        <v>44862</v>
      </c>
      <c r="C415" s="1" t="n">
        <v>45510</v>
      </c>
      <c r="D415" t="inlineStr">
        <is>
          <t>DALARNAS LÄN</t>
        </is>
      </c>
      <c r="E415" t="inlineStr">
        <is>
          <t>LUDVIKA</t>
        </is>
      </c>
      <c r="F415" t="inlineStr">
        <is>
          <t>Bergvik skog väst AB</t>
        </is>
      </c>
      <c r="G415" t="n">
        <v>5.1</v>
      </c>
      <c r="H415" t="n">
        <v>0</v>
      </c>
      <c r="I415" t="n">
        <v>0</v>
      </c>
      <c r="J415" t="n">
        <v>0</v>
      </c>
      <c r="K415" t="n">
        <v>0</v>
      </c>
      <c r="L415" t="n">
        <v>0</v>
      </c>
      <c r="M415" t="n">
        <v>0</v>
      </c>
      <c r="N415" t="n">
        <v>0</v>
      </c>
      <c r="O415" t="n">
        <v>0</v>
      </c>
      <c r="P415" t="n">
        <v>0</v>
      </c>
      <c r="Q415" t="n">
        <v>0</v>
      </c>
      <c r="R415" s="2" t="inlineStr"/>
    </row>
    <row r="416" ht="15" customHeight="1">
      <c r="A416" t="inlineStr">
        <is>
          <t>A 50078-2022</t>
        </is>
      </c>
      <c r="B416" s="1" t="n">
        <v>44865</v>
      </c>
      <c r="C416" s="1" t="n">
        <v>45510</v>
      </c>
      <c r="D416" t="inlineStr">
        <is>
          <t>DALARNAS LÄN</t>
        </is>
      </c>
      <c r="E416" t="inlineStr">
        <is>
          <t>LUDVIKA</t>
        </is>
      </c>
      <c r="F416" t="inlineStr">
        <is>
          <t>Naturvårdsverket</t>
        </is>
      </c>
      <c r="G416" t="n">
        <v>0.7</v>
      </c>
      <c r="H416" t="n">
        <v>0</v>
      </c>
      <c r="I416" t="n">
        <v>0</v>
      </c>
      <c r="J416" t="n">
        <v>0</v>
      </c>
      <c r="K416" t="n">
        <v>0</v>
      </c>
      <c r="L416" t="n">
        <v>0</v>
      </c>
      <c r="M416" t="n">
        <v>0</v>
      </c>
      <c r="N416" t="n">
        <v>0</v>
      </c>
      <c r="O416" t="n">
        <v>0</v>
      </c>
      <c r="P416" t="n">
        <v>0</v>
      </c>
      <c r="Q416" t="n">
        <v>0</v>
      </c>
      <c r="R416" s="2" t="inlineStr"/>
    </row>
    <row r="417" ht="15" customHeight="1">
      <c r="A417" t="inlineStr">
        <is>
          <t>A 49951-2022</t>
        </is>
      </c>
      <c r="B417" s="1" t="n">
        <v>44865</v>
      </c>
      <c r="C417" s="1" t="n">
        <v>45510</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50057-2022</t>
        </is>
      </c>
      <c r="B418" s="1" t="n">
        <v>44865</v>
      </c>
      <c r="C418" s="1" t="n">
        <v>45510</v>
      </c>
      <c r="D418" t="inlineStr">
        <is>
          <t>DALARNAS LÄN</t>
        </is>
      </c>
      <c r="E418" t="inlineStr">
        <is>
          <t>LUDVIKA</t>
        </is>
      </c>
      <c r="F418" t="inlineStr">
        <is>
          <t>Naturvårdsverket</t>
        </is>
      </c>
      <c r="G418" t="n">
        <v>2.3</v>
      </c>
      <c r="H418" t="n">
        <v>0</v>
      </c>
      <c r="I418" t="n">
        <v>0</v>
      </c>
      <c r="J418" t="n">
        <v>0</v>
      </c>
      <c r="K418" t="n">
        <v>0</v>
      </c>
      <c r="L418" t="n">
        <v>0</v>
      </c>
      <c r="M418" t="n">
        <v>0</v>
      </c>
      <c r="N418" t="n">
        <v>0</v>
      </c>
      <c r="O418" t="n">
        <v>0</v>
      </c>
      <c r="P418" t="n">
        <v>0</v>
      </c>
      <c r="Q418" t="n">
        <v>0</v>
      </c>
      <c r="R418" s="2" t="inlineStr"/>
    </row>
    <row r="419" ht="15" customHeight="1">
      <c r="A419" t="inlineStr">
        <is>
          <t>A 50814-2022</t>
        </is>
      </c>
      <c r="B419" s="1" t="n">
        <v>44867</v>
      </c>
      <c r="C419" s="1" t="n">
        <v>45510</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50862-2022</t>
        </is>
      </c>
      <c r="B420" s="1" t="n">
        <v>44867</v>
      </c>
      <c r="C420" s="1" t="n">
        <v>45510</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51386-2022</t>
        </is>
      </c>
      <c r="B421" s="1" t="n">
        <v>44869</v>
      </c>
      <c r="C421" s="1" t="n">
        <v>45510</v>
      </c>
      <c r="D421" t="inlineStr">
        <is>
          <t>DALARNAS LÄN</t>
        </is>
      </c>
      <c r="E421" t="inlineStr">
        <is>
          <t>LUDVIKA</t>
        </is>
      </c>
      <c r="F421" t="inlineStr">
        <is>
          <t>Bergvik skog väst AB</t>
        </is>
      </c>
      <c r="G421" t="n">
        <v>5.2</v>
      </c>
      <c r="H421" t="n">
        <v>0</v>
      </c>
      <c r="I421" t="n">
        <v>0</v>
      </c>
      <c r="J421" t="n">
        <v>0</v>
      </c>
      <c r="K421" t="n">
        <v>0</v>
      </c>
      <c r="L421" t="n">
        <v>0</v>
      </c>
      <c r="M421" t="n">
        <v>0</v>
      </c>
      <c r="N421" t="n">
        <v>0</v>
      </c>
      <c r="O421" t="n">
        <v>0</v>
      </c>
      <c r="P421" t="n">
        <v>0</v>
      </c>
      <c r="Q421" t="n">
        <v>0</v>
      </c>
      <c r="R421" s="2" t="inlineStr"/>
    </row>
    <row r="422" ht="15" customHeight="1">
      <c r="A422" t="inlineStr">
        <is>
          <t>A 51453-2022</t>
        </is>
      </c>
      <c r="B422" s="1" t="n">
        <v>44869</v>
      </c>
      <c r="C422" s="1" t="n">
        <v>45510</v>
      </c>
      <c r="D422" t="inlineStr">
        <is>
          <t>DALARNAS LÄN</t>
        </is>
      </c>
      <c r="E422" t="inlineStr">
        <is>
          <t>LUDVIKA</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52303-2022</t>
        </is>
      </c>
      <c r="B423" s="1" t="n">
        <v>44869</v>
      </c>
      <c r="C423" s="1" t="n">
        <v>45510</v>
      </c>
      <c r="D423" t="inlineStr">
        <is>
          <t>DALARNAS LÄN</t>
        </is>
      </c>
      <c r="E423" t="inlineStr">
        <is>
          <t>LUDVIKA</t>
        </is>
      </c>
      <c r="G423" t="n">
        <v>1</v>
      </c>
      <c r="H423" t="n">
        <v>0</v>
      </c>
      <c r="I423" t="n">
        <v>0</v>
      </c>
      <c r="J423" t="n">
        <v>0</v>
      </c>
      <c r="K423" t="n">
        <v>0</v>
      </c>
      <c r="L423" t="n">
        <v>0</v>
      </c>
      <c r="M423" t="n">
        <v>0</v>
      </c>
      <c r="N423" t="n">
        <v>0</v>
      </c>
      <c r="O423" t="n">
        <v>0</v>
      </c>
      <c r="P423" t="n">
        <v>0</v>
      </c>
      <c r="Q423" t="n">
        <v>0</v>
      </c>
      <c r="R423" s="2" t="inlineStr"/>
    </row>
    <row r="424" ht="15" customHeight="1">
      <c r="A424" t="inlineStr">
        <is>
          <t>A 51713-2022</t>
        </is>
      </c>
      <c r="B424" s="1" t="n">
        <v>44872</v>
      </c>
      <c r="C424" s="1" t="n">
        <v>45510</v>
      </c>
      <c r="D424" t="inlineStr">
        <is>
          <t>DALARNAS LÄN</t>
        </is>
      </c>
      <c r="E424" t="inlineStr">
        <is>
          <t>LUDVIKA</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51659-2022</t>
        </is>
      </c>
      <c r="B425" s="1" t="n">
        <v>44872</v>
      </c>
      <c r="C425" s="1" t="n">
        <v>45510</v>
      </c>
      <c r="D425" t="inlineStr">
        <is>
          <t>DALARNAS LÄN</t>
        </is>
      </c>
      <c r="E425" t="inlineStr">
        <is>
          <t>LUDVIKA</t>
        </is>
      </c>
      <c r="G425" t="n">
        <v>0.7</v>
      </c>
      <c r="H425" t="n">
        <v>0</v>
      </c>
      <c r="I425" t="n">
        <v>0</v>
      </c>
      <c r="J425" t="n">
        <v>0</v>
      </c>
      <c r="K425" t="n">
        <v>0</v>
      </c>
      <c r="L425" t="n">
        <v>0</v>
      </c>
      <c r="M425" t="n">
        <v>0</v>
      </c>
      <c r="N425" t="n">
        <v>0</v>
      </c>
      <c r="O425" t="n">
        <v>0</v>
      </c>
      <c r="P425" t="n">
        <v>0</v>
      </c>
      <c r="Q425" t="n">
        <v>0</v>
      </c>
      <c r="R425" s="2" t="inlineStr"/>
    </row>
    <row r="426" ht="15" customHeight="1">
      <c r="A426" t="inlineStr">
        <is>
          <t>A 51709-2022</t>
        </is>
      </c>
      <c r="B426" s="1" t="n">
        <v>44872</v>
      </c>
      <c r="C426" s="1" t="n">
        <v>45510</v>
      </c>
      <c r="D426" t="inlineStr">
        <is>
          <t>DALARNAS LÄN</t>
        </is>
      </c>
      <c r="E426" t="inlineStr">
        <is>
          <t>LUDVIKA</t>
        </is>
      </c>
      <c r="F426" t="inlineStr">
        <is>
          <t>Bergvik skog väst AB</t>
        </is>
      </c>
      <c r="G426" t="n">
        <v>2.1</v>
      </c>
      <c r="H426" t="n">
        <v>0</v>
      </c>
      <c r="I426" t="n">
        <v>0</v>
      </c>
      <c r="J426" t="n">
        <v>0</v>
      </c>
      <c r="K426" t="n">
        <v>0</v>
      </c>
      <c r="L426" t="n">
        <v>0</v>
      </c>
      <c r="M426" t="n">
        <v>0</v>
      </c>
      <c r="N426" t="n">
        <v>0</v>
      </c>
      <c r="O426" t="n">
        <v>0</v>
      </c>
      <c r="P426" t="n">
        <v>0</v>
      </c>
      <c r="Q426" t="n">
        <v>0</v>
      </c>
      <c r="R426" s="2" t="inlineStr"/>
    </row>
    <row r="427" ht="15" customHeight="1">
      <c r="A427" t="inlineStr">
        <is>
          <t>A 51886-2022</t>
        </is>
      </c>
      <c r="B427" s="1" t="n">
        <v>44872</v>
      </c>
      <c r="C427" s="1" t="n">
        <v>45510</v>
      </c>
      <c r="D427" t="inlineStr">
        <is>
          <t>DALARNAS LÄN</t>
        </is>
      </c>
      <c r="E427" t="inlineStr">
        <is>
          <t>LUDVIKA</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52432-2022</t>
        </is>
      </c>
      <c r="B428" s="1" t="n">
        <v>44874</v>
      </c>
      <c r="C428" s="1" t="n">
        <v>45510</v>
      </c>
      <c r="D428" t="inlineStr">
        <is>
          <t>DALARNAS LÄN</t>
        </is>
      </c>
      <c r="E428" t="inlineStr">
        <is>
          <t>LUDVIKA</t>
        </is>
      </c>
      <c r="F428" t="inlineStr">
        <is>
          <t>Bergvik skog väst AB</t>
        </is>
      </c>
      <c r="G428" t="n">
        <v>1.9</v>
      </c>
      <c r="H428" t="n">
        <v>0</v>
      </c>
      <c r="I428" t="n">
        <v>0</v>
      </c>
      <c r="J428" t="n">
        <v>0</v>
      </c>
      <c r="K428" t="n">
        <v>0</v>
      </c>
      <c r="L428" t="n">
        <v>0</v>
      </c>
      <c r="M428" t="n">
        <v>0</v>
      </c>
      <c r="N428" t="n">
        <v>0</v>
      </c>
      <c r="O428" t="n">
        <v>0</v>
      </c>
      <c r="P428" t="n">
        <v>0</v>
      </c>
      <c r="Q428" t="n">
        <v>0</v>
      </c>
      <c r="R428" s="2" t="inlineStr"/>
    </row>
    <row r="429" ht="15" customHeight="1">
      <c r="A429" t="inlineStr">
        <is>
          <t>A 53509-2022</t>
        </is>
      </c>
      <c r="B429" s="1" t="n">
        <v>44879</v>
      </c>
      <c r="C429" s="1" t="n">
        <v>45510</v>
      </c>
      <c r="D429" t="inlineStr">
        <is>
          <t>DALARNAS LÄN</t>
        </is>
      </c>
      <c r="E429" t="inlineStr">
        <is>
          <t>LUDVIKA</t>
        </is>
      </c>
      <c r="F429" t="inlineStr">
        <is>
          <t>Naturvårdsverket</t>
        </is>
      </c>
      <c r="G429" t="n">
        <v>4.9</v>
      </c>
      <c r="H429" t="n">
        <v>0</v>
      </c>
      <c r="I429" t="n">
        <v>0</v>
      </c>
      <c r="J429" t="n">
        <v>0</v>
      </c>
      <c r="K429" t="n">
        <v>0</v>
      </c>
      <c r="L429" t="n">
        <v>0</v>
      </c>
      <c r="M429" t="n">
        <v>0</v>
      </c>
      <c r="N429" t="n">
        <v>0</v>
      </c>
      <c r="O429" t="n">
        <v>0</v>
      </c>
      <c r="P429" t="n">
        <v>0</v>
      </c>
      <c r="Q429" t="n">
        <v>0</v>
      </c>
      <c r="R429" s="2" t="inlineStr"/>
    </row>
    <row r="430" ht="15" customHeight="1">
      <c r="A430" t="inlineStr">
        <is>
          <t>A 53619-2022</t>
        </is>
      </c>
      <c r="B430" s="1" t="n">
        <v>44879</v>
      </c>
      <c r="C430" s="1" t="n">
        <v>45510</v>
      </c>
      <c r="D430" t="inlineStr">
        <is>
          <t>DALARNAS LÄN</t>
        </is>
      </c>
      <c r="E430" t="inlineStr">
        <is>
          <t>LUDVIKA</t>
        </is>
      </c>
      <c r="G430" t="n">
        <v>1</v>
      </c>
      <c r="H430" t="n">
        <v>0</v>
      </c>
      <c r="I430" t="n">
        <v>0</v>
      </c>
      <c r="J430" t="n">
        <v>0</v>
      </c>
      <c r="K430" t="n">
        <v>0</v>
      </c>
      <c r="L430" t="n">
        <v>0</v>
      </c>
      <c r="M430" t="n">
        <v>0</v>
      </c>
      <c r="N430" t="n">
        <v>0</v>
      </c>
      <c r="O430" t="n">
        <v>0</v>
      </c>
      <c r="P430" t="n">
        <v>0</v>
      </c>
      <c r="Q430" t="n">
        <v>0</v>
      </c>
      <c r="R430" s="2" t="inlineStr"/>
    </row>
    <row r="431" ht="15" customHeight="1">
      <c r="A431" t="inlineStr">
        <is>
          <t>A 53620-2022</t>
        </is>
      </c>
      <c r="B431" s="1" t="n">
        <v>44879</v>
      </c>
      <c r="C431" s="1" t="n">
        <v>45510</v>
      </c>
      <c r="D431" t="inlineStr">
        <is>
          <t>DALARNAS LÄN</t>
        </is>
      </c>
      <c r="E431" t="inlineStr">
        <is>
          <t>LUDVIKA</t>
        </is>
      </c>
      <c r="G431" t="n">
        <v>3.7</v>
      </c>
      <c r="H431" t="n">
        <v>0</v>
      </c>
      <c r="I431" t="n">
        <v>0</v>
      </c>
      <c r="J431" t="n">
        <v>0</v>
      </c>
      <c r="K431" t="n">
        <v>0</v>
      </c>
      <c r="L431" t="n">
        <v>0</v>
      </c>
      <c r="M431" t="n">
        <v>0</v>
      </c>
      <c r="N431" t="n">
        <v>0</v>
      </c>
      <c r="O431" t="n">
        <v>0</v>
      </c>
      <c r="P431" t="n">
        <v>0</v>
      </c>
      <c r="Q431" t="n">
        <v>0</v>
      </c>
      <c r="R431" s="2" t="inlineStr"/>
    </row>
    <row r="432" ht="15" customHeight="1">
      <c r="A432" t="inlineStr">
        <is>
          <t>A 53705-2022</t>
        </is>
      </c>
      <c r="B432" s="1" t="n">
        <v>44880</v>
      </c>
      <c r="C432" s="1" t="n">
        <v>45510</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54730-2022</t>
        </is>
      </c>
      <c r="B433" s="1" t="n">
        <v>44883</v>
      </c>
      <c r="C433" s="1" t="n">
        <v>45510</v>
      </c>
      <c r="D433" t="inlineStr">
        <is>
          <t>DALARNAS LÄN</t>
        </is>
      </c>
      <c r="E433" t="inlineStr">
        <is>
          <t>LUDVIKA</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54767-2022</t>
        </is>
      </c>
      <c r="B434" s="1" t="n">
        <v>44883</v>
      </c>
      <c r="C434" s="1" t="n">
        <v>45510</v>
      </c>
      <c r="D434" t="inlineStr">
        <is>
          <t>DALARNAS LÄN</t>
        </is>
      </c>
      <c r="E434" t="inlineStr">
        <is>
          <t>LUDVIKA</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54914-2022</t>
        </is>
      </c>
      <c r="B435" s="1" t="n">
        <v>44886</v>
      </c>
      <c r="C435" s="1" t="n">
        <v>45510</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55262-2022</t>
        </is>
      </c>
      <c r="B436" s="1" t="n">
        <v>44887</v>
      </c>
      <c r="C436" s="1" t="n">
        <v>45510</v>
      </c>
      <c r="D436" t="inlineStr">
        <is>
          <t>DALARNAS LÄN</t>
        </is>
      </c>
      <c r="E436" t="inlineStr">
        <is>
          <t>LUDVIKA</t>
        </is>
      </c>
      <c r="F436" t="inlineStr">
        <is>
          <t>Bergvik skog väst AB</t>
        </is>
      </c>
      <c r="G436" t="n">
        <v>4.4</v>
      </c>
      <c r="H436" t="n">
        <v>0</v>
      </c>
      <c r="I436" t="n">
        <v>0</v>
      </c>
      <c r="J436" t="n">
        <v>0</v>
      </c>
      <c r="K436" t="n">
        <v>0</v>
      </c>
      <c r="L436" t="n">
        <v>0</v>
      </c>
      <c r="M436" t="n">
        <v>0</v>
      </c>
      <c r="N436" t="n">
        <v>0</v>
      </c>
      <c r="O436" t="n">
        <v>0</v>
      </c>
      <c r="P436" t="n">
        <v>0</v>
      </c>
      <c r="Q436" t="n">
        <v>0</v>
      </c>
      <c r="R436" s="2" t="inlineStr"/>
    </row>
    <row r="437" ht="15" customHeight="1">
      <c r="A437" t="inlineStr">
        <is>
          <t>A 56346-2022</t>
        </is>
      </c>
      <c r="B437" s="1" t="n">
        <v>44890</v>
      </c>
      <c r="C437" s="1" t="n">
        <v>45510</v>
      </c>
      <c r="D437" t="inlineStr">
        <is>
          <t>DALARNAS LÄN</t>
        </is>
      </c>
      <c r="E437" t="inlineStr">
        <is>
          <t>LUDVIKA</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56347-2022</t>
        </is>
      </c>
      <c r="B438" s="1" t="n">
        <v>44890</v>
      </c>
      <c r="C438" s="1" t="n">
        <v>45510</v>
      </c>
      <c r="D438" t="inlineStr">
        <is>
          <t>DALARNAS LÄN</t>
        </is>
      </c>
      <c r="E438" t="inlineStr">
        <is>
          <t>LUDVIKA</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56680-2022</t>
        </is>
      </c>
      <c r="B439" s="1" t="n">
        <v>44893</v>
      </c>
      <c r="C439" s="1" t="n">
        <v>45510</v>
      </c>
      <c r="D439" t="inlineStr">
        <is>
          <t>DALARNAS LÄN</t>
        </is>
      </c>
      <c r="E439" t="inlineStr">
        <is>
          <t>LUDVIKA</t>
        </is>
      </c>
      <c r="G439" t="n">
        <v>0.4</v>
      </c>
      <c r="H439" t="n">
        <v>0</v>
      </c>
      <c r="I439" t="n">
        <v>0</v>
      </c>
      <c r="J439" t="n">
        <v>0</v>
      </c>
      <c r="K439" t="n">
        <v>0</v>
      </c>
      <c r="L439" t="n">
        <v>0</v>
      </c>
      <c r="M439" t="n">
        <v>0</v>
      </c>
      <c r="N439" t="n">
        <v>0</v>
      </c>
      <c r="O439" t="n">
        <v>0</v>
      </c>
      <c r="P439" t="n">
        <v>0</v>
      </c>
      <c r="Q439" t="n">
        <v>0</v>
      </c>
      <c r="R439" s="2" t="inlineStr"/>
    </row>
    <row r="440" ht="15" customHeight="1">
      <c r="A440" t="inlineStr">
        <is>
          <t>A 56686-2022</t>
        </is>
      </c>
      <c r="B440" s="1" t="n">
        <v>44893</v>
      </c>
      <c r="C440" s="1" t="n">
        <v>45510</v>
      </c>
      <c r="D440" t="inlineStr">
        <is>
          <t>DALARNAS LÄN</t>
        </is>
      </c>
      <c r="E440" t="inlineStr">
        <is>
          <t>LUDVIKA</t>
        </is>
      </c>
      <c r="G440" t="n">
        <v>0.7</v>
      </c>
      <c r="H440" t="n">
        <v>0</v>
      </c>
      <c r="I440" t="n">
        <v>0</v>
      </c>
      <c r="J440" t="n">
        <v>0</v>
      </c>
      <c r="K440" t="n">
        <v>0</v>
      </c>
      <c r="L440" t="n">
        <v>0</v>
      </c>
      <c r="M440" t="n">
        <v>0</v>
      </c>
      <c r="N440" t="n">
        <v>0</v>
      </c>
      <c r="O440" t="n">
        <v>0</v>
      </c>
      <c r="P440" t="n">
        <v>0</v>
      </c>
      <c r="Q440" t="n">
        <v>0</v>
      </c>
      <c r="R440" s="2" t="inlineStr"/>
    </row>
    <row r="441" ht="15" customHeight="1">
      <c r="A441" t="inlineStr">
        <is>
          <t>A 56685-2022</t>
        </is>
      </c>
      <c r="B441" s="1" t="n">
        <v>44893</v>
      </c>
      <c r="C441" s="1" t="n">
        <v>45510</v>
      </c>
      <c r="D441" t="inlineStr">
        <is>
          <t>DALARNAS LÄN</t>
        </is>
      </c>
      <c r="E441" t="inlineStr">
        <is>
          <t>LUDVIKA</t>
        </is>
      </c>
      <c r="G441" t="n">
        <v>0.6</v>
      </c>
      <c r="H441" t="n">
        <v>0</v>
      </c>
      <c r="I441" t="n">
        <v>0</v>
      </c>
      <c r="J441" t="n">
        <v>0</v>
      </c>
      <c r="K441" t="n">
        <v>0</v>
      </c>
      <c r="L441" t="n">
        <v>0</v>
      </c>
      <c r="M441" t="n">
        <v>0</v>
      </c>
      <c r="N441" t="n">
        <v>0</v>
      </c>
      <c r="O441" t="n">
        <v>0</v>
      </c>
      <c r="P441" t="n">
        <v>0</v>
      </c>
      <c r="Q441" t="n">
        <v>0</v>
      </c>
      <c r="R441" s="2" t="inlineStr"/>
    </row>
    <row r="442" ht="15" customHeight="1">
      <c r="A442" t="inlineStr">
        <is>
          <t>A 57193-2022</t>
        </is>
      </c>
      <c r="B442" s="1" t="n">
        <v>44895</v>
      </c>
      <c r="C442" s="1" t="n">
        <v>45510</v>
      </c>
      <c r="D442" t="inlineStr">
        <is>
          <t>DALARNAS LÄN</t>
        </is>
      </c>
      <c r="E442" t="inlineStr">
        <is>
          <t>LUDVIKA</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58021-2022</t>
        </is>
      </c>
      <c r="B443" s="1" t="n">
        <v>44900</v>
      </c>
      <c r="C443" s="1" t="n">
        <v>45510</v>
      </c>
      <c r="D443" t="inlineStr">
        <is>
          <t>DALARNAS LÄN</t>
        </is>
      </c>
      <c r="E443" t="inlineStr">
        <is>
          <t>LUDVIKA</t>
        </is>
      </c>
      <c r="F443" t="inlineStr">
        <is>
          <t>Bergvik skog väst AB</t>
        </is>
      </c>
      <c r="G443" t="n">
        <v>22.3</v>
      </c>
      <c r="H443" t="n">
        <v>0</v>
      </c>
      <c r="I443" t="n">
        <v>0</v>
      </c>
      <c r="J443" t="n">
        <v>0</v>
      </c>
      <c r="K443" t="n">
        <v>0</v>
      </c>
      <c r="L443" t="n">
        <v>0</v>
      </c>
      <c r="M443" t="n">
        <v>0</v>
      </c>
      <c r="N443" t="n">
        <v>0</v>
      </c>
      <c r="O443" t="n">
        <v>0</v>
      </c>
      <c r="P443" t="n">
        <v>0</v>
      </c>
      <c r="Q443" t="n">
        <v>0</v>
      </c>
      <c r="R443" s="2" t="inlineStr"/>
    </row>
    <row r="444" ht="15" customHeight="1">
      <c r="A444" t="inlineStr">
        <is>
          <t>A 59050-2022</t>
        </is>
      </c>
      <c r="B444" s="1" t="n">
        <v>44903</v>
      </c>
      <c r="C444" s="1" t="n">
        <v>45510</v>
      </c>
      <c r="D444" t="inlineStr">
        <is>
          <t>DALARNAS LÄN</t>
        </is>
      </c>
      <c r="E444" t="inlineStr">
        <is>
          <t>LUDVIKA</t>
        </is>
      </c>
      <c r="G444" t="n">
        <v>2.8</v>
      </c>
      <c r="H444" t="n">
        <v>0</v>
      </c>
      <c r="I444" t="n">
        <v>0</v>
      </c>
      <c r="J444" t="n">
        <v>0</v>
      </c>
      <c r="K444" t="n">
        <v>0</v>
      </c>
      <c r="L444" t="n">
        <v>0</v>
      </c>
      <c r="M444" t="n">
        <v>0</v>
      </c>
      <c r="N444" t="n">
        <v>0</v>
      </c>
      <c r="O444" t="n">
        <v>0</v>
      </c>
      <c r="P444" t="n">
        <v>0</v>
      </c>
      <c r="Q444" t="n">
        <v>0</v>
      </c>
      <c r="R444" s="2" t="inlineStr"/>
    </row>
    <row r="445" ht="15" customHeight="1">
      <c r="A445" t="inlineStr">
        <is>
          <t>A 59415-2022</t>
        </is>
      </c>
      <c r="B445" s="1" t="n">
        <v>44907</v>
      </c>
      <c r="C445" s="1" t="n">
        <v>45510</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59413-2022</t>
        </is>
      </c>
      <c r="B446" s="1" t="n">
        <v>44907</v>
      </c>
      <c r="C446" s="1" t="n">
        <v>45510</v>
      </c>
      <c r="D446" t="inlineStr">
        <is>
          <t>DALARNAS LÄN</t>
        </is>
      </c>
      <c r="E446" t="inlineStr">
        <is>
          <t>LUDVIKA</t>
        </is>
      </c>
      <c r="F446" t="inlineStr">
        <is>
          <t>Bergvik skog väst AB</t>
        </is>
      </c>
      <c r="G446" t="n">
        <v>1.4</v>
      </c>
      <c r="H446" t="n">
        <v>0</v>
      </c>
      <c r="I446" t="n">
        <v>0</v>
      </c>
      <c r="J446" t="n">
        <v>0</v>
      </c>
      <c r="K446" t="n">
        <v>0</v>
      </c>
      <c r="L446" t="n">
        <v>0</v>
      </c>
      <c r="M446" t="n">
        <v>0</v>
      </c>
      <c r="N446" t="n">
        <v>0</v>
      </c>
      <c r="O446" t="n">
        <v>0</v>
      </c>
      <c r="P446" t="n">
        <v>0</v>
      </c>
      <c r="Q446" t="n">
        <v>0</v>
      </c>
      <c r="R446" s="2" t="inlineStr"/>
    </row>
    <row r="447" ht="15" customHeight="1">
      <c r="A447" t="inlineStr">
        <is>
          <t>A 61050-2022</t>
        </is>
      </c>
      <c r="B447" s="1" t="n">
        <v>44915</v>
      </c>
      <c r="C447" s="1" t="n">
        <v>45510</v>
      </c>
      <c r="D447" t="inlineStr">
        <is>
          <t>DALARNAS LÄN</t>
        </is>
      </c>
      <c r="E447" t="inlineStr">
        <is>
          <t>LUDVIKA</t>
        </is>
      </c>
      <c r="G447" t="n">
        <v>2.4</v>
      </c>
      <c r="H447" t="n">
        <v>0</v>
      </c>
      <c r="I447" t="n">
        <v>0</v>
      </c>
      <c r="J447" t="n">
        <v>0</v>
      </c>
      <c r="K447" t="n">
        <v>0</v>
      </c>
      <c r="L447" t="n">
        <v>0</v>
      </c>
      <c r="M447" t="n">
        <v>0</v>
      </c>
      <c r="N447" t="n">
        <v>0</v>
      </c>
      <c r="O447" t="n">
        <v>0</v>
      </c>
      <c r="P447" t="n">
        <v>0</v>
      </c>
      <c r="Q447" t="n">
        <v>0</v>
      </c>
      <c r="R447" s="2" t="inlineStr"/>
    </row>
    <row r="448" ht="15" customHeight="1">
      <c r="A448" t="inlineStr">
        <is>
          <t>A 61309-2022</t>
        </is>
      </c>
      <c r="B448" s="1" t="n">
        <v>44915</v>
      </c>
      <c r="C448" s="1" t="n">
        <v>45510</v>
      </c>
      <c r="D448" t="inlineStr">
        <is>
          <t>DALARNAS LÄN</t>
        </is>
      </c>
      <c r="E448" t="inlineStr">
        <is>
          <t>LUDVIKA</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v>
      </c>
      <c r="C449" s="1" t="n">
        <v>45510</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61621-2022</t>
        </is>
      </c>
      <c r="B450" s="1" t="n">
        <v>44916</v>
      </c>
      <c r="C450" s="1" t="n">
        <v>45510</v>
      </c>
      <c r="D450" t="inlineStr">
        <is>
          <t>DALARNAS LÄN</t>
        </is>
      </c>
      <c r="E450" t="inlineStr">
        <is>
          <t>LUDVIKA</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62275-2022</t>
        </is>
      </c>
      <c r="B451" s="1" t="n">
        <v>44923</v>
      </c>
      <c r="C451" s="1" t="n">
        <v>45510</v>
      </c>
      <c r="D451" t="inlineStr">
        <is>
          <t>DALARNAS LÄN</t>
        </is>
      </c>
      <c r="E451" t="inlineStr">
        <is>
          <t>LUDVIKA</t>
        </is>
      </c>
      <c r="G451" t="n">
        <v>4.6</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v>
      </c>
      <c r="C452" s="1" t="n">
        <v>45510</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381-2023</t>
        </is>
      </c>
      <c r="B453" s="1" t="n">
        <v>44929</v>
      </c>
      <c r="C453" s="1" t="n">
        <v>45510</v>
      </c>
      <c r="D453" t="inlineStr">
        <is>
          <t>DALARNAS LÄN</t>
        </is>
      </c>
      <c r="E453" t="inlineStr">
        <is>
          <t>LUDVIKA</t>
        </is>
      </c>
      <c r="G453" t="n">
        <v>7.9</v>
      </c>
      <c r="H453" t="n">
        <v>0</v>
      </c>
      <c r="I453" t="n">
        <v>0</v>
      </c>
      <c r="J453" t="n">
        <v>0</v>
      </c>
      <c r="K453" t="n">
        <v>0</v>
      </c>
      <c r="L453" t="n">
        <v>0</v>
      </c>
      <c r="M453" t="n">
        <v>0</v>
      </c>
      <c r="N453" t="n">
        <v>0</v>
      </c>
      <c r="O453" t="n">
        <v>0</v>
      </c>
      <c r="P453" t="n">
        <v>0</v>
      </c>
      <c r="Q453" t="n">
        <v>0</v>
      </c>
      <c r="R453" s="2" t="inlineStr"/>
    </row>
    <row r="454" ht="15" customHeight="1">
      <c r="A454" t="inlineStr">
        <is>
          <t>A 1047-2023</t>
        </is>
      </c>
      <c r="B454" s="1" t="n">
        <v>44929</v>
      </c>
      <c r="C454" s="1" t="n">
        <v>45510</v>
      </c>
      <c r="D454" t="inlineStr">
        <is>
          <t>DALARNAS LÄN</t>
        </is>
      </c>
      <c r="E454" t="inlineStr">
        <is>
          <t>LUDVIKA</t>
        </is>
      </c>
      <c r="F454" t="inlineStr">
        <is>
          <t>Kommuner</t>
        </is>
      </c>
      <c r="G454" t="n">
        <v>3.2</v>
      </c>
      <c r="H454" t="n">
        <v>0</v>
      </c>
      <c r="I454" t="n">
        <v>0</v>
      </c>
      <c r="J454" t="n">
        <v>0</v>
      </c>
      <c r="K454" t="n">
        <v>0</v>
      </c>
      <c r="L454" t="n">
        <v>0</v>
      </c>
      <c r="M454" t="n">
        <v>0</v>
      </c>
      <c r="N454" t="n">
        <v>0</v>
      </c>
      <c r="O454" t="n">
        <v>0</v>
      </c>
      <c r="P454" t="n">
        <v>0</v>
      </c>
      <c r="Q454" t="n">
        <v>0</v>
      </c>
      <c r="R454" s="2" t="inlineStr"/>
    </row>
    <row r="455" ht="15" customHeight="1">
      <c r="A455" t="inlineStr">
        <is>
          <t>A 1647-2023</t>
        </is>
      </c>
      <c r="B455" s="1" t="n">
        <v>44937</v>
      </c>
      <c r="C455" s="1" t="n">
        <v>45510</v>
      </c>
      <c r="D455" t="inlineStr">
        <is>
          <t>DALARNAS LÄN</t>
        </is>
      </c>
      <c r="E455" t="inlineStr">
        <is>
          <t>LUDVIKA</t>
        </is>
      </c>
      <c r="G455" t="n">
        <v>2.1</v>
      </c>
      <c r="H455" t="n">
        <v>0</v>
      </c>
      <c r="I455" t="n">
        <v>0</v>
      </c>
      <c r="J455" t="n">
        <v>0</v>
      </c>
      <c r="K455" t="n">
        <v>0</v>
      </c>
      <c r="L455" t="n">
        <v>0</v>
      </c>
      <c r="M455" t="n">
        <v>0</v>
      </c>
      <c r="N455" t="n">
        <v>0</v>
      </c>
      <c r="O455" t="n">
        <v>0</v>
      </c>
      <c r="P455" t="n">
        <v>0</v>
      </c>
      <c r="Q455" t="n">
        <v>0</v>
      </c>
      <c r="R455" s="2" t="inlineStr"/>
    </row>
    <row r="456" ht="15" customHeight="1">
      <c r="A456" t="inlineStr">
        <is>
          <t>A 1852-2023</t>
        </is>
      </c>
      <c r="B456" s="1" t="n">
        <v>44938</v>
      </c>
      <c r="C456" s="1" t="n">
        <v>45510</v>
      </c>
      <c r="D456" t="inlineStr">
        <is>
          <t>DALARNAS LÄN</t>
        </is>
      </c>
      <c r="E456" t="inlineStr">
        <is>
          <t>LUDVIKA</t>
        </is>
      </c>
      <c r="G456" t="n">
        <v>4</v>
      </c>
      <c r="H456" t="n">
        <v>0</v>
      </c>
      <c r="I456" t="n">
        <v>0</v>
      </c>
      <c r="J456" t="n">
        <v>0</v>
      </c>
      <c r="K456" t="n">
        <v>0</v>
      </c>
      <c r="L456" t="n">
        <v>0</v>
      </c>
      <c r="M456" t="n">
        <v>0</v>
      </c>
      <c r="N456" t="n">
        <v>0</v>
      </c>
      <c r="O456" t="n">
        <v>0</v>
      </c>
      <c r="P456" t="n">
        <v>0</v>
      </c>
      <c r="Q456" t="n">
        <v>0</v>
      </c>
      <c r="R456" s="2" t="inlineStr"/>
    </row>
    <row r="457" ht="15" customHeight="1">
      <c r="A457" t="inlineStr">
        <is>
          <t>A 1878-2023</t>
        </is>
      </c>
      <c r="B457" s="1" t="n">
        <v>44939</v>
      </c>
      <c r="C457" s="1" t="n">
        <v>45510</v>
      </c>
      <c r="D457" t="inlineStr">
        <is>
          <t>DALARNAS LÄN</t>
        </is>
      </c>
      <c r="E457" t="inlineStr">
        <is>
          <t>LUDVIKA</t>
        </is>
      </c>
      <c r="G457" t="n">
        <v>1.5</v>
      </c>
      <c r="H457" t="n">
        <v>0</v>
      </c>
      <c r="I457" t="n">
        <v>0</v>
      </c>
      <c r="J457" t="n">
        <v>0</v>
      </c>
      <c r="K457" t="n">
        <v>0</v>
      </c>
      <c r="L457" t="n">
        <v>0</v>
      </c>
      <c r="M457" t="n">
        <v>0</v>
      </c>
      <c r="N457" t="n">
        <v>0</v>
      </c>
      <c r="O457" t="n">
        <v>0</v>
      </c>
      <c r="P457" t="n">
        <v>0</v>
      </c>
      <c r="Q457" t="n">
        <v>0</v>
      </c>
      <c r="R457" s="2" t="inlineStr"/>
    </row>
    <row r="458" ht="15" customHeight="1">
      <c r="A458" t="inlineStr">
        <is>
          <t>A 2614-2023</t>
        </is>
      </c>
      <c r="B458" s="1" t="n">
        <v>44942</v>
      </c>
      <c r="C458" s="1" t="n">
        <v>45510</v>
      </c>
      <c r="D458" t="inlineStr">
        <is>
          <t>DALARNAS LÄN</t>
        </is>
      </c>
      <c r="E458" t="inlineStr">
        <is>
          <t>LUDVIKA</t>
        </is>
      </c>
      <c r="G458" t="n">
        <v>13.1</v>
      </c>
      <c r="H458" t="n">
        <v>0</v>
      </c>
      <c r="I458" t="n">
        <v>0</v>
      </c>
      <c r="J458" t="n">
        <v>0</v>
      </c>
      <c r="K458" t="n">
        <v>0</v>
      </c>
      <c r="L458" t="n">
        <v>0</v>
      </c>
      <c r="M458" t="n">
        <v>0</v>
      </c>
      <c r="N458" t="n">
        <v>0</v>
      </c>
      <c r="O458" t="n">
        <v>0</v>
      </c>
      <c r="P458" t="n">
        <v>0</v>
      </c>
      <c r="Q458" t="n">
        <v>0</v>
      </c>
      <c r="R458" s="2" t="inlineStr"/>
    </row>
    <row r="459" ht="15" customHeight="1">
      <c r="A459" t="inlineStr">
        <is>
          <t>A 3509-2023</t>
        </is>
      </c>
      <c r="B459" s="1" t="n">
        <v>44950</v>
      </c>
      <c r="C459" s="1" t="n">
        <v>45510</v>
      </c>
      <c r="D459" t="inlineStr">
        <is>
          <t>DALARNAS LÄN</t>
        </is>
      </c>
      <c r="E459" t="inlineStr">
        <is>
          <t>LUDVIKA</t>
        </is>
      </c>
      <c r="F459" t="inlineStr">
        <is>
          <t>Naturvårdsverket</t>
        </is>
      </c>
      <c r="G459" t="n">
        <v>5.1</v>
      </c>
      <c r="H459" t="n">
        <v>0</v>
      </c>
      <c r="I459" t="n">
        <v>0</v>
      </c>
      <c r="J459" t="n">
        <v>0</v>
      </c>
      <c r="K459" t="n">
        <v>0</v>
      </c>
      <c r="L459" t="n">
        <v>0</v>
      </c>
      <c r="M459" t="n">
        <v>0</v>
      </c>
      <c r="N459" t="n">
        <v>0</v>
      </c>
      <c r="O459" t="n">
        <v>0</v>
      </c>
      <c r="P459" t="n">
        <v>0</v>
      </c>
      <c r="Q459" t="n">
        <v>0</v>
      </c>
      <c r="R459" s="2" t="inlineStr"/>
    </row>
    <row r="460" ht="15" customHeight="1">
      <c r="A460" t="inlineStr">
        <is>
          <t>A 4705-2023</t>
        </is>
      </c>
      <c r="B460" s="1" t="n">
        <v>44957</v>
      </c>
      <c r="C460" s="1" t="n">
        <v>45510</v>
      </c>
      <c r="D460" t="inlineStr">
        <is>
          <t>DALARNAS LÄN</t>
        </is>
      </c>
      <c r="E460" t="inlineStr">
        <is>
          <t>LUDVIKA</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4703-2023</t>
        </is>
      </c>
      <c r="B461" s="1" t="n">
        <v>44957</v>
      </c>
      <c r="C461" s="1" t="n">
        <v>45510</v>
      </c>
      <c r="D461" t="inlineStr">
        <is>
          <t>DALARNAS LÄN</t>
        </is>
      </c>
      <c r="E461" t="inlineStr">
        <is>
          <t>LUDVIKA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4903-2023</t>
        </is>
      </c>
      <c r="B462" s="1" t="n">
        <v>44958</v>
      </c>
      <c r="C462" s="1" t="n">
        <v>45510</v>
      </c>
      <c r="D462" t="inlineStr">
        <is>
          <t>DALARNAS LÄN</t>
        </is>
      </c>
      <c r="E462" t="inlineStr">
        <is>
          <t>LUDVIKA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4890-2023</t>
        </is>
      </c>
      <c r="B463" s="1" t="n">
        <v>44958</v>
      </c>
      <c r="C463" s="1" t="n">
        <v>45510</v>
      </c>
      <c r="D463" t="inlineStr">
        <is>
          <t>DALARNAS LÄN</t>
        </is>
      </c>
      <c r="E463" t="inlineStr">
        <is>
          <t>LUDVIKA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5672-2023</t>
        </is>
      </c>
      <c r="B464" s="1" t="n">
        <v>44960</v>
      </c>
      <c r="C464" s="1" t="n">
        <v>45510</v>
      </c>
      <c r="D464" t="inlineStr">
        <is>
          <t>DALARNAS LÄN</t>
        </is>
      </c>
      <c r="E464" t="inlineStr">
        <is>
          <t>LUDVIKA</t>
        </is>
      </c>
      <c r="F464" t="inlineStr">
        <is>
          <t>Naturvårdsverket</t>
        </is>
      </c>
      <c r="G464" t="n">
        <v>2.7</v>
      </c>
      <c r="H464" t="n">
        <v>0</v>
      </c>
      <c r="I464" t="n">
        <v>0</v>
      </c>
      <c r="J464" t="n">
        <v>0</v>
      </c>
      <c r="K464" t="n">
        <v>0</v>
      </c>
      <c r="L464" t="n">
        <v>0</v>
      </c>
      <c r="M464" t="n">
        <v>0</v>
      </c>
      <c r="N464" t="n">
        <v>0</v>
      </c>
      <c r="O464" t="n">
        <v>0</v>
      </c>
      <c r="P464" t="n">
        <v>0</v>
      </c>
      <c r="Q464" t="n">
        <v>0</v>
      </c>
      <c r="R464" s="2" t="inlineStr"/>
    </row>
    <row r="465" ht="15" customHeight="1">
      <c r="A465" t="inlineStr">
        <is>
          <t>A 5673-2023</t>
        </is>
      </c>
      <c r="B465" s="1" t="n">
        <v>44960</v>
      </c>
      <c r="C465" s="1" t="n">
        <v>45510</v>
      </c>
      <c r="D465" t="inlineStr">
        <is>
          <t>DALARNAS LÄN</t>
        </is>
      </c>
      <c r="E465" t="inlineStr">
        <is>
          <t>LUDVIKA</t>
        </is>
      </c>
      <c r="F465" t="inlineStr">
        <is>
          <t>Naturvårdsverket</t>
        </is>
      </c>
      <c r="G465" t="n">
        <v>0.7</v>
      </c>
      <c r="H465" t="n">
        <v>0</v>
      </c>
      <c r="I465" t="n">
        <v>0</v>
      </c>
      <c r="J465" t="n">
        <v>0</v>
      </c>
      <c r="K465" t="n">
        <v>0</v>
      </c>
      <c r="L465" t="n">
        <v>0</v>
      </c>
      <c r="M465" t="n">
        <v>0</v>
      </c>
      <c r="N465" t="n">
        <v>0</v>
      </c>
      <c r="O465" t="n">
        <v>0</v>
      </c>
      <c r="P465" t="n">
        <v>0</v>
      </c>
      <c r="Q465" t="n">
        <v>0</v>
      </c>
      <c r="R465" s="2" t="inlineStr"/>
    </row>
    <row r="466" ht="15" customHeight="1">
      <c r="A466" t="inlineStr">
        <is>
          <t>A 6579-2023</t>
        </is>
      </c>
      <c r="B466" s="1" t="n">
        <v>44960</v>
      </c>
      <c r="C466" s="1" t="n">
        <v>45510</v>
      </c>
      <c r="D466" t="inlineStr">
        <is>
          <t>DALARNAS LÄN</t>
        </is>
      </c>
      <c r="E466" t="inlineStr">
        <is>
          <t>LUDVIKA</t>
        </is>
      </c>
      <c r="G466" t="n">
        <v>3.4</v>
      </c>
      <c r="H466" t="n">
        <v>0</v>
      </c>
      <c r="I466" t="n">
        <v>0</v>
      </c>
      <c r="J466" t="n">
        <v>0</v>
      </c>
      <c r="K466" t="n">
        <v>0</v>
      </c>
      <c r="L466" t="n">
        <v>0</v>
      </c>
      <c r="M466" t="n">
        <v>0</v>
      </c>
      <c r="N466" t="n">
        <v>0</v>
      </c>
      <c r="O466" t="n">
        <v>0</v>
      </c>
      <c r="P466" t="n">
        <v>0</v>
      </c>
      <c r="Q466" t="n">
        <v>0</v>
      </c>
      <c r="R466" s="2" t="inlineStr"/>
    </row>
    <row r="467" ht="15" customHeight="1">
      <c r="A467" t="inlineStr">
        <is>
          <t>A 6593-2023</t>
        </is>
      </c>
      <c r="B467" s="1" t="n">
        <v>44960</v>
      </c>
      <c r="C467" s="1" t="n">
        <v>45510</v>
      </c>
      <c r="D467" t="inlineStr">
        <is>
          <t>DALARNAS LÄN</t>
        </is>
      </c>
      <c r="E467" t="inlineStr">
        <is>
          <t>LUDVIKA</t>
        </is>
      </c>
      <c r="G467" t="n">
        <v>3.8</v>
      </c>
      <c r="H467" t="n">
        <v>0</v>
      </c>
      <c r="I467" t="n">
        <v>0</v>
      </c>
      <c r="J467" t="n">
        <v>0</v>
      </c>
      <c r="K467" t="n">
        <v>0</v>
      </c>
      <c r="L467" t="n">
        <v>0</v>
      </c>
      <c r="M467" t="n">
        <v>0</v>
      </c>
      <c r="N467" t="n">
        <v>0</v>
      </c>
      <c r="O467" t="n">
        <v>0</v>
      </c>
      <c r="P467" t="n">
        <v>0</v>
      </c>
      <c r="Q467" t="n">
        <v>0</v>
      </c>
      <c r="R467" s="2" t="inlineStr"/>
    </row>
    <row r="468" ht="15" customHeight="1">
      <c r="A468" t="inlineStr">
        <is>
          <t>A 5599-2023</t>
        </is>
      </c>
      <c r="B468" s="1" t="n">
        <v>44960</v>
      </c>
      <c r="C468" s="1" t="n">
        <v>45510</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5752-2023</t>
        </is>
      </c>
      <c r="B469" s="1" t="n">
        <v>44963</v>
      </c>
      <c r="C469" s="1" t="n">
        <v>45510</v>
      </c>
      <c r="D469" t="inlineStr">
        <is>
          <t>DALARNAS LÄN</t>
        </is>
      </c>
      <c r="E469" t="inlineStr">
        <is>
          <t>LUDVIKA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6010-2023</t>
        </is>
      </c>
      <c r="B470" s="1" t="n">
        <v>44964</v>
      </c>
      <c r="C470" s="1" t="n">
        <v>45510</v>
      </c>
      <c r="D470" t="inlineStr">
        <is>
          <t>DALARNAS LÄN</t>
        </is>
      </c>
      <c r="E470" t="inlineStr">
        <is>
          <t>LUDVIKA</t>
        </is>
      </c>
      <c r="G470" t="n">
        <v>0.5</v>
      </c>
      <c r="H470" t="n">
        <v>0</v>
      </c>
      <c r="I470" t="n">
        <v>0</v>
      </c>
      <c r="J470" t="n">
        <v>0</v>
      </c>
      <c r="K470" t="n">
        <v>0</v>
      </c>
      <c r="L470" t="n">
        <v>0</v>
      </c>
      <c r="M470" t="n">
        <v>0</v>
      </c>
      <c r="N470" t="n">
        <v>0</v>
      </c>
      <c r="O470" t="n">
        <v>0</v>
      </c>
      <c r="P470" t="n">
        <v>0</v>
      </c>
      <c r="Q470" t="n">
        <v>0</v>
      </c>
      <c r="R470" s="2" t="inlineStr"/>
    </row>
    <row r="471" ht="15" customHeight="1">
      <c r="A471" t="inlineStr">
        <is>
          <t>A 6281-2023</t>
        </is>
      </c>
      <c r="B471" s="1" t="n">
        <v>44965</v>
      </c>
      <c r="C471" s="1" t="n">
        <v>45510</v>
      </c>
      <c r="D471" t="inlineStr">
        <is>
          <t>DALARNAS LÄN</t>
        </is>
      </c>
      <c r="E471" t="inlineStr">
        <is>
          <t>LUDVIKA</t>
        </is>
      </c>
      <c r="G471" t="n">
        <v>7.7</v>
      </c>
      <c r="H471" t="n">
        <v>0</v>
      </c>
      <c r="I471" t="n">
        <v>0</v>
      </c>
      <c r="J471" t="n">
        <v>0</v>
      </c>
      <c r="K471" t="n">
        <v>0</v>
      </c>
      <c r="L471" t="n">
        <v>0</v>
      </c>
      <c r="M471" t="n">
        <v>0</v>
      </c>
      <c r="N471" t="n">
        <v>0</v>
      </c>
      <c r="O471" t="n">
        <v>0</v>
      </c>
      <c r="P471" t="n">
        <v>0</v>
      </c>
      <c r="Q471" t="n">
        <v>0</v>
      </c>
      <c r="R471" s="2" t="inlineStr"/>
    </row>
    <row r="472" ht="15" customHeight="1">
      <c r="A472" t="inlineStr">
        <is>
          <t>A 6564-2023</t>
        </is>
      </c>
      <c r="B472" s="1" t="n">
        <v>44966</v>
      </c>
      <c r="C472" s="1" t="n">
        <v>45510</v>
      </c>
      <c r="D472" t="inlineStr">
        <is>
          <t>DALARNAS LÄN</t>
        </is>
      </c>
      <c r="E472" t="inlineStr">
        <is>
          <t>LUDVIKA</t>
        </is>
      </c>
      <c r="F472" t="inlineStr">
        <is>
          <t>Naturvårdsverket</t>
        </is>
      </c>
      <c r="G472" t="n">
        <v>2.3</v>
      </c>
      <c r="H472" t="n">
        <v>0</v>
      </c>
      <c r="I472" t="n">
        <v>0</v>
      </c>
      <c r="J472" t="n">
        <v>0</v>
      </c>
      <c r="K472" t="n">
        <v>0</v>
      </c>
      <c r="L472" t="n">
        <v>0</v>
      </c>
      <c r="M472" t="n">
        <v>0</v>
      </c>
      <c r="N472" t="n">
        <v>0</v>
      </c>
      <c r="O472" t="n">
        <v>0</v>
      </c>
      <c r="P472" t="n">
        <v>0</v>
      </c>
      <c r="Q472" t="n">
        <v>0</v>
      </c>
      <c r="R472" s="2" t="inlineStr"/>
    </row>
    <row r="473" ht="15" customHeight="1">
      <c r="A473" t="inlineStr">
        <is>
          <t>A 6975-2023</t>
        </is>
      </c>
      <c r="B473" s="1" t="n">
        <v>44967</v>
      </c>
      <c r="C473" s="1" t="n">
        <v>45510</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7243-2023</t>
        </is>
      </c>
      <c r="B474" s="1" t="n">
        <v>44970</v>
      </c>
      <c r="C474" s="1" t="n">
        <v>45510</v>
      </c>
      <c r="D474" t="inlineStr">
        <is>
          <t>DALARNAS LÄN</t>
        </is>
      </c>
      <c r="E474" t="inlineStr">
        <is>
          <t>LUDVIKA</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7238-2023</t>
        </is>
      </c>
      <c r="B475" s="1" t="n">
        <v>44970</v>
      </c>
      <c r="C475" s="1" t="n">
        <v>45510</v>
      </c>
      <c r="D475" t="inlineStr">
        <is>
          <t>DALARNAS LÄN</t>
        </is>
      </c>
      <c r="E475" t="inlineStr">
        <is>
          <t>LUDVIKA</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7173-2023</t>
        </is>
      </c>
      <c r="B476" s="1" t="n">
        <v>44970</v>
      </c>
      <c r="C476" s="1" t="n">
        <v>45510</v>
      </c>
      <c r="D476" t="inlineStr">
        <is>
          <t>DALARNAS LÄN</t>
        </is>
      </c>
      <c r="E476" t="inlineStr">
        <is>
          <t>LUDVIKA</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7435-2023</t>
        </is>
      </c>
      <c r="B477" s="1" t="n">
        <v>44971</v>
      </c>
      <c r="C477" s="1" t="n">
        <v>45510</v>
      </c>
      <c r="D477" t="inlineStr">
        <is>
          <t>DALARNAS LÄN</t>
        </is>
      </c>
      <c r="E477" t="inlineStr">
        <is>
          <t>LUDVIKA</t>
        </is>
      </c>
      <c r="F477" t="inlineStr">
        <is>
          <t>Naturvårdsverket</t>
        </is>
      </c>
      <c r="G477" t="n">
        <v>0.8</v>
      </c>
      <c r="H477" t="n">
        <v>0</v>
      </c>
      <c r="I477" t="n">
        <v>0</v>
      </c>
      <c r="J477" t="n">
        <v>0</v>
      </c>
      <c r="K477" t="n">
        <v>0</v>
      </c>
      <c r="L477" t="n">
        <v>0</v>
      </c>
      <c r="M477" t="n">
        <v>0</v>
      </c>
      <c r="N477" t="n">
        <v>0</v>
      </c>
      <c r="O477" t="n">
        <v>0</v>
      </c>
      <c r="P477" t="n">
        <v>0</v>
      </c>
      <c r="Q477" t="n">
        <v>0</v>
      </c>
      <c r="R477" s="2" t="inlineStr"/>
    </row>
    <row r="478" ht="15" customHeight="1">
      <c r="A478" t="inlineStr">
        <is>
          <t>A 7539-2023</t>
        </is>
      </c>
      <c r="B478" s="1" t="n">
        <v>44972</v>
      </c>
      <c r="C478" s="1" t="n">
        <v>45510</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8076-2023</t>
        </is>
      </c>
      <c r="B479" s="1" t="n">
        <v>44974</v>
      </c>
      <c r="C479" s="1" t="n">
        <v>45510</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8703-2023</t>
        </is>
      </c>
      <c r="B480" s="1" t="n">
        <v>44978</v>
      </c>
      <c r="C480" s="1" t="n">
        <v>45510</v>
      </c>
      <c r="D480" t="inlineStr">
        <is>
          <t>DALARNAS LÄN</t>
        </is>
      </c>
      <c r="E480" t="inlineStr">
        <is>
          <t>LUDVIKA</t>
        </is>
      </c>
      <c r="G480" t="n">
        <v>0.5</v>
      </c>
      <c r="H480" t="n">
        <v>0</v>
      </c>
      <c r="I480" t="n">
        <v>0</v>
      </c>
      <c r="J480" t="n">
        <v>0</v>
      </c>
      <c r="K480" t="n">
        <v>0</v>
      </c>
      <c r="L480" t="n">
        <v>0</v>
      </c>
      <c r="M480" t="n">
        <v>0</v>
      </c>
      <c r="N480" t="n">
        <v>0</v>
      </c>
      <c r="O480" t="n">
        <v>0</v>
      </c>
      <c r="P480" t="n">
        <v>0</v>
      </c>
      <c r="Q480" t="n">
        <v>0</v>
      </c>
      <c r="R480" s="2" t="inlineStr"/>
    </row>
    <row r="481" ht="15" customHeight="1">
      <c r="A481" t="inlineStr">
        <is>
          <t>A 9386-2023</t>
        </is>
      </c>
      <c r="B481" s="1" t="n">
        <v>44981</v>
      </c>
      <c r="C481" s="1" t="n">
        <v>45510</v>
      </c>
      <c r="D481" t="inlineStr">
        <is>
          <t>DALARNAS LÄN</t>
        </is>
      </c>
      <c r="E481" t="inlineStr">
        <is>
          <t>LUDVIKA</t>
        </is>
      </c>
      <c r="G481" t="n">
        <v>6.2</v>
      </c>
      <c r="H481" t="n">
        <v>0</v>
      </c>
      <c r="I481" t="n">
        <v>0</v>
      </c>
      <c r="J481" t="n">
        <v>0</v>
      </c>
      <c r="K481" t="n">
        <v>0</v>
      </c>
      <c r="L481" t="n">
        <v>0</v>
      </c>
      <c r="M481" t="n">
        <v>0</v>
      </c>
      <c r="N481" t="n">
        <v>0</v>
      </c>
      <c r="O481" t="n">
        <v>0</v>
      </c>
      <c r="P481" t="n">
        <v>0</v>
      </c>
      <c r="Q481" t="n">
        <v>0</v>
      </c>
      <c r="R481" s="2" t="inlineStr"/>
    </row>
    <row r="482" ht="15" customHeight="1">
      <c r="A482" t="inlineStr">
        <is>
          <t>A 11797-2023</t>
        </is>
      </c>
      <c r="B482" s="1" t="n">
        <v>44994</v>
      </c>
      <c r="C482" s="1" t="n">
        <v>45510</v>
      </c>
      <c r="D482" t="inlineStr">
        <is>
          <t>DALARNAS LÄN</t>
        </is>
      </c>
      <c r="E482" t="inlineStr">
        <is>
          <t>LUDVIKA</t>
        </is>
      </c>
      <c r="G482" t="n">
        <v>0.7</v>
      </c>
      <c r="H482" t="n">
        <v>0</v>
      </c>
      <c r="I482" t="n">
        <v>0</v>
      </c>
      <c r="J482" t="n">
        <v>0</v>
      </c>
      <c r="K482" t="n">
        <v>0</v>
      </c>
      <c r="L482" t="n">
        <v>0</v>
      </c>
      <c r="M482" t="n">
        <v>0</v>
      </c>
      <c r="N482" t="n">
        <v>0</v>
      </c>
      <c r="O482" t="n">
        <v>0</v>
      </c>
      <c r="P482" t="n">
        <v>0</v>
      </c>
      <c r="Q482" t="n">
        <v>0</v>
      </c>
      <c r="R482" s="2" t="inlineStr"/>
    </row>
    <row r="483" ht="15" customHeight="1">
      <c r="A483" t="inlineStr">
        <is>
          <t>A 11755-2023</t>
        </is>
      </c>
      <c r="B483" s="1" t="n">
        <v>44994</v>
      </c>
      <c r="C483" s="1" t="n">
        <v>45510</v>
      </c>
      <c r="D483" t="inlineStr">
        <is>
          <t>DALARNAS LÄN</t>
        </is>
      </c>
      <c r="E483" t="inlineStr">
        <is>
          <t>LUDVIKA</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12096-2023</t>
        </is>
      </c>
      <c r="B484" s="1" t="n">
        <v>44998</v>
      </c>
      <c r="C484" s="1" t="n">
        <v>45510</v>
      </c>
      <c r="D484" t="inlineStr">
        <is>
          <t>DALARNAS LÄN</t>
        </is>
      </c>
      <c r="E484" t="inlineStr">
        <is>
          <t>LUDVIKA</t>
        </is>
      </c>
      <c r="G484" t="n">
        <v>1.2</v>
      </c>
      <c r="H484" t="n">
        <v>0</v>
      </c>
      <c r="I484" t="n">
        <v>0</v>
      </c>
      <c r="J484" t="n">
        <v>0</v>
      </c>
      <c r="K484" t="n">
        <v>0</v>
      </c>
      <c r="L484" t="n">
        <v>0</v>
      </c>
      <c r="M484" t="n">
        <v>0</v>
      </c>
      <c r="N484" t="n">
        <v>0</v>
      </c>
      <c r="O484" t="n">
        <v>0</v>
      </c>
      <c r="P484" t="n">
        <v>0</v>
      </c>
      <c r="Q484" t="n">
        <v>0</v>
      </c>
      <c r="R484" s="2" t="inlineStr"/>
    </row>
    <row r="485" ht="15" customHeight="1">
      <c r="A485" t="inlineStr">
        <is>
          <t>A 13180-2023</t>
        </is>
      </c>
      <c r="B485" s="1" t="n">
        <v>45002</v>
      </c>
      <c r="C485" s="1" t="n">
        <v>45510</v>
      </c>
      <c r="D485" t="inlineStr">
        <is>
          <t>DALARNAS LÄN</t>
        </is>
      </c>
      <c r="E485" t="inlineStr">
        <is>
          <t>LUDVIKA</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13215-2023</t>
        </is>
      </c>
      <c r="B486" s="1" t="n">
        <v>45002</v>
      </c>
      <c r="C486" s="1" t="n">
        <v>45510</v>
      </c>
      <c r="D486" t="inlineStr">
        <is>
          <t>DALARNAS LÄN</t>
        </is>
      </c>
      <c r="E486" t="inlineStr">
        <is>
          <t>LUDVIKA</t>
        </is>
      </c>
      <c r="G486" t="n">
        <v>1.2</v>
      </c>
      <c r="H486" t="n">
        <v>0</v>
      </c>
      <c r="I486" t="n">
        <v>0</v>
      </c>
      <c r="J486" t="n">
        <v>0</v>
      </c>
      <c r="K486" t="n">
        <v>0</v>
      </c>
      <c r="L486" t="n">
        <v>0</v>
      </c>
      <c r="M486" t="n">
        <v>0</v>
      </c>
      <c r="N486" t="n">
        <v>0</v>
      </c>
      <c r="O486" t="n">
        <v>0</v>
      </c>
      <c r="P486" t="n">
        <v>0</v>
      </c>
      <c r="Q486" t="n">
        <v>0</v>
      </c>
      <c r="R486" s="2" t="inlineStr"/>
    </row>
    <row r="487" ht="15" customHeight="1">
      <c r="A487" t="inlineStr">
        <is>
          <t>A 13217-2023</t>
        </is>
      </c>
      <c r="B487" s="1" t="n">
        <v>45002</v>
      </c>
      <c r="C487" s="1" t="n">
        <v>45510</v>
      </c>
      <c r="D487" t="inlineStr">
        <is>
          <t>DALARNAS LÄN</t>
        </is>
      </c>
      <c r="E487" t="inlineStr">
        <is>
          <t>LUDVIKA</t>
        </is>
      </c>
      <c r="G487" t="n">
        <v>0.8</v>
      </c>
      <c r="H487" t="n">
        <v>0</v>
      </c>
      <c r="I487" t="n">
        <v>0</v>
      </c>
      <c r="J487" t="n">
        <v>0</v>
      </c>
      <c r="K487" t="n">
        <v>0</v>
      </c>
      <c r="L487" t="n">
        <v>0</v>
      </c>
      <c r="M487" t="n">
        <v>0</v>
      </c>
      <c r="N487" t="n">
        <v>0</v>
      </c>
      <c r="O487" t="n">
        <v>0</v>
      </c>
      <c r="P487" t="n">
        <v>0</v>
      </c>
      <c r="Q487" t="n">
        <v>0</v>
      </c>
      <c r="R487" s="2" t="inlineStr"/>
    </row>
    <row r="488" ht="15" customHeight="1">
      <c r="A488" t="inlineStr">
        <is>
          <t>A 14632-2023</t>
        </is>
      </c>
      <c r="B488" s="1" t="n">
        <v>45013</v>
      </c>
      <c r="C488" s="1" t="n">
        <v>45510</v>
      </c>
      <c r="D488" t="inlineStr">
        <is>
          <t>DALARNAS LÄN</t>
        </is>
      </c>
      <c r="E488" t="inlineStr">
        <is>
          <t>LUDVIKA</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15754-2023</t>
        </is>
      </c>
      <c r="B489" s="1" t="n">
        <v>45021</v>
      </c>
      <c r="C489" s="1" t="n">
        <v>45510</v>
      </c>
      <c r="D489" t="inlineStr">
        <is>
          <t>DALARNAS LÄN</t>
        </is>
      </c>
      <c r="E489" t="inlineStr">
        <is>
          <t>LUDVIKA</t>
        </is>
      </c>
      <c r="F489" t="inlineStr">
        <is>
          <t>Naturvårdsverket</t>
        </is>
      </c>
      <c r="G489" t="n">
        <v>1.2</v>
      </c>
      <c r="H489" t="n">
        <v>0</v>
      </c>
      <c r="I489" t="n">
        <v>0</v>
      </c>
      <c r="J489" t="n">
        <v>0</v>
      </c>
      <c r="K489" t="n">
        <v>0</v>
      </c>
      <c r="L489" t="n">
        <v>0</v>
      </c>
      <c r="M489" t="n">
        <v>0</v>
      </c>
      <c r="N489" t="n">
        <v>0</v>
      </c>
      <c r="O489" t="n">
        <v>0</v>
      </c>
      <c r="P489" t="n">
        <v>0</v>
      </c>
      <c r="Q489" t="n">
        <v>0</v>
      </c>
      <c r="R489" s="2" t="inlineStr"/>
    </row>
    <row r="490" ht="15" customHeight="1">
      <c r="A490" t="inlineStr">
        <is>
          <t>A 16630-2023</t>
        </is>
      </c>
      <c r="B490" s="1" t="n">
        <v>45030</v>
      </c>
      <c r="C490" s="1" t="n">
        <v>45510</v>
      </c>
      <c r="D490" t="inlineStr">
        <is>
          <t>DALARNAS LÄN</t>
        </is>
      </c>
      <c r="E490" t="inlineStr">
        <is>
          <t>LUDVIKA</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17032-2023</t>
        </is>
      </c>
      <c r="B491" s="1" t="n">
        <v>45034</v>
      </c>
      <c r="C491" s="1" t="n">
        <v>45510</v>
      </c>
      <c r="D491" t="inlineStr">
        <is>
          <t>DALARNAS LÄN</t>
        </is>
      </c>
      <c r="E491" t="inlineStr">
        <is>
          <t>LUDVIKA</t>
        </is>
      </c>
      <c r="F491" t="inlineStr">
        <is>
          <t>Naturvårdsverket</t>
        </is>
      </c>
      <c r="G491" t="n">
        <v>1</v>
      </c>
      <c r="H491" t="n">
        <v>0</v>
      </c>
      <c r="I491" t="n">
        <v>0</v>
      </c>
      <c r="J491" t="n">
        <v>0</v>
      </c>
      <c r="K491" t="n">
        <v>0</v>
      </c>
      <c r="L491" t="n">
        <v>0</v>
      </c>
      <c r="M491" t="n">
        <v>0</v>
      </c>
      <c r="N491" t="n">
        <v>0</v>
      </c>
      <c r="O491" t="n">
        <v>0</v>
      </c>
      <c r="P491" t="n">
        <v>0</v>
      </c>
      <c r="Q491" t="n">
        <v>0</v>
      </c>
      <c r="R491" s="2" t="inlineStr"/>
    </row>
    <row r="492" ht="15" customHeight="1">
      <c r="A492" t="inlineStr">
        <is>
          <t>A 17037-2023</t>
        </is>
      </c>
      <c r="B492" s="1" t="n">
        <v>45034</v>
      </c>
      <c r="C492" s="1" t="n">
        <v>45510</v>
      </c>
      <c r="D492" t="inlineStr">
        <is>
          <t>DALARNAS LÄN</t>
        </is>
      </c>
      <c r="E492" t="inlineStr">
        <is>
          <t>LUDVIKA</t>
        </is>
      </c>
      <c r="F492" t="inlineStr">
        <is>
          <t>Naturvårdsverket</t>
        </is>
      </c>
      <c r="G492" t="n">
        <v>1.4</v>
      </c>
      <c r="H492" t="n">
        <v>0</v>
      </c>
      <c r="I492" t="n">
        <v>0</v>
      </c>
      <c r="J492" t="n">
        <v>0</v>
      </c>
      <c r="K492" t="n">
        <v>0</v>
      </c>
      <c r="L492" t="n">
        <v>0</v>
      </c>
      <c r="M492" t="n">
        <v>0</v>
      </c>
      <c r="N492" t="n">
        <v>0</v>
      </c>
      <c r="O492" t="n">
        <v>0</v>
      </c>
      <c r="P492" t="n">
        <v>0</v>
      </c>
      <c r="Q492" t="n">
        <v>0</v>
      </c>
      <c r="R492" s="2" t="inlineStr"/>
    </row>
    <row r="493" ht="15" customHeight="1">
      <c r="A493" t="inlineStr">
        <is>
          <t>A 17035-2023</t>
        </is>
      </c>
      <c r="B493" s="1" t="n">
        <v>45034</v>
      </c>
      <c r="C493" s="1" t="n">
        <v>45510</v>
      </c>
      <c r="D493" t="inlineStr">
        <is>
          <t>DALARNAS LÄN</t>
        </is>
      </c>
      <c r="E493" t="inlineStr">
        <is>
          <t>LUDVIKA</t>
        </is>
      </c>
      <c r="F493" t="inlineStr">
        <is>
          <t>Naturvårdsverket</t>
        </is>
      </c>
      <c r="G493" t="n">
        <v>1.7</v>
      </c>
      <c r="H493" t="n">
        <v>0</v>
      </c>
      <c r="I493" t="n">
        <v>0</v>
      </c>
      <c r="J493" t="n">
        <v>0</v>
      </c>
      <c r="K493" t="n">
        <v>0</v>
      </c>
      <c r="L493" t="n">
        <v>0</v>
      </c>
      <c r="M493" t="n">
        <v>0</v>
      </c>
      <c r="N493" t="n">
        <v>0</v>
      </c>
      <c r="O493" t="n">
        <v>0</v>
      </c>
      <c r="P493" t="n">
        <v>0</v>
      </c>
      <c r="Q493" t="n">
        <v>0</v>
      </c>
      <c r="R493" s="2" t="inlineStr"/>
    </row>
    <row r="494" ht="15" customHeight="1">
      <c r="A494" t="inlineStr">
        <is>
          <t>A 17138-2023</t>
        </is>
      </c>
      <c r="B494" s="1" t="n">
        <v>45034</v>
      </c>
      <c r="C494" s="1" t="n">
        <v>45510</v>
      </c>
      <c r="D494" t="inlineStr">
        <is>
          <t>DALARNAS LÄN</t>
        </is>
      </c>
      <c r="E494" t="inlineStr">
        <is>
          <t>LUDVIKA</t>
        </is>
      </c>
      <c r="F494" t="inlineStr">
        <is>
          <t>Naturvårdsverket</t>
        </is>
      </c>
      <c r="G494" t="n">
        <v>2.7</v>
      </c>
      <c r="H494" t="n">
        <v>0</v>
      </c>
      <c r="I494" t="n">
        <v>0</v>
      </c>
      <c r="J494" t="n">
        <v>0</v>
      </c>
      <c r="K494" t="n">
        <v>0</v>
      </c>
      <c r="L494" t="n">
        <v>0</v>
      </c>
      <c r="M494" t="n">
        <v>0</v>
      </c>
      <c r="N494" t="n">
        <v>0</v>
      </c>
      <c r="O494" t="n">
        <v>0</v>
      </c>
      <c r="P494" t="n">
        <v>0</v>
      </c>
      <c r="Q494" t="n">
        <v>0</v>
      </c>
      <c r="R494" s="2" t="inlineStr"/>
    </row>
    <row r="495" ht="15" customHeight="1">
      <c r="A495" t="inlineStr">
        <is>
          <t>A 18585-2023</t>
        </is>
      </c>
      <c r="B495" s="1" t="n">
        <v>45043</v>
      </c>
      <c r="C495" s="1" t="n">
        <v>45510</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18708-2023</t>
        </is>
      </c>
      <c r="B496" s="1" t="n">
        <v>45043</v>
      </c>
      <c r="C496" s="1" t="n">
        <v>45510</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18660-2023</t>
        </is>
      </c>
      <c r="B497" s="1" t="n">
        <v>45043</v>
      </c>
      <c r="C497" s="1" t="n">
        <v>45510</v>
      </c>
      <c r="D497" t="inlineStr">
        <is>
          <t>DALARNAS LÄN</t>
        </is>
      </c>
      <c r="E497" t="inlineStr">
        <is>
          <t>LUDVIKA</t>
        </is>
      </c>
      <c r="F497" t="inlineStr">
        <is>
          <t>Bergvik skog väst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18936-2023</t>
        </is>
      </c>
      <c r="B498" s="1" t="n">
        <v>45044</v>
      </c>
      <c r="C498" s="1" t="n">
        <v>45510</v>
      </c>
      <c r="D498" t="inlineStr">
        <is>
          <t>DALARNAS LÄN</t>
        </is>
      </c>
      <c r="E498" t="inlineStr">
        <is>
          <t>LUDVIKA</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18850-2023</t>
        </is>
      </c>
      <c r="B499" s="1" t="n">
        <v>45044</v>
      </c>
      <c r="C499" s="1" t="n">
        <v>45510</v>
      </c>
      <c r="D499" t="inlineStr">
        <is>
          <t>DALARNAS LÄN</t>
        </is>
      </c>
      <c r="E499" t="inlineStr">
        <is>
          <t>LUDVIKA</t>
        </is>
      </c>
      <c r="F499" t="inlineStr">
        <is>
          <t>Naturvårdsverket</t>
        </is>
      </c>
      <c r="G499" t="n">
        <v>1.2</v>
      </c>
      <c r="H499" t="n">
        <v>0</v>
      </c>
      <c r="I499" t="n">
        <v>0</v>
      </c>
      <c r="J499" t="n">
        <v>0</v>
      </c>
      <c r="K499" t="n">
        <v>0</v>
      </c>
      <c r="L499" t="n">
        <v>0</v>
      </c>
      <c r="M499" t="n">
        <v>0</v>
      </c>
      <c r="N499" t="n">
        <v>0</v>
      </c>
      <c r="O499" t="n">
        <v>0</v>
      </c>
      <c r="P499" t="n">
        <v>0</v>
      </c>
      <c r="Q499" t="n">
        <v>0</v>
      </c>
      <c r="R499" s="2" t="inlineStr"/>
    </row>
    <row r="500" ht="15" customHeight="1">
      <c r="A500" t="inlineStr">
        <is>
          <t>A 18864-2023</t>
        </is>
      </c>
      <c r="B500" s="1" t="n">
        <v>45044</v>
      </c>
      <c r="C500" s="1" t="n">
        <v>45510</v>
      </c>
      <c r="D500" t="inlineStr">
        <is>
          <t>DALARNAS LÄN</t>
        </is>
      </c>
      <c r="E500" t="inlineStr">
        <is>
          <t>LUDVIKA</t>
        </is>
      </c>
      <c r="F500" t="inlineStr">
        <is>
          <t>Naturvårdsverket</t>
        </is>
      </c>
      <c r="G500" t="n">
        <v>0.5</v>
      </c>
      <c r="H500" t="n">
        <v>0</v>
      </c>
      <c r="I500" t="n">
        <v>0</v>
      </c>
      <c r="J500" t="n">
        <v>0</v>
      </c>
      <c r="K500" t="n">
        <v>0</v>
      </c>
      <c r="L500" t="n">
        <v>0</v>
      </c>
      <c r="M500" t="n">
        <v>0</v>
      </c>
      <c r="N500" t="n">
        <v>0</v>
      </c>
      <c r="O500" t="n">
        <v>0</v>
      </c>
      <c r="P500" t="n">
        <v>0</v>
      </c>
      <c r="Q500" t="n">
        <v>0</v>
      </c>
      <c r="R500" s="2" t="inlineStr"/>
    </row>
    <row r="501" ht="15" customHeight="1">
      <c r="A501" t="inlineStr">
        <is>
          <t>A 19449-2023</t>
        </is>
      </c>
      <c r="B501" s="1" t="n">
        <v>45050</v>
      </c>
      <c r="C501" s="1" t="n">
        <v>45510</v>
      </c>
      <c r="D501" t="inlineStr">
        <is>
          <t>DALARNAS LÄN</t>
        </is>
      </c>
      <c r="E501" t="inlineStr">
        <is>
          <t>LUDVIKA</t>
        </is>
      </c>
      <c r="F501" t="inlineStr">
        <is>
          <t>Bergvik skog väst AB</t>
        </is>
      </c>
      <c r="G501" t="n">
        <v>5.6</v>
      </c>
      <c r="H501" t="n">
        <v>0</v>
      </c>
      <c r="I501" t="n">
        <v>0</v>
      </c>
      <c r="J501" t="n">
        <v>0</v>
      </c>
      <c r="K501" t="n">
        <v>0</v>
      </c>
      <c r="L501" t="n">
        <v>0</v>
      </c>
      <c r="M501" t="n">
        <v>0</v>
      </c>
      <c r="N501" t="n">
        <v>0</v>
      </c>
      <c r="O501" t="n">
        <v>0</v>
      </c>
      <c r="P501" t="n">
        <v>0</v>
      </c>
      <c r="Q501" t="n">
        <v>0</v>
      </c>
      <c r="R501" s="2" t="inlineStr"/>
    </row>
    <row r="502" ht="15" customHeight="1">
      <c r="A502" t="inlineStr">
        <is>
          <t>A 19643-2023</t>
        </is>
      </c>
      <c r="B502" s="1" t="n">
        <v>45051</v>
      </c>
      <c r="C502" s="1" t="n">
        <v>45510</v>
      </c>
      <c r="D502" t="inlineStr">
        <is>
          <t>DALARNAS LÄN</t>
        </is>
      </c>
      <c r="E502" t="inlineStr">
        <is>
          <t>LUDVIKA</t>
        </is>
      </c>
      <c r="F502" t="inlineStr">
        <is>
          <t>Naturvårdsverket</t>
        </is>
      </c>
      <c r="G502" t="n">
        <v>25</v>
      </c>
      <c r="H502" t="n">
        <v>0</v>
      </c>
      <c r="I502" t="n">
        <v>0</v>
      </c>
      <c r="J502" t="n">
        <v>0</v>
      </c>
      <c r="K502" t="n">
        <v>0</v>
      </c>
      <c r="L502" t="n">
        <v>0</v>
      </c>
      <c r="M502" t="n">
        <v>0</v>
      </c>
      <c r="N502" t="n">
        <v>0</v>
      </c>
      <c r="O502" t="n">
        <v>0</v>
      </c>
      <c r="P502" t="n">
        <v>0</v>
      </c>
      <c r="Q502" t="n">
        <v>0</v>
      </c>
      <c r="R502" s="2" t="inlineStr"/>
    </row>
    <row r="503" ht="15" customHeight="1">
      <c r="A503" t="inlineStr">
        <is>
          <t>A 19651-2023</t>
        </is>
      </c>
      <c r="B503" s="1" t="n">
        <v>45051</v>
      </c>
      <c r="C503" s="1" t="n">
        <v>45510</v>
      </c>
      <c r="D503" t="inlineStr">
        <is>
          <t>DALARNAS LÄN</t>
        </is>
      </c>
      <c r="E503" t="inlineStr">
        <is>
          <t>LUDVIKA</t>
        </is>
      </c>
      <c r="F503" t="inlineStr">
        <is>
          <t>Bergvik skog väst AB</t>
        </is>
      </c>
      <c r="G503" t="n">
        <v>7.4</v>
      </c>
      <c r="H503" t="n">
        <v>0</v>
      </c>
      <c r="I503" t="n">
        <v>0</v>
      </c>
      <c r="J503" t="n">
        <v>0</v>
      </c>
      <c r="K503" t="n">
        <v>0</v>
      </c>
      <c r="L503" t="n">
        <v>0</v>
      </c>
      <c r="M503" t="n">
        <v>0</v>
      </c>
      <c r="N503" t="n">
        <v>0</v>
      </c>
      <c r="O503" t="n">
        <v>0</v>
      </c>
      <c r="P503" t="n">
        <v>0</v>
      </c>
      <c r="Q503" t="n">
        <v>0</v>
      </c>
      <c r="R503" s="2" t="inlineStr"/>
    </row>
    <row r="504" ht="15" customHeight="1">
      <c r="A504" t="inlineStr">
        <is>
          <t>A 20225-2023</t>
        </is>
      </c>
      <c r="B504" s="1" t="n">
        <v>45054</v>
      </c>
      <c r="C504" s="1" t="n">
        <v>45510</v>
      </c>
      <c r="D504" t="inlineStr">
        <is>
          <t>DALARNAS LÄN</t>
        </is>
      </c>
      <c r="E504" t="inlineStr">
        <is>
          <t>LUDVIKA</t>
        </is>
      </c>
      <c r="G504" t="n">
        <v>4.7</v>
      </c>
      <c r="H504" t="n">
        <v>0</v>
      </c>
      <c r="I504" t="n">
        <v>0</v>
      </c>
      <c r="J504" t="n">
        <v>0</v>
      </c>
      <c r="K504" t="n">
        <v>0</v>
      </c>
      <c r="L504" t="n">
        <v>0</v>
      </c>
      <c r="M504" t="n">
        <v>0</v>
      </c>
      <c r="N504" t="n">
        <v>0</v>
      </c>
      <c r="O504" t="n">
        <v>0</v>
      </c>
      <c r="P504" t="n">
        <v>0</v>
      </c>
      <c r="Q504" t="n">
        <v>0</v>
      </c>
      <c r="R504" s="2" t="inlineStr"/>
    </row>
    <row r="505" ht="15" customHeight="1">
      <c r="A505" t="inlineStr">
        <is>
          <t>A 20202-2023</t>
        </is>
      </c>
      <c r="B505" s="1" t="n">
        <v>45055</v>
      </c>
      <c r="C505" s="1" t="n">
        <v>45510</v>
      </c>
      <c r="D505" t="inlineStr">
        <is>
          <t>DALARNAS LÄN</t>
        </is>
      </c>
      <c r="E505" t="inlineStr">
        <is>
          <t>LUDVIKA</t>
        </is>
      </c>
      <c r="G505" t="n">
        <v>2.2</v>
      </c>
      <c r="H505" t="n">
        <v>0</v>
      </c>
      <c r="I505" t="n">
        <v>0</v>
      </c>
      <c r="J505" t="n">
        <v>0</v>
      </c>
      <c r="K505" t="n">
        <v>0</v>
      </c>
      <c r="L505" t="n">
        <v>0</v>
      </c>
      <c r="M505" t="n">
        <v>0</v>
      </c>
      <c r="N505" t="n">
        <v>0</v>
      </c>
      <c r="O505" t="n">
        <v>0</v>
      </c>
      <c r="P505" t="n">
        <v>0</v>
      </c>
      <c r="Q505" t="n">
        <v>0</v>
      </c>
      <c r="R505" s="2" t="inlineStr"/>
    </row>
    <row r="506" ht="15" customHeight="1">
      <c r="A506" t="inlineStr">
        <is>
          <t>A 20559-2023</t>
        </is>
      </c>
      <c r="B506" s="1" t="n">
        <v>45055</v>
      </c>
      <c r="C506" s="1" t="n">
        <v>45510</v>
      </c>
      <c r="D506" t="inlineStr">
        <is>
          <t>DALARNAS LÄN</t>
        </is>
      </c>
      <c r="E506" t="inlineStr">
        <is>
          <t>LUDVIKA</t>
        </is>
      </c>
      <c r="G506" t="n">
        <v>3.8</v>
      </c>
      <c r="H506" t="n">
        <v>0</v>
      </c>
      <c r="I506" t="n">
        <v>0</v>
      </c>
      <c r="J506" t="n">
        <v>0</v>
      </c>
      <c r="K506" t="n">
        <v>0</v>
      </c>
      <c r="L506" t="n">
        <v>0</v>
      </c>
      <c r="M506" t="n">
        <v>0</v>
      </c>
      <c r="N506" t="n">
        <v>0</v>
      </c>
      <c r="O506" t="n">
        <v>0</v>
      </c>
      <c r="P506" t="n">
        <v>0</v>
      </c>
      <c r="Q506" t="n">
        <v>0</v>
      </c>
      <c r="R506" s="2" t="inlineStr"/>
    </row>
    <row r="507" ht="15" customHeight="1">
      <c r="A507" t="inlineStr">
        <is>
          <t>A 20411-2023</t>
        </is>
      </c>
      <c r="B507" s="1" t="n">
        <v>45056</v>
      </c>
      <c r="C507" s="1" t="n">
        <v>45510</v>
      </c>
      <c r="D507" t="inlineStr">
        <is>
          <t>DALARNAS LÄN</t>
        </is>
      </c>
      <c r="E507" t="inlineStr">
        <is>
          <t>LUDVIKA</t>
        </is>
      </c>
      <c r="F507" t="inlineStr">
        <is>
          <t>Bergvik skog väst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20688-2023</t>
        </is>
      </c>
      <c r="B508" s="1" t="n">
        <v>45058</v>
      </c>
      <c r="C508" s="1" t="n">
        <v>45510</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20826-2023</t>
        </is>
      </c>
      <c r="B509" s="1" t="n">
        <v>45058</v>
      </c>
      <c r="C509" s="1" t="n">
        <v>45510</v>
      </c>
      <c r="D509" t="inlineStr">
        <is>
          <t>DALARNAS LÄN</t>
        </is>
      </c>
      <c r="E509" t="inlineStr">
        <is>
          <t>LUDVIKA</t>
        </is>
      </c>
      <c r="F509" t="inlineStr">
        <is>
          <t>Bergvik skog väst AB</t>
        </is>
      </c>
      <c r="G509" t="n">
        <v>10</v>
      </c>
      <c r="H509" t="n">
        <v>0</v>
      </c>
      <c r="I509" t="n">
        <v>0</v>
      </c>
      <c r="J509" t="n">
        <v>0</v>
      </c>
      <c r="K509" t="n">
        <v>0</v>
      </c>
      <c r="L509" t="n">
        <v>0</v>
      </c>
      <c r="M509" t="n">
        <v>0</v>
      </c>
      <c r="N509" t="n">
        <v>0</v>
      </c>
      <c r="O509" t="n">
        <v>0</v>
      </c>
      <c r="P509" t="n">
        <v>0</v>
      </c>
      <c r="Q509" t="n">
        <v>0</v>
      </c>
      <c r="R509" s="2" t="inlineStr"/>
    </row>
    <row r="510" ht="15" customHeight="1">
      <c r="A510" t="inlineStr">
        <is>
          <t>A 20764-2023</t>
        </is>
      </c>
      <c r="B510" s="1" t="n">
        <v>45058</v>
      </c>
      <c r="C510" s="1" t="n">
        <v>45510</v>
      </c>
      <c r="D510" t="inlineStr">
        <is>
          <t>DALARNAS LÄN</t>
        </is>
      </c>
      <c r="E510" t="inlineStr">
        <is>
          <t>LUDVIKA</t>
        </is>
      </c>
      <c r="F510" t="inlineStr">
        <is>
          <t>Bergvik skog väst AB</t>
        </is>
      </c>
      <c r="G510" t="n">
        <v>3.3</v>
      </c>
      <c r="H510" t="n">
        <v>0</v>
      </c>
      <c r="I510" t="n">
        <v>0</v>
      </c>
      <c r="J510" t="n">
        <v>0</v>
      </c>
      <c r="K510" t="n">
        <v>0</v>
      </c>
      <c r="L510" t="n">
        <v>0</v>
      </c>
      <c r="M510" t="n">
        <v>0</v>
      </c>
      <c r="N510" t="n">
        <v>0</v>
      </c>
      <c r="O510" t="n">
        <v>0</v>
      </c>
      <c r="P510" t="n">
        <v>0</v>
      </c>
      <c r="Q510" t="n">
        <v>0</v>
      </c>
      <c r="R510" s="2" t="inlineStr"/>
    </row>
    <row r="511" ht="15" customHeight="1">
      <c r="A511" t="inlineStr">
        <is>
          <t>A 21145-2023</t>
        </is>
      </c>
      <c r="B511" s="1" t="n">
        <v>45062</v>
      </c>
      <c r="C511" s="1" t="n">
        <v>45510</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21152-2023</t>
        </is>
      </c>
      <c r="B512" s="1" t="n">
        <v>45062</v>
      </c>
      <c r="C512" s="1" t="n">
        <v>45510</v>
      </c>
      <c r="D512" t="inlineStr">
        <is>
          <t>DALARNAS LÄN</t>
        </is>
      </c>
      <c r="E512" t="inlineStr">
        <is>
          <t>LUDVIKA</t>
        </is>
      </c>
      <c r="F512" t="inlineStr">
        <is>
          <t>Bergvik skog väst AB</t>
        </is>
      </c>
      <c r="G512" t="n">
        <v>13.6</v>
      </c>
      <c r="H512" t="n">
        <v>0</v>
      </c>
      <c r="I512" t="n">
        <v>0</v>
      </c>
      <c r="J512" t="n">
        <v>0</v>
      </c>
      <c r="K512" t="n">
        <v>0</v>
      </c>
      <c r="L512" t="n">
        <v>0</v>
      </c>
      <c r="M512" t="n">
        <v>0</v>
      </c>
      <c r="N512" t="n">
        <v>0</v>
      </c>
      <c r="O512" t="n">
        <v>0</v>
      </c>
      <c r="P512" t="n">
        <v>0</v>
      </c>
      <c r="Q512" t="n">
        <v>0</v>
      </c>
      <c r="R512" s="2" t="inlineStr"/>
    </row>
    <row r="513" ht="15" customHeight="1">
      <c r="A513" t="inlineStr">
        <is>
          <t>A 21297-2023</t>
        </is>
      </c>
      <c r="B513" s="1" t="n">
        <v>45062</v>
      </c>
      <c r="C513" s="1" t="n">
        <v>45510</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21247-2023</t>
        </is>
      </c>
      <c r="B514" s="1" t="n">
        <v>45062</v>
      </c>
      <c r="C514" s="1" t="n">
        <v>45510</v>
      </c>
      <c r="D514" t="inlineStr">
        <is>
          <t>DALARNAS LÄN</t>
        </is>
      </c>
      <c r="E514" t="inlineStr">
        <is>
          <t>LUDVIKA</t>
        </is>
      </c>
      <c r="F514" t="inlineStr">
        <is>
          <t>Bergvik skog väst AB</t>
        </is>
      </c>
      <c r="G514" t="n">
        <v>2.4</v>
      </c>
      <c r="H514" t="n">
        <v>0</v>
      </c>
      <c r="I514" t="n">
        <v>0</v>
      </c>
      <c r="J514" t="n">
        <v>0</v>
      </c>
      <c r="K514" t="n">
        <v>0</v>
      </c>
      <c r="L514" t="n">
        <v>0</v>
      </c>
      <c r="M514" t="n">
        <v>0</v>
      </c>
      <c r="N514" t="n">
        <v>0</v>
      </c>
      <c r="O514" t="n">
        <v>0</v>
      </c>
      <c r="P514" t="n">
        <v>0</v>
      </c>
      <c r="Q514" t="n">
        <v>0</v>
      </c>
      <c r="R514" s="2" t="inlineStr"/>
    </row>
    <row r="515" ht="15" customHeight="1">
      <c r="A515" t="inlineStr">
        <is>
          <t>A 21539-2023</t>
        </is>
      </c>
      <c r="B515" s="1" t="n">
        <v>45063</v>
      </c>
      <c r="C515" s="1" t="n">
        <v>45510</v>
      </c>
      <c r="D515" t="inlineStr">
        <is>
          <t>DALARNAS LÄN</t>
        </is>
      </c>
      <c r="E515" t="inlineStr">
        <is>
          <t>LUDVIKA</t>
        </is>
      </c>
      <c r="F515" t="inlineStr">
        <is>
          <t>Bergvik skog väst AB</t>
        </is>
      </c>
      <c r="G515" t="n">
        <v>7.4</v>
      </c>
      <c r="H515" t="n">
        <v>0</v>
      </c>
      <c r="I515" t="n">
        <v>0</v>
      </c>
      <c r="J515" t="n">
        <v>0</v>
      </c>
      <c r="K515" t="n">
        <v>0</v>
      </c>
      <c r="L515" t="n">
        <v>0</v>
      </c>
      <c r="M515" t="n">
        <v>0</v>
      </c>
      <c r="N515" t="n">
        <v>0</v>
      </c>
      <c r="O515" t="n">
        <v>0</v>
      </c>
      <c r="P515" t="n">
        <v>0</v>
      </c>
      <c r="Q515" t="n">
        <v>0</v>
      </c>
      <c r="R515" s="2" t="inlineStr"/>
    </row>
    <row r="516" ht="15" customHeight="1">
      <c r="A516" t="inlineStr">
        <is>
          <t>A 21370-2023</t>
        </is>
      </c>
      <c r="B516" s="1" t="n">
        <v>45063</v>
      </c>
      <c r="C516" s="1" t="n">
        <v>45510</v>
      </c>
      <c r="D516" t="inlineStr">
        <is>
          <t>DALARNAS LÄN</t>
        </is>
      </c>
      <c r="E516" t="inlineStr">
        <is>
          <t>LUDVIKA</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21369-2023</t>
        </is>
      </c>
      <c r="B517" s="1" t="n">
        <v>45063</v>
      </c>
      <c r="C517" s="1" t="n">
        <v>45510</v>
      </c>
      <c r="D517" t="inlineStr">
        <is>
          <t>DALARNAS LÄN</t>
        </is>
      </c>
      <c r="E517" t="inlineStr">
        <is>
          <t>LUDVIKA</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21554-2023</t>
        </is>
      </c>
      <c r="B518" s="1" t="n">
        <v>45063</v>
      </c>
      <c r="C518" s="1" t="n">
        <v>45510</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21548-2023</t>
        </is>
      </c>
      <c r="B519" s="1" t="n">
        <v>45063</v>
      </c>
      <c r="C519" s="1" t="n">
        <v>45510</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21551-2023</t>
        </is>
      </c>
      <c r="B520" s="1" t="n">
        <v>45063</v>
      </c>
      <c r="C520" s="1" t="n">
        <v>45510</v>
      </c>
      <c r="D520" t="inlineStr">
        <is>
          <t>DALARNAS LÄN</t>
        </is>
      </c>
      <c r="E520" t="inlineStr">
        <is>
          <t>LUDVIKA</t>
        </is>
      </c>
      <c r="G520" t="n">
        <v>8.4</v>
      </c>
      <c r="H520" t="n">
        <v>0</v>
      </c>
      <c r="I520" t="n">
        <v>0</v>
      </c>
      <c r="J520" t="n">
        <v>0</v>
      </c>
      <c r="K520" t="n">
        <v>0</v>
      </c>
      <c r="L520" t="n">
        <v>0</v>
      </c>
      <c r="M520" t="n">
        <v>0</v>
      </c>
      <c r="N520" t="n">
        <v>0</v>
      </c>
      <c r="O520" t="n">
        <v>0</v>
      </c>
      <c r="P520" t="n">
        <v>0</v>
      </c>
      <c r="Q520" t="n">
        <v>0</v>
      </c>
      <c r="R520" s="2" t="inlineStr"/>
    </row>
    <row r="521" ht="15" customHeight="1">
      <c r="A521" t="inlineStr">
        <is>
          <t>A 21598-2023</t>
        </is>
      </c>
      <c r="B521" s="1" t="n">
        <v>45063</v>
      </c>
      <c r="C521" s="1" t="n">
        <v>45510</v>
      </c>
      <c r="D521" t="inlineStr">
        <is>
          <t>DALARNAS LÄN</t>
        </is>
      </c>
      <c r="E521" t="inlineStr">
        <is>
          <t>LUDVIKA</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21649-2023</t>
        </is>
      </c>
      <c r="B522" s="1" t="n">
        <v>45063</v>
      </c>
      <c r="C522" s="1" t="n">
        <v>45510</v>
      </c>
      <c r="D522" t="inlineStr">
        <is>
          <t>DALARNAS LÄN</t>
        </is>
      </c>
      <c r="E522" t="inlineStr">
        <is>
          <t>LUDVIKA</t>
        </is>
      </c>
      <c r="F522" t="inlineStr">
        <is>
          <t>Bergvik skog väst AB</t>
        </is>
      </c>
      <c r="G522" t="n">
        <v>10.3</v>
      </c>
      <c r="H522" t="n">
        <v>0</v>
      </c>
      <c r="I522" t="n">
        <v>0</v>
      </c>
      <c r="J522" t="n">
        <v>0</v>
      </c>
      <c r="K522" t="n">
        <v>0</v>
      </c>
      <c r="L522" t="n">
        <v>0</v>
      </c>
      <c r="M522" t="n">
        <v>0</v>
      </c>
      <c r="N522" t="n">
        <v>0</v>
      </c>
      <c r="O522" t="n">
        <v>0</v>
      </c>
      <c r="P522" t="n">
        <v>0</v>
      </c>
      <c r="Q522" t="n">
        <v>0</v>
      </c>
      <c r="R522" s="2" t="inlineStr"/>
    </row>
    <row r="523" ht="15" customHeight="1">
      <c r="A523" t="inlineStr">
        <is>
          <t>A 21843-2023</t>
        </is>
      </c>
      <c r="B523" s="1" t="n">
        <v>45068</v>
      </c>
      <c r="C523" s="1" t="n">
        <v>45510</v>
      </c>
      <c r="D523" t="inlineStr">
        <is>
          <t>DALARNAS LÄN</t>
        </is>
      </c>
      <c r="E523" t="inlineStr">
        <is>
          <t>LUDVIKA</t>
        </is>
      </c>
      <c r="G523" t="n">
        <v>4.3</v>
      </c>
      <c r="H523" t="n">
        <v>0</v>
      </c>
      <c r="I523" t="n">
        <v>0</v>
      </c>
      <c r="J523" t="n">
        <v>0</v>
      </c>
      <c r="K523" t="n">
        <v>0</v>
      </c>
      <c r="L523" t="n">
        <v>0</v>
      </c>
      <c r="M523" t="n">
        <v>0</v>
      </c>
      <c r="N523" t="n">
        <v>0</v>
      </c>
      <c r="O523" t="n">
        <v>0</v>
      </c>
      <c r="P523" t="n">
        <v>0</v>
      </c>
      <c r="Q523" t="n">
        <v>0</v>
      </c>
      <c r="R523" s="2" t="inlineStr"/>
    </row>
    <row r="524" ht="15" customHeight="1">
      <c r="A524" t="inlineStr">
        <is>
          <t>A 21842-2023</t>
        </is>
      </c>
      <c r="B524" s="1" t="n">
        <v>45068</v>
      </c>
      <c r="C524" s="1" t="n">
        <v>45510</v>
      </c>
      <c r="D524" t="inlineStr">
        <is>
          <t>DALARNAS LÄN</t>
        </is>
      </c>
      <c r="E524" t="inlineStr">
        <is>
          <t>LUDVIKA</t>
        </is>
      </c>
      <c r="G524" t="n">
        <v>3.5</v>
      </c>
      <c r="H524" t="n">
        <v>0</v>
      </c>
      <c r="I524" t="n">
        <v>0</v>
      </c>
      <c r="J524" t="n">
        <v>0</v>
      </c>
      <c r="K524" t="n">
        <v>0</v>
      </c>
      <c r="L524" t="n">
        <v>0</v>
      </c>
      <c r="M524" t="n">
        <v>0</v>
      </c>
      <c r="N524" t="n">
        <v>0</v>
      </c>
      <c r="O524" t="n">
        <v>0</v>
      </c>
      <c r="P524" t="n">
        <v>0</v>
      </c>
      <c r="Q524" t="n">
        <v>0</v>
      </c>
      <c r="R524" s="2" t="inlineStr"/>
    </row>
    <row r="525" ht="15" customHeight="1">
      <c r="A525" t="inlineStr">
        <is>
          <t>A 21870-2023</t>
        </is>
      </c>
      <c r="B525" s="1" t="n">
        <v>45068</v>
      </c>
      <c r="C525" s="1" t="n">
        <v>45510</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21841-2023</t>
        </is>
      </c>
      <c r="B526" s="1" t="n">
        <v>45068</v>
      </c>
      <c r="C526" s="1" t="n">
        <v>45510</v>
      </c>
      <c r="D526" t="inlineStr">
        <is>
          <t>DALARNAS LÄN</t>
        </is>
      </c>
      <c r="E526" t="inlineStr">
        <is>
          <t>LUDVIKA</t>
        </is>
      </c>
      <c r="G526" t="n">
        <v>4.5</v>
      </c>
      <c r="H526" t="n">
        <v>0</v>
      </c>
      <c r="I526" t="n">
        <v>0</v>
      </c>
      <c r="J526" t="n">
        <v>0</v>
      </c>
      <c r="K526" t="n">
        <v>0</v>
      </c>
      <c r="L526" t="n">
        <v>0</v>
      </c>
      <c r="M526" t="n">
        <v>0</v>
      </c>
      <c r="N526" t="n">
        <v>0</v>
      </c>
      <c r="O526" t="n">
        <v>0</v>
      </c>
      <c r="P526" t="n">
        <v>0</v>
      </c>
      <c r="Q526" t="n">
        <v>0</v>
      </c>
      <c r="R526" s="2" t="inlineStr"/>
    </row>
    <row r="527" ht="15" customHeight="1">
      <c r="A527" t="inlineStr">
        <is>
          <t>A 21933-2023</t>
        </is>
      </c>
      <c r="B527" s="1" t="n">
        <v>45068</v>
      </c>
      <c r="C527" s="1" t="n">
        <v>45510</v>
      </c>
      <c r="D527" t="inlineStr">
        <is>
          <t>DALARNAS LÄN</t>
        </is>
      </c>
      <c r="E527" t="inlineStr">
        <is>
          <t>LUDVIKA</t>
        </is>
      </c>
      <c r="F527" t="inlineStr">
        <is>
          <t>Bergvik skog väst AB</t>
        </is>
      </c>
      <c r="G527" t="n">
        <v>12.5</v>
      </c>
      <c r="H527" t="n">
        <v>0</v>
      </c>
      <c r="I527" t="n">
        <v>0</v>
      </c>
      <c r="J527" t="n">
        <v>0</v>
      </c>
      <c r="K527" t="n">
        <v>0</v>
      </c>
      <c r="L527" t="n">
        <v>0</v>
      </c>
      <c r="M527" t="n">
        <v>0</v>
      </c>
      <c r="N527" t="n">
        <v>0</v>
      </c>
      <c r="O527" t="n">
        <v>0</v>
      </c>
      <c r="P527" t="n">
        <v>0</v>
      </c>
      <c r="Q527" t="n">
        <v>0</v>
      </c>
      <c r="R527" s="2" t="inlineStr"/>
    </row>
    <row r="528" ht="15" customHeight="1">
      <c r="A528" t="inlineStr">
        <is>
          <t>A 22149-2023</t>
        </is>
      </c>
      <c r="B528" s="1" t="n">
        <v>45069</v>
      </c>
      <c r="C528" s="1" t="n">
        <v>45510</v>
      </c>
      <c r="D528" t="inlineStr">
        <is>
          <t>DALARNAS LÄN</t>
        </is>
      </c>
      <c r="E528" t="inlineStr">
        <is>
          <t>LUDVIKA</t>
        </is>
      </c>
      <c r="F528" t="inlineStr">
        <is>
          <t>Bergvik skog väst AB</t>
        </is>
      </c>
      <c r="G528" t="n">
        <v>12.9</v>
      </c>
      <c r="H528" t="n">
        <v>0</v>
      </c>
      <c r="I528" t="n">
        <v>0</v>
      </c>
      <c r="J528" t="n">
        <v>0</v>
      </c>
      <c r="K528" t="n">
        <v>0</v>
      </c>
      <c r="L528" t="n">
        <v>0</v>
      </c>
      <c r="M528" t="n">
        <v>0</v>
      </c>
      <c r="N528" t="n">
        <v>0</v>
      </c>
      <c r="O528" t="n">
        <v>0</v>
      </c>
      <c r="P528" t="n">
        <v>0</v>
      </c>
      <c r="Q528" t="n">
        <v>0</v>
      </c>
      <c r="R528" s="2" t="inlineStr"/>
    </row>
    <row r="529" ht="15" customHeight="1">
      <c r="A529" t="inlineStr">
        <is>
          <t>A 22151-2023</t>
        </is>
      </c>
      <c r="B529" s="1" t="n">
        <v>45069</v>
      </c>
      <c r="C529" s="1" t="n">
        <v>45510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22286-2023</t>
        </is>
      </c>
      <c r="B530" s="1" t="n">
        <v>45070</v>
      </c>
      <c r="C530" s="1" t="n">
        <v>45510</v>
      </c>
      <c r="D530" t="inlineStr">
        <is>
          <t>DALARNAS LÄN</t>
        </is>
      </c>
      <c r="E530" t="inlineStr">
        <is>
          <t>LUDVIKA</t>
        </is>
      </c>
      <c r="F530" t="inlineStr">
        <is>
          <t>Bergvik skog väst AB</t>
        </is>
      </c>
      <c r="G530" t="n">
        <v>3.5</v>
      </c>
      <c r="H530" t="n">
        <v>0</v>
      </c>
      <c r="I530" t="n">
        <v>0</v>
      </c>
      <c r="J530" t="n">
        <v>0</v>
      </c>
      <c r="K530" t="n">
        <v>0</v>
      </c>
      <c r="L530" t="n">
        <v>0</v>
      </c>
      <c r="M530" t="n">
        <v>0</v>
      </c>
      <c r="N530" t="n">
        <v>0</v>
      </c>
      <c r="O530" t="n">
        <v>0</v>
      </c>
      <c r="P530" t="n">
        <v>0</v>
      </c>
      <c r="Q530" t="n">
        <v>0</v>
      </c>
      <c r="R530" s="2" t="inlineStr"/>
    </row>
    <row r="531" ht="15" customHeight="1">
      <c r="A531" t="inlineStr">
        <is>
          <t>A 22306-2023</t>
        </is>
      </c>
      <c r="B531" s="1" t="n">
        <v>45070</v>
      </c>
      <c r="C531" s="1" t="n">
        <v>45510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22375-2023</t>
        </is>
      </c>
      <c r="B532" s="1" t="n">
        <v>45070</v>
      </c>
      <c r="C532" s="1" t="n">
        <v>45510</v>
      </c>
      <c r="D532" t="inlineStr">
        <is>
          <t>DALARNAS LÄN</t>
        </is>
      </c>
      <c r="E532" t="inlineStr">
        <is>
          <t>LUDVIKA</t>
        </is>
      </c>
      <c r="F532" t="inlineStr">
        <is>
          <t>Bergvik skog väst AB</t>
        </is>
      </c>
      <c r="G532" t="n">
        <v>18.4</v>
      </c>
      <c r="H532" t="n">
        <v>0</v>
      </c>
      <c r="I532" t="n">
        <v>0</v>
      </c>
      <c r="J532" t="n">
        <v>0</v>
      </c>
      <c r="K532" t="n">
        <v>0</v>
      </c>
      <c r="L532" t="n">
        <v>0</v>
      </c>
      <c r="M532" t="n">
        <v>0</v>
      </c>
      <c r="N532" t="n">
        <v>0</v>
      </c>
      <c r="O532" t="n">
        <v>0</v>
      </c>
      <c r="P532" t="n">
        <v>0</v>
      </c>
      <c r="Q532" t="n">
        <v>0</v>
      </c>
      <c r="R532" s="2" t="inlineStr"/>
    </row>
    <row r="533" ht="15" customHeight="1">
      <c r="A533" t="inlineStr">
        <is>
          <t>A 22420-2023</t>
        </is>
      </c>
      <c r="B533" s="1" t="n">
        <v>45070</v>
      </c>
      <c r="C533" s="1" t="n">
        <v>45510</v>
      </c>
      <c r="D533" t="inlineStr">
        <is>
          <t>DALARNAS LÄN</t>
        </is>
      </c>
      <c r="E533" t="inlineStr">
        <is>
          <t>LUDVIKA</t>
        </is>
      </c>
      <c r="F533" t="inlineStr">
        <is>
          <t>Bergvik skog väst AB</t>
        </is>
      </c>
      <c r="G533" t="n">
        <v>6.5</v>
      </c>
      <c r="H533" t="n">
        <v>0</v>
      </c>
      <c r="I533" t="n">
        <v>0</v>
      </c>
      <c r="J533" t="n">
        <v>0</v>
      </c>
      <c r="K533" t="n">
        <v>0</v>
      </c>
      <c r="L533" t="n">
        <v>0</v>
      </c>
      <c r="M533" t="n">
        <v>0</v>
      </c>
      <c r="N533" t="n">
        <v>0</v>
      </c>
      <c r="O533" t="n">
        <v>0</v>
      </c>
      <c r="P533" t="n">
        <v>0</v>
      </c>
      <c r="Q533" t="n">
        <v>0</v>
      </c>
      <c r="R533" s="2" t="inlineStr"/>
    </row>
    <row r="534" ht="15" customHeight="1">
      <c r="A534" t="inlineStr">
        <is>
          <t>A 22555-2023</t>
        </is>
      </c>
      <c r="B534" s="1" t="n">
        <v>45071</v>
      </c>
      <c r="C534" s="1" t="n">
        <v>45510</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23999-2023</t>
        </is>
      </c>
      <c r="B535" s="1" t="n">
        <v>45078</v>
      </c>
      <c r="C535" s="1" t="n">
        <v>45510</v>
      </c>
      <c r="D535" t="inlineStr">
        <is>
          <t>DALARNAS LÄN</t>
        </is>
      </c>
      <c r="E535" t="inlineStr">
        <is>
          <t>LUDVIKA</t>
        </is>
      </c>
      <c r="F535" t="inlineStr">
        <is>
          <t>Bergvik skog väst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24224-2023</t>
        </is>
      </c>
      <c r="B536" s="1" t="n">
        <v>45079</v>
      </c>
      <c r="C536" s="1" t="n">
        <v>45510</v>
      </c>
      <c r="D536" t="inlineStr">
        <is>
          <t>DALARNAS LÄN</t>
        </is>
      </c>
      <c r="E536" t="inlineStr">
        <is>
          <t>LUDVIKA</t>
        </is>
      </c>
      <c r="F536" t="inlineStr">
        <is>
          <t>Bergvik skog väst AB</t>
        </is>
      </c>
      <c r="G536" t="n">
        <v>12.1</v>
      </c>
      <c r="H536" t="n">
        <v>0</v>
      </c>
      <c r="I536" t="n">
        <v>0</v>
      </c>
      <c r="J536" t="n">
        <v>0</v>
      </c>
      <c r="K536" t="n">
        <v>0</v>
      </c>
      <c r="L536" t="n">
        <v>0</v>
      </c>
      <c r="M536" t="n">
        <v>0</v>
      </c>
      <c r="N536" t="n">
        <v>0</v>
      </c>
      <c r="O536" t="n">
        <v>0</v>
      </c>
      <c r="P536" t="n">
        <v>0</v>
      </c>
      <c r="Q536" t="n">
        <v>0</v>
      </c>
      <c r="R536" s="2" t="inlineStr"/>
    </row>
    <row r="537" ht="15" customHeight="1">
      <c r="A537" t="inlineStr">
        <is>
          <t>A 24256-2023</t>
        </is>
      </c>
      <c r="B537" s="1" t="n">
        <v>45079</v>
      </c>
      <c r="C537" s="1" t="n">
        <v>45510</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24379-2023</t>
        </is>
      </c>
      <c r="B538" s="1" t="n">
        <v>45082</v>
      </c>
      <c r="C538" s="1" t="n">
        <v>45510</v>
      </c>
      <c r="D538" t="inlineStr">
        <is>
          <t>DALARNAS LÄN</t>
        </is>
      </c>
      <c r="E538" t="inlineStr">
        <is>
          <t>LUDVIKA</t>
        </is>
      </c>
      <c r="F538" t="inlineStr">
        <is>
          <t>Naturvårdsverket</t>
        </is>
      </c>
      <c r="G538" t="n">
        <v>2.1</v>
      </c>
      <c r="H538" t="n">
        <v>0</v>
      </c>
      <c r="I538" t="n">
        <v>0</v>
      </c>
      <c r="J538" t="n">
        <v>0</v>
      </c>
      <c r="K538" t="n">
        <v>0</v>
      </c>
      <c r="L538" t="n">
        <v>0</v>
      </c>
      <c r="M538" t="n">
        <v>0</v>
      </c>
      <c r="N538" t="n">
        <v>0</v>
      </c>
      <c r="O538" t="n">
        <v>0</v>
      </c>
      <c r="P538" t="n">
        <v>0</v>
      </c>
      <c r="Q538" t="n">
        <v>0</v>
      </c>
      <c r="R538" s="2" t="inlineStr"/>
    </row>
    <row r="539" ht="15" customHeight="1">
      <c r="A539" t="inlineStr">
        <is>
          <t>A 24469-2023</t>
        </is>
      </c>
      <c r="B539" s="1" t="n">
        <v>45082</v>
      </c>
      <c r="C539" s="1" t="n">
        <v>45510</v>
      </c>
      <c r="D539" t="inlineStr">
        <is>
          <t>DALARNAS LÄN</t>
        </is>
      </c>
      <c r="E539" t="inlineStr">
        <is>
          <t>LUDVIKA</t>
        </is>
      </c>
      <c r="F539" t="inlineStr">
        <is>
          <t>Naturvårdsverket</t>
        </is>
      </c>
      <c r="G539" t="n">
        <v>4</v>
      </c>
      <c r="H539" t="n">
        <v>0</v>
      </c>
      <c r="I539" t="n">
        <v>0</v>
      </c>
      <c r="J539" t="n">
        <v>0</v>
      </c>
      <c r="K539" t="n">
        <v>0</v>
      </c>
      <c r="L539" t="n">
        <v>0</v>
      </c>
      <c r="M539" t="n">
        <v>0</v>
      </c>
      <c r="N539" t="n">
        <v>0</v>
      </c>
      <c r="O539" t="n">
        <v>0</v>
      </c>
      <c r="P539" t="n">
        <v>0</v>
      </c>
      <c r="Q539" t="n">
        <v>0</v>
      </c>
      <c r="R539" s="2" t="inlineStr"/>
    </row>
    <row r="540" ht="15" customHeight="1">
      <c r="A540" t="inlineStr">
        <is>
          <t>A 24612-2023</t>
        </is>
      </c>
      <c r="B540" s="1" t="n">
        <v>45084</v>
      </c>
      <c r="C540" s="1" t="n">
        <v>45510</v>
      </c>
      <c r="D540" t="inlineStr">
        <is>
          <t>DALARNAS LÄN</t>
        </is>
      </c>
      <c r="E540" t="inlineStr">
        <is>
          <t>LUDVIKA</t>
        </is>
      </c>
      <c r="F540" t="inlineStr">
        <is>
          <t>Bergvik skog väst AB</t>
        </is>
      </c>
      <c r="G540" t="n">
        <v>11.7</v>
      </c>
      <c r="H540" t="n">
        <v>0</v>
      </c>
      <c r="I540" t="n">
        <v>0</v>
      </c>
      <c r="J540" t="n">
        <v>0</v>
      </c>
      <c r="K540" t="n">
        <v>0</v>
      </c>
      <c r="L540" t="n">
        <v>0</v>
      </c>
      <c r="M540" t="n">
        <v>0</v>
      </c>
      <c r="N540" t="n">
        <v>0</v>
      </c>
      <c r="O540" t="n">
        <v>0</v>
      </c>
      <c r="P540" t="n">
        <v>0</v>
      </c>
      <c r="Q540" t="n">
        <v>0</v>
      </c>
      <c r="R540" s="2" t="inlineStr"/>
    </row>
    <row r="541" ht="15" customHeight="1">
      <c r="A541" t="inlineStr">
        <is>
          <t>A 25077-2023</t>
        </is>
      </c>
      <c r="B541" s="1" t="n">
        <v>45086</v>
      </c>
      <c r="C541" s="1" t="n">
        <v>45510</v>
      </c>
      <c r="D541" t="inlineStr">
        <is>
          <t>DALARNAS LÄN</t>
        </is>
      </c>
      <c r="E541" t="inlineStr">
        <is>
          <t>LUDVIKA</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25099-2023</t>
        </is>
      </c>
      <c r="B542" s="1" t="n">
        <v>45086</v>
      </c>
      <c r="C542" s="1" t="n">
        <v>45510</v>
      </c>
      <c r="D542" t="inlineStr">
        <is>
          <t>DALARNAS LÄN</t>
        </is>
      </c>
      <c r="E542" t="inlineStr">
        <is>
          <t>LUDVIKA</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25624-2023</t>
        </is>
      </c>
      <c r="B543" s="1" t="n">
        <v>45089</v>
      </c>
      <c r="C543" s="1" t="n">
        <v>45510</v>
      </c>
      <c r="D543" t="inlineStr">
        <is>
          <t>DALARNAS LÄN</t>
        </is>
      </c>
      <c r="E543" t="inlineStr">
        <is>
          <t>LUDVIKA</t>
        </is>
      </c>
      <c r="F543" t="inlineStr">
        <is>
          <t>Bergvik skog väst AB</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26147-2023</t>
        </is>
      </c>
      <c r="B544" s="1" t="n">
        <v>45091</v>
      </c>
      <c r="C544" s="1" t="n">
        <v>45510</v>
      </c>
      <c r="D544" t="inlineStr">
        <is>
          <t>DALARNAS LÄN</t>
        </is>
      </c>
      <c r="E544" t="inlineStr">
        <is>
          <t>LUDVIKA</t>
        </is>
      </c>
      <c r="F544" t="inlineStr">
        <is>
          <t>Naturvårdsverket</t>
        </is>
      </c>
      <c r="G544" t="n">
        <v>4.1</v>
      </c>
      <c r="H544" t="n">
        <v>0</v>
      </c>
      <c r="I544" t="n">
        <v>0</v>
      </c>
      <c r="J544" t="n">
        <v>0</v>
      </c>
      <c r="K544" t="n">
        <v>0</v>
      </c>
      <c r="L544" t="n">
        <v>0</v>
      </c>
      <c r="M544" t="n">
        <v>0</v>
      </c>
      <c r="N544" t="n">
        <v>0</v>
      </c>
      <c r="O544" t="n">
        <v>0</v>
      </c>
      <c r="P544" t="n">
        <v>0</v>
      </c>
      <c r="Q544" t="n">
        <v>0</v>
      </c>
      <c r="R544" s="2" t="inlineStr"/>
    </row>
    <row r="545" ht="15" customHeight="1">
      <c r="A545" t="inlineStr">
        <is>
          <t>A 26766-2023</t>
        </is>
      </c>
      <c r="B545" s="1" t="n">
        <v>45093</v>
      </c>
      <c r="C545" s="1" t="n">
        <v>45510</v>
      </c>
      <c r="D545" t="inlineStr">
        <is>
          <t>DALARNAS LÄN</t>
        </is>
      </c>
      <c r="E545" t="inlineStr">
        <is>
          <t>LUDVIKA</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26884-2023</t>
        </is>
      </c>
      <c r="B546" s="1" t="n">
        <v>45093</v>
      </c>
      <c r="C546" s="1" t="n">
        <v>45510</v>
      </c>
      <c r="D546" t="inlineStr">
        <is>
          <t>DALARNAS LÄN</t>
        </is>
      </c>
      <c r="E546" t="inlineStr">
        <is>
          <t>LUDVIKA</t>
        </is>
      </c>
      <c r="F546" t="inlineStr">
        <is>
          <t>Naturvårdsverket</t>
        </is>
      </c>
      <c r="G546" t="n">
        <v>3.5</v>
      </c>
      <c r="H546" t="n">
        <v>0</v>
      </c>
      <c r="I546" t="n">
        <v>0</v>
      </c>
      <c r="J546" t="n">
        <v>0</v>
      </c>
      <c r="K546" t="n">
        <v>0</v>
      </c>
      <c r="L546" t="n">
        <v>0</v>
      </c>
      <c r="M546" t="n">
        <v>0</v>
      </c>
      <c r="N546" t="n">
        <v>0</v>
      </c>
      <c r="O546" t="n">
        <v>0</v>
      </c>
      <c r="P546" t="n">
        <v>0</v>
      </c>
      <c r="Q546" t="n">
        <v>0</v>
      </c>
      <c r="R546" s="2" t="inlineStr"/>
    </row>
    <row r="547" ht="15" customHeight="1">
      <c r="A547" t="inlineStr">
        <is>
          <t>A 26789-2023</t>
        </is>
      </c>
      <c r="B547" s="1" t="n">
        <v>45093</v>
      </c>
      <c r="C547" s="1" t="n">
        <v>45510</v>
      </c>
      <c r="D547" t="inlineStr">
        <is>
          <t>DALARNAS LÄN</t>
        </is>
      </c>
      <c r="E547" t="inlineStr">
        <is>
          <t>LUDVIKA</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27870-2023</t>
        </is>
      </c>
      <c r="B548" s="1" t="n">
        <v>45098</v>
      </c>
      <c r="C548" s="1" t="n">
        <v>45510</v>
      </c>
      <c r="D548" t="inlineStr">
        <is>
          <t>DALARNAS LÄN</t>
        </is>
      </c>
      <c r="E548" t="inlineStr">
        <is>
          <t>LUDVIKA</t>
        </is>
      </c>
      <c r="F548" t="inlineStr">
        <is>
          <t>Bergvik skog väst AB</t>
        </is>
      </c>
      <c r="G548" t="n">
        <v>24.7</v>
      </c>
      <c r="H548" t="n">
        <v>0</v>
      </c>
      <c r="I548" t="n">
        <v>0</v>
      </c>
      <c r="J548" t="n">
        <v>0</v>
      </c>
      <c r="K548" t="n">
        <v>0</v>
      </c>
      <c r="L548" t="n">
        <v>0</v>
      </c>
      <c r="M548" t="n">
        <v>0</v>
      </c>
      <c r="N548" t="n">
        <v>0</v>
      </c>
      <c r="O548" t="n">
        <v>0</v>
      </c>
      <c r="P548" t="n">
        <v>0</v>
      </c>
      <c r="Q548" t="n">
        <v>0</v>
      </c>
      <c r="R548" s="2" t="inlineStr"/>
    </row>
    <row r="549" ht="15" customHeight="1">
      <c r="A549" t="inlineStr">
        <is>
          <t>A 27917-2023</t>
        </is>
      </c>
      <c r="B549" s="1" t="n">
        <v>45098</v>
      </c>
      <c r="C549" s="1" t="n">
        <v>45510</v>
      </c>
      <c r="D549" t="inlineStr">
        <is>
          <t>DALARNAS LÄN</t>
        </is>
      </c>
      <c r="E549" t="inlineStr">
        <is>
          <t>LUDVIKA</t>
        </is>
      </c>
      <c r="F549" t="inlineStr">
        <is>
          <t>Bergvik skog väst AB</t>
        </is>
      </c>
      <c r="G549" t="n">
        <v>10.4</v>
      </c>
      <c r="H549" t="n">
        <v>0</v>
      </c>
      <c r="I549" t="n">
        <v>0</v>
      </c>
      <c r="J549" t="n">
        <v>0</v>
      </c>
      <c r="K549" t="n">
        <v>0</v>
      </c>
      <c r="L549" t="n">
        <v>0</v>
      </c>
      <c r="M549" t="n">
        <v>0</v>
      </c>
      <c r="N549" t="n">
        <v>0</v>
      </c>
      <c r="O549" t="n">
        <v>0</v>
      </c>
      <c r="P549" t="n">
        <v>0</v>
      </c>
      <c r="Q549" t="n">
        <v>0</v>
      </c>
      <c r="R549" s="2" t="inlineStr"/>
    </row>
    <row r="550" ht="15" customHeight="1">
      <c r="A550" t="inlineStr">
        <is>
          <t>A 27954-2023</t>
        </is>
      </c>
      <c r="B550" s="1" t="n">
        <v>45098</v>
      </c>
      <c r="C550" s="1" t="n">
        <v>45510</v>
      </c>
      <c r="D550" t="inlineStr">
        <is>
          <t>DALARNAS LÄN</t>
        </is>
      </c>
      <c r="E550" t="inlineStr">
        <is>
          <t>LUDVIKA</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27929-2023</t>
        </is>
      </c>
      <c r="B551" s="1" t="n">
        <v>45098</v>
      </c>
      <c r="C551" s="1" t="n">
        <v>45510</v>
      </c>
      <c r="D551" t="inlineStr">
        <is>
          <t>DALARNAS LÄN</t>
        </is>
      </c>
      <c r="E551" t="inlineStr">
        <is>
          <t>LUDVIKA</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28144-2023</t>
        </is>
      </c>
      <c r="B552" s="1" t="n">
        <v>45099</v>
      </c>
      <c r="C552" s="1" t="n">
        <v>45510</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28134-2023</t>
        </is>
      </c>
      <c r="B553" s="1" t="n">
        <v>45099</v>
      </c>
      <c r="C553" s="1" t="n">
        <v>45510</v>
      </c>
      <c r="D553" t="inlineStr">
        <is>
          <t>DALARNAS LÄN</t>
        </is>
      </c>
      <c r="E553" t="inlineStr">
        <is>
          <t>LUDVIKA</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28125-2023</t>
        </is>
      </c>
      <c r="B554" s="1" t="n">
        <v>45099</v>
      </c>
      <c r="C554" s="1" t="n">
        <v>45510</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28138-2023</t>
        </is>
      </c>
      <c r="B555" s="1" t="n">
        <v>45099</v>
      </c>
      <c r="C555" s="1" t="n">
        <v>45510</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28157-2023</t>
        </is>
      </c>
      <c r="B556" s="1" t="n">
        <v>45099</v>
      </c>
      <c r="C556" s="1" t="n">
        <v>45510</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28141-2023</t>
        </is>
      </c>
      <c r="B557" s="1" t="n">
        <v>45099</v>
      </c>
      <c r="C557" s="1" t="n">
        <v>45510</v>
      </c>
      <c r="D557" t="inlineStr">
        <is>
          <t>DALARNAS LÄN</t>
        </is>
      </c>
      <c r="E557" t="inlineStr">
        <is>
          <t>LUDVIKA</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28150-2023</t>
        </is>
      </c>
      <c r="B558" s="1" t="n">
        <v>45099</v>
      </c>
      <c r="C558" s="1" t="n">
        <v>45510</v>
      </c>
      <c r="D558" t="inlineStr">
        <is>
          <t>DALARNAS LÄN</t>
        </is>
      </c>
      <c r="E558" t="inlineStr">
        <is>
          <t>LUDVIKA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28507-2023</t>
        </is>
      </c>
      <c r="B559" s="1" t="n">
        <v>45103</v>
      </c>
      <c r="C559" s="1" t="n">
        <v>45510</v>
      </c>
      <c r="D559" t="inlineStr">
        <is>
          <t>DALARNAS LÄN</t>
        </is>
      </c>
      <c r="E559" t="inlineStr">
        <is>
          <t>LUDVIKA</t>
        </is>
      </c>
      <c r="G559" t="n">
        <v>2.4</v>
      </c>
      <c r="H559" t="n">
        <v>0</v>
      </c>
      <c r="I559" t="n">
        <v>0</v>
      </c>
      <c r="J559" t="n">
        <v>0</v>
      </c>
      <c r="K559" t="n">
        <v>0</v>
      </c>
      <c r="L559" t="n">
        <v>0</v>
      </c>
      <c r="M559" t="n">
        <v>0</v>
      </c>
      <c r="N559" t="n">
        <v>0</v>
      </c>
      <c r="O559" t="n">
        <v>0</v>
      </c>
      <c r="P559" t="n">
        <v>0</v>
      </c>
      <c r="Q559" t="n">
        <v>0</v>
      </c>
      <c r="R559" s="2" t="inlineStr"/>
    </row>
    <row r="560" ht="15" customHeight="1">
      <c r="A560" t="inlineStr">
        <is>
          <t>A 29242-2023</t>
        </is>
      </c>
      <c r="B560" s="1" t="n">
        <v>45105</v>
      </c>
      <c r="C560" s="1" t="n">
        <v>45510</v>
      </c>
      <c r="D560" t="inlineStr">
        <is>
          <t>DALARNAS LÄN</t>
        </is>
      </c>
      <c r="E560" t="inlineStr">
        <is>
          <t>LUDVIKA</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31702-2023</t>
        </is>
      </c>
      <c r="B561" s="1" t="n">
        <v>45105</v>
      </c>
      <c r="C561" s="1" t="n">
        <v>45510</v>
      </c>
      <c r="D561" t="inlineStr">
        <is>
          <t>DALARNAS LÄN</t>
        </is>
      </c>
      <c r="E561" t="inlineStr">
        <is>
          <t>LUDVIKA</t>
        </is>
      </c>
      <c r="G561" t="n">
        <v>2.3</v>
      </c>
      <c r="H561" t="n">
        <v>0</v>
      </c>
      <c r="I561" t="n">
        <v>0</v>
      </c>
      <c r="J561" t="n">
        <v>0</v>
      </c>
      <c r="K561" t="n">
        <v>0</v>
      </c>
      <c r="L561" t="n">
        <v>0</v>
      </c>
      <c r="M561" t="n">
        <v>0</v>
      </c>
      <c r="N561" t="n">
        <v>0</v>
      </c>
      <c r="O561" t="n">
        <v>0</v>
      </c>
      <c r="P561" t="n">
        <v>0</v>
      </c>
      <c r="Q561" t="n">
        <v>0</v>
      </c>
      <c r="R561" s="2" t="inlineStr"/>
    </row>
    <row r="562" ht="15" customHeight="1">
      <c r="A562" t="inlineStr">
        <is>
          <t>A 29535-2023</t>
        </is>
      </c>
      <c r="B562" s="1" t="n">
        <v>45106</v>
      </c>
      <c r="C562" s="1" t="n">
        <v>45510</v>
      </c>
      <c r="D562" t="inlineStr">
        <is>
          <t>DALARNAS LÄN</t>
        </is>
      </c>
      <c r="E562" t="inlineStr">
        <is>
          <t>LUDVIKA</t>
        </is>
      </c>
      <c r="G562" t="n">
        <v>2.8</v>
      </c>
      <c r="H562" t="n">
        <v>0</v>
      </c>
      <c r="I562" t="n">
        <v>0</v>
      </c>
      <c r="J562" t="n">
        <v>0</v>
      </c>
      <c r="K562" t="n">
        <v>0</v>
      </c>
      <c r="L562" t="n">
        <v>0</v>
      </c>
      <c r="M562" t="n">
        <v>0</v>
      </c>
      <c r="N562" t="n">
        <v>0</v>
      </c>
      <c r="O562" t="n">
        <v>0</v>
      </c>
      <c r="P562" t="n">
        <v>0</v>
      </c>
      <c r="Q562" t="n">
        <v>0</v>
      </c>
      <c r="R562" s="2" t="inlineStr"/>
    </row>
    <row r="563" ht="15" customHeight="1">
      <c r="A563" t="inlineStr">
        <is>
          <t>A 29666-2023</t>
        </is>
      </c>
      <c r="B563" s="1" t="n">
        <v>45107</v>
      </c>
      <c r="C563" s="1" t="n">
        <v>45510</v>
      </c>
      <c r="D563" t="inlineStr">
        <is>
          <t>DALARNAS LÄN</t>
        </is>
      </c>
      <c r="E563" t="inlineStr">
        <is>
          <t>LUDVIKA</t>
        </is>
      </c>
      <c r="F563" t="inlineStr">
        <is>
          <t>Bergvik skog väst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29698-2023</t>
        </is>
      </c>
      <c r="B564" s="1" t="n">
        <v>45107</v>
      </c>
      <c r="C564" s="1" t="n">
        <v>45510</v>
      </c>
      <c r="D564" t="inlineStr">
        <is>
          <t>DALARNAS LÄN</t>
        </is>
      </c>
      <c r="E564" t="inlineStr">
        <is>
          <t>LUDVIKA</t>
        </is>
      </c>
      <c r="G564" t="n">
        <v>2.7</v>
      </c>
      <c r="H564" t="n">
        <v>0</v>
      </c>
      <c r="I564" t="n">
        <v>0</v>
      </c>
      <c r="J564" t="n">
        <v>0</v>
      </c>
      <c r="K564" t="n">
        <v>0</v>
      </c>
      <c r="L564" t="n">
        <v>0</v>
      </c>
      <c r="M564" t="n">
        <v>0</v>
      </c>
      <c r="N564" t="n">
        <v>0</v>
      </c>
      <c r="O564" t="n">
        <v>0</v>
      </c>
      <c r="P564" t="n">
        <v>0</v>
      </c>
      <c r="Q564" t="n">
        <v>0</v>
      </c>
      <c r="R564" s="2" t="inlineStr"/>
    </row>
    <row r="565" ht="15" customHeight="1">
      <c r="A565" t="inlineStr">
        <is>
          <t>A 30113-2023</t>
        </is>
      </c>
      <c r="B565" s="1" t="n">
        <v>45110</v>
      </c>
      <c r="C565" s="1" t="n">
        <v>45510</v>
      </c>
      <c r="D565" t="inlineStr">
        <is>
          <t>DALARNAS LÄN</t>
        </is>
      </c>
      <c r="E565" t="inlineStr">
        <is>
          <t>LUDVIKA</t>
        </is>
      </c>
      <c r="G565" t="n">
        <v>3.3</v>
      </c>
      <c r="H565" t="n">
        <v>0</v>
      </c>
      <c r="I565" t="n">
        <v>0</v>
      </c>
      <c r="J565" t="n">
        <v>0</v>
      </c>
      <c r="K565" t="n">
        <v>0</v>
      </c>
      <c r="L565" t="n">
        <v>0</v>
      </c>
      <c r="M565" t="n">
        <v>0</v>
      </c>
      <c r="N565" t="n">
        <v>0</v>
      </c>
      <c r="O565" t="n">
        <v>0</v>
      </c>
      <c r="P565" t="n">
        <v>0</v>
      </c>
      <c r="Q565" t="n">
        <v>0</v>
      </c>
      <c r="R565" s="2" t="inlineStr"/>
    </row>
    <row r="566" ht="15" customHeight="1">
      <c r="A566" t="inlineStr">
        <is>
          <t>A 30123-2023</t>
        </is>
      </c>
      <c r="B566" s="1" t="n">
        <v>45110</v>
      </c>
      <c r="C566" s="1" t="n">
        <v>45510</v>
      </c>
      <c r="D566" t="inlineStr">
        <is>
          <t>DALARNAS LÄN</t>
        </is>
      </c>
      <c r="E566" t="inlineStr">
        <is>
          <t>LUDVIKA</t>
        </is>
      </c>
      <c r="G566" t="n">
        <v>1.9</v>
      </c>
      <c r="H566" t="n">
        <v>0</v>
      </c>
      <c r="I566" t="n">
        <v>0</v>
      </c>
      <c r="J566" t="n">
        <v>0</v>
      </c>
      <c r="K566" t="n">
        <v>0</v>
      </c>
      <c r="L566" t="n">
        <v>0</v>
      </c>
      <c r="M566" t="n">
        <v>0</v>
      </c>
      <c r="N566" t="n">
        <v>0</v>
      </c>
      <c r="O566" t="n">
        <v>0</v>
      </c>
      <c r="P566" t="n">
        <v>0</v>
      </c>
      <c r="Q566" t="n">
        <v>0</v>
      </c>
      <c r="R566" s="2" t="inlineStr"/>
    </row>
    <row r="567" ht="15" customHeight="1">
      <c r="A567" t="inlineStr">
        <is>
          <t>A 30127-2023</t>
        </is>
      </c>
      <c r="B567" s="1" t="n">
        <v>45110</v>
      </c>
      <c r="C567" s="1" t="n">
        <v>45510</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30581-2023</t>
        </is>
      </c>
      <c r="B568" s="1" t="n">
        <v>45112</v>
      </c>
      <c r="C568" s="1" t="n">
        <v>45510</v>
      </c>
      <c r="D568" t="inlineStr">
        <is>
          <t>DALARNAS LÄN</t>
        </is>
      </c>
      <c r="E568" t="inlineStr">
        <is>
          <t>LUDVIKA</t>
        </is>
      </c>
      <c r="F568" t="inlineStr">
        <is>
          <t>Bergvik skog väst AB</t>
        </is>
      </c>
      <c r="G568" t="n">
        <v>14.4</v>
      </c>
      <c r="H568" t="n">
        <v>0</v>
      </c>
      <c r="I568" t="n">
        <v>0</v>
      </c>
      <c r="J568" t="n">
        <v>0</v>
      </c>
      <c r="K568" t="n">
        <v>0</v>
      </c>
      <c r="L568" t="n">
        <v>0</v>
      </c>
      <c r="M568" t="n">
        <v>0</v>
      </c>
      <c r="N568" t="n">
        <v>0</v>
      </c>
      <c r="O568" t="n">
        <v>0</v>
      </c>
      <c r="P568" t="n">
        <v>0</v>
      </c>
      <c r="Q568" t="n">
        <v>0</v>
      </c>
      <c r="R568" s="2" t="inlineStr"/>
    </row>
    <row r="569" ht="15" customHeight="1">
      <c r="A569" t="inlineStr">
        <is>
          <t>A 32852-2023</t>
        </is>
      </c>
      <c r="B569" s="1" t="n">
        <v>45112</v>
      </c>
      <c r="C569" s="1" t="n">
        <v>45510</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32854-2023</t>
        </is>
      </c>
      <c r="B570" s="1" t="n">
        <v>45112</v>
      </c>
      <c r="C570" s="1" t="n">
        <v>45510</v>
      </c>
      <c r="D570" t="inlineStr">
        <is>
          <t>DALARNAS LÄN</t>
        </is>
      </c>
      <c r="E570" t="inlineStr">
        <is>
          <t>LUDVIKA</t>
        </is>
      </c>
      <c r="F570" t="inlineStr">
        <is>
          <t>Kommuner</t>
        </is>
      </c>
      <c r="G570" t="n">
        <v>2</v>
      </c>
      <c r="H570" t="n">
        <v>0</v>
      </c>
      <c r="I570" t="n">
        <v>0</v>
      </c>
      <c r="J570" t="n">
        <v>0</v>
      </c>
      <c r="K570" t="n">
        <v>0</v>
      </c>
      <c r="L570" t="n">
        <v>0</v>
      </c>
      <c r="M570" t="n">
        <v>0</v>
      </c>
      <c r="N570" t="n">
        <v>0</v>
      </c>
      <c r="O570" t="n">
        <v>0</v>
      </c>
      <c r="P570" t="n">
        <v>0</v>
      </c>
      <c r="Q570" t="n">
        <v>0</v>
      </c>
      <c r="R570" s="2" t="inlineStr"/>
    </row>
    <row r="571" ht="15" customHeight="1">
      <c r="A571" t="inlineStr">
        <is>
          <t>A 30892-2023</t>
        </is>
      </c>
      <c r="B571" s="1" t="n">
        <v>45113</v>
      </c>
      <c r="C571" s="1" t="n">
        <v>45510</v>
      </c>
      <c r="D571" t="inlineStr">
        <is>
          <t>DALARNAS LÄN</t>
        </is>
      </c>
      <c r="E571" t="inlineStr">
        <is>
          <t>LUDVIKA</t>
        </is>
      </c>
      <c r="F571" t="inlineStr">
        <is>
          <t>Bergvik skog väst AB</t>
        </is>
      </c>
      <c r="G571" t="n">
        <v>3.3</v>
      </c>
      <c r="H571" t="n">
        <v>0</v>
      </c>
      <c r="I571" t="n">
        <v>0</v>
      </c>
      <c r="J571" t="n">
        <v>0</v>
      </c>
      <c r="K571" t="n">
        <v>0</v>
      </c>
      <c r="L571" t="n">
        <v>0</v>
      </c>
      <c r="M571" t="n">
        <v>0</v>
      </c>
      <c r="N571" t="n">
        <v>0</v>
      </c>
      <c r="O571" t="n">
        <v>0</v>
      </c>
      <c r="P571" t="n">
        <v>0</v>
      </c>
      <c r="Q571" t="n">
        <v>0</v>
      </c>
      <c r="R571" s="2" t="inlineStr"/>
    </row>
    <row r="572" ht="15" customHeight="1">
      <c r="A572" t="inlineStr">
        <is>
          <t>A 32995-2023</t>
        </is>
      </c>
      <c r="B572" s="1" t="n">
        <v>45113</v>
      </c>
      <c r="C572" s="1" t="n">
        <v>45510</v>
      </c>
      <c r="D572" t="inlineStr">
        <is>
          <t>DALARNAS LÄN</t>
        </is>
      </c>
      <c r="E572" t="inlineStr">
        <is>
          <t>LUDVIKA</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31353-2023</t>
        </is>
      </c>
      <c r="B573" s="1" t="n">
        <v>45114</v>
      </c>
      <c r="C573" s="1" t="n">
        <v>45510</v>
      </c>
      <c r="D573" t="inlineStr">
        <is>
          <t>DALARNAS LÄN</t>
        </is>
      </c>
      <c r="E573" t="inlineStr">
        <is>
          <t>LUDVIKA</t>
        </is>
      </c>
      <c r="F573" t="inlineStr">
        <is>
          <t>Naturvårdsverket</t>
        </is>
      </c>
      <c r="G573" t="n">
        <v>2.5</v>
      </c>
      <c r="H573" t="n">
        <v>0</v>
      </c>
      <c r="I573" t="n">
        <v>0</v>
      </c>
      <c r="J573" t="n">
        <v>0</v>
      </c>
      <c r="K573" t="n">
        <v>0</v>
      </c>
      <c r="L573" t="n">
        <v>0</v>
      </c>
      <c r="M573" t="n">
        <v>0</v>
      </c>
      <c r="N573" t="n">
        <v>0</v>
      </c>
      <c r="O573" t="n">
        <v>0</v>
      </c>
      <c r="P573" t="n">
        <v>0</v>
      </c>
      <c r="Q573" t="n">
        <v>0</v>
      </c>
      <c r="R573" s="2" t="inlineStr"/>
    </row>
    <row r="574" ht="15" customHeight="1">
      <c r="A574" t="inlineStr">
        <is>
          <t>A 31478-2023</t>
        </is>
      </c>
      <c r="B574" s="1" t="n">
        <v>45114</v>
      </c>
      <c r="C574" s="1" t="n">
        <v>45510</v>
      </c>
      <c r="D574" t="inlineStr">
        <is>
          <t>DALARNAS LÄN</t>
        </is>
      </c>
      <c r="E574" t="inlineStr">
        <is>
          <t>LUDVIKA</t>
        </is>
      </c>
      <c r="G574" t="n">
        <v>6.2</v>
      </c>
      <c r="H574" t="n">
        <v>0</v>
      </c>
      <c r="I574" t="n">
        <v>0</v>
      </c>
      <c r="J574" t="n">
        <v>0</v>
      </c>
      <c r="K574" t="n">
        <v>0</v>
      </c>
      <c r="L574" t="n">
        <v>0</v>
      </c>
      <c r="M574" t="n">
        <v>0</v>
      </c>
      <c r="N574" t="n">
        <v>0</v>
      </c>
      <c r="O574" t="n">
        <v>0</v>
      </c>
      <c r="P574" t="n">
        <v>0</v>
      </c>
      <c r="Q574" t="n">
        <v>0</v>
      </c>
      <c r="R574" s="2" t="inlineStr"/>
    </row>
    <row r="575" ht="15" customHeight="1">
      <c r="A575" t="inlineStr">
        <is>
          <t>A 31341-2023</t>
        </is>
      </c>
      <c r="B575" s="1" t="n">
        <v>45114</v>
      </c>
      <c r="C575" s="1" t="n">
        <v>45510</v>
      </c>
      <c r="D575" t="inlineStr">
        <is>
          <t>DALARNAS LÄN</t>
        </is>
      </c>
      <c r="E575" t="inlineStr">
        <is>
          <t>LUDVIKA</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31477-2023</t>
        </is>
      </c>
      <c r="B576" s="1" t="n">
        <v>45114</v>
      </c>
      <c r="C576" s="1" t="n">
        <v>45510</v>
      </c>
      <c r="D576" t="inlineStr">
        <is>
          <t>DALARNAS LÄN</t>
        </is>
      </c>
      <c r="E576" t="inlineStr">
        <is>
          <t>LUDVIKA</t>
        </is>
      </c>
      <c r="G576" t="n">
        <v>3.4</v>
      </c>
      <c r="H576" t="n">
        <v>0</v>
      </c>
      <c r="I576" t="n">
        <v>0</v>
      </c>
      <c r="J576" t="n">
        <v>0</v>
      </c>
      <c r="K576" t="n">
        <v>0</v>
      </c>
      <c r="L576" t="n">
        <v>0</v>
      </c>
      <c r="M576" t="n">
        <v>0</v>
      </c>
      <c r="N576" t="n">
        <v>0</v>
      </c>
      <c r="O576" t="n">
        <v>0</v>
      </c>
      <c r="P576" t="n">
        <v>0</v>
      </c>
      <c r="Q576" t="n">
        <v>0</v>
      </c>
      <c r="R576" s="2" t="inlineStr"/>
    </row>
    <row r="577" ht="15" customHeight="1">
      <c r="A577" t="inlineStr">
        <is>
          <t>A 31625-2023</t>
        </is>
      </c>
      <c r="B577" s="1" t="n">
        <v>45117</v>
      </c>
      <c r="C577" s="1" t="n">
        <v>45510</v>
      </c>
      <c r="D577" t="inlineStr">
        <is>
          <t>DALARNAS LÄN</t>
        </is>
      </c>
      <c r="E577" t="inlineStr">
        <is>
          <t>LUDVIKA</t>
        </is>
      </c>
      <c r="G577" t="n">
        <v>4.1</v>
      </c>
      <c r="H577" t="n">
        <v>0</v>
      </c>
      <c r="I577" t="n">
        <v>0</v>
      </c>
      <c r="J577" t="n">
        <v>0</v>
      </c>
      <c r="K577" t="n">
        <v>0</v>
      </c>
      <c r="L577" t="n">
        <v>0</v>
      </c>
      <c r="M577" t="n">
        <v>0</v>
      </c>
      <c r="N577" t="n">
        <v>0</v>
      </c>
      <c r="O577" t="n">
        <v>0</v>
      </c>
      <c r="P577" t="n">
        <v>0</v>
      </c>
      <c r="Q577" t="n">
        <v>0</v>
      </c>
      <c r="R577" s="2" t="inlineStr"/>
    </row>
    <row r="578" ht="15" customHeight="1">
      <c r="A578" t="inlineStr">
        <is>
          <t>A 33535-2023</t>
        </is>
      </c>
      <c r="B578" s="1" t="n">
        <v>45118</v>
      </c>
      <c r="C578" s="1" t="n">
        <v>45510</v>
      </c>
      <c r="D578" t="inlineStr">
        <is>
          <t>DALARNAS LÄN</t>
        </is>
      </c>
      <c r="E578" t="inlineStr">
        <is>
          <t>LUDVIKA</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32119-2023</t>
        </is>
      </c>
      <c r="B579" s="1" t="n">
        <v>45119</v>
      </c>
      <c r="C579" s="1" t="n">
        <v>45510</v>
      </c>
      <c r="D579" t="inlineStr">
        <is>
          <t>DALARNAS LÄN</t>
        </is>
      </c>
      <c r="E579" t="inlineStr">
        <is>
          <t>LUDVIKA</t>
        </is>
      </c>
      <c r="F579" t="inlineStr">
        <is>
          <t>Naturvårdsverket</t>
        </is>
      </c>
      <c r="G579" t="n">
        <v>1</v>
      </c>
      <c r="H579" t="n">
        <v>0</v>
      </c>
      <c r="I579" t="n">
        <v>0</v>
      </c>
      <c r="J579" t="n">
        <v>0</v>
      </c>
      <c r="K579" t="n">
        <v>0</v>
      </c>
      <c r="L579" t="n">
        <v>0</v>
      </c>
      <c r="M579" t="n">
        <v>0</v>
      </c>
      <c r="N579" t="n">
        <v>0</v>
      </c>
      <c r="O579" t="n">
        <v>0</v>
      </c>
      <c r="P579" t="n">
        <v>0</v>
      </c>
      <c r="Q579" t="n">
        <v>0</v>
      </c>
      <c r="R579" s="2" t="inlineStr"/>
    </row>
    <row r="580" ht="15" customHeight="1">
      <c r="A580" t="inlineStr">
        <is>
          <t>A 32091-2023</t>
        </is>
      </c>
      <c r="B580" s="1" t="n">
        <v>45119</v>
      </c>
      <c r="C580" s="1" t="n">
        <v>45510</v>
      </c>
      <c r="D580" t="inlineStr">
        <is>
          <t>DALARNAS LÄN</t>
        </is>
      </c>
      <c r="E580" t="inlineStr">
        <is>
          <t>LUDVIKA</t>
        </is>
      </c>
      <c r="F580" t="inlineStr">
        <is>
          <t>Bergvik skog väst AB</t>
        </is>
      </c>
      <c r="G580" t="n">
        <v>7.3</v>
      </c>
      <c r="H580" t="n">
        <v>0</v>
      </c>
      <c r="I580" t="n">
        <v>0</v>
      </c>
      <c r="J580" t="n">
        <v>0</v>
      </c>
      <c r="K580" t="n">
        <v>0</v>
      </c>
      <c r="L580" t="n">
        <v>0</v>
      </c>
      <c r="M580" t="n">
        <v>0</v>
      </c>
      <c r="N580" t="n">
        <v>0</v>
      </c>
      <c r="O580" t="n">
        <v>0</v>
      </c>
      <c r="P580" t="n">
        <v>0</v>
      </c>
      <c r="Q580" t="n">
        <v>0</v>
      </c>
      <c r="R580" s="2" t="inlineStr"/>
    </row>
    <row r="581" ht="15" customHeight="1">
      <c r="A581" t="inlineStr">
        <is>
          <t>A 32124-2023</t>
        </is>
      </c>
      <c r="B581" s="1" t="n">
        <v>45119</v>
      </c>
      <c r="C581" s="1" t="n">
        <v>45510</v>
      </c>
      <c r="D581" t="inlineStr">
        <is>
          <t>DALARNAS LÄN</t>
        </is>
      </c>
      <c r="E581" t="inlineStr">
        <is>
          <t>LUDVIKA</t>
        </is>
      </c>
      <c r="F581" t="inlineStr">
        <is>
          <t>Naturvårdsverket</t>
        </is>
      </c>
      <c r="G581" t="n">
        <v>1.5</v>
      </c>
      <c r="H581" t="n">
        <v>0</v>
      </c>
      <c r="I581" t="n">
        <v>0</v>
      </c>
      <c r="J581" t="n">
        <v>0</v>
      </c>
      <c r="K581" t="n">
        <v>0</v>
      </c>
      <c r="L581" t="n">
        <v>0</v>
      </c>
      <c r="M581" t="n">
        <v>0</v>
      </c>
      <c r="N581" t="n">
        <v>0</v>
      </c>
      <c r="O581" t="n">
        <v>0</v>
      </c>
      <c r="P581" t="n">
        <v>0</v>
      </c>
      <c r="Q581" t="n">
        <v>0</v>
      </c>
      <c r="R581" s="2" t="inlineStr"/>
    </row>
    <row r="582" ht="15" customHeight="1">
      <c r="A582" t="inlineStr">
        <is>
          <t>A 32526-2023</t>
        </is>
      </c>
      <c r="B582" s="1" t="n">
        <v>45121</v>
      </c>
      <c r="C582" s="1" t="n">
        <v>45510</v>
      </c>
      <c r="D582" t="inlineStr">
        <is>
          <t>DALARNAS LÄN</t>
        </is>
      </c>
      <c r="E582" t="inlineStr">
        <is>
          <t>LUDVIKA</t>
        </is>
      </c>
      <c r="F582" t="inlineStr">
        <is>
          <t>Bergvik skog väst AB</t>
        </is>
      </c>
      <c r="G582" t="n">
        <v>5.1</v>
      </c>
      <c r="H582" t="n">
        <v>0</v>
      </c>
      <c r="I582" t="n">
        <v>0</v>
      </c>
      <c r="J582" t="n">
        <v>0</v>
      </c>
      <c r="K582" t="n">
        <v>0</v>
      </c>
      <c r="L582" t="n">
        <v>0</v>
      </c>
      <c r="M582" t="n">
        <v>0</v>
      </c>
      <c r="N582" t="n">
        <v>0</v>
      </c>
      <c r="O582" t="n">
        <v>0</v>
      </c>
      <c r="P582" t="n">
        <v>0</v>
      </c>
      <c r="Q582" t="n">
        <v>0</v>
      </c>
      <c r="R582" s="2" t="inlineStr"/>
    </row>
    <row r="583" ht="15" customHeight="1">
      <c r="A583" t="inlineStr">
        <is>
          <t>A 32527-2023</t>
        </is>
      </c>
      <c r="B583" s="1" t="n">
        <v>45121</v>
      </c>
      <c r="C583" s="1" t="n">
        <v>45510</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32927-2023</t>
        </is>
      </c>
      <c r="B584" s="1" t="n">
        <v>45125</v>
      </c>
      <c r="C584" s="1" t="n">
        <v>45510</v>
      </c>
      <c r="D584" t="inlineStr">
        <is>
          <t>DALARNAS LÄN</t>
        </is>
      </c>
      <c r="E584" t="inlineStr">
        <is>
          <t>LUDVIKA</t>
        </is>
      </c>
      <c r="F584" t="inlineStr">
        <is>
          <t>Bergvik skog väst AB</t>
        </is>
      </c>
      <c r="G584" t="n">
        <v>1.9</v>
      </c>
      <c r="H584" t="n">
        <v>0</v>
      </c>
      <c r="I584" t="n">
        <v>0</v>
      </c>
      <c r="J584" t="n">
        <v>0</v>
      </c>
      <c r="K584" t="n">
        <v>0</v>
      </c>
      <c r="L584" t="n">
        <v>0</v>
      </c>
      <c r="M584" t="n">
        <v>0</v>
      </c>
      <c r="N584" t="n">
        <v>0</v>
      </c>
      <c r="O584" t="n">
        <v>0</v>
      </c>
      <c r="P584" t="n">
        <v>0</v>
      </c>
      <c r="Q584" t="n">
        <v>0</v>
      </c>
      <c r="R584" s="2" t="inlineStr"/>
    </row>
    <row r="585" ht="15" customHeight="1">
      <c r="A585" t="inlineStr">
        <is>
          <t>A 32930-2023</t>
        </is>
      </c>
      <c r="B585" s="1" t="n">
        <v>45125</v>
      </c>
      <c r="C585" s="1" t="n">
        <v>45510</v>
      </c>
      <c r="D585" t="inlineStr">
        <is>
          <t>DALARNAS LÄN</t>
        </is>
      </c>
      <c r="E585" t="inlineStr">
        <is>
          <t>LUDVIKA</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34041-2023</t>
        </is>
      </c>
      <c r="B586" s="1" t="n">
        <v>45125</v>
      </c>
      <c r="C586" s="1" t="n">
        <v>45510</v>
      </c>
      <c r="D586" t="inlineStr">
        <is>
          <t>DALARNAS LÄN</t>
        </is>
      </c>
      <c r="E586" t="inlineStr">
        <is>
          <t>LUDVIKA</t>
        </is>
      </c>
      <c r="G586" t="n">
        <v>4.2</v>
      </c>
      <c r="H586" t="n">
        <v>0</v>
      </c>
      <c r="I586" t="n">
        <v>0</v>
      </c>
      <c r="J586" t="n">
        <v>0</v>
      </c>
      <c r="K586" t="n">
        <v>0</v>
      </c>
      <c r="L586" t="n">
        <v>0</v>
      </c>
      <c r="M586" t="n">
        <v>0</v>
      </c>
      <c r="N586" t="n">
        <v>0</v>
      </c>
      <c r="O586" t="n">
        <v>0</v>
      </c>
      <c r="P586" t="n">
        <v>0</v>
      </c>
      <c r="Q586" t="n">
        <v>0</v>
      </c>
      <c r="R586" s="2" t="inlineStr"/>
    </row>
    <row r="587" ht="15" customHeight="1">
      <c r="A587" t="inlineStr">
        <is>
          <t>A 33063-2023</t>
        </is>
      </c>
      <c r="B587" s="1" t="n">
        <v>45126</v>
      </c>
      <c r="C587" s="1" t="n">
        <v>45510</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33275-2023</t>
        </is>
      </c>
      <c r="B588" s="1" t="n">
        <v>45127</v>
      </c>
      <c r="C588" s="1" t="n">
        <v>45510</v>
      </c>
      <c r="D588" t="inlineStr">
        <is>
          <t>DALARNAS LÄN</t>
        </is>
      </c>
      <c r="E588" t="inlineStr">
        <is>
          <t>LUDVIKA</t>
        </is>
      </c>
      <c r="F588" t="inlineStr">
        <is>
          <t>Naturvårdsverket</t>
        </is>
      </c>
      <c r="G588" t="n">
        <v>3.2</v>
      </c>
      <c r="H588" t="n">
        <v>0</v>
      </c>
      <c r="I588" t="n">
        <v>0</v>
      </c>
      <c r="J588" t="n">
        <v>0</v>
      </c>
      <c r="K588" t="n">
        <v>0</v>
      </c>
      <c r="L588" t="n">
        <v>0</v>
      </c>
      <c r="M588" t="n">
        <v>0</v>
      </c>
      <c r="N588" t="n">
        <v>0</v>
      </c>
      <c r="O588" t="n">
        <v>0</v>
      </c>
      <c r="P588" t="n">
        <v>0</v>
      </c>
      <c r="Q588" t="n">
        <v>0</v>
      </c>
      <c r="R588" s="2" t="inlineStr"/>
    </row>
    <row r="589" ht="15" customHeight="1">
      <c r="A589" t="inlineStr">
        <is>
          <t>A 33347-2023</t>
        </is>
      </c>
      <c r="B589" s="1" t="n">
        <v>45128</v>
      </c>
      <c r="C589" s="1" t="n">
        <v>45510</v>
      </c>
      <c r="D589" t="inlineStr">
        <is>
          <t>DALARNAS LÄN</t>
        </is>
      </c>
      <c r="E589" t="inlineStr">
        <is>
          <t>LUDVIKA</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33344-2023</t>
        </is>
      </c>
      <c r="B590" s="1" t="n">
        <v>45128</v>
      </c>
      <c r="C590" s="1" t="n">
        <v>45510</v>
      </c>
      <c r="D590" t="inlineStr">
        <is>
          <t>DALARNAS LÄN</t>
        </is>
      </c>
      <c r="E590" t="inlineStr">
        <is>
          <t>LUDVIKA</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33361-2023</t>
        </is>
      </c>
      <c r="B591" s="1" t="n">
        <v>45128</v>
      </c>
      <c r="C591" s="1" t="n">
        <v>45510</v>
      </c>
      <c r="D591" t="inlineStr">
        <is>
          <t>DALARNAS LÄN</t>
        </is>
      </c>
      <c r="E591" t="inlineStr">
        <is>
          <t>LUDVIKA</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33560-2023</t>
        </is>
      </c>
      <c r="B592" s="1" t="n">
        <v>45131</v>
      </c>
      <c r="C592" s="1" t="n">
        <v>45510</v>
      </c>
      <c r="D592" t="inlineStr">
        <is>
          <t>DALARNAS LÄN</t>
        </is>
      </c>
      <c r="E592" t="inlineStr">
        <is>
          <t>LUDVIKA</t>
        </is>
      </c>
      <c r="G592" t="n">
        <v>7</v>
      </c>
      <c r="H592" t="n">
        <v>0</v>
      </c>
      <c r="I592" t="n">
        <v>0</v>
      </c>
      <c r="J592" t="n">
        <v>0</v>
      </c>
      <c r="K592" t="n">
        <v>0</v>
      </c>
      <c r="L592" t="n">
        <v>0</v>
      </c>
      <c r="M592" t="n">
        <v>0</v>
      </c>
      <c r="N592" t="n">
        <v>0</v>
      </c>
      <c r="O592" t="n">
        <v>0</v>
      </c>
      <c r="P592" t="n">
        <v>0</v>
      </c>
      <c r="Q592" t="n">
        <v>0</v>
      </c>
      <c r="R592" s="2" t="inlineStr"/>
    </row>
    <row r="593" ht="15" customHeight="1">
      <c r="A593" t="inlineStr">
        <is>
          <t>A 34341-2023</t>
        </is>
      </c>
      <c r="B593" s="1" t="n">
        <v>45131</v>
      </c>
      <c r="C593" s="1" t="n">
        <v>45510</v>
      </c>
      <c r="D593" t="inlineStr">
        <is>
          <t>DALARNAS LÄN</t>
        </is>
      </c>
      <c r="E593" t="inlineStr">
        <is>
          <t>LUDVIKA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33620-2023</t>
        </is>
      </c>
      <c r="B594" s="1" t="n">
        <v>45132</v>
      </c>
      <c r="C594" s="1" t="n">
        <v>45510</v>
      </c>
      <c r="D594" t="inlineStr">
        <is>
          <t>DALARNAS LÄN</t>
        </is>
      </c>
      <c r="E594" t="inlineStr">
        <is>
          <t>LUDVIKA</t>
        </is>
      </c>
      <c r="F594" t="inlineStr">
        <is>
          <t>Bergvik skog väst AB</t>
        </is>
      </c>
      <c r="G594" t="n">
        <v>7.4</v>
      </c>
      <c r="H594" t="n">
        <v>0</v>
      </c>
      <c r="I594" t="n">
        <v>0</v>
      </c>
      <c r="J594" t="n">
        <v>0</v>
      </c>
      <c r="K594" t="n">
        <v>0</v>
      </c>
      <c r="L594" t="n">
        <v>0</v>
      </c>
      <c r="M594" t="n">
        <v>0</v>
      </c>
      <c r="N594" t="n">
        <v>0</v>
      </c>
      <c r="O594" t="n">
        <v>0</v>
      </c>
      <c r="P594" t="n">
        <v>0</v>
      </c>
      <c r="Q594" t="n">
        <v>0</v>
      </c>
      <c r="R594" s="2" t="inlineStr"/>
    </row>
    <row r="595" ht="15" customHeight="1">
      <c r="A595" t="inlineStr">
        <is>
          <t>A 33914-2023</t>
        </is>
      </c>
      <c r="B595" s="1" t="n">
        <v>45134</v>
      </c>
      <c r="C595" s="1" t="n">
        <v>45510</v>
      </c>
      <c r="D595" t="inlineStr">
        <is>
          <t>DALARNAS LÄN</t>
        </is>
      </c>
      <c r="E595" t="inlineStr">
        <is>
          <t>LUDVIKA</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33933-2023</t>
        </is>
      </c>
      <c r="B596" s="1" t="n">
        <v>45134</v>
      </c>
      <c r="C596" s="1" t="n">
        <v>45510</v>
      </c>
      <c r="D596" t="inlineStr">
        <is>
          <t>DALARNAS LÄN</t>
        </is>
      </c>
      <c r="E596" t="inlineStr">
        <is>
          <t>LUDVIKA</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33916-2023</t>
        </is>
      </c>
      <c r="B597" s="1" t="n">
        <v>45134</v>
      </c>
      <c r="C597" s="1" t="n">
        <v>45510</v>
      </c>
      <c r="D597" t="inlineStr">
        <is>
          <t>DALARNAS LÄN</t>
        </is>
      </c>
      <c r="E597" t="inlineStr">
        <is>
          <t>LUDVIKA</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33917-2023</t>
        </is>
      </c>
      <c r="B598" s="1" t="n">
        <v>45134</v>
      </c>
      <c r="C598" s="1" t="n">
        <v>45510</v>
      </c>
      <c r="D598" t="inlineStr">
        <is>
          <t>DALARNAS LÄN</t>
        </is>
      </c>
      <c r="E598" t="inlineStr">
        <is>
          <t>LUDVIKA</t>
        </is>
      </c>
      <c r="F598" t="inlineStr">
        <is>
          <t>Bergvik skog väst AB</t>
        </is>
      </c>
      <c r="G598" t="n">
        <v>3.2</v>
      </c>
      <c r="H598" t="n">
        <v>0</v>
      </c>
      <c r="I598" t="n">
        <v>0</v>
      </c>
      <c r="J598" t="n">
        <v>0</v>
      </c>
      <c r="K598" t="n">
        <v>0</v>
      </c>
      <c r="L598" t="n">
        <v>0</v>
      </c>
      <c r="M598" t="n">
        <v>0</v>
      </c>
      <c r="N598" t="n">
        <v>0</v>
      </c>
      <c r="O598" t="n">
        <v>0</v>
      </c>
      <c r="P598" t="n">
        <v>0</v>
      </c>
      <c r="Q598" t="n">
        <v>0</v>
      </c>
      <c r="R598" s="2" t="inlineStr"/>
    </row>
    <row r="599" ht="15" customHeight="1">
      <c r="A599" t="inlineStr">
        <is>
          <t>A 33947-2023</t>
        </is>
      </c>
      <c r="B599" s="1" t="n">
        <v>45134</v>
      </c>
      <c r="C599" s="1" t="n">
        <v>45510</v>
      </c>
      <c r="D599" t="inlineStr">
        <is>
          <t>DALARNAS LÄN</t>
        </is>
      </c>
      <c r="E599" t="inlineStr">
        <is>
          <t>LUDVIKA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34024-2023</t>
        </is>
      </c>
      <c r="B600" s="1" t="n">
        <v>45135</v>
      </c>
      <c r="C600" s="1" t="n">
        <v>45510</v>
      </c>
      <c r="D600" t="inlineStr">
        <is>
          <t>DALARNAS LÄN</t>
        </is>
      </c>
      <c r="E600" t="inlineStr">
        <is>
          <t>LUDVIKA</t>
        </is>
      </c>
      <c r="F600" t="inlineStr">
        <is>
          <t>Bergvik skog väst AB</t>
        </is>
      </c>
      <c r="G600" t="n">
        <v>18.3</v>
      </c>
      <c r="H600" t="n">
        <v>0</v>
      </c>
      <c r="I600" t="n">
        <v>0</v>
      </c>
      <c r="J600" t="n">
        <v>0</v>
      </c>
      <c r="K600" t="n">
        <v>0</v>
      </c>
      <c r="L600" t="n">
        <v>0</v>
      </c>
      <c r="M600" t="n">
        <v>0</v>
      </c>
      <c r="N600" t="n">
        <v>0</v>
      </c>
      <c r="O600" t="n">
        <v>0</v>
      </c>
      <c r="P600" t="n">
        <v>0</v>
      </c>
      <c r="Q600" t="n">
        <v>0</v>
      </c>
      <c r="R600" s="2" t="inlineStr"/>
    </row>
    <row r="601" ht="15" customHeight="1">
      <c r="A601" t="inlineStr">
        <is>
          <t>A 34503-2023</t>
        </is>
      </c>
      <c r="B601" s="1" t="n">
        <v>45140</v>
      </c>
      <c r="C601" s="1" t="n">
        <v>45510</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34555-2023</t>
        </is>
      </c>
      <c r="B602" s="1" t="n">
        <v>45140</v>
      </c>
      <c r="C602" s="1" t="n">
        <v>45510</v>
      </c>
      <c r="D602" t="inlineStr">
        <is>
          <t>DALARNAS LÄN</t>
        </is>
      </c>
      <c r="E602" t="inlineStr">
        <is>
          <t>LUDVIKA</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34895-2023</t>
        </is>
      </c>
      <c r="B603" s="1" t="n">
        <v>45142</v>
      </c>
      <c r="C603" s="1" t="n">
        <v>45510</v>
      </c>
      <c r="D603" t="inlineStr">
        <is>
          <t>DALARNAS LÄN</t>
        </is>
      </c>
      <c r="E603" t="inlineStr">
        <is>
          <t>LUDVIKA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35791-2023</t>
        </is>
      </c>
      <c r="B604" s="1" t="n">
        <v>45148</v>
      </c>
      <c r="C604" s="1" t="n">
        <v>45510</v>
      </c>
      <c r="D604" t="inlineStr">
        <is>
          <t>DALARNAS LÄN</t>
        </is>
      </c>
      <c r="E604" t="inlineStr">
        <is>
          <t>LUDVIKA</t>
        </is>
      </c>
      <c r="F604" t="inlineStr">
        <is>
          <t>Bergvik skog väst AB</t>
        </is>
      </c>
      <c r="G604" t="n">
        <v>9.4</v>
      </c>
      <c r="H604" t="n">
        <v>0</v>
      </c>
      <c r="I604" t="n">
        <v>0</v>
      </c>
      <c r="J604" t="n">
        <v>0</v>
      </c>
      <c r="K604" t="n">
        <v>0</v>
      </c>
      <c r="L604" t="n">
        <v>0</v>
      </c>
      <c r="M604" t="n">
        <v>0</v>
      </c>
      <c r="N604" t="n">
        <v>0</v>
      </c>
      <c r="O604" t="n">
        <v>0</v>
      </c>
      <c r="P604" t="n">
        <v>0</v>
      </c>
      <c r="Q604" t="n">
        <v>0</v>
      </c>
      <c r="R604" s="2" t="inlineStr"/>
    </row>
    <row r="605" ht="15" customHeight="1">
      <c r="A605" t="inlineStr">
        <is>
          <t>A 35789-2023</t>
        </is>
      </c>
      <c r="B605" s="1" t="n">
        <v>45148</v>
      </c>
      <c r="C605" s="1" t="n">
        <v>45510</v>
      </c>
      <c r="D605" t="inlineStr">
        <is>
          <t>DALARNAS LÄN</t>
        </is>
      </c>
      <c r="E605" t="inlineStr">
        <is>
          <t>LUDVIKA</t>
        </is>
      </c>
      <c r="G605" t="n">
        <v>2.1</v>
      </c>
      <c r="H605" t="n">
        <v>0</v>
      </c>
      <c r="I605" t="n">
        <v>0</v>
      </c>
      <c r="J605" t="n">
        <v>0</v>
      </c>
      <c r="K605" t="n">
        <v>0</v>
      </c>
      <c r="L605" t="n">
        <v>0</v>
      </c>
      <c r="M605" t="n">
        <v>0</v>
      </c>
      <c r="N605" t="n">
        <v>0</v>
      </c>
      <c r="O605" t="n">
        <v>0</v>
      </c>
      <c r="P605" t="n">
        <v>0</v>
      </c>
      <c r="Q605" t="n">
        <v>0</v>
      </c>
      <c r="R605" s="2" t="inlineStr"/>
    </row>
    <row r="606" ht="15" customHeight="1">
      <c r="A606" t="inlineStr">
        <is>
          <t>A 36079-2023</t>
        </is>
      </c>
      <c r="B606" s="1" t="n">
        <v>45149</v>
      </c>
      <c r="C606" s="1" t="n">
        <v>45510</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36083-2023</t>
        </is>
      </c>
      <c r="B607" s="1" t="n">
        <v>45149</v>
      </c>
      <c r="C607" s="1" t="n">
        <v>45510</v>
      </c>
      <c r="D607" t="inlineStr">
        <is>
          <t>DALARNAS LÄN</t>
        </is>
      </c>
      <c r="E607" t="inlineStr">
        <is>
          <t>LUDVIKA</t>
        </is>
      </c>
      <c r="F607" t="inlineStr">
        <is>
          <t>Bergvik skog väst AB</t>
        </is>
      </c>
      <c r="G607" t="n">
        <v>12.1</v>
      </c>
      <c r="H607" t="n">
        <v>0</v>
      </c>
      <c r="I607" t="n">
        <v>0</v>
      </c>
      <c r="J607" t="n">
        <v>0</v>
      </c>
      <c r="K607" t="n">
        <v>0</v>
      </c>
      <c r="L607" t="n">
        <v>0</v>
      </c>
      <c r="M607" t="n">
        <v>0</v>
      </c>
      <c r="N607" t="n">
        <v>0</v>
      </c>
      <c r="O607" t="n">
        <v>0</v>
      </c>
      <c r="P607" t="n">
        <v>0</v>
      </c>
      <c r="Q607" t="n">
        <v>0</v>
      </c>
      <c r="R607" s="2" t="inlineStr"/>
    </row>
    <row r="608" ht="15" customHeight="1">
      <c r="A608" t="inlineStr">
        <is>
          <t>A 36073-2023</t>
        </is>
      </c>
      <c r="B608" s="1" t="n">
        <v>45149</v>
      </c>
      <c r="C608" s="1" t="n">
        <v>45510</v>
      </c>
      <c r="D608" t="inlineStr">
        <is>
          <t>DALARNAS LÄN</t>
        </is>
      </c>
      <c r="E608" t="inlineStr">
        <is>
          <t>LUDVIKA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36296-2023</t>
        </is>
      </c>
      <c r="B609" s="1" t="n">
        <v>45152</v>
      </c>
      <c r="C609" s="1" t="n">
        <v>45510</v>
      </c>
      <c r="D609" t="inlineStr">
        <is>
          <t>DALARNAS LÄN</t>
        </is>
      </c>
      <c r="E609" t="inlineStr">
        <is>
          <t>LUDVIKA</t>
        </is>
      </c>
      <c r="F609" t="inlineStr">
        <is>
          <t>Bergvik skog väst AB</t>
        </is>
      </c>
      <c r="G609" t="n">
        <v>2.4</v>
      </c>
      <c r="H609" t="n">
        <v>0</v>
      </c>
      <c r="I609" t="n">
        <v>0</v>
      </c>
      <c r="J609" t="n">
        <v>0</v>
      </c>
      <c r="K609" t="n">
        <v>0</v>
      </c>
      <c r="L609" t="n">
        <v>0</v>
      </c>
      <c r="M609" t="n">
        <v>0</v>
      </c>
      <c r="N609" t="n">
        <v>0</v>
      </c>
      <c r="O609" t="n">
        <v>0</v>
      </c>
      <c r="P609" t="n">
        <v>0</v>
      </c>
      <c r="Q609" t="n">
        <v>0</v>
      </c>
      <c r="R609" s="2" t="inlineStr"/>
    </row>
    <row r="610" ht="15" customHeight="1">
      <c r="A610" t="inlineStr">
        <is>
          <t>A 36294-2023</t>
        </is>
      </c>
      <c r="B610" s="1" t="n">
        <v>45152</v>
      </c>
      <c r="C610" s="1" t="n">
        <v>45510</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36297-2023</t>
        </is>
      </c>
      <c r="B611" s="1" t="n">
        <v>45152</v>
      </c>
      <c r="C611" s="1" t="n">
        <v>45510</v>
      </c>
      <c r="D611" t="inlineStr">
        <is>
          <t>DALARNAS LÄN</t>
        </is>
      </c>
      <c r="E611" t="inlineStr">
        <is>
          <t>LUDVIKA</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37008-2023</t>
        </is>
      </c>
      <c r="B612" s="1" t="n">
        <v>45155</v>
      </c>
      <c r="C612" s="1" t="n">
        <v>45510</v>
      </c>
      <c r="D612" t="inlineStr">
        <is>
          <t>DALARNAS LÄN</t>
        </is>
      </c>
      <c r="E612" t="inlineStr">
        <is>
          <t>LUDVIKA</t>
        </is>
      </c>
      <c r="G612" t="n">
        <v>3</v>
      </c>
      <c r="H612" t="n">
        <v>0</v>
      </c>
      <c r="I612" t="n">
        <v>0</v>
      </c>
      <c r="J612" t="n">
        <v>0</v>
      </c>
      <c r="K612" t="n">
        <v>0</v>
      </c>
      <c r="L612" t="n">
        <v>0</v>
      </c>
      <c r="M612" t="n">
        <v>0</v>
      </c>
      <c r="N612" t="n">
        <v>0</v>
      </c>
      <c r="O612" t="n">
        <v>0</v>
      </c>
      <c r="P612" t="n">
        <v>0</v>
      </c>
      <c r="Q612" t="n">
        <v>0</v>
      </c>
      <c r="R612" s="2" t="inlineStr"/>
    </row>
    <row r="613" ht="15" customHeight="1">
      <c r="A613" t="inlineStr">
        <is>
          <t>A 37273-2023</t>
        </is>
      </c>
      <c r="B613" s="1" t="n">
        <v>45156</v>
      </c>
      <c r="C613" s="1" t="n">
        <v>45510</v>
      </c>
      <c r="D613" t="inlineStr">
        <is>
          <t>DALARNAS LÄN</t>
        </is>
      </c>
      <c r="E613" t="inlineStr">
        <is>
          <t>LUDVIKA</t>
        </is>
      </c>
      <c r="G613" t="n">
        <v>4</v>
      </c>
      <c r="H613" t="n">
        <v>0</v>
      </c>
      <c r="I613" t="n">
        <v>0</v>
      </c>
      <c r="J613" t="n">
        <v>0</v>
      </c>
      <c r="K613" t="n">
        <v>0</v>
      </c>
      <c r="L613" t="n">
        <v>0</v>
      </c>
      <c r="M613" t="n">
        <v>0</v>
      </c>
      <c r="N613" t="n">
        <v>0</v>
      </c>
      <c r="O613" t="n">
        <v>0</v>
      </c>
      <c r="P613" t="n">
        <v>0</v>
      </c>
      <c r="Q613" t="n">
        <v>0</v>
      </c>
      <c r="R613" s="2" t="inlineStr"/>
    </row>
    <row r="614" ht="15" customHeight="1">
      <c r="A614" t="inlineStr">
        <is>
          <t>A 37272-2023</t>
        </is>
      </c>
      <c r="B614" s="1" t="n">
        <v>45156</v>
      </c>
      <c r="C614" s="1" t="n">
        <v>45510</v>
      </c>
      <c r="D614" t="inlineStr">
        <is>
          <t>DALARNAS LÄN</t>
        </is>
      </c>
      <c r="E614" t="inlineStr">
        <is>
          <t>LUDVIKA</t>
        </is>
      </c>
      <c r="G614" t="n">
        <v>6</v>
      </c>
      <c r="H614" t="n">
        <v>0</v>
      </c>
      <c r="I614" t="n">
        <v>0</v>
      </c>
      <c r="J614" t="n">
        <v>0</v>
      </c>
      <c r="K614" t="n">
        <v>0</v>
      </c>
      <c r="L614" t="n">
        <v>0</v>
      </c>
      <c r="M614" t="n">
        <v>0</v>
      </c>
      <c r="N614" t="n">
        <v>0</v>
      </c>
      <c r="O614" t="n">
        <v>0</v>
      </c>
      <c r="P614" t="n">
        <v>0</v>
      </c>
      <c r="Q614" t="n">
        <v>0</v>
      </c>
      <c r="R614" s="2" t="inlineStr"/>
    </row>
    <row r="615" ht="15" customHeight="1">
      <c r="A615" t="inlineStr">
        <is>
          <t>A 37333-2023</t>
        </is>
      </c>
      <c r="B615" s="1" t="n">
        <v>45156</v>
      </c>
      <c r="C615" s="1" t="n">
        <v>45510</v>
      </c>
      <c r="D615" t="inlineStr">
        <is>
          <t>DALARNAS LÄN</t>
        </is>
      </c>
      <c r="E615" t="inlineStr">
        <is>
          <t>LUDVIKA</t>
        </is>
      </c>
      <c r="F615" t="inlineStr">
        <is>
          <t>Bergvik skog väst AB</t>
        </is>
      </c>
      <c r="G615" t="n">
        <v>5</v>
      </c>
      <c r="H615" t="n">
        <v>0</v>
      </c>
      <c r="I615" t="n">
        <v>0</v>
      </c>
      <c r="J615" t="n">
        <v>0</v>
      </c>
      <c r="K615" t="n">
        <v>0</v>
      </c>
      <c r="L615" t="n">
        <v>0</v>
      </c>
      <c r="M615" t="n">
        <v>0</v>
      </c>
      <c r="N615" t="n">
        <v>0</v>
      </c>
      <c r="O615" t="n">
        <v>0</v>
      </c>
      <c r="P615" t="n">
        <v>0</v>
      </c>
      <c r="Q615" t="n">
        <v>0</v>
      </c>
      <c r="R615" s="2" t="inlineStr"/>
    </row>
    <row r="616" ht="15" customHeight="1">
      <c r="A616" t="inlineStr">
        <is>
          <t>A 37366-2023</t>
        </is>
      </c>
      <c r="B616" s="1" t="n">
        <v>45156</v>
      </c>
      <c r="C616" s="1" t="n">
        <v>45510</v>
      </c>
      <c r="D616" t="inlineStr">
        <is>
          <t>DALARNAS LÄN</t>
        </is>
      </c>
      <c r="E616" t="inlineStr">
        <is>
          <t>LUDVIKA</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37392-2023</t>
        </is>
      </c>
      <c r="B617" s="1" t="n">
        <v>45156</v>
      </c>
      <c r="C617" s="1" t="n">
        <v>45510</v>
      </c>
      <c r="D617" t="inlineStr">
        <is>
          <t>DALARNAS LÄN</t>
        </is>
      </c>
      <c r="E617" t="inlineStr">
        <is>
          <t>LUDVIKA</t>
        </is>
      </c>
      <c r="G617" t="n">
        <v>0.5</v>
      </c>
      <c r="H617" t="n">
        <v>0</v>
      </c>
      <c r="I617" t="n">
        <v>0</v>
      </c>
      <c r="J617" t="n">
        <v>0</v>
      </c>
      <c r="K617" t="n">
        <v>0</v>
      </c>
      <c r="L617" t="n">
        <v>0</v>
      </c>
      <c r="M617" t="n">
        <v>0</v>
      </c>
      <c r="N617" t="n">
        <v>0</v>
      </c>
      <c r="O617" t="n">
        <v>0</v>
      </c>
      <c r="P617" t="n">
        <v>0</v>
      </c>
      <c r="Q617" t="n">
        <v>0</v>
      </c>
      <c r="R617" s="2" t="inlineStr"/>
    </row>
    <row r="618" ht="15" customHeight="1">
      <c r="A618" t="inlineStr">
        <is>
          <t>A 38170-2023</t>
        </is>
      </c>
      <c r="B618" s="1" t="n">
        <v>45161</v>
      </c>
      <c r="C618" s="1" t="n">
        <v>45510</v>
      </c>
      <c r="D618" t="inlineStr">
        <is>
          <t>DALARNAS LÄN</t>
        </is>
      </c>
      <c r="E618" t="inlineStr">
        <is>
          <t>LUDVIKA</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38138-2023</t>
        </is>
      </c>
      <c r="B619" s="1" t="n">
        <v>45161</v>
      </c>
      <c r="C619" s="1" t="n">
        <v>45510</v>
      </c>
      <c r="D619" t="inlineStr">
        <is>
          <t>DALARNAS LÄN</t>
        </is>
      </c>
      <c r="E619" t="inlineStr">
        <is>
          <t>LUDVIKA</t>
        </is>
      </c>
      <c r="G619" t="n">
        <v>2.5</v>
      </c>
      <c r="H619" t="n">
        <v>0</v>
      </c>
      <c r="I619" t="n">
        <v>0</v>
      </c>
      <c r="J619" t="n">
        <v>0</v>
      </c>
      <c r="K619" t="n">
        <v>0</v>
      </c>
      <c r="L619" t="n">
        <v>0</v>
      </c>
      <c r="M619" t="n">
        <v>0</v>
      </c>
      <c r="N619" t="n">
        <v>0</v>
      </c>
      <c r="O619" t="n">
        <v>0</v>
      </c>
      <c r="P619" t="n">
        <v>0</v>
      </c>
      <c r="Q619" t="n">
        <v>0</v>
      </c>
      <c r="R619" s="2" t="inlineStr"/>
    </row>
    <row r="620" ht="15" customHeight="1">
      <c r="A620" t="inlineStr">
        <is>
          <t>A 38279-2023</t>
        </is>
      </c>
      <c r="B620" s="1" t="n">
        <v>45161</v>
      </c>
      <c r="C620" s="1" t="n">
        <v>45510</v>
      </c>
      <c r="D620" t="inlineStr">
        <is>
          <t>DALARNAS LÄN</t>
        </is>
      </c>
      <c r="E620" t="inlineStr">
        <is>
          <t>LUDVIKA</t>
        </is>
      </c>
      <c r="F620" t="inlineStr">
        <is>
          <t>Bergvik skog väst AB</t>
        </is>
      </c>
      <c r="G620" t="n">
        <v>2.4</v>
      </c>
      <c r="H620" t="n">
        <v>0</v>
      </c>
      <c r="I620" t="n">
        <v>0</v>
      </c>
      <c r="J620" t="n">
        <v>0</v>
      </c>
      <c r="K620" t="n">
        <v>0</v>
      </c>
      <c r="L620" t="n">
        <v>0</v>
      </c>
      <c r="M620" t="n">
        <v>0</v>
      </c>
      <c r="N620" t="n">
        <v>0</v>
      </c>
      <c r="O620" t="n">
        <v>0</v>
      </c>
      <c r="P620" t="n">
        <v>0</v>
      </c>
      <c r="Q620" t="n">
        <v>0</v>
      </c>
      <c r="R620" s="2" t="inlineStr"/>
    </row>
    <row r="621" ht="15" customHeight="1">
      <c r="A621" t="inlineStr">
        <is>
          <t>A 38168-2023</t>
        </is>
      </c>
      <c r="B621" s="1" t="n">
        <v>45161</v>
      </c>
      <c r="C621" s="1" t="n">
        <v>45510</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38197-2023</t>
        </is>
      </c>
      <c r="B622" s="1" t="n">
        <v>45161</v>
      </c>
      <c r="C622" s="1" t="n">
        <v>45510</v>
      </c>
      <c r="D622" t="inlineStr">
        <is>
          <t>DALARNAS LÄN</t>
        </is>
      </c>
      <c r="E622" t="inlineStr">
        <is>
          <t>LUDVIKA</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38243-2023</t>
        </is>
      </c>
      <c r="B623" s="1" t="n">
        <v>45161</v>
      </c>
      <c r="C623" s="1" t="n">
        <v>45510</v>
      </c>
      <c r="D623" t="inlineStr">
        <is>
          <t>DALARNAS LÄN</t>
        </is>
      </c>
      <c r="E623" t="inlineStr">
        <is>
          <t>LUDVIKA</t>
        </is>
      </c>
      <c r="G623" t="n">
        <v>1.2</v>
      </c>
      <c r="H623" t="n">
        <v>0</v>
      </c>
      <c r="I623" t="n">
        <v>0</v>
      </c>
      <c r="J623" t="n">
        <v>0</v>
      </c>
      <c r="K623" t="n">
        <v>0</v>
      </c>
      <c r="L623" t="n">
        <v>0</v>
      </c>
      <c r="M623" t="n">
        <v>0</v>
      </c>
      <c r="N623" t="n">
        <v>0</v>
      </c>
      <c r="O623" t="n">
        <v>0</v>
      </c>
      <c r="P623" t="n">
        <v>0</v>
      </c>
      <c r="Q623" t="n">
        <v>0</v>
      </c>
      <c r="R623" s="2" t="inlineStr"/>
    </row>
    <row r="624" ht="15" customHeight="1">
      <c r="A624" t="inlineStr">
        <is>
          <t>A 38280-2023</t>
        </is>
      </c>
      <c r="B624" s="1" t="n">
        <v>45161</v>
      </c>
      <c r="C624" s="1" t="n">
        <v>45510</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38963-2023</t>
        </is>
      </c>
      <c r="B625" s="1" t="n">
        <v>45163</v>
      </c>
      <c r="C625" s="1" t="n">
        <v>45510</v>
      </c>
      <c r="D625" t="inlineStr">
        <is>
          <t>DALARNAS LÄN</t>
        </is>
      </c>
      <c r="E625" t="inlineStr">
        <is>
          <t>LUDVIKA</t>
        </is>
      </c>
      <c r="F625" t="inlineStr">
        <is>
          <t>Bergvik skog väst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38925-2023</t>
        </is>
      </c>
      <c r="B626" s="1" t="n">
        <v>45163</v>
      </c>
      <c r="C626" s="1" t="n">
        <v>45510</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39400-2023</t>
        </is>
      </c>
      <c r="B627" s="1" t="n">
        <v>45166</v>
      </c>
      <c r="C627" s="1" t="n">
        <v>45510</v>
      </c>
      <c r="D627" t="inlineStr">
        <is>
          <t>DALARNAS LÄN</t>
        </is>
      </c>
      <c r="E627" t="inlineStr">
        <is>
          <t>LUDVIKA</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39437-2023</t>
        </is>
      </c>
      <c r="B628" s="1" t="n">
        <v>45166</v>
      </c>
      <c r="C628" s="1" t="n">
        <v>45510</v>
      </c>
      <c r="D628" t="inlineStr">
        <is>
          <t>DALARNAS LÄN</t>
        </is>
      </c>
      <c r="E628" t="inlineStr">
        <is>
          <t>LUDVIKA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39405-2023</t>
        </is>
      </c>
      <c r="B629" s="1" t="n">
        <v>45166</v>
      </c>
      <c r="C629" s="1" t="n">
        <v>45510</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39417-2023</t>
        </is>
      </c>
      <c r="B630" s="1" t="n">
        <v>45166</v>
      </c>
      <c r="C630" s="1" t="n">
        <v>45510</v>
      </c>
      <c r="D630" t="inlineStr">
        <is>
          <t>DALARNAS LÄN</t>
        </is>
      </c>
      <c r="E630" t="inlineStr">
        <is>
          <t>LUDVIKA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39438-2023</t>
        </is>
      </c>
      <c r="B631" s="1" t="n">
        <v>45166</v>
      </c>
      <c r="C631" s="1" t="n">
        <v>45510</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39441-2023</t>
        </is>
      </c>
      <c r="B632" s="1" t="n">
        <v>45166</v>
      </c>
      <c r="C632" s="1" t="n">
        <v>45510</v>
      </c>
      <c r="D632" t="inlineStr">
        <is>
          <t>DALARNAS LÄN</t>
        </is>
      </c>
      <c r="E632" t="inlineStr">
        <is>
          <t>LUDVIKA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39447-2023</t>
        </is>
      </c>
      <c r="B633" s="1" t="n">
        <v>45166</v>
      </c>
      <c r="C633" s="1" t="n">
        <v>45510</v>
      </c>
      <c r="D633" t="inlineStr">
        <is>
          <t>DALARNAS LÄN</t>
        </is>
      </c>
      <c r="E633" t="inlineStr">
        <is>
          <t>LUDVIKA</t>
        </is>
      </c>
      <c r="F633" t="inlineStr">
        <is>
          <t>Bergvik skog väst AB</t>
        </is>
      </c>
      <c r="G633" t="n">
        <v>4.4</v>
      </c>
      <c r="H633" t="n">
        <v>0</v>
      </c>
      <c r="I633" t="n">
        <v>0</v>
      </c>
      <c r="J633" t="n">
        <v>0</v>
      </c>
      <c r="K633" t="n">
        <v>0</v>
      </c>
      <c r="L633" t="n">
        <v>0</v>
      </c>
      <c r="M633" t="n">
        <v>0</v>
      </c>
      <c r="N633" t="n">
        <v>0</v>
      </c>
      <c r="O633" t="n">
        <v>0</v>
      </c>
      <c r="P633" t="n">
        <v>0</v>
      </c>
      <c r="Q633" t="n">
        <v>0</v>
      </c>
      <c r="R633" s="2" t="inlineStr"/>
    </row>
    <row r="634" ht="15" customHeight="1">
      <c r="A634" t="inlineStr">
        <is>
          <t>A 39675-2023</t>
        </is>
      </c>
      <c r="B634" s="1" t="n">
        <v>45167</v>
      </c>
      <c r="C634" s="1" t="n">
        <v>45510</v>
      </c>
      <c r="D634" t="inlineStr">
        <is>
          <t>DALARNAS LÄN</t>
        </is>
      </c>
      <c r="E634" t="inlineStr">
        <is>
          <t>LUDVIKA</t>
        </is>
      </c>
      <c r="F634" t="inlineStr">
        <is>
          <t>Naturvårdsverket</t>
        </is>
      </c>
      <c r="G634" t="n">
        <v>0.9</v>
      </c>
      <c r="H634" t="n">
        <v>0</v>
      </c>
      <c r="I634" t="n">
        <v>0</v>
      </c>
      <c r="J634" t="n">
        <v>0</v>
      </c>
      <c r="K634" t="n">
        <v>0</v>
      </c>
      <c r="L634" t="n">
        <v>0</v>
      </c>
      <c r="M634" t="n">
        <v>0</v>
      </c>
      <c r="N634" t="n">
        <v>0</v>
      </c>
      <c r="O634" t="n">
        <v>0</v>
      </c>
      <c r="P634" t="n">
        <v>0</v>
      </c>
      <c r="Q634" t="n">
        <v>0</v>
      </c>
      <c r="R634" s="2" t="inlineStr"/>
    </row>
    <row r="635" ht="15" customHeight="1">
      <c r="A635" t="inlineStr">
        <is>
          <t>A 39673-2023</t>
        </is>
      </c>
      <c r="B635" s="1" t="n">
        <v>45167</v>
      </c>
      <c r="C635" s="1" t="n">
        <v>45510</v>
      </c>
      <c r="D635" t="inlineStr">
        <is>
          <t>DALARNAS LÄN</t>
        </is>
      </c>
      <c r="E635" t="inlineStr">
        <is>
          <t>LUDVIKA</t>
        </is>
      </c>
      <c r="F635" t="inlineStr">
        <is>
          <t>Naturvårdsverket</t>
        </is>
      </c>
      <c r="G635" t="n">
        <v>1.1</v>
      </c>
      <c r="H635" t="n">
        <v>0</v>
      </c>
      <c r="I635" t="n">
        <v>0</v>
      </c>
      <c r="J635" t="n">
        <v>0</v>
      </c>
      <c r="K635" t="n">
        <v>0</v>
      </c>
      <c r="L635" t="n">
        <v>0</v>
      </c>
      <c r="M635" t="n">
        <v>0</v>
      </c>
      <c r="N635" t="n">
        <v>0</v>
      </c>
      <c r="O635" t="n">
        <v>0</v>
      </c>
      <c r="P635" t="n">
        <v>0</v>
      </c>
      <c r="Q635" t="n">
        <v>0</v>
      </c>
      <c r="R635" s="2" t="inlineStr"/>
    </row>
    <row r="636" ht="15" customHeight="1">
      <c r="A636" t="inlineStr">
        <is>
          <t>A 39678-2023</t>
        </is>
      </c>
      <c r="B636" s="1" t="n">
        <v>45167</v>
      </c>
      <c r="C636" s="1" t="n">
        <v>45510</v>
      </c>
      <c r="D636" t="inlineStr">
        <is>
          <t>DALARNAS LÄN</t>
        </is>
      </c>
      <c r="E636" t="inlineStr">
        <is>
          <t>LUDVIKA</t>
        </is>
      </c>
      <c r="F636" t="inlineStr">
        <is>
          <t>Naturvårdsverket</t>
        </is>
      </c>
      <c r="G636" t="n">
        <v>1</v>
      </c>
      <c r="H636" t="n">
        <v>0</v>
      </c>
      <c r="I636" t="n">
        <v>0</v>
      </c>
      <c r="J636" t="n">
        <v>0</v>
      </c>
      <c r="K636" t="n">
        <v>0</v>
      </c>
      <c r="L636" t="n">
        <v>0</v>
      </c>
      <c r="M636" t="n">
        <v>0</v>
      </c>
      <c r="N636" t="n">
        <v>0</v>
      </c>
      <c r="O636" t="n">
        <v>0</v>
      </c>
      <c r="P636" t="n">
        <v>0</v>
      </c>
      <c r="Q636" t="n">
        <v>0</v>
      </c>
      <c r="R636" s="2" t="inlineStr"/>
    </row>
    <row r="637" ht="15" customHeight="1">
      <c r="A637" t="inlineStr">
        <is>
          <t>A 39670-2023</t>
        </is>
      </c>
      <c r="B637" s="1" t="n">
        <v>45167</v>
      </c>
      <c r="C637" s="1" t="n">
        <v>45510</v>
      </c>
      <c r="D637" t="inlineStr">
        <is>
          <t>DALARNAS LÄN</t>
        </is>
      </c>
      <c r="E637" t="inlineStr">
        <is>
          <t>LUDVIKA</t>
        </is>
      </c>
      <c r="F637" t="inlineStr">
        <is>
          <t>Naturvårdsverket</t>
        </is>
      </c>
      <c r="G637" t="n">
        <v>3.9</v>
      </c>
      <c r="H637" t="n">
        <v>0</v>
      </c>
      <c r="I637" t="n">
        <v>0</v>
      </c>
      <c r="J637" t="n">
        <v>0</v>
      </c>
      <c r="K637" t="n">
        <v>0</v>
      </c>
      <c r="L637" t="n">
        <v>0</v>
      </c>
      <c r="M637" t="n">
        <v>0</v>
      </c>
      <c r="N637" t="n">
        <v>0</v>
      </c>
      <c r="O637" t="n">
        <v>0</v>
      </c>
      <c r="P637" t="n">
        <v>0</v>
      </c>
      <c r="Q637" t="n">
        <v>0</v>
      </c>
      <c r="R637" s="2" t="inlineStr"/>
    </row>
    <row r="638" ht="15" customHeight="1">
      <c r="A638" t="inlineStr">
        <is>
          <t>A 39849-2023</t>
        </is>
      </c>
      <c r="B638" s="1" t="n">
        <v>45168</v>
      </c>
      <c r="C638" s="1" t="n">
        <v>45510</v>
      </c>
      <c r="D638" t="inlineStr">
        <is>
          <t>DALARNAS LÄN</t>
        </is>
      </c>
      <c r="E638" t="inlineStr">
        <is>
          <t>LUDVIKA</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39878-2023</t>
        </is>
      </c>
      <c r="B639" s="1" t="n">
        <v>45168</v>
      </c>
      <c r="C639" s="1" t="n">
        <v>45510</v>
      </c>
      <c r="D639" t="inlineStr">
        <is>
          <t>DALARNAS LÄN</t>
        </is>
      </c>
      <c r="E639" t="inlineStr">
        <is>
          <t>LUDVIKA</t>
        </is>
      </c>
      <c r="F639" t="inlineStr">
        <is>
          <t>Bergvik skog väst AB</t>
        </is>
      </c>
      <c r="G639" t="n">
        <v>2.7</v>
      </c>
      <c r="H639" t="n">
        <v>0</v>
      </c>
      <c r="I639" t="n">
        <v>0</v>
      </c>
      <c r="J639" t="n">
        <v>0</v>
      </c>
      <c r="K639" t="n">
        <v>0</v>
      </c>
      <c r="L639" t="n">
        <v>0</v>
      </c>
      <c r="M639" t="n">
        <v>0</v>
      </c>
      <c r="N639" t="n">
        <v>0</v>
      </c>
      <c r="O639" t="n">
        <v>0</v>
      </c>
      <c r="P639" t="n">
        <v>0</v>
      </c>
      <c r="Q639" t="n">
        <v>0</v>
      </c>
      <c r="R639" s="2" t="inlineStr"/>
    </row>
    <row r="640" ht="15" customHeight="1">
      <c r="A640" t="inlineStr">
        <is>
          <t>A 40016-2023</t>
        </is>
      </c>
      <c r="B640" s="1" t="n">
        <v>45168</v>
      </c>
      <c r="C640" s="1" t="n">
        <v>45510</v>
      </c>
      <c r="D640" t="inlineStr">
        <is>
          <t>DALARNAS LÄN</t>
        </is>
      </c>
      <c r="E640" t="inlineStr">
        <is>
          <t>LUDVIKA</t>
        </is>
      </c>
      <c r="F640" t="inlineStr">
        <is>
          <t>Bergvik skog väst AB</t>
        </is>
      </c>
      <c r="G640" t="n">
        <v>7.6</v>
      </c>
      <c r="H640" t="n">
        <v>0</v>
      </c>
      <c r="I640" t="n">
        <v>0</v>
      </c>
      <c r="J640" t="n">
        <v>0</v>
      </c>
      <c r="K640" t="n">
        <v>0</v>
      </c>
      <c r="L640" t="n">
        <v>0</v>
      </c>
      <c r="M640" t="n">
        <v>0</v>
      </c>
      <c r="N640" t="n">
        <v>0</v>
      </c>
      <c r="O640" t="n">
        <v>0</v>
      </c>
      <c r="P640" t="n">
        <v>0</v>
      </c>
      <c r="Q640" t="n">
        <v>0</v>
      </c>
      <c r="R640" s="2" t="inlineStr"/>
    </row>
    <row r="641" ht="15" customHeight="1">
      <c r="A641" t="inlineStr">
        <is>
          <t>A 39971-2023</t>
        </is>
      </c>
      <c r="B641" s="1" t="n">
        <v>45168</v>
      </c>
      <c r="C641" s="1" t="n">
        <v>45510</v>
      </c>
      <c r="D641" t="inlineStr">
        <is>
          <t>DALARNAS LÄN</t>
        </is>
      </c>
      <c r="E641" t="inlineStr">
        <is>
          <t>LUDVIKA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39886-2023</t>
        </is>
      </c>
      <c r="B642" s="1" t="n">
        <v>45168</v>
      </c>
      <c r="C642" s="1" t="n">
        <v>45510</v>
      </c>
      <c r="D642" t="inlineStr">
        <is>
          <t>DALARNAS LÄN</t>
        </is>
      </c>
      <c r="E642" t="inlineStr">
        <is>
          <t>LUDVIKA</t>
        </is>
      </c>
      <c r="F642" t="inlineStr">
        <is>
          <t>Bergvik skog väst AB</t>
        </is>
      </c>
      <c r="G642" t="n">
        <v>28.4</v>
      </c>
      <c r="H642" t="n">
        <v>0</v>
      </c>
      <c r="I642" t="n">
        <v>0</v>
      </c>
      <c r="J642" t="n">
        <v>0</v>
      </c>
      <c r="K642" t="n">
        <v>0</v>
      </c>
      <c r="L642" t="n">
        <v>0</v>
      </c>
      <c r="M642" t="n">
        <v>0</v>
      </c>
      <c r="N642" t="n">
        <v>0</v>
      </c>
      <c r="O642" t="n">
        <v>0</v>
      </c>
      <c r="P642" t="n">
        <v>0</v>
      </c>
      <c r="Q642" t="n">
        <v>0</v>
      </c>
      <c r="R642" s="2" t="inlineStr"/>
    </row>
    <row r="643" ht="15" customHeight="1">
      <c r="A643" t="inlineStr">
        <is>
          <t>A 40020-2023</t>
        </is>
      </c>
      <c r="B643" s="1" t="n">
        <v>45168</v>
      </c>
      <c r="C643" s="1" t="n">
        <v>45510</v>
      </c>
      <c r="D643" t="inlineStr">
        <is>
          <t>DALARNAS LÄN</t>
        </is>
      </c>
      <c r="E643" t="inlineStr">
        <is>
          <t>LUDVIKA</t>
        </is>
      </c>
      <c r="F643" t="inlineStr">
        <is>
          <t>Bergvik skog väst AB</t>
        </is>
      </c>
      <c r="G643" t="n">
        <v>8.4</v>
      </c>
      <c r="H643" t="n">
        <v>0</v>
      </c>
      <c r="I643" t="n">
        <v>0</v>
      </c>
      <c r="J643" t="n">
        <v>0</v>
      </c>
      <c r="K643" t="n">
        <v>0</v>
      </c>
      <c r="L643" t="n">
        <v>0</v>
      </c>
      <c r="M643" t="n">
        <v>0</v>
      </c>
      <c r="N643" t="n">
        <v>0</v>
      </c>
      <c r="O643" t="n">
        <v>0</v>
      </c>
      <c r="P643" t="n">
        <v>0</v>
      </c>
      <c r="Q643" t="n">
        <v>0</v>
      </c>
      <c r="R643" s="2" t="inlineStr"/>
    </row>
    <row r="644" ht="15" customHeight="1">
      <c r="A644" t="inlineStr">
        <is>
          <t>A 40489-2023</t>
        </is>
      </c>
      <c r="B644" s="1" t="n">
        <v>45170</v>
      </c>
      <c r="C644" s="1" t="n">
        <v>45510</v>
      </c>
      <c r="D644" t="inlineStr">
        <is>
          <t>DALARNAS LÄN</t>
        </is>
      </c>
      <c r="E644" t="inlineStr">
        <is>
          <t>LUDVIKA</t>
        </is>
      </c>
      <c r="F644" t="inlineStr">
        <is>
          <t>Sveaskog</t>
        </is>
      </c>
      <c r="G644" t="n">
        <v>22.5</v>
      </c>
      <c r="H644" t="n">
        <v>0</v>
      </c>
      <c r="I644" t="n">
        <v>0</v>
      </c>
      <c r="J644" t="n">
        <v>0</v>
      </c>
      <c r="K644" t="n">
        <v>0</v>
      </c>
      <c r="L644" t="n">
        <v>0</v>
      </c>
      <c r="M644" t="n">
        <v>0</v>
      </c>
      <c r="N644" t="n">
        <v>0</v>
      </c>
      <c r="O644" t="n">
        <v>0</v>
      </c>
      <c r="P644" t="n">
        <v>0</v>
      </c>
      <c r="Q644" t="n">
        <v>0</v>
      </c>
      <c r="R644" s="2" t="inlineStr"/>
    </row>
    <row r="645" ht="15" customHeight="1">
      <c r="A645" t="inlineStr">
        <is>
          <t>A 40499-2023</t>
        </is>
      </c>
      <c r="B645" s="1" t="n">
        <v>45170</v>
      </c>
      <c r="C645" s="1" t="n">
        <v>45510</v>
      </c>
      <c r="D645" t="inlineStr">
        <is>
          <t>DALARNAS LÄN</t>
        </is>
      </c>
      <c r="E645" t="inlineStr">
        <is>
          <t>LUDVIKA</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40672-2023</t>
        </is>
      </c>
      <c r="B646" s="1" t="n">
        <v>45170</v>
      </c>
      <c r="C646" s="1" t="n">
        <v>45510</v>
      </c>
      <c r="D646" t="inlineStr">
        <is>
          <t>DALARNAS LÄN</t>
        </is>
      </c>
      <c r="E646" t="inlineStr">
        <is>
          <t>LUDVIKA</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40646-2023</t>
        </is>
      </c>
      <c r="B647" s="1" t="n">
        <v>45170</v>
      </c>
      <c r="C647" s="1" t="n">
        <v>45510</v>
      </c>
      <c r="D647" t="inlineStr">
        <is>
          <t>DALARNAS LÄN</t>
        </is>
      </c>
      <c r="E647" t="inlineStr">
        <is>
          <t>LUDVIKA</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40473-2023</t>
        </is>
      </c>
      <c r="B648" s="1" t="n">
        <v>45170</v>
      </c>
      <c r="C648" s="1" t="n">
        <v>45510</v>
      </c>
      <c r="D648" t="inlineStr">
        <is>
          <t>DALARNAS LÄN</t>
        </is>
      </c>
      <c r="E648" t="inlineStr">
        <is>
          <t>LUDVIKA</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40687-2023</t>
        </is>
      </c>
      <c r="B649" s="1" t="n">
        <v>45170</v>
      </c>
      <c r="C649" s="1" t="n">
        <v>45510</v>
      </c>
      <c r="D649" t="inlineStr">
        <is>
          <t>DALARNAS LÄN</t>
        </is>
      </c>
      <c r="E649" t="inlineStr">
        <is>
          <t>LUDVIKA</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40869-2023</t>
        </is>
      </c>
      <c r="B650" s="1" t="n">
        <v>45173</v>
      </c>
      <c r="C650" s="1" t="n">
        <v>45510</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41177-2023</t>
        </is>
      </c>
      <c r="B651" s="1" t="n">
        <v>45174</v>
      </c>
      <c r="C651" s="1" t="n">
        <v>45510</v>
      </c>
      <c r="D651" t="inlineStr">
        <is>
          <t>DALARNAS LÄN</t>
        </is>
      </c>
      <c r="E651" t="inlineStr">
        <is>
          <t>LUDVIKA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41628-2023</t>
        </is>
      </c>
      <c r="B652" s="1" t="n">
        <v>45175</v>
      </c>
      <c r="C652" s="1" t="n">
        <v>45510</v>
      </c>
      <c r="D652" t="inlineStr">
        <is>
          <t>DALARNAS LÄN</t>
        </is>
      </c>
      <c r="E652" t="inlineStr">
        <is>
          <t>LUDVIKA</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41627-2023</t>
        </is>
      </c>
      <c r="B653" s="1" t="n">
        <v>45175</v>
      </c>
      <c r="C653" s="1" t="n">
        <v>45510</v>
      </c>
      <c r="D653" t="inlineStr">
        <is>
          <t>DALARNAS LÄN</t>
        </is>
      </c>
      <c r="E653" t="inlineStr">
        <is>
          <t>LUDVIKA</t>
        </is>
      </c>
      <c r="F653" t="inlineStr">
        <is>
          <t>Bergvik skog väst AB</t>
        </is>
      </c>
      <c r="G653" t="n">
        <v>2.5</v>
      </c>
      <c r="H653" t="n">
        <v>0</v>
      </c>
      <c r="I653" t="n">
        <v>0</v>
      </c>
      <c r="J653" t="n">
        <v>0</v>
      </c>
      <c r="K653" t="n">
        <v>0</v>
      </c>
      <c r="L653" t="n">
        <v>0</v>
      </c>
      <c r="M653" t="n">
        <v>0</v>
      </c>
      <c r="N653" t="n">
        <v>0</v>
      </c>
      <c r="O653" t="n">
        <v>0</v>
      </c>
      <c r="P653" t="n">
        <v>0</v>
      </c>
      <c r="Q653" t="n">
        <v>0</v>
      </c>
      <c r="R653" s="2" t="inlineStr"/>
    </row>
    <row r="654" ht="15" customHeight="1">
      <c r="A654" t="inlineStr">
        <is>
          <t>A 41631-2023</t>
        </is>
      </c>
      <c r="B654" s="1" t="n">
        <v>45175</v>
      </c>
      <c r="C654" s="1" t="n">
        <v>45510</v>
      </c>
      <c r="D654" t="inlineStr">
        <is>
          <t>DALARNAS LÄN</t>
        </is>
      </c>
      <c r="E654" t="inlineStr">
        <is>
          <t>LUDVIKA</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41668-2023</t>
        </is>
      </c>
      <c r="B655" s="1" t="n">
        <v>45176</v>
      </c>
      <c r="C655" s="1" t="n">
        <v>45510</v>
      </c>
      <c r="D655" t="inlineStr">
        <is>
          <t>DALARNAS LÄN</t>
        </is>
      </c>
      <c r="E655" t="inlineStr">
        <is>
          <t>LUDVIKA</t>
        </is>
      </c>
      <c r="G655" t="n">
        <v>1.4</v>
      </c>
      <c r="H655" t="n">
        <v>0</v>
      </c>
      <c r="I655" t="n">
        <v>0</v>
      </c>
      <c r="J655" t="n">
        <v>0</v>
      </c>
      <c r="K655" t="n">
        <v>0</v>
      </c>
      <c r="L655" t="n">
        <v>0</v>
      </c>
      <c r="M655" t="n">
        <v>0</v>
      </c>
      <c r="N655" t="n">
        <v>0</v>
      </c>
      <c r="O655" t="n">
        <v>0</v>
      </c>
      <c r="P655" t="n">
        <v>0</v>
      </c>
      <c r="Q655" t="n">
        <v>0</v>
      </c>
      <c r="R655" s="2" t="inlineStr"/>
    </row>
    <row r="656" ht="15" customHeight="1">
      <c r="A656" t="inlineStr">
        <is>
          <t>A 41993-2023</t>
        </is>
      </c>
      <c r="B656" s="1" t="n">
        <v>45177</v>
      </c>
      <c r="C656" s="1" t="n">
        <v>45510</v>
      </c>
      <c r="D656" t="inlineStr">
        <is>
          <t>DALARNAS LÄN</t>
        </is>
      </c>
      <c r="E656" t="inlineStr">
        <is>
          <t>LUDVIKA</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41988-2023</t>
        </is>
      </c>
      <c r="B657" s="1" t="n">
        <v>45177</v>
      </c>
      <c r="C657" s="1" t="n">
        <v>45510</v>
      </c>
      <c r="D657" t="inlineStr">
        <is>
          <t>DALARNAS LÄN</t>
        </is>
      </c>
      <c r="E657" t="inlineStr">
        <is>
          <t>LUDVIKA</t>
        </is>
      </c>
      <c r="F657" t="inlineStr">
        <is>
          <t>Sveaskog</t>
        </is>
      </c>
      <c r="G657" t="n">
        <v>22.2</v>
      </c>
      <c r="H657" t="n">
        <v>0</v>
      </c>
      <c r="I657" t="n">
        <v>0</v>
      </c>
      <c r="J657" t="n">
        <v>0</v>
      </c>
      <c r="K657" t="n">
        <v>0</v>
      </c>
      <c r="L657" t="n">
        <v>0</v>
      </c>
      <c r="M657" t="n">
        <v>0</v>
      </c>
      <c r="N657" t="n">
        <v>0</v>
      </c>
      <c r="O657" t="n">
        <v>0</v>
      </c>
      <c r="P657" t="n">
        <v>0</v>
      </c>
      <c r="Q657" t="n">
        <v>0</v>
      </c>
      <c r="R657" s="2" t="inlineStr"/>
    </row>
    <row r="658" ht="15" customHeight="1">
      <c r="A658" t="inlineStr">
        <is>
          <t>A 42022-2023</t>
        </is>
      </c>
      <c r="B658" s="1" t="n">
        <v>45177</v>
      </c>
      <c r="C658" s="1" t="n">
        <v>45510</v>
      </c>
      <c r="D658" t="inlineStr">
        <is>
          <t>DALARNAS LÄN</t>
        </is>
      </c>
      <c r="E658" t="inlineStr">
        <is>
          <t>LUDVIKA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41991-2023</t>
        </is>
      </c>
      <c r="B659" s="1" t="n">
        <v>45177</v>
      </c>
      <c r="C659" s="1" t="n">
        <v>45510</v>
      </c>
      <c r="D659" t="inlineStr">
        <is>
          <t>DALARNAS LÄN</t>
        </is>
      </c>
      <c r="E659" t="inlineStr">
        <is>
          <t>LUDVIKA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42268-2023</t>
        </is>
      </c>
      <c r="B660" s="1" t="n">
        <v>45180</v>
      </c>
      <c r="C660" s="1" t="n">
        <v>45510</v>
      </c>
      <c r="D660" t="inlineStr">
        <is>
          <t>DALARNAS LÄN</t>
        </is>
      </c>
      <c r="E660" t="inlineStr">
        <is>
          <t>LUDVIKA</t>
        </is>
      </c>
      <c r="F660" t="inlineStr">
        <is>
          <t>Bergvik skog väst AB</t>
        </is>
      </c>
      <c r="G660" t="n">
        <v>10.6</v>
      </c>
      <c r="H660" t="n">
        <v>0</v>
      </c>
      <c r="I660" t="n">
        <v>0</v>
      </c>
      <c r="J660" t="n">
        <v>0</v>
      </c>
      <c r="K660" t="n">
        <v>0</v>
      </c>
      <c r="L660" t="n">
        <v>0</v>
      </c>
      <c r="M660" t="n">
        <v>0</v>
      </c>
      <c r="N660" t="n">
        <v>0</v>
      </c>
      <c r="O660" t="n">
        <v>0</v>
      </c>
      <c r="P660" t="n">
        <v>0</v>
      </c>
      <c r="Q660" t="n">
        <v>0</v>
      </c>
      <c r="R660" s="2" t="inlineStr"/>
    </row>
    <row r="661" ht="15" customHeight="1">
      <c r="A661" t="inlineStr">
        <is>
          <t>A 42367-2023</t>
        </is>
      </c>
      <c r="B661" s="1" t="n">
        <v>45180</v>
      </c>
      <c r="C661" s="1" t="n">
        <v>45510</v>
      </c>
      <c r="D661" t="inlineStr">
        <is>
          <t>DALARNAS LÄN</t>
        </is>
      </c>
      <c r="E661" t="inlineStr">
        <is>
          <t>LUDVIKA</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42860-2023</t>
        </is>
      </c>
      <c r="B662" s="1" t="n">
        <v>45182</v>
      </c>
      <c r="C662" s="1" t="n">
        <v>45510</v>
      </c>
      <c r="D662" t="inlineStr">
        <is>
          <t>DALARNAS LÄN</t>
        </is>
      </c>
      <c r="E662" t="inlineStr">
        <is>
          <t>LUDVIKA</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42843-2023</t>
        </is>
      </c>
      <c r="B663" s="1" t="n">
        <v>45182</v>
      </c>
      <c r="C663" s="1" t="n">
        <v>45510</v>
      </c>
      <c r="D663" t="inlineStr">
        <is>
          <t>DALARNAS LÄN</t>
        </is>
      </c>
      <c r="E663" t="inlineStr">
        <is>
          <t>LUDVIKA</t>
        </is>
      </c>
      <c r="F663" t="inlineStr">
        <is>
          <t>Bergvik skog väst AB</t>
        </is>
      </c>
      <c r="G663" t="n">
        <v>15.6</v>
      </c>
      <c r="H663" t="n">
        <v>0</v>
      </c>
      <c r="I663" t="n">
        <v>0</v>
      </c>
      <c r="J663" t="n">
        <v>0</v>
      </c>
      <c r="K663" t="n">
        <v>0</v>
      </c>
      <c r="L663" t="n">
        <v>0</v>
      </c>
      <c r="M663" t="n">
        <v>0</v>
      </c>
      <c r="N663" t="n">
        <v>0</v>
      </c>
      <c r="O663" t="n">
        <v>0</v>
      </c>
      <c r="P663" t="n">
        <v>0</v>
      </c>
      <c r="Q663" t="n">
        <v>0</v>
      </c>
      <c r="R663" s="2" t="inlineStr"/>
    </row>
    <row r="664" ht="15" customHeight="1">
      <c r="A664" t="inlineStr">
        <is>
          <t>A 42857-2023</t>
        </is>
      </c>
      <c r="B664" s="1" t="n">
        <v>45182</v>
      </c>
      <c r="C664" s="1" t="n">
        <v>45510</v>
      </c>
      <c r="D664" t="inlineStr">
        <is>
          <t>DALARNAS LÄN</t>
        </is>
      </c>
      <c r="E664" t="inlineStr">
        <is>
          <t>LUDVIKA</t>
        </is>
      </c>
      <c r="F664" t="inlineStr">
        <is>
          <t>Bergvik skog väst AB</t>
        </is>
      </c>
      <c r="G664" t="n">
        <v>6.7</v>
      </c>
      <c r="H664" t="n">
        <v>0</v>
      </c>
      <c r="I664" t="n">
        <v>0</v>
      </c>
      <c r="J664" t="n">
        <v>0</v>
      </c>
      <c r="K664" t="n">
        <v>0</v>
      </c>
      <c r="L664" t="n">
        <v>0</v>
      </c>
      <c r="M664" t="n">
        <v>0</v>
      </c>
      <c r="N664" t="n">
        <v>0</v>
      </c>
      <c r="O664" t="n">
        <v>0</v>
      </c>
      <c r="P664" t="n">
        <v>0</v>
      </c>
      <c r="Q664" t="n">
        <v>0</v>
      </c>
      <c r="R664" s="2" t="inlineStr"/>
    </row>
    <row r="665" ht="15" customHeight="1">
      <c r="A665" t="inlineStr">
        <is>
          <t>A 43214-2023</t>
        </is>
      </c>
      <c r="B665" s="1" t="n">
        <v>45183</v>
      </c>
      <c r="C665" s="1" t="n">
        <v>45510</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43470-2023</t>
        </is>
      </c>
      <c r="B666" s="1" t="n">
        <v>45184</v>
      </c>
      <c r="C666" s="1" t="n">
        <v>45510</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43586-2023</t>
        </is>
      </c>
      <c r="B667" s="1" t="n">
        <v>45184</v>
      </c>
      <c r="C667" s="1" t="n">
        <v>45510</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43589-2023</t>
        </is>
      </c>
      <c r="B668" s="1" t="n">
        <v>45184</v>
      </c>
      <c r="C668" s="1" t="n">
        <v>45510</v>
      </c>
      <c r="D668" t="inlineStr">
        <is>
          <t>DALARNAS LÄN</t>
        </is>
      </c>
      <c r="E668" t="inlineStr">
        <is>
          <t>LUDVIKA</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43681-2023</t>
        </is>
      </c>
      <c r="B669" s="1" t="n">
        <v>45187</v>
      </c>
      <c r="C669" s="1" t="n">
        <v>45510</v>
      </c>
      <c r="D669" t="inlineStr">
        <is>
          <t>DALARNAS LÄN</t>
        </is>
      </c>
      <c r="E669" t="inlineStr">
        <is>
          <t>LUDVIKA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43679-2023</t>
        </is>
      </c>
      <c r="B670" s="1" t="n">
        <v>45187</v>
      </c>
      <c r="C670" s="1" t="n">
        <v>45510</v>
      </c>
      <c r="D670" t="inlineStr">
        <is>
          <t>DALARNAS LÄN</t>
        </is>
      </c>
      <c r="E670" t="inlineStr">
        <is>
          <t>LUDVIKA</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43674-2023</t>
        </is>
      </c>
      <c r="B671" s="1" t="n">
        <v>45187</v>
      </c>
      <c r="C671" s="1" t="n">
        <v>45510</v>
      </c>
      <c r="D671" t="inlineStr">
        <is>
          <t>DALARNAS LÄN</t>
        </is>
      </c>
      <c r="E671" t="inlineStr">
        <is>
          <t>LUDVIKA</t>
        </is>
      </c>
      <c r="F671" t="inlineStr">
        <is>
          <t>Bergvik skog väst AB</t>
        </is>
      </c>
      <c r="G671" t="n">
        <v>1.6</v>
      </c>
      <c r="H671" t="n">
        <v>0</v>
      </c>
      <c r="I671" t="n">
        <v>0</v>
      </c>
      <c r="J671" t="n">
        <v>0</v>
      </c>
      <c r="K671" t="n">
        <v>0</v>
      </c>
      <c r="L671" t="n">
        <v>0</v>
      </c>
      <c r="M671" t="n">
        <v>0</v>
      </c>
      <c r="N671" t="n">
        <v>0</v>
      </c>
      <c r="O671" t="n">
        <v>0</v>
      </c>
      <c r="P671" t="n">
        <v>0</v>
      </c>
      <c r="Q671" t="n">
        <v>0</v>
      </c>
      <c r="R671" s="2" t="inlineStr"/>
    </row>
    <row r="672" ht="15" customHeight="1">
      <c r="A672" t="inlineStr">
        <is>
          <t>A 43797-2023</t>
        </is>
      </c>
      <c r="B672" s="1" t="n">
        <v>45187</v>
      </c>
      <c r="C672" s="1" t="n">
        <v>45510</v>
      </c>
      <c r="D672" t="inlineStr">
        <is>
          <t>DALARNAS LÄN</t>
        </is>
      </c>
      <c r="E672" t="inlineStr">
        <is>
          <t>LUDVIKA</t>
        </is>
      </c>
      <c r="F672" t="inlineStr">
        <is>
          <t>Bergvik skog väst AB</t>
        </is>
      </c>
      <c r="G672" t="n">
        <v>5.7</v>
      </c>
      <c r="H672" t="n">
        <v>0</v>
      </c>
      <c r="I672" t="n">
        <v>0</v>
      </c>
      <c r="J672" t="n">
        <v>0</v>
      </c>
      <c r="K672" t="n">
        <v>0</v>
      </c>
      <c r="L672" t="n">
        <v>0</v>
      </c>
      <c r="M672" t="n">
        <v>0</v>
      </c>
      <c r="N672" t="n">
        <v>0</v>
      </c>
      <c r="O672" t="n">
        <v>0</v>
      </c>
      <c r="P672" t="n">
        <v>0</v>
      </c>
      <c r="Q672" t="n">
        <v>0</v>
      </c>
      <c r="R672" s="2" t="inlineStr"/>
    </row>
    <row r="673" ht="15" customHeight="1">
      <c r="A673" t="inlineStr">
        <is>
          <t>A 43839-2023</t>
        </is>
      </c>
      <c r="B673" s="1" t="n">
        <v>45187</v>
      </c>
      <c r="C673" s="1" t="n">
        <v>45510</v>
      </c>
      <c r="D673" t="inlineStr">
        <is>
          <t>DALARNAS LÄN</t>
        </is>
      </c>
      <c r="E673" t="inlineStr">
        <is>
          <t>LUDVIKA</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43867-2023</t>
        </is>
      </c>
      <c r="B674" s="1" t="n">
        <v>45187</v>
      </c>
      <c r="C674" s="1" t="n">
        <v>45510</v>
      </c>
      <c r="D674" t="inlineStr">
        <is>
          <t>DALARNAS LÄN</t>
        </is>
      </c>
      <c r="E674" t="inlineStr">
        <is>
          <t>LUDVIKA</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44088-2023</t>
        </is>
      </c>
      <c r="B675" s="1" t="n">
        <v>45188</v>
      </c>
      <c r="C675" s="1" t="n">
        <v>45510</v>
      </c>
      <c r="D675" t="inlineStr">
        <is>
          <t>DALARNAS LÄN</t>
        </is>
      </c>
      <c r="E675" t="inlineStr">
        <is>
          <t>LUDVIKA</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44099-2023</t>
        </is>
      </c>
      <c r="B676" s="1" t="n">
        <v>45188</v>
      </c>
      <c r="C676" s="1" t="n">
        <v>45510</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44103-2023</t>
        </is>
      </c>
      <c r="B677" s="1" t="n">
        <v>45188</v>
      </c>
      <c r="C677" s="1" t="n">
        <v>45510</v>
      </c>
      <c r="D677" t="inlineStr">
        <is>
          <t>DALARNAS LÄN</t>
        </is>
      </c>
      <c r="E677" t="inlineStr">
        <is>
          <t>LUDVIKA</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44312-2023</t>
        </is>
      </c>
      <c r="B678" s="1" t="n">
        <v>45188</v>
      </c>
      <c r="C678" s="1" t="n">
        <v>45510</v>
      </c>
      <c r="D678" t="inlineStr">
        <is>
          <t>DALARNAS LÄN</t>
        </is>
      </c>
      <c r="E678" t="inlineStr">
        <is>
          <t>LUDVIKA</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44093-2023</t>
        </is>
      </c>
      <c r="B679" s="1" t="n">
        <v>45188</v>
      </c>
      <c r="C679" s="1" t="n">
        <v>45510</v>
      </c>
      <c r="D679" t="inlineStr">
        <is>
          <t>DALARNAS LÄN</t>
        </is>
      </c>
      <c r="E679" t="inlineStr">
        <is>
          <t>LUDVIKA</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44110-2023</t>
        </is>
      </c>
      <c r="B680" s="1" t="n">
        <v>45188</v>
      </c>
      <c r="C680" s="1" t="n">
        <v>45510</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44520-2023</t>
        </is>
      </c>
      <c r="B681" s="1" t="n">
        <v>45189</v>
      </c>
      <c r="C681" s="1" t="n">
        <v>45510</v>
      </c>
      <c r="D681" t="inlineStr">
        <is>
          <t>DALARNAS LÄN</t>
        </is>
      </c>
      <c r="E681" t="inlineStr">
        <is>
          <t>LUDVIKA</t>
        </is>
      </c>
      <c r="G681" t="n">
        <v>0.7</v>
      </c>
      <c r="H681" t="n">
        <v>0</v>
      </c>
      <c r="I681" t="n">
        <v>0</v>
      </c>
      <c r="J681" t="n">
        <v>0</v>
      </c>
      <c r="K681" t="n">
        <v>0</v>
      </c>
      <c r="L681" t="n">
        <v>0</v>
      </c>
      <c r="M681" t="n">
        <v>0</v>
      </c>
      <c r="N681" t="n">
        <v>0</v>
      </c>
      <c r="O681" t="n">
        <v>0</v>
      </c>
      <c r="P681" t="n">
        <v>0</v>
      </c>
      <c r="Q681" t="n">
        <v>0</v>
      </c>
      <c r="R681" s="2" t="inlineStr"/>
    </row>
    <row r="682" ht="15" customHeight="1">
      <c r="A682" t="inlineStr">
        <is>
          <t>A 45094-2023</t>
        </is>
      </c>
      <c r="B682" s="1" t="n">
        <v>45191</v>
      </c>
      <c r="C682" s="1" t="n">
        <v>45510</v>
      </c>
      <c r="D682" t="inlineStr">
        <is>
          <t>DALARNAS LÄN</t>
        </is>
      </c>
      <c r="E682" t="inlineStr">
        <is>
          <t>LUDVIKA</t>
        </is>
      </c>
      <c r="F682" t="inlineStr">
        <is>
          <t>Bergvik skog väst AB</t>
        </is>
      </c>
      <c r="G682" t="n">
        <v>3.1</v>
      </c>
      <c r="H682" t="n">
        <v>0</v>
      </c>
      <c r="I682" t="n">
        <v>0</v>
      </c>
      <c r="J682" t="n">
        <v>0</v>
      </c>
      <c r="K682" t="n">
        <v>0</v>
      </c>
      <c r="L682" t="n">
        <v>0</v>
      </c>
      <c r="M682" t="n">
        <v>0</v>
      </c>
      <c r="N682" t="n">
        <v>0</v>
      </c>
      <c r="O682" t="n">
        <v>0</v>
      </c>
      <c r="P682" t="n">
        <v>0</v>
      </c>
      <c r="Q682" t="n">
        <v>0</v>
      </c>
      <c r="R682" s="2" t="inlineStr"/>
    </row>
    <row r="683" ht="15" customHeight="1">
      <c r="A683" t="inlineStr">
        <is>
          <t>A 45045-2023</t>
        </is>
      </c>
      <c r="B683" s="1" t="n">
        <v>45191</v>
      </c>
      <c r="C683" s="1" t="n">
        <v>45510</v>
      </c>
      <c r="D683" t="inlineStr">
        <is>
          <t>DALARNAS LÄN</t>
        </is>
      </c>
      <c r="E683" t="inlineStr">
        <is>
          <t>LUDVIKA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45046-2023</t>
        </is>
      </c>
      <c r="B684" s="1" t="n">
        <v>45191</v>
      </c>
      <c r="C684" s="1" t="n">
        <v>45510</v>
      </c>
      <c r="D684" t="inlineStr">
        <is>
          <t>DALARNAS LÄN</t>
        </is>
      </c>
      <c r="E684" t="inlineStr">
        <is>
          <t>LUDVIKA</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45083-2023</t>
        </is>
      </c>
      <c r="B685" s="1" t="n">
        <v>45191</v>
      </c>
      <c r="C685" s="1" t="n">
        <v>45510</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45128-2023</t>
        </is>
      </c>
      <c r="B686" s="1" t="n">
        <v>45191</v>
      </c>
      <c r="C686" s="1" t="n">
        <v>45510</v>
      </c>
      <c r="D686" t="inlineStr">
        <is>
          <t>DALARNAS LÄN</t>
        </is>
      </c>
      <c r="E686" t="inlineStr">
        <is>
          <t>LUDVIKA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45140-2023</t>
        </is>
      </c>
      <c r="B687" s="1" t="n">
        <v>45191</v>
      </c>
      <c r="C687" s="1" t="n">
        <v>45510</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45127-2023</t>
        </is>
      </c>
      <c r="B688" s="1" t="n">
        <v>45191</v>
      </c>
      <c r="C688" s="1" t="n">
        <v>45510</v>
      </c>
      <c r="D688" t="inlineStr">
        <is>
          <t>DALARNAS LÄN</t>
        </is>
      </c>
      <c r="E688" t="inlineStr">
        <is>
          <t>LUDVIKA</t>
        </is>
      </c>
      <c r="F688" t="inlineStr">
        <is>
          <t>Bergvik skog väst AB</t>
        </is>
      </c>
      <c r="G688" t="n">
        <v>1.5</v>
      </c>
      <c r="H688" t="n">
        <v>0</v>
      </c>
      <c r="I688" t="n">
        <v>0</v>
      </c>
      <c r="J688" t="n">
        <v>0</v>
      </c>
      <c r="K688" t="n">
        <v>0</v>
      </c>
      <c r="L688" t="n">
        <v>0</v>
      </c>
      <c r="M688" t="n">
        <v>0</v>
      </c>
      <c r="N688" t="n">
        <v>0</v>
      </c>
      <c r="O688" t="n">
        <v>0</v>
      </c>
      <c r="P688" t="n">
        <v>0</v>
      </c>
      <c r="Q688" t="n">
        <v>0</v>
      </c>
      <c r="R688" s="2" t="inlineStr"/>
    </row>
    <row r="689" ht="15" customHeight="1">
      <c r="A689" t="inlineStr">
        <is>
          <t>A 45124-2023</t>
        </is>
      </c>
      <c r="B689" s="1" t="n">
        <v>45191</v>
      </c>
      <c r="C689" s="1" t="n">
        <v>45510</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45541-2023</t>
        </is>
      </c>
      <c r="B690" s="1" t="n">
        <v>45194</v>
      </c>
      <c r="C690" s="1" t="n">
        <v>45510</v>
      </c>
      <c r="D690" t="inlineStr">
        <is>
          <t>DALARNAS LÄN</t>
        </is>
      </c>
      <c r="E690" t="inlineStr">
        <is>
          <t>LUDVIKA</t>
        </is>
      </c>
      <c r="G690" t="n">
        <v>2.8</v>
      </c>
      <c r="H690" t="n">
        <v>0</v>
      </c>
      <c r="I690" t="n">
        <v>0</v>
      </c>
      <c r="J690" t="n">
        <v>0</v>
      </c>
      <c r="K690" t="n">
        <v>0</v>
      </c>
      <c r="L690" t="n">
        <v>0</v>
      </c>
      <c r="M690" t="n">
        <v>0</v>
      </c>
      <c r="N690" t="n">
        <v>0</v>
      </c>
      <c r="O690" t="n">
        <v>0</v>
      </c>
      <c r="P690" t="n">
        <v>0</v>
      </c>
      <c r="Q690" t="n">
        <v>0</v>
      </c>
      <c r="R690" s="2" t="inlineStr"/>
    </row>
    <row r="691" ht="15" customHeight="1">
      <c r="A691" t="inlineStr">
        <is>
          <t>A 45853-2023</t>
        </is>
      </c>
      <c r="B691" s="1" t="n">
        <v>45195</v>
      </c>
      <c r="C691" s="1" t="n">
        <v>45510</v>
      </c>
      <c r="D691" t="inlineStr">
        <is>
          <t>DALARNAS LÄN</t>
        </is>
      </c>
      <c r="E691" t="inlineStr">
        <is>
          <t>LUDVIKA</t>
        </is>
      </c>
      <c r="G691" t="n">
        <v>3.8</v>
      </c>
      <c r="H691" t="n">
        <v>0</v>
      </c>
      <c r="I691" t="n">
        <v>0</v>
      </c>
      <c r="J691" t="n">
        <v>0</v>
      </c>
      <c r="K691" t="n">
        <v>0</v>
      </c>
      <c r="L691" t="n">
        <v>0</v>
      </c>
      <c r="M691" t="n">
        <v>0</v>
      </c>
      <c r="N691" t="n">
        <v>0</v>
      </c>
      <c r="O691" t="n">
        <v>0</v>
      </c>
      <c r="P691" t="n">
        <v>0</v>
      </c>
      <c r="Q691" t="n">
        <v>0</v>
      </c>
      <c r="R691" s="2" t="inlineStr"/>
    </row>
    <row r="692" ht="15" customHeight="1">
      <c r="A692" t="inlineStr">
        <is>
          <t>A 46074-2023</t>
        </is>
      </c>
      <c r="B692" s="1" t="n">
        <v>45196</v>
      </c>
      <c r="C692" s="1" t="n">
        <v>45510</v>
      </c>
      <c r="D692" t="inlineStr">
        <is>
          <t>DALARNAS LÄN</t>
        </is>
      </c>
      <c r="E692" t="inlineStr">
        <is>
          <t>LUDVIKA</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46140-2023</t>
        </is>
      </c>
      <c r="B693" s="1" t="n">
        <v>45196</v>
      </c>
      <c r="C693" s="1" t="n">
        <v>45510</v>
      </c>
      <c r="D693" t="inlineStr">
        <is>
          <t>DALARNAS LÄN</t>
        </is>
      </c>
      <c r="E693" t="inlineStr">
        <is>
          <t>LUDVIKA</t>
        </is>
      </c>
      <c r="F693" t="inlineStr">
        <is>
          <t>Bergvik skog väst AB</t>
        </is>
      </c>
      <c r="G693" t="n">
        <v>4.7</v>
      </c>
      <c r="H693" t="n">
        <v>0</v>
      </c>
      <c r="I693" t="n">
        <v>0</v>
      </c>
      <c r="J693" t="n">
        <v>0</v>
      </c>
      <c r="K693" t="n">
        <v>0</v>
      </c>
      <c r="L693" t="n">
        <v>0</v>
      </c>
      <c r="M693" t="n">
        <v>0</v>
      </c>
      <c r="N693" t="n">
        <v>0</v>
      </c>
      <c r="O693" t="n">
        <v>0</v>
      </c>
      <c r="P693" t="n">
        <v>0</v>
      </c>
      <c r="Q693" t="n">
        <v>0</v>
      </c>
      <c r="R693" s="2" t="inlineStr"/>
    </row>
    <row r="694" ht="15" customHeight="1">
      <c r="A694" t="inlineStr">
        <is>
          <t>A 46571-2023</t>
        </is>
      </c>
      <c r="B694" s="1" t="n">
        <v>45198</v>
      </c>
      <c r="C694" s="1" t="n">
        <v>45510</v>
      </c>
      <c r="D694" t="inlineStr">
        <is>
          <t>DALARNAS LÄN</t>
        </is>
      </c>
      <c r="E694" t="inlineStr">
        <is>
          <t>LUDVIKA</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46570-2023</t>
        </is>
      </c>
      <c r="B695" s="1" t="n">
        <v>45198</v>
      </c>
      <c r="C695" s="1" t="n">
        <v>45510</v>
      </c>
      <c r="D695" t="inlineStr">
        <is>
          <t>DALARNAS LÄN</t>
        </is>
      </c>
      <c r="E695" t="inlineStr">
        <is>
          <t>LUDVIKA</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46622-2023</t>
        </is>
      </c>
      <c r="B696" s="1" t="n">
        <v>45198</v>
      </c>
      <c r="C696" s="1" t="n">
        <v>45510</v>
      </c>
      <c r="D696" t="inlineStr">
        <is>
          <t>DALARNAS LÄN</t>
        </is>
      </c>
      <c r="E696" t="inlineStr">
        <is>
          <t>LUDVIKA</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46654-2023</t>
        </is>
      </c>
      <c r="B697" s="1" t="n">
        <v>45198</v>
      </c>
      <c r="C697" s="1" t="n">
        <v>45510</v>
      </c>
      <c r="D697" t="inlineStr">
        <is>
          <t>DALARNAS LÄN</t>
        </is>
      </c>
      <c r="E697" t="inlineStr">
        <is>
          <t>LUDVIKA</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46647-2023</t>
        </is>
      </c>
      <c r="B698" s="1" t="n">
        <v>45198</v>
      </c>
      <c r="C698" s="1" t="n">
        <v>45510</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46656-2023</t>
        </is>
      </c>
      <c r="B699" s="1" t="n">
        <v>45198</v>
      </c>
      <c r="C699" s="1" t="n">
        <v>45510</v>
      </c>
      <c r="D699" t="inlineStr">
        <is>
          <t>DALARNAS LÄN</t>
        </is>
      </c>
      <c r="E699" t="inlineStr">
        <is>
          <t>LUDVIKA</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46660-2023</t>
        </is>
      </c>
      <c r="B700" s="1" t="n">
        <v>45198</v>
      </c>
      <c r="C700" s="1" t="n">
        <v>45510</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46620-2023</t>
        </is>
      </c>
      <c r="B701" s="1" t="n">
        <v>45198</v>
      </c>
      <c r="C701" s="1" t="n">
        <v>45510</v>
      </c>
      <c r="D701" t="inlineStr">
        <is>
          <t>DALARNAS LÄN</t>
        </is>
      </c>
      <c r="E701" t="inlineStr">
        <is>
          <t>LUDVIKA</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46657-2023</t>
        </is>
      </c>
      <c r="B702" s="1" t="n">
        <v>45198</v>
      </c>
      <c r="C702" s="1" t="n">
        <v>45510</v>
      </c>
      <c r="D702" t="inlineStr">
        <is>
          <t>DALARNAS LÄN</t>
        </is>
      </c>
      <c r="E702" t="inlineStr">
        <is>
          <t>LUDVIKA</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47269-2023</t>
        </is>
      </c>
      <c r="B703" s="1" t="n">
        <v>45202</v>
      </c>
      <c r="C703" s="1" t="n">
        <v>45510</v>
      </c>
      <c r="D703" t="inlineStr">
        <is>
          <t>DALARNAS LÄN</t>
        </is>
      </c>
      <c r="E703" t="inlineStr">
        <is>
          <t>LUDVIKA</t>
        </is>
      </c>
      <c r="F703" t="inlineStr">
        <is>
          <t>Bergvik skog väst AB</t>
        </is>
      </c>
      <c r="G703" t="n">
        <v>2.4</v>
      </c>
      <c r="H703" t="n">
        <v>0</v>
      </c>
      <c r="I703" t="n">
        <v>0</v>
      </c>
      <c r="J703" t="n">
        <v>0</v>
      </c>
      <c r="K703" t="n">
        <v>0</v>
      </c>
      <c r="L703" t="n">
        <v>0</v>
      </c>
      <c r="M703" t="n">
        <v>0</v>
      </c>
      <c r="N703" t="n">
        <v>0</v>
      </c>
      <c r="O703" t="n">
        <v>0</v>
      </c>
      <c r="P703" t="n">
        <v>0</v>
      </c>
      <c r="Q703" t="n">
        <v>0</v>
      </c>
      <c r="R703" s="2" t="inlineStr"/>
    </row>
    <row r="704" ht="15" customHeight="1">
      <c r="A704" t="inlineStr">
        <is>
          <t>A 47349-2023</t>
        </is>
      </c>
      <c r="B704" s="1" t="n">
        <v>45202</v>
      </c>
      <c r="C704" s="1" t="n">
        <v>45510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47281-2023</t>
        </is>
      </c>
      <c r="B705" s="1" t="n">
        <v>45202</v>
      </c>
      <c r="C705" s="1" t="n">
        <v>45510</v>
      </c>
      <c r="D705" t="inlineStr">
        <is>
          <t>DALARNAS LÄN</t>
        </is>
      </c>
      <c r="E705" t="inlineStr">
        <is>
          <t>LUDVIKA</t>
        </is>
      </c>
      <c r="G705" t="n">
        <v>2.6</v>
      </c>
      <c r="H705" t="n">
        <v>0</v>
      </c>
      <c r="I705" t="n">
        <v>0</v>
      </c>
      <c r="J705" t="n">
        <v>0</v>
      </c>
      <c r="K705" t="n">
        <v>0</v>
      </c>
      <c r="L705" t="n">
        <v>0</v>
      </c>
      <c r="M705" t="n">
        <v>0</v>
      </c>
      <c r="N705" t="n">
        <v>0</v>
      </c>
      <c r="O705" t="n">
        <v>0</v>
      </c>
      <c r="P705" t="n">
        <v>0</v>
      </c>
      <c r="Q705" t="n">
        <v>0</v>
      </c>
      <c r="R705" s="2" t="inlineStr"/>
    </row>
    <row r="706" ht="15" customHeight="1">
      <c r="A706" t="inlineStr">
        <is>
          <t>A 47366-2023</t>
        </is>
      </c>
      <c r="B706" s="1" t="n">
        <v>45202</v>
      </c>
      <c r="C706" s="1" t="n">
        <v>45510</v>
      </c>
      <c r="D706" t="inlineStr">
        <is>
          <t>DALARNAS LÄN</t>
        </is>
      </c>
      <c r="E706" t="inlineStr">
        <is>
          <t>LUDVIKA</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47429-2023</t>
        </is>
      </c>
      <c r="B707" s="1" t="n">
        <v>45202</v>
      </c>
      <c r="C707" s="1" t="n">
        <v>45510</v>
      </c>
      <c r="D707" t="inlineStr">
        <is>
          <t>DALARNAS LÄN</t>
        </is>
      </c>
      <c r="E707" t="inlineStr">
        <is>
          <t>LUDVIKA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47940-2023</t>
        </is>
      </c>
      <c r="B708" s="1" t="n">
        <v>45204</v>
      </c>
      <c r="C708" s="1" t="n">
        <v>45510</v>
      </c>
      <c r="D708" t="inlineStr">
        <is>
          <t>DALARNAS LÄN</t>
        </is>
      </c>
      <c r="E708" t="inlineStr">
        <is>
          <t>LUDVIKA</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48003-2023</t>
        </is>
      </c>
      <c r="B709" s="1" t="n">
        <v>45204</v>
      </c>
      <c r="C709" s="1" t="n">
        <v>45510</v>
      </c>
      <c r="D709" t="inlineStr">
        <is>
          <t>DALARNAS LÄN</t>
        </is>
      </c>
      <c r="E709" t="inlineStr">
        <is>
          <t>LUDVIKA</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48212-2023</t>
        </is>
      </c>
      <c r="B710" s="1" t="n">
        <v>45205</v>
      </c>
      <c r="C710" s="1" t="n">
        <v>45510</v>
      </c>
      <c r="D710" t="inlineStr">
        <is>
          <t>DALARNAS LÄN</t>
        </is>
      </c>
      <c r="E710" t="inlineStr">
        <is>
          <t>LUDVIKA</t>
        </is>
      </c>
      <c r="F710" t="inlineStr">
        <is>
          <t>Bergvik skog väst AB</t>
        </is>
      </c>
      <c r="G710" t="n">
        <v>6.5</v>
      </c>
      <c r="H710" t="n">
        <v>0</v>
      </c>
      <c r="I710" t="n">
        <v>0</v>
      </c>
      <c r="J710" t="n">
        <v>0</v>
      </c>
      <c r="K710" t="n">
        <v>0</v>
      </c>
      <c r="L710" t="n">
        <v>0</v>
      </c>
      <c r="M710" t="n">
        <v>0</v>
      </c>
      <c r="N710" t="n">
        <v>0</v>
      </c>
      <c r="O710" t="n">
        <v>0</v>
      </c>
      <c r="P710" t="n">
        <v>0</v>
      </c>
      <c r="Q710" t="n">
        <v>0</v>
      </c>
      <c r="R710" s="2" t="inlineStr"/>
    </row>
    <row r="711" ht="15" customHeight="1">
      <c r="A711" t="inlineStr">
        <is>
          <t>A 48288-2023</t>
        </is>
      </c>
      <c r="B711" s="1" t="n">
        <v>45205</v>
      </c>
      <c r="C711" s="1" t="n">
        <v>45510</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48352-2023</t>
        </is>
      </c>
      <c r="B712" s="1" t="n">
        <v>45205</v>
      </c>
      <c r="C712" s="1" t="n">
        <v>45510</v>
      </c>
      <c r="D712" t="inlineStr">
        <is>
          <t>DALARNAS LÄN</t>
        </is>
      </c>
      <c r="E712" t="inlineStr">
        <is>
          <t>LUDVIKA</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48331-2023</t>
        </is>
      </c>
      <c r="B713" s="1" t="n">
        <v>45205</v>
      </c>
      <c r="C713" s="1" t="n">
        <v>45510</v>
      </c>
      <c r="D713" t="inlineStr">
        <is>
          <t>DALARNAS LÄN</t>
        </is>
      </c>
      <c r="E713" t="inlineStr">
        <is>
          <t>LUDVIKA</t>
        </is>
      </c>
      <c r="F713" t="inlineStr">
        <is>
          <t>Bergvik skog väst AB</t>
        </is>
      </c>
      <c r="G713" t="n">
        <v>4.2</v>
      </c>
      <c r="H713" t="n">
        <v>0</v>
      </c>
      <c r="I713" t="n">
        <v>0</v>
      </c>
      <c r="J713" t="n">
        <v>0</v>
      </c>
      <c r="K713" t="n">
        <v>0</v>
      </c>
      <c r="L713" t="n">
        <v>0</v>
      </c>
      <c r="M713" t="n">
        <v>0</v>
      </c>
      <c r="N713" t="n">
        <v>0</v>
      </c>
      <c r="O713" t="n">
        <v>0</v>
      </c>
      <c r="P713" t="n">
        <v>0</v>
      </c>
      <c r="Q713" t="n">
        <v>0</v>
      </c>
      <c r="R713" s="2" t="inlineStr"/>
    </row>
    <row r="714" ht="15" customHeight="1">
      <c r="A714" t="inlineStr">
        <is>
          <t>A 48559-2023</t>
        </is>
      </c>
      <c r="B714" s="1" t="n">
        <v>45208</v>
      </c>
      <c r="C714" s="1" t="n">
        <v>45510</v>
      </c>
      <c r="D714" t="inlineStr">
        <is>
          <t>DALARNAS LÄN</t>
        </is>
      </c>
      <c r="E714" t="inlineStr">
        <is>
          <t>LUDVIKA</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48589-2023</t>
        </is>
      </c>
      <c r="B715" s="1" t="n">
        <v>45208</v>
      </c>
      <c r="C715" s="1" t="n">
        <v>45510</v>
      </c>
      <c r="D715" t="inlineStr">
        <is>
          <t>DALARNAS LÄN</t>
        </is>
      </c>
      <c r="E715" t="inlineStr">
        <is>
          <t>LUDVIKA</t>
        </is>
      </c>
      <c r="F715" t="inlineStr">
        <is>
          <t>Naturvårdsverket</t>
        </is>
      </c>
      <c r="G715" t="n">
        <v>0.7</v>
      </c>
      <c r="H715" t="n">
        <v>0</v>
      </c>
      <c r="I715" t="n">
        <v>0</v>
      </c>
      <c r="J715" t="n">
        <v>0</v>
      </c>
      <c r="K715" t="n">
        <v>0</v>
      </c>
      <c r="L715" t="n">
        <v>0</v>
      </c>
      <c r="M715" t="n">
        <v>0</v>
      </c>
      <c r="N715" t="n">
        <v>0</v>
      </c>
      <c r="O715" t="n">
        <v>0</v>
      </c>
      <c r="P715" t="n">
        <v>0</v>
      </c>
      <c r="Q715" t="n">
        <v>0</v>
      </c>
      <c r="R715" s="2" t="inlineStr"/>
    </row>
    <row r="716" ht="15" customHeight="1">
      <c r="A716" t="inlineStr">
        <is>
          <t>A 48522-2023</t>
        </is>
      </c>
      <c r="B716" s="1" t="n">
        <v>45208</v>
      </c>
      <c r="C716" s="1" t="n">
        <v>45510</v>
      </c>
      <c r="D716" t="inlineStr">
        <is>
          <t>DALARNAS LÄN</t>
        </is>
      </c>
      <c r="E716" t="inlineStr">
        <is>
          <t>LUDVIKA</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48615-2023</t>
        </is>
      </c>
      <c r="B717" s="1" t="n">
        <v>45208</v>
      </c>
      <c r="C717" s="1" t="n">
        <v>45510</v>
      </c>
      <c r="D717" t="inlineStr">
        <is>
          <t>DALARNAS LÄN</t>
        </is>
      </c>
      <c r="E717" t="inlineStr">
        <is>
          <t>LUDVIKA</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48683-2023</t>
        </is>
      </c>
      <c r="B718" s="1" t="n">
        <v>45208</v>
      </c>
      <c r="C718" s="1" t="n">
        <v>45510</v>
      </c>
      <c r="D718" t="inlineStr">
        <is>
          <t>DALARNAS LÄN</t>
        </is>
      </c>
      <c r="E718" t="inlineStr">
        <is>
          <t>LUDVIKA</t>
        </is>
      </c>
      <c r="G718" t="n">
        <v>1.3</v>
      </c>
      <c r="H718" t="n">
        <v>0</v>
      </c>
      <c r="I718" t="n">
        <v>0</v>
      </c>
      <c r="J718" t="n">
        <v>0</v>
      </c>
      <c r="K718" t="n">
        <v>0</v>
      </c>
      <c r="L718" t="n">
        <v>0</v>
      </c>
      <c r="M718" t="n">
        <v>0</v>
      </c>
      <c r="N718" t="n">
        <v>0</v>
      </c>
      <c r="O718" t="n">
        <v>0</v>
      </c>
      <c r="P718" t="n">
        <v>0</v>
      </c>
      <c r="Q718" t="n">
        <v>0</v>
      </c>
      <c r="R718" s="2" t="inlineStr"/>
    </row>
    <row r="719" ht="15" customHeight="1">
      <c r="A719" t="inlineStr">
        <is>
          <t>A 49060-2023</t>
        </is>
      </c>
      <c r="B719" s="1" t="n">
        <v>45210</v>
      </c>
      <c r="C719" s="1" t="n">
        <v>45510</v>
      </c>
      <c r="D719" t="inlineStr">
        <is>
          <t>DALARNAS LÄN</t>
        </is>
      </c>
      <c r="E719" t="inlineStr">
        <is>
          <t>LUDVIKA</t>
        </is>
      </c>
      <c r="F719" t="inlineStr">
        <is>
          <t>Naturvårdsverket</t>
        </is>
      </c>
      <c r="G719" t="n">
        <v>0.8</v>
      </c>
      <c r="H719" t="n">
        <v>0</v>
      </c>
      <c r="I719" t="n">
        <v>0</v>
      </c>
      <c r="J719" t="n">
        <v>0</v>
      </c>
      <c r="K719" t="n">
        <v>0</v>
      </c>
      <c r="L719" t="n">
        <v>0</v>
      </c>
      <c r="M719" t="n">
        <v>0</v>
      </c>
      <c r="N719" t="n">
        <v>0</v>
      </c>
      <c r="O719" t="n">
        <v>0</v>
      </c>
      <c r="P719" t="n">
        <v>0</v>
      </c>
      <c r="Q719" t="n">
        <v>0</v>
      </c>
      <c r="R719" s="2" t="inlineStr"/>
    </row>
    <row r="720" ht="15" customHeight="1">
      <c r="A720" t="inlineStr">
        <is>
          <t>A 49114-2023</t>
        </is>
      </c>
      <c r="B720" s="1" t="n">
        <v>45210</v>
      </c>
      <c r="C720" s="1" t="n">
        <v>45510</v>
      </c>
      <c r="D720" t="inlineStr">
        <is>
          <t>DALARNAS LÄN</t>
        </is>
      </c>
      <c r="E720" t="inlineStr">
        <is>
          <t>LUDVIKA</t>
        </is>
      </c>
      <c r="F720" t="inlineStr">
        <is>
          <t>Naturvårdsverket</t>
        </is>
      </c>
      <c r="G720" t="n">
        <v>4</v>
      </c>
      <c r="H720" t="n">
        <v>0</v>
      </c>
      <c r="I720" t="n">
        <v>0</v>
      </c>
      <c r="J720" t="n">
        <v>0</v>
      </c>
      <c r="K720" t="n">
        <v>0</v>
      </c>
      <c r="L720" t="n">
        <v>0</v>
      </c>
      <c r="M720" t="n">
        <v>0</v>
      </c>
      <c r="N720" t="n">
        <v>0</v>
      </c>
      <c r="O720" t="n">
        <v>0</v>
      </c>
      <c r="P720" t="n">
        <v>0</v>
      </c>
      <c r="Q720" t="n">
        <v>0</v>
      </c>
      <c r="R720" s="2" t="inlineStr"/>
    </row>
    <row r="721" ht="15" customHeight="1">
      <c r="A721" t="inlineStr">
        <is>
          <t>A 49714-2023</t>
        </is>
      </c>
      <c r="B721" s="1" t="n">
        <v>45212</v>
      </c>
      <c r="C721" s="1" t="n">
        <v>45510</v>
      </c>
      <c r="D721" t="inlineStr">
        <is>
          <t>DALARNAS LÄN</t>
        </is>
      </c>
      <c r="E721" t="inlineStr">
        <is>
          <t>LUDVIKA</t>
        </is>
      </c>
      <c r="F721" t="inlineStr">
        <is>
          <t>Bergvik skog väst AB</t>
        </is>
      </c>
      <c r="G721" t="n">
        <v>5.7</v>
      </c>
      <c r="H721" t="n">
        <v>0</v>
      </c>
      <c r="I721" t="n">
        <v>0</v>
      </c>
      <c r="J721" t="n">
        <v>0</v>
      </c>
      <c r="K721" t="n">
        <v>0</v>
      </c>
      <c r="L721" t="n">
        <v>0</v>
      </c>
      <c r="M721" t="n">
        <v>0</v>
      </c>
      <c r="N721" t="n">
        <v>0</v>
      </c>
      <c r="O721" t="n">
        <v>0</v>
      </c>
      <c r="P721" t="n">
        <v>0</v>
      </c>
      <c r="Q721" t="n">
        <v>0</v>
      </c>
      <c r="R721" s="2" t="inlineStr"/>
    </row>
    <row r="722" ht="15" customHeight="1">
      <c r="A722" t="inlineStr">
        <is>
          <t>A 49798-2023</t>
        </is>
      </c>
      <c r="B722" s="1" t="n">
        <v>45212</v>
      </c>
      <c r="C722" s="1" t="n">
        <v>45510</v>
      </c>
      <c r="D722" t="inlineStr">
        <is>
          <t>DALARNAS LÄN</t>
        </is>
      </c>
      <c r="E722" t="inlineStr">
        <is>
          <t>LUDVIKA</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v>
      </c>
      <c r="C723" s="1" t="n">
        <v>45510</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50132-2023</t>
        </is>
      </c>
      <c r="B724" s="1" t="n">
        <v>45215</v>
      </c>
      <c r="C724" s="1" t="n">
        <v>45510</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50054-2023</t>
        </is>
      </c>
      <c r="B725" s="1" t="n">
        <v>45215</v>
      </c>
      <c r="C725" s="1" t="n">
        <v>45510</v>
      </c>
      <c r="D725" t="inlineStr">
        <is>
          <t>DALARNAS LÄN</t>
        </is>
      </c>
      <c r="E725" t="inlineStr">
        <is>
          <t>LUDVIKA</t>
        </is>
      </c>
      <c r="F725" t="inlineStr">
        <is>
          <t>Bergvik skog väst AB</t>
        </is>
      </c>
      <c r="G725" t="n">
        <v>11.4</v>
      </c>
      <c r="H725" t="n">
        <v>0</v>
      </c>
      <c r="I725" t="n">
        <v>0</v>
      </c>
      <c r="J725" t="n">
        <v>0</v>
      </c>
      <c r="K725" t="n">
        <v>0</v>
      </c>
      <c r="L725" t="n">
        <v>0</v>
      </c>
      <c r="M725" t="n">
        <v>0</v>
      </c>
      <c r="N725" t="n">
        <v>0</v>
      </c>
      <c r="O725" t="n">
        <v>0</v>
      </c>
      <c r="P725" t="n">
        <v>0</v>
      </c>
      <c r="Q725" t="n">
        <v>0</v>
      </c>
      <c r="R725" s="2" t="inlineStr"/>
    </row>
    <row r="726" ht="15" customHeight="1">
      <c r="A726" t="inlineStr">
        <is>
          <t>A 50310-2023</t>
        </is>
      </c>
      <c r="B726" s="1" t="n">
        <v>45216</v>
      </c>
      <c r="C726" s="1" t="n">
        <v>45510</v>
      </c>
      <c r="D726" t="inlineStr">
        <is>
          <t>DALARNAS LÄN</t>
        </is>
      </c>
      <c r="E726" t="inlineStr">
        <is>
          <t>LUDVIKA</t>
        </is>
      </c>
      <c r="G726" t="n">
        <v>2</v>
      </c>
      <c r="H726" t="n">
        <v>0</v>
      </c>
      <c r="I726" t="n">
        <v>0</v>
      </c>
      <c r="J726" t="n">
        <v>0</v>
      </c>
      <c r="K726" t="n">
        <v>0</v>
      </c>
      <c r="L726" t="n">
        <v>0</v>
      </c>
      <c r="M726" t="n">
        <v>0</v>
      </c>
      <c r="N726" t="n">
        <v>0</v>
      </c>
      <c r="O726" t="n">
        <v>0</v>
      </c>
      <c r="P726" t="n">
        <v>0</v>
      </c>
      <c r="Q726" t="n">
        <v>0</v>
      </c>
      <c r="R726" s="2" t="inlineStr"/>
    </row>
    <row r="727" ht="15" customHeight="1">
      <c r="A727" t="inlineStr">
        <is>
          <t>A 50594-2023</t>
        </is>
      </c>
      <c r="B727" s="1" t="n">
        <v>45217</v>
      </c>
      <c r="C727" s="1" t="n">
        <v>45510</v>
      </c>
      <c r="D727" t="inlineStr">
        <is>
          <t>DALARNAS LÄN</t>
        </is>
      </c>
      <c r="E727" t="inlineStr">
        <is>
          <t>LUDVIKA</t>
        </is>
      </c>
      <c r="F727" t="inlineStr">
        <is>
          <t>Bergvik skog väst AB</t>
        </is>
      </c>
      <c r="G727" t="n">
        <v>10.3</v>
      </c>
      <c r="H727" t="n">
        <v>0</v>
      </c>
      <c r="I727" t="n">
        <v>0</v>
      </c>
      <c r="J727" t="n">
        <v>0</v>
      </c>
      <c r="K727" t="n">
        <v>0</v>
      </c>
      <c r="L727" t="n">
        <v>0</v>
      </c>
      <c r="M727" t="n">
        <v>0</v>
      </c>
      <c r="N727" t="n">
        <v>0</v>
      </c>
      <c r="O727" t="n">
        <v>0</v>
      </c>
      <c r="P727" t="n">
        <v>0</v>
      </c>
      <c r="Q727" t="n">
        <v>0</v>
      </c>
      <c r="R727" s="2" t="inlineStr"/>
    </row>
    <row r="728" ht="15" customHeight="1">
      <c r="A728" t="inlineStr">
        <is>
          <t>A 51015-2023</t>
        </is>
      </c>
      <c r="B728" s="1" t="n">
        <v>45218</v>
      </c>
      <c r="C728" s="1" t="n">
        <v>45510</v>
      </c>
      <c r="D728" t="inlineStr">
        <is>
          <t>DALARNAS LÄN</t>
        </is>
      </c>
      <c r="E728" t="inlineStr">
        <is>
          <t>LUDVIKA</t>
        </is>
      </c>
      <c r="G728" t="n">
        <v>5.9</v>
      </c>
      <c r="H728" t="n">
        <v>0</v>
      </c>
      <c r="I728" t="n">
        <v>0</v>
      </c>
      <c r="J728" t="n">
        <v>0</v>
      </c>
      <c r="K728" t="n">
        <v>0</v>
      </c>
      <c r="L728" t="n">
        <v>0</v>
      </c>
      <c r="M728" t="n">
        <v>0</v>
      </c>
      <c r="N728" t="n">
        <v>0</v>
      </c>
      <c r="O728" t="n">
        <v>0</v>
      </c>
      <c r="P728" t="n">
        <v>0</v>
      </c>
      <c r="Q728" t="n">
        <v>0</v>
      </c>
      <c r="R728" s="2" t="inlineStr"/>
    </row>
    <row r="729" ht="15" customHeight="1">
      <c r="A729" t="inlineStr">
        <is>
          <t>A 51208-2023</t>
        </is>
      </c>
      <c r="B729" s="1" t="n">
        <v>45219</v>
      </c>
      <c r="C729" s="1" t="n">
        <v>45510</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51181-2023</t>
        </is>
      </c>
      <c r="B730" s="1" t="n">
        <v>45219</v>
      </c>
      <c r="C730" s="1" t="n">
        <v>45510</v>
      </c>
      <c r="D730" t="inlineStr">
        <is>
          <t>DALARNAS LÄN</t>
        </is>
      </c>
      <c r="E730" t="inlineStr">
        <is>
          <t>LUDVIKA</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51160-2023</t>
        </is>
      </c>
      <c r="B731" s="1" t="n">
        <v>45219</v>
      </c>
      <c r="C731" s="1" t="n">
        <v>45510</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51200-2023</t>
        </is>
      </c>
      <c r="B732" s="1" t="n">
        <v>45219</v>
      </c>
      <c r="C732" s="1" t="n">
        <v>45510</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52038-2023</t>
        </is>
      </c>
      <c r="B733" s="1" t="n">
        <v>45223</v>
      </c>
      <c r="C733" s="1" t="n">
        <v>45510</v>
      </c>
      <c r="D733" t="inlineStr">
        <is>
          <t>DALARNAS LÄN</t>
        </is>
      </c>
      <c r="E733" t="inlineStr">
        <is>
          <t>LUDVIKA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52230-2023</t>
        </is>
      </c>
      <c r="B734" s="1" t="n">
        <v>45224</v>
      </c>
      <c r="C734" s="1" t="n">
        <v>45510</v>
      </c>
      <c r="D734" t="inlineStr">
        <is>
          <t>DALARNAS LÄN</t>
        </is>
      </c>
      <c r="E734" t="inlineStr">
        <is>
          <t>LUDVIKA</t>
        </is>
      </c>
      <c r="G734" t="n">
        <v>3.5</v>
      </c>
      <c r="H734" t="n">
        <v>0</v>
      </c>
      <c r="I734" t="n">
        <v>0</v>
      </c>
      <c r="J734" t="n">
        <v>0</v>
      </c>
      <c r="K734" t="n">
        <v>0</v>
      </c>
      <c r="L734" t="n">
        <v>0</v>
      </c>
      <c r="M734" t="n">
        <v>0</v>
      </c>
      <c r="N734" t="n">
        <v>0</v>
      </c>
      <c r="O734" t="n">
        <v>0</v>
      </c>
      <c r="P734" t="n">
        <v>0</v>
      </c>
      <c r="Q734" t="n">
        <v>0</v>
      </c>
      <c r="R734" s="2" t="inlineStr"/>
    </row>
    <row r="735" ht="15" customHeight="1">
      <c r="A735" t="inlineStr">
        <is>
          <t>A 52440-2023</t>
        </is>
      </c>
      <c r="B735" s="1" t="n">
        <v>45225</v>
      </c>
      <c r="C735" s="1" t="n">
        <v>45510</v>
      </c>
      <c r="D735" t="inlineStr">
        <is>
          <t>DALARNAS LÄN</t>
        </is>
      </c>
      <c r="E735" t="inlineStr">
        <is>
          <t>LUDVIKA</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52466-2023</t>
        </is>
      </c>
      <c r="B736" s="1" t="n">
        <v>45225</v>
      </c>
      <c r="C736" s="1" t="n">
        <v>45510</v>
      </c>
      <c r="D736" t="inlineStr">
        <is>
          <t>DALARNAS LÄN</t>
        </is>
      </c>
      <c r="E736" t="inlineStr">
        <is>
          <t>LUDVIKA</t>
        </is>
      </c>
      <c r="F736" t="inlineStr">
        <is>
          <t>Bergvik skog väst AB</t>
        </is>
      </c>
      <c r="G736" t="n">
        <v>3.6</v>
      </c>
      <c r="H736" t="n">
        <v>0</v>
      </c>
      <c r="I736" t="n">
        <v>0</v>
      </c>
      <c r="J736" t="n">
        <v>0</v>
      </c>
      <c r="K736" t="n">
        <v>0</v>
      </c>
      <c r="L736" t="n">
        <v>0</v>
      </c>
      <c r="M736" t="n">
        <v>0</v>
      </c>
      <c r="N736" t="n">
        <v>0</v>
      </c>
      <c r="O736" t="n">
        <v>0</v>
      </c>
      <c r="P736" t="n">
        <v>0</v>
      </c>
      <c r="Q736" t="n">
        <v>0</v>
      </c>
      <c r="R736" s="2" t="inlineStr"/>
    </row>
    <row r="737" ht="15" customHeight="1">
      <c r="A737" t="inlineStr">
        <is>
          <t>A 52461-2023</t>
        </is>
      </c>
      <c r="B737" s="1" t="n">
        <v>45225</v>
      </c>
      <c r="C737" s="1" t="n">
        <v>45510</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52720-2023</t>
        </is>
      </c>
      <c r="B738" s="1" t="n">
        <v>45225</v>
      </c>
      <c r="C738" s="1" t="n">
        <v>45510</v>
      </c>
      <c r="D738" t="inlineStr">
        <is>
          <t>DALARNAS LÄN</t>
        </is>
      </c>
      <c r="E738" t="inlineStr">
        <is>
          <t>LUDVIKA</t>
        </is>
      </c>
      <c r="G738" t="n">
        <v>6.2</v>
      </c>
      <c r="H738" t="n">
        <v>0</v>
      </c>
      <c r="I738" t="n">
        <v>0</v>
      </c>
      <c r="J738" t="n">
        <v>0</v>
      </c>
      <c r="K738" t="n">
        <v>0</v>
      </c>
      <c r="L738" t="n">
        <v>0</v>
      </c>
      <c r="M738" t="n">
        <v>0</v>
      </c>
      <c r="N738" t="n">
        <v>0</v>
      </c>
      <c r="O738" t="n">
        <v>0</v>
      </c>
      <c r="P738" t="n">
        <v>0</v>
      </c>
      <c r="Q738" t="n">
        <v>0</v>
      </c>
      <c r="R738" s="2" t="inlineStr"/>
    </row>
    <row r="739" ht="15" customHeight="1">
      <c r="A739" t="inlineStr">
        <is>
          <t>A 52868-2023</t>
        </is>
      </c>
      <c r="B739" s="1" t="n">
        <v>45226</v>
      </c>
      <c r="C739" s="1" t="n">
        <v>45510</v>
      </c>
      <c r="D739" t="inlineStr">
        <is>
          <t>DALARNAS LÄN</t>
        </is>
      </c>
      <c r="E739" t="inlineStr">
        <is>
          <t>LUDVIKA</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52894-2023</t>
        </is>
      </c>
      <c r="B740" s="1" t="n">
        <v>45226</v>
      </c>
      <c r="C740" s="1" t="n">
        <v>45510</v>
      </c>
      <c r="D740" t="inlineStr">
        <is>
          <t>DALARNAS LÄN</t>
        </is>
      </c>
      <c r="E740" t="inlineStr">
        <is>
          <t>LUDVIKA</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52932-2023</t>
        </is>
      </c>
      <c r="B741" s="1" t="n">
        <v>45226</v>
      </c>
      <c r="C741" s="1" t="n">
        <v>45510</v>
      </c>
      <c r="D741" t="inlineStr">
        <is>
          <t>DALARNAS LÄN</t>
        </is>
      </c>
      <c r="E741" t="inlineStr">
        <is>
          <t>LUDVIKA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53632-2023</t>
        </is>
      </c>
      <c r="B742" s="1" t="n">
        <v>45230</v>
      </c>
      <c r="C742" s="1" t="n">
        <v>45510</v>
      </c>
      <c r="D742" t="inlineStr">
        <is>
          <t>DALARNAS LÄN</t>
        </is>
      </c>
      <c r="E742" t="inlineStr">
        <is>
          <t>LUDVIKA</t>
        </is>
      </c>
      <c r="F742" t="inlineStr">
        <is>
          <t>Bergvik skog väst AB</t>
        </is>
      </c>
      <c r="G742" t="n">
        <v>0.9</v>
      </c>
      <c r="H742" t="n">
        <v>0</v>
      </c>
      <c r="I742" t="n">
        <v>0</v>
      </c>
      <c r="J742" t="n">
        <v>0</v>
      </c>
      <c r="K742" t="n">
        <v>0</v>
      </c>
      <c r="L742" t="n">
        <v>0</v>
      </c>
      <c r="M742" t="n">
        <v>0</v>
      </c>
      <c r="N742" t="n">
        <v>0</v>
      </c>
      <c r="O742" t="n">
        <v>0</v>
      </c>
      <c r="P742" t="n">
        <v>0</v>
      </c>
      <c r="Q742" t="n">
        <v>0</v>
      </c>
      <c r="R742" s="2" t="inlineStr"/>
    </row>
    <row r="743" ht="15" customHeight="1">
      <c r="A743" t="inlineStr">
        <is>
          <t>A 53622-2023</t>
        </is>
      </c>
      <c r="B743" s="1" t="n">
        <v>45230</v>
      </c>
      <c r="C743" s="1" t="n">
        <v>45510</v>
      </c>
      <c r="D743" t="inlineStr">
        <is>
          <t>DALARNAS LÄN</t>
        </is>
      </c>
      <c r="E743" t="inlineStr">
        <is>
          <t>LUDVIKA</t>
        </is>
      </c>
      <c r="G743" t="n">
        <v>2.3</v>
      </c>
      <c r="H743" t="n">
        <v>0</v>
      </c>
      <c r="I743" t="n">
        <v>0</v>
      </c>
      <c r="J743" t="n">
        <v>0</v>
      </c>
      <c r="K743" t="n">
        <v>0</v>
      </c>
      <c r="L743" t="n">
        <v>0</v>
      </c>
      <c r="M743" t="n">
        <v>0</v>
      </c>
      <c r="N743" t="n">
        <v>0</v>
      </c>
      <c r="O743" t="n">
        <v>0</v>
      </c>
      <c r="P743" t="n">
        <v>0</v>
      </c>
      <c r="Q743" t="n">
        <v>0</v>
      </c>
      <c r="R743" s="2" t="inlineStr"/>
    </row>
    <row r="744" ht="15" customHeight="1">
      <c r="A744" t="inlineStr">
        <is>
          <t>A 53602-2023</t>
        </is>
      </c>
      <c r="B744" s="1" t="n">
        <v>45230</v>
      </c>
      <c r="C744" s="1" t="n">
        <v>45510</v>
      </c>
      <c r="D744" t="inlineStr">
        <is>
          <t>DALARNAS LÄN</t>
        </is>
      </c>
      <c r="E744" t="inlineStr">
        <is>
          <t>LUDVIKA</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53633-2023</t>
        </is>
      </c>
      <c r="B745" s="1" t="n">
        <v>45230</v>
      </c>
      <c r="C745" s="1" t="n">
        <v>45510</v>
      </c>
      <c r="D745" t="inlineStr">
        <is>
          <t>DALARNAS LÄN</t>
        </is>
      </c>
      <c r="E745" t="inlineStr">
        <is>
          <t>LUDVIKA</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53570-2023</t>
        </is>
      </c>
      <c r="B746" s="1" t="n">
        <v>45230</v>
      </c>
      <c r="C746" s="1" t="n">
        <v>45510</v>
      </c>
      <c r="D746" t="inlineStr">
        <is>
          <t>DALARNAS LÄN</t>
        </is>
      </c>
      <c r="E746" t="inlineStr">
        <is>
          <t>LUDVIKA</t>
        </is>
      </c>
      <c r="F746" t="inlineStr">
        <is>
          <t>Bergvik skog väst AB</t>
        </is>
      </c>
      <c r="G746" t="n">
        <v>1.9</v>
      </c>
      <c r="H746" t="n">
        <v>0</v>
      </c>
      <c r="I746" t="n">
        <v>0</v>
      </c>
      <c r="J746" t="n">
        <v>0</v>
      </c>
      <c r="K746" t="n">
        <v>0</v>
      </c>
      <c r="L746" t="n">
        <v>0</v>
      </c>
      <c r="M746" t="n">
        <v>0</v>
      </c>
      <c r="N746" t="n">
        <v>0</v>
      </c>
      <c r="O746" t="n">
        <v>0</v>
      </c>
      <c r="P746" t="n">
        <v>0</v>
      </c>
      <c r="Q746" t="n">
        <v>0</v>
      </c>
      <c r="R746" s="2" t="inlineStr"/>
    </row>
    <row r="747" ht="15" customHeight="1">
      <c r="A747" t="inlineStr">
        <is>
          <t>A 54744-2023</t>
        </is>
      </c>
      <c r="B747" s="1" t="n">
        <v>45236</v>
      </c>
      <c r="C747" s="1" t="n">
        <v>45510</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54886-2023</t>
        </is>
      </c>
      <c r="B748" s="1" t="n">
        <v>45236</v>
      </c>
      <c r="C748" s="1" t="n">
        <v>45510</v>
      </c>
      <c r="D748" t="inlineStr">
        <is>
          <t>DALARNAS LÄN</t>
        </is>
      </c>
      <c r="E748" t="inlineStr">
        <is>
          <t>LUDVIKA</t>
        </is>
      </c>
      <c r="F748" t="inlineStr">
        <is>
          <t>Bergvik skog väst AB</t>
        </is>
      </c>
      <c r="G748" t="n">
        <v>4.6</v>
      </c>
      <c r="H748" t="n">
        <v>0</v>
      </c>
      <c r="I748" t="n">
        <v>0</v>
      </c>
      <c r="J748" t="n">
        <v>0</v>
      </c>
      <c r="K748" t="n">
        <v>0</v>
      </c>
      <c r="L748" t="n">
        <v>0</v>
      </c>
      <c r="M748" t="n">
        <v>0</v>
      </c>
      <c r="N748" t="n">
        <v>0</v>
      </c>
      <c r="O748" t="n">
        <v>0</v>
      </c>
      <c r="P748" t="n">
        <v>0</v>
      </c>
      <c r="Q748" t="n">
        <v>0</v>
      </c>
      <c r="R748" s="2" t="inlineStr"/>
    </row>
    <row r="749" ht="15" customHeight="1">
      <c r="A749" t="inlineStr">
        <is>
          <t>A 55213-2023</t>
        </is>
      </c>
      <c r="B749" s="1" t="n">
        <v>45237</v>
      </c>
      <c r="C749" s="1" t="n">
        <v>45510</v>
      </c>
      <c r="D749" t="inlineStr">
        <is>
          <t>DALARNAS LÄN</t>
        </is>
      </c>
      <c r="E749" t="inlineStr">
        <is>
          <t>LUDVIKA</t>
        </is>
      </c>
      <c r="G749" t="n">
        <v>5.1</v>
      </c>
      <c r="H749" t="n">
        <v>0</v>
      </c>
      <c r="I749" t="n">
        <v>0</v>
      </c>
      <c r="J749" t="n">
        <v>0</v>
      </c>
      <c r="K749" t="n">
        <v>0</v>
      </c>
      <c r="L749" t="n">
        <v>0</v>
      </c>
      <c r="M749" t="n">
        <v>0</v>
      </c>
      <c r="N749" t="n">
        <v>0</v>
      </c>
      <c r="O749" t="n">
        <v>0</v>
      </c>
      <c r="P749" t="n">
        <v>0</v>
      </c>
      <c r="Q749" t="n">
        <v>0</v>
      </c>
      <c r="R749" s="2" t="inlineStr"/>
    </row>
    <row r="750" ht="15" customHeight="1">
      <c r="A750" t="inlineStr">
        <is>
          <t>A 55760-2023</t>
        </is>
      </c>
      <c r="B750" s="1" t="n">
        <v>45239</v>
      </c>
      <c r="C750" s="1" t="n">
        <v>45510</v>
      </c>
      <c r="D750" t="inlineStr">
        <is>
          <t>DALARNAS LÄN</t>
        </is>
      </c>
      <c r="E750" t="inlineStr">
        <is>
          <t>LUDVIKA</t>
        </is>
      </c>
      <c r="F750" t="inlineStr">
        <is>
          <t>Bergvik skog väst AB</t>
        </is>
      </c>
      <c r="G750" t="n">
        <v>9.1</v>
      </c>
      <c r="H750" t="n">
        <v>0</v>
      </c>
      <c r="I750" t="n">
        <v>0</v>
      </c>
      <c r="J750" t="n">
        <v>0</v>
      </c>
      <c r="K750" t="n">
        <v>0</v>
      </c>
      <c r="L750" t="n">
        <v>0</v>
      </c>
      <c r="M750" t="n">
        <v>0</v>
      </c>
      <c r="N750" t="n">
        <v>0</v>
      </c>
      <c r="O750" t="n">
        <v>0</v>
      </c>
      <c r="P750" t="n">
        <v>0</v>
      </c>
      <c r="Q750" t="n">
        <v>0</v>
      </c>
      <c r="R750" s="2" t="inlineStr"/>
    </row>
    <row r="751" ht="15" customHeight="1">
      <c r="A751" t="inlineStr">
        <is>
          <t>A 56604-2023</t>
        </is>
      </c>
      <c r="B751" s="1" t="n">
        <v>45243</v>
      </c>
      <c r="C751" s="1" t="n">
        <v>45510</v>
      </c>
      <c r="D751" t="inlineStr">
        <is>
          <t>DALARNAS LÄN</t>
        </is>
      </c>
      <c r="E751" t="inlineStr">
        <is>
          <t>LUDVIKA</t>
        </is>
      </c>
      <c r="G751" t="n">
        <v>2.5</v>
      </c>
      <c r="H751" t="n">
        <v>0</v>
      </c>
      <c r="I751" t="n">
        <v>0</v>
      </c>
      <c r="J751" t="n">
        <v>0</v>
      </c>
      <c r="K751" t="n">
        <v>0</v>
      </c>
      <c r="L751" t="n">
        <v>0</v>
      </c>
      <c r="M751" t="n">
        <v>0</v>
      </c>
      <c r="N751" t="n">
        <v>0</v>
      </c>
      <c r="O751" t="n">
        <v>0</v>
      </c>
      <c r="P751" t="n">
        <v>0</v>
      </c>
      <c r="Q751" t="n">
        <v>0</v>
      </c>
      <c r="R751" s="2" t="inlineStr"/>
    </row>
    <row r="752" ht="15" customHeight="1">
      <c r="A752" t="inlineStr">
        <is>
          <t>A 56672-2023</t>
        </is>
      </c>
      <c r="B752" s="1" t="n">
        <v>45243</v>
      </c>
      <c r="C752" s="1" t="n">
        <v>45510</v>
      </c>
      <c r="D752" t="inlineStr">
        <is>
          <t>DALARNAS LÄN</t>
        </is>
      </c>
      <c r="E752" t="inlineStr">
        <is>
          <t>LUDVIKA</t>
        </is>
      </c>
      <c r="G752" t="n">
        <v>2.9</v>
      </c>
      <c r="H752" t="n">
        <v>0</v>
      </c>
      <c r="I752" t="n">
        <v>0</v>
      </c>
      <c r="J752" t="n">
        <v>0</v>
      </c>
      <c r="K752" t="n">
        <v>0</v>
      </c>
      <c r="L752" t="n">
        <v>0</v>
      </c>
      <c r="M752" t="n">
        <v>0</v>
      </c>
      <c r="N752" t="n">
        <v>0</v>
      </c>
      <c r="O752" t="n">
        <v>0</v>
      </c>
      <c r="P752" t="n">
        <v>0</v>
      </c>
      <c r="Q752" t="n">
        <v>0</v>
      </c>
      <c r="R752" s="2" t="inlineStr"/>
    </row>
    <row r="753" ht="15" customHeight="1">
      <c r="A753" t="inlineStr">
        <is>
          <t>A 56621-2023</t>
        </is>
      </c>
      <c r="B753" s="1" t="n">
        <v>45243</v>
      </c>
      <c r="C753" s="1" t="n">
        <v>45510</v>
      </c>
      <c r="D753" t="inlineStr">
        <is>
          <t>DALARNAS LÄN</t>
        </is>
      </c>
      <c r="E753" t="inlineStr">
        <is>
          <t>LUDVIKA</t>
        </is>
      </c>
      <c r="G753" t="n">
        <v>0.5</v>
      </c>
      <c r="H753" t="n">
        <v>0</v>
      </c>
      <c r="I753" t="n">
        <v>0</v>
      </c>
      <c r="J753" t="n">
        <v>0</v>
      </c>
      <c r="K753" t="n">
        <v>0</v>
      </c>
      <c r="L753" t="n">
        <v>0</v>
      </c>
      <c r="M753" t="n">
        <v>0</v>
      </c>
      <c r="N753" t="n">
        <v>0</v>
      </c>
      <c r="O753" t="n">
        <v>0</v>
      </c>
      <c r="P753" t="n">
        <v>0</v>
      </c>
      <c r="Q753" t="n">
        <v>0</v>
      </c>
      <c r="R753" s="2" t="inlineStr"/>
    </row>
    <row r="754" ht="15" customHeight="1">
      <c r="A754" t="inlineStr">
        <is>
          <t>A 56818-2023</t>
        </is>
      </c>
      <c r="B754" s="1" t="n">
        <v>45244</v>
      </c>
      <c r="C754" s="1" t="n">
        <v>45510</v>
      </c>
      <c r="D754" t="inlineStr">
        <is>
          <t>DALARNAS LÄN</t>
        </is>
      </c>
      <c r="E754" t="inlineStr">
        <is>
          <t>LUDVIKA</t>
        </is>
      </c>
      <c r="G754" t="n">
        <v>1.4</v>
      </c>
      <c r="H754" t="n">
        <v>0</v>
      </c>
      <c r="I754" t="n">
        <v>0</v>
      </c>
      <c r="J754" t="n">
        <v>0</v>
      </c>
      <c r="K754" t="n">
        <v>0</v>
      </c>
      <c r="L754" t="n">
        <v>0</v>
      </c>
      <c r="M754" t="n">
        <v>0</v>
      </c>
      <c r="N754" t="n">
        <v>0</v>
      </c>
      <c r="O754" t="n">
        <v>0</v>
      </c>
      <c r="P754" t="n">
        <v>0</v>
      </c>
      <c r="Q754" t="n">
        <v>0</v>
      </c>
      <c r="R754" s="2" t="inlineStr"/>
    </row>
    <row r="755" ht="15" customHeight="1">
      <c r="A755" t="inlineStr">
        <is>
          <t>A 57557-2023</t>
        </is>
      </c>
      <c r="B755" s="1" t="n">
        <v>45246</v>
      </c>
      <c r="C755" s="1" t="n">
        <v>45510</v>
      </c>
      <c r="D755" t="inlineStr">
        <is>
          <t>DALARNAS LÄN</t>
        </is>
      </c>
      <c r="E755" t="inlineStr">
        <is>
          <t>LUDVIKA</t>
        </is>
      </c>
      <c r="G755" t="n">
        <v>12.7</v>
      </c>
      <c r="H755" t="n">
        <v>0</v>
      </c>
      <c r="I755" t="n">
        <v>0</v>
      </c>
      <c r="J755" t="n">
        <v>0</v>
      </c>
      <c r="K755" t="n">
        <v>0</v>
      </c>
      <c r="L755" t="n">
        <v>0</v>
      </c>
      <c r="M755" t="n">
        <v>0</v>
      </c>
      <c r="N755" t="n">
        <v>0</v>
      </c>
      <c r="O755" t="n">
        <v>0</v>
      </c>
      <c r="P755" t="n">
        <v>0</v>
      </c>
      <c r="Q755" t="n">
        <v>0</v>
      </c>
      <c r="R755" s="2" t="inlineStr"/>
    </row>
    <row r="756" ht="15" customHeight="1">
      <c r="A756" t="inlineStr">
        <is>
          <t>A 57424-2023</t>
        </is>
      </c>
      <c r="B756" s="1" t="n">
        <v>45246</v>
      </c>
      <c r="C756" s="1" t="n">
        <v>45510</v>
      </c>
      <c r="D756" t="inlineStr">
        <is>
          <t>DALARNAS LÄN</t>
        </is>
      </c>
      <c r="E756" t="inlineStr">
        <is>
          <t>LUDVIKA</t>
        </is>
      </c>
      <c r="G756" t="n">
        <v>4.5</v>
      </c>
      <c r="H756" t="n">
        <v>0</v>
      </c>
      <c r="I756" t="n">
        <v>0</v>
      </c>
      <c r="J756" t="n">
        <v>0</v>
      </c>
      <c r="K756" t="n">
        <v>0</v>
      </c>
      <c r="L756" t="n">
        <v>0</v>
      </c>
      <c r="M756" t="n">
        <v>0</v>
      </c>
      <c r="N756" t="n">
        <v>0</v>
      </c>
      <c r="O756" t="n">
        <v>0</v>
      </c>
      <c r="P756" t="n">
        <v>0</v>
      </c>
      <c r="Q756" t="n">
        <v>0</v>
      </c>
      <c r="R756" s="2" t="inlineStr"/>
    </row>
    <row r="757" ht="15" customHeight="1">
      <c r="A757" t="inlineStr">
        <is>
          <t>A 57803-2023</t>
        </is>
      </c>
      <c r="B757" s="1" t="n">
        <v>45246</v>
      </c>
      <c r="C757" s="1" t="n">
        <v>45510</v>
      </c>
      <c r="D757" t="inlineStr">
        <is>
          <t>DALARNAS LÄN</t>
        </is>
      </c>
      <c r="E757" t="inlineStr">
        <is>
          <t>LUDVIKA</t>
        </is>
      </c>
      <c r="G757" t="n">
        <v>3.3</v>
      </c>
      <c r="H757" t="n">
        <v>0</v>
      </c>
      <c r="I757" t="n">
        <v>0</v>
      </c>
      <c r="J757" t="n">
        <v>0</v>
      </c>
      <c r="K757" t="n">
        <v>0</v>
      </c>
      <c r="L757" t="n">
        <v>0</v>
      </c>
      <c r="M757" t="n">
        <v>0</v>
      </c>
      <c r="N757" t="n">
        <v>0</v>
      </c>
      <c r="O757" t="n">
        <v>0</v>
      </c>
      <c r="P757" t="n">
        <v>0</v>
      </c>
      <c r="Q757" t="n">
        <v>0</v>
      </c>
      <c r="R757" s="2" t="inlineStr"/>
    </row>
    <row r="758" ht="15" customHeight="1">
      <c r="A758" t="inlineStr">
        <is>
          <t>A 57858-2023</t>
        </is>
      </c>
      <c r="B758" s="1" t="n">
        <v>45247</v>
      </c>
      <c r="C758" s="1" t="n">
        <v>45510</v>
      </c>
      <c r="D758" t="inlineStr">
        <is>
          <t>DALARNAS LÄN</t>
        </is>
      </c>
      <c r="E758" t="inlineStr">
        <is>
          <t>LUDVIKA</t>
        </is>
      </c>
      <c r="F758" t="inlineStr">
        <is>
          <t>Bergvik skog väst AB</t>
        </is>
      </c>
      <c r="G758" t="n">
        <v>14.2</v>
      </c>
      <c r="H758" t="n">
        <v>0</v>
      </c>
      <c r="I758" t="n">
        <v>0</v>
      </c>
      <c r="J758" t="n">
        <v>0</v>
      </c>
      <c r="K758" t="n">
        <v>0</v>
      </c>
      <c r="L758" t="n">
        <v>0</v>
      </c>
      <c r="M758" t="n">
        <v>0</v>
      </c>
      <c r="N758" t="n">
        <v>0</v>
      </c>
      <c r="O758" t="n">
        <v>0</v>
      </c>
      <c r="P758" t="n">
        <v>0</v>
      </c>
      <c r="Q758" t="n">
        <v>0</v>
      </c>
      <c r="R758" s="2" t="inlineStr"/>
    </row>
    <row r="759" ht="15" customHeight="1">
      <c r="A759" t="inlineStr">
        <is>
          <t>A 57922-2023</t>
        </is>
      </c>
      <c r="B759" s="1" t="n">
        <v>45247</v>
      </c>
      <c r="C759" s="1" t="n">
        <v>45510</v>
      </c>
      <c r="D759" t="inlineStr">
        <is>
          <t>DALARNAS LÄN</t>
        </is>
      </c>
      <c r="E759" t="inlineStr">
        <is>
          <t>LUDVIKA</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57982-2023</t>
        </is>
      </c>
      <c r="B760" s="1" t="n">
        <v>45247</v>
      </c>
      <c r="C760" s="1" t="n">
        <v>45510</v>
      </c>
      <c r="D760" t="inlineStr">
        <is>
          <t>DALARNAS LÄN</t>
        </is>
      </c>
      <c r="E760" t="inlineStr">
        <is>
          <t>LUDVIKA</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58112-2023</t>
        </is>
      </c>
      <c r="B761" s="1" t="n">
        <v>45249</v>
      </c>
      <c r="C761" s="1" t="n">
        <v>45510</v>
      </c>
      <c r="D761" t="inlineStr">
        <is>
          <t>DALARNAS LÄN</t>
        </is>
      </c>
      <c r="E761" t="inlineStr">
        <is>
          <t>LUDVIKA</t>
        </is>
      </c>
      <c r="G761" t="n">
        <v>4.7</v>
      </c>
      <c r="H761" t="n">
        <v>0</v>
      </c>
      <c r="I761" t="n">
        <v>0</v>
      </c>
      <c r="J761" t="n">
        <v>0</v>
      </c>
      <c r="K761" t="n">
        <v>0</v>
      </c>
      <c r="L761" t="n">
        <v>0</v>
      </c>
      <c r="M761" t="n">
        <v>0</v>
      </c>
      <c r="N761" t="n">
        <v>0</v>
      </c>
      <c r="O761" t="n">
        <v>0</v>
      </c>
      <c r="P761" t="n">
        <v>0</v>
      </c>
      <c r="Q761" t="n">
        <v>0</v>
      </c>
      <c r="R761" s="2" t="inlineStr"/>
    </row>
    <row r="762" ht="15" customHeight="1">
      <c r="A762" t="inlineStr">
        <is>
          <t>A 59201-2023</t>
        </is>
      </c>
      <c r="B762" s="1" t="n">
        <v>45253</v>
      </c>
      <c r="C762" s="1" t="n">
        <v>45510</v>
      </c>
      <c r="D762" t="inlineStr">
        <is>
          <t>DALARNAS LÄN</t>
        </is>
      </c>
      <c r="E762" t="inlineStr">
        <is>
          <t>LUDVIKA</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59206-2023</t>
        </is>
      </c>
      <c r="B763" s="1" t="n">
        <v>45253</v>
      </c>
      <c r="C763" s="1" t="n">
        <v>45510</v>
      </c>
      <c r="D763" t="inlineStr">
        <is>
          <t>DALARNAS LÄN</t>
        </is>
      </c>
      <c r="E763" t="inlineStr">
        <is>
          <t>LUDVIKA</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59219-2023</t>
        </is>
      </c>
      <c r="B764" s="1" t="n">
        <v>45253</v>
      </c>
      <c r="C764" s="1" t="n">
        <v>45510</v>
      </c>
      <c r="D764" t="inlineStr">
        <is>
          <t>DALARNAS LÄN</t>
        </is>
      </c>
      <c r="E764" t="inlineStr">
        <is>
          <t>LUDVIKA</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59285-2023</t>
        </is>
      </c>
      <c r="B765" s="1" t="n">
        <v>45253</v>
      </c>
      <c r="C765" s="1" t="n">
        <v>45510</v>
      </c>
      <c r="D765" t="inlineStr">
        <is>
          <t>DALARNAS LÄN</t>
        </is>
      </c>
      <c r="E765" t="inlineStr">
        <is>
          <t>LUDVIKA</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59351-2023</t>
        </is>
      </c>
      <c r="B766" s="1" t="n">
        <v>45253</v>
      </c>
      <c r="C766" s="1" t="n">
        <v>45510</v>
      </c>
      <c r="D766" t="inlineStr">
        <is>
          <t>DALARNAS LÄN</t>
        </is>
      </c>
      <c r="E766" t="inlineStr">
        <is>
          <t>LUDVIKA</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59437-2023</t>
        </is>
      </c>
      <c r="B767" s="1" t="n">
        <v>45254</v>
      </c>
      <c r="C767" s="1" t="n">
        <v>45510</v>
      </c>
      <c r="D767" t="inlineStr">
        <is>
          <t>DALARNAS LÄN</t>
        </is>
      </c>
      <c r="E767" t="inlineStr">
        <is>
          <t>LUDVIKA</t>
        </is>
      </c>
      <c r="F767" t="inlineStr">
        <is>
          <t>Bergvik skog väst AB</t>
        </is>
      </c>
      <c r="G767" t="n">
        <v>0.8</v>
      </c>
      <c r="H767" t="n">
        <v>0</v>
      </c>
      <c r="I767" t="n">
        <v>0</v>
      </c>
      <c r="J767" t="n">
        <v>0</v>
      </c>
      <c r="K767" t="n">
        <v>0</v>
      </c>
      <c r="L767" t="n">
        <v>0</v>
      </c>
      <c r="M767" t="n">
        <v>0</v>
      </c>
      <c r="N767" t="n">
        <v>0</v>
      </c>
      <c r="O767" t="n">
        <v>0</v>
      </c>
      <c r="P767" t="n">
        <v>0</v>
      </c>
      <c r="Q767" t="n">
        <v>0</v>
      </c>
      <c r="R767" s="2" t="inlineStr"/>
    </row>
    <row r="768" ht="15" customHeight="1">
      <c r="A768" t="inlineStr">
        <is>
          <t>A 59646-2023</t>
        </is>
      </c>
      <c r="B768" s="1" t="n">
        <v>45254</v>
      </c>
      <c r="C768" s="1" t="n">
        <v>45510</v>
      </c>
      <c r="D768" t="inlineStr">
        <is>
          <t>DALARNAS LÄN</t>
        </is>
      </c>
      <c r="E768" t="inlineStr">
        <is>
          <t>LUDVIKA</t>
        </is>
      </c>
      <c r="G768" t="n">
        <v>7.6</v>
      </c>
      <c r="H768" t="n">
        <v>0</v>
      </c>
      <c r="I768" t="n">
        <v>0</v>
      </c>
      <c r="J768" t="n">
        <v>0</v>
      </c>
      <c r="K768" t="n">
        <v>0</v>
      </c>
      <c r="L768" t="n">
        <v>0</v>
      </c>
      <c r="M768" t="n">
        <v>0</v>
      </c>
      <c r="N768" t="n">
        <v>0</v>
      </c>
      <c r="O768" t="n">
        <v>0</v>
      </c>
      <c r="P768" t="n">
        <v>0</v>
      </c>
      <c r="Q768" t="n">
        <v>0</v>
      </c>
      <c r="R768" s="2" t="inlineStr"/>
    </row>
    <row r="769" ht="15" customHeight="1">
      <c r="A769" t="inlineStr">
        <is>
          <t>A 60180-2023</t>
        </is>
      </c>
      <c r="B769" s="1" t="n">
        <v>45257</v>
      </c>
      <c r="C769" s="1" t="n">
        <v>45510</v>
      </c>
      <c r="D769" t="inlineStr">
        <is>
          <t>DALARNAS LÄN</t>
        </is>
      </c>
      <c r="E769" t="inlineStr">
        <is>
          <t>LUDVIKA</t>
        </is>
      </c>
      <c r="G769" t="n">
        <v>2.4</v>
      </c>
      <c r="H769" t="n">
        <v>0</v>
      </c>
      <c r="I769" t="n">
        <v>0</v>
      </c>
      <c r="J769" t="n">
        <v>0</v>
      </c>
      <c r="K769" t="n">
        <v>0</v>
      </c>
      <c r="L769" t="n">
        <v>0</v>
      </c>
      <c r="M769" t="n">
        <v>0</v>
      </c>
      <c r="N769" t="n">
        <v>0</v>
      </c>
      <c r="O769" t="n">
        <v>0</v>
      </c>
      <c r="P769" t="n">
        <v>0</v>
      </c>
      <c r="Q769" t="n">
        <v>0</v>
      </c>
      <c r="R769" s="2" t="inlineStr"/>
    </row>
    <row r="770" ht="15" customHeight="1">
      <c r="A770" t="inlineStr">
        <is>
          <t>A 60183-2023</t>
        </is>
      </c>
      <c r="B770" s="1" t="n">
        <v>45257</v>
      </c>
      <c r="C770" s="1" t="n">
        <v>45510</v>
      </c>
      <c r="D770" t="inlineStr">
        <is>
          <t>DALARNAS LÄN</t>
        </is>
      </c>
      <c r="E770" t="inlineStr">
        <is>
          <t>LUDVIKA</t>
        </is>
      </c>
      <c r="G770" t="n">
        <v>3.9</v>
      </c>
      <c r="H770" t="n">
        <v>0</v>
      </c>
      <c r="I770" t="n">
        <v>0</v>
      </c>
      <c r="J770" t="n">
        <v>0</v>
      </c>
      <c r="K770" t="n">
        <v>0</v>
      </c>
      <c r="L770" t="n">
        <v>0</v>
      </c>
      <c r="M770" t="n">
        <v>0</v>
      </c>
      <c r="N770" t="n">
        <v>0</v>
      </c>
      <c r="O770" t="n">
        <v>0</v>
      </c>
      <c r="P770" t="n">
        <v>0</v>
      </c>
      <c r="Q770" t="n">
        <v>0</v>
      </c>
      <c r="R770" s="2" t="inlineStr"/>
    </row>
    <row r="771" ht="15" customHeight="1">
      <c r="A771" t="inlineStr">
        <is>
          <t>A 59918-2023</t>
        </is>
      </c>
      <c r="B771" s="1" t="n">
        <v>45257</v>
      </c>
      <c r="C771" s="1" t="n">
        <v>45510</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60138-2023</t>
        </is>
      </c>
      <c r="B772" s="1" t="n">
        <v>45258</v>
      </c>
      <c r="C772" s="1" t="n">
        <v>45510</v>
      </c>
      <c r="D772" t="inlineStr">
        <is>
          <t>DALARNAS LÄN</t>
        </is>
      </c>
      <c r="E772" t="inlineStr">
        <is>
          <t>LUDVIKA</t>
        </is>
      </c>
      <c r="G772" t="n">
        <v>1.3</v>
      </c>
      <c r="H772" t="n">
        <v>0</v>
      </c>
      <c r="I772" t="n">
        <v>0</v>
      </c>
      <c r="J772" t="n">
        <v>0</v>
      </c>
      <c r="K772" t="n">
        <v>0</v>
      </c>
      <c r="L772" t="n">
        <v>0</v>
      </c>
      <c r="M772" t="n">
        <v>0</v>
      </c>
      <c r="N772" t="n">
        <v>0</v>
      </c>
      <c r="O772" t="n">
        <v>0</v>
      </c>
      <c r="P772" t="n">
        <v>0</v>
      </c>
      <c r="Q772" t="n">
        <v>0</v>
      </c>
      <c r="R772" s="2" t="inlineStr"/>
    </row>
    <row r="773" ht="15" customHeight="1">
      <c r="A773" t="inlineStr">
        <is>
          <t>A 60636-2023</t>
        </is>
      </c>
      <c r="B773" s="1" t="n">
        <v>45260</v>
      </c>
      <c r="C773" s="1" t="n">
        <v>45510</v>
      </c>
      <c r="D773" t="inlineStr">
        <is>
          <t>DALARNAS LÄN</t>
        </is>
      </c>
      <c r="E773" t="inlineStr">
        <is>
          <t>LUDVIKA</t>
        </is>
      </c>
      <c r="G773" t="n">
        <v>0.8</v>
      </c>
      <c r="H773" t="n">
        <v>0</v>
      </c>
      <c r="I773" t="n">
        <v>0</v>
      </c>
      <c r="J773" t="n">
        <v>0</v>
      </c>
      <c r="K773" t="n">
        <v>0</v>
      </c>
      <c r="L773" t="n">
        <v>0</v>
      </c>
      <c r="M773" t="n">
        <v>0</v>
      </c>
      <c r="N773" t="n">
        <v>0</v>
      </c>
      <c r="O773" t="n">
        <v>0</v>
      </c>
      <c r="P773" t="n">
        <v>0</v>
      </c>
      <c r="Q773" t="n">
        <v>0</v>
      </c>
      <c r="R773" s="2" t="inlineStr"/>
    </row>
    <row r="774" ht="15" customHeight="1">
      <c r="A774" t="inlineStr">
        <is>
          <t>A 61507-2023</t>
        </is>
      </c>
      <c r="B774" s="1" t="n">
        <v>45265</v>
      </c>
      <c r="C774" s="1" t="n">
        <v>45510</v>
      </c>
      <c r="D774" t="inlineStr">
        <is>
          <t>DALARNAS LÄN</t>
        </is>
      </c>
      <c r="E774" t="inlineStr">
        <is>
          <t>LUDVIKA</t>
        </is>
      </c>
      <c r="G774" t="n">
        <v>3</v>
      </c>
      <c r="H774" t="n">
        <v>0</v>
      </c>
      <c r="I774" t="n">
        <v>0</v>
      </c>
      <c r="J774" t="n">
        <v>0</v>
      </c>
      <c r="K774" t="n">
        <v>0</v>
      </c>
      <c r="L774" t="n">
        <v>0</v>
      </c>
      <c r="M774" t="n">
        <v>0</v>
      </c>
      <c r="N774" t="n">
        <v>0</v>
      </c>
      <c r="O774" t="n">
        <v>0</v>
      </c>
      <c r="P774" t="n">
        <v>0</v>
      </c>
      <c r="Q774" t="n">
        <v>0</v>
      </c>
      <c r="R774" s="2" t="inlineStr"/>
    </row>
    <row r="775" ht="15" customHeight="1">
      <c r="A775" t="inlineStr">
        <is>
          <t>A 63131-2023</t>
        </is>
      </c>
      <c r="B775" s="1" t="n">
        <v>45273</v>
      </c>
      <c r="C775" s="1" t="n">
        <v>45510</v>
      </c>
      <c r="D775" t="inlineStr">
        <is>
          <t>DALARNAS LÄN</t>
        </is>
      </c>
      <c r="E775" t="inlineStr">
        <is>
          <t>LUDVIKA</t>
        </is>
      </c>
      <c r="F775" t="inlineStr">
        <is>
          <t>Bergvik skog väst AB</t>
        </is>
      </c>
      <c r="G775" t="n">
        <v>2.2</v>
      </c>
      <c r="H775" t="n">
        <v>0</v>
      </c>
      <c r="I775" t="n">
        <v>0</v>
      </c>
      <c r="J775" t="n">
        <v>0</v>
      </c>
      <c r="K775" t="n">
        <v>0</v>
      </c>
      <c r="L775" t="n">
        <v>0</v>
      </c>
      <c r="M775" t="n">
        <v>0</v>
      </c>
      <c r="N775" t="n">
        <v>0</v>
      </c>
      <c r="O775" t="n">
        <v>0</v>
      </c>
      <c r="P775" t="n">
        <v>0</v>
      </c>
      <c r="Q775" t="n">
        <v>0</v>
      </c>
      <c r="R775" s="2" t="inlineStr"/>
    </row>
    <row r="776" ht="15" customHeight="1">
      <c r="A776" t="inlineStr">
        <is>
          <t>A 64171-2023</t>
        </is>
      </c>
      <c r="B776" s="1" t="n">
        <v>45279</v>
      </c>
      <c r="C776" s="1" t="n">
        <v>45510</v>
      </c>
      <c r="D776" t="inlineStr">
        <is>
          <t>DALARNAS LÄN</t>
        </is>
      </c>
      <c r="E776" t="inlineStr">
        <is>
          <t>LUDVIKA</t>
        </is>
      </c>
      <c r="G776" t="n">
        <v>8.6</v>
      </c>
      <c r="H776" t="n">
        <v>0</v>
      </c>
      <c r="I776" t="n">
        <v>0</v>
      </c>
      <c r="J776" t="n">
        <v>0</v>
      </c>
      <c r="K776" t="n">
        <v>0</v>
      </c>
      <c r="L776" t="n">
        <v>0</v>
      </c>
      <c r="M776" t="n">
        <v>0</v>
      </c>
      <c r="N776" t="n">
        <v>0</v>
      </c>
      <c r="O776" t="n">
        <v>0</v>
      </c>
      <c r="P776" t="n">
        <v>0</v>
      </c>
      <c r="Q776" t="n">
        <v>0</v>
      </c>
      <c r="R776" s="2" t="inlineStr"/>
    </row>
    <row r="777" ht="15" customHeight="1">
      <c r="A777" t="inlineStr">
        <is>
          <t>A 64450-2023</t>
        </is>
      </c>
      <c r="B777" s="1" t="n">
        <v>45280</v>
      </c>
      <c r="C777" s="1" t="n">
        <v>45510</v>
      </c>
      <c r="D777" t="inlineStr">
        <is>
          <t>DALARNAS LÄN</t>
        </is>
      </c>
      <c r="E777" t="inlineStr">
        <is>
          <t>LUDVIKA</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64447-2023</t>
        </is>
      </c>
      <c r="B778" s="1" t="n">
        <v>45280</v>
      </c>
      <c r="C778" s="1" t="n">
        <v>45510</v>
      </c>
      <c r="D778" t="inlineStr">
        <is>
          <t>DALARNAS LÄN</t>
        </is>
      </c>
      <c r="E778" t="inlineStr">
        <is>
          <t>LUDVIKA</t>
        </is>
      </c>
      <c r="G778" t="n">
        <v>2</v>
      </c>
      <c r="H778" t="n">
        <v>0</v>
      </c>
      <c r="I778" t="n">
        <v>0</v>
      </c>
      <c r="J778" t="n">
        <v>0</v>
      </c>
      <c r="K778" t="n">
        <v>0</v>
      </c>
      <c r="L778" t="n">
        <v>0</v>
      </c>
      <c r="M778" t="n">
        <v>0</v>
      </c>
      <c r="N778" t="n">
        <v>0</v>
      </c>
      <c r="O778" t="n">
        <v>0</v>
      </c>
      <c r="P778" t="n">
        <v>0</v>
      </c>
      <c r="Q778" t="n">
        <v>0</v>
      </c>
      <c r="R778" s="2" t="inlineStr"/>
    </row>
    <row r="779" ht="15" customHeight="1">
      <c r="A779" t="inlineStr">
        <is>
          <t>A 64449-2023</t>
        </is>
      </c>
      <c r="B779" s="1" t="n">
        <v>45280</v>
      </c>
      <c r="C779" s="1" t="n">
        <v>45510</v>
      </c>
      <c r="D779" t="inlineStr">
        <is>
          <t>DALARNAS LÄN</t>
        </is>
      </c>
      <c r="E779" t="inlineStr">
        <is>
          <t>LUDVIKA</t>
        </is>
      </c>
      <c r="G779" t="n">
        <v>10.2</v>
      </c>
      <c r="H779" t="n">
        <v>0</v>
      </c>
      <c r="I779" t="n">
        <v>0</v>
      </c>
      <c r="J779" t="n">
        <v>0</v>
      </c>
      <c r="K779" t="n">
        <v>0</v>
      </c>
      <c r="L779" t="n">
        <v>0</v>
      </c>
      <c r="M779" t="n">
        <v>0</v>
      </c>
      <c r="N779" t="n">
        <v>0</v>
      </c>
      <c r="O779" t="n">
        <v>0</v>
      </c>
      <c r="P779" t="n">
        <v>0</v>
      </c>
      <c r="Q779" t="n">
        <v>0</v>
      </c>
      <c r="R779" s="2" t="inlineStr"/>
    </row>
    <row r="780" ht="15" customHeight="1">
      <c r="A780" t="inlineStr">
        <is>
          <t>A 65104-2023</t>
        </is>
      </c>
      <c r="B780" s="1" t="n">
        <v>45288</v>
      </c>
      <c r="C780" s="1" t="n">
        <v>45510</v>
      </c>
      <c r="D780" t="inlineStr">
        <is>
          <t>DALARNAS LÄN</t>
        </is>
      </c>
      <c r="E780" t="inlineStr">
        <is>
          <t>LUDVIKA</t>
        </is>
      </c>
      <c r="G780" t="n">
        <v>1.3</v>
      </c>
      <c r="H780" t="n">
        <v>0</v>
      </c>
      <c r="I780" t="n">
        <v>0</v>
      </c>
      <c r="J780" t="n">
        <v>0</v>
      </c>
      <c r="K780" t="n">
        <v>0</v>
      </c>
      <c r="L780" t="n">
        <v>0</v>
      </c>
      <c r="M780" t="n">
        <v>0</v>
      </c>
      <c r="N780" t="n">
        <v>0</v>
      </c>
      <c r="O780" t="n">
        <v>0</v>
      </c>
      <c r="P780" t="n">
        <v>0</v>
      </c>
      <c r="Q780" t="n">
        <v>0</v>
      </c>
      <c r="R780" s="2" t="inlineStr"/>
    </row>
    <row r="781" ht="15" customHeight="1">
      <c r="A781" t="inlineStr">
        <is>
          <t>A 451-2024</t>
        </is>
      </c>
      <c r="B781" s="1" t="n">
        <v>45296</v>
      </c>
      <c r="C781" s="1" t="n">
        <v>45510</v>
      </c>
      <c r="D781" t="inlineStr">
        <is>
          <t>DALARNAS LÄN</t>
        </is>
      </c>
      <c r="E781" t="inlineStr">
        <is>
          <t>LUDVIKA</t>
        </is>
      </c>
      <c r="F781" t="inlineStr">
        <is>
          <t>Bergvik skog väst AB</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478-2024</t>
        </is>
      </c>
      <c r="B782" s="1" t="n">
        <v>45297</v>
      </c>
      <c r="C782" s="1" t="n">
        <v>45510</v>
      </c>
      <c r="D782" t="inlineStr">
        <is>
          <t>DALARNAS LÄN</t>
        </is>
      </c>
      <c r="E782" t="inlineStr">
        <is>
          <t>LUDVIKA</t>
        </is>
      </c>
      <c r="G782" t="n">
        <v>3.2</v>
      </c>
      <c r="H782" t="n">
        <v>0</v>
      </c>
      <c r="I782" t="n">
        <v>0</v>
      </c>
      <c r="J782" t="n">
        <v>0</v>
      </c>
      <c r="K782" t="n">
        <v>0</v>
      </c>
      <c r="L782" t="n">
        <v>0</v>
      </c>
      <c r="M782" t="n">
        <v>0</v>
      </c>
      <c r="N782" t="n">
        <v>0</v>
      </c>
      <c r="O782" t="n">
        <v>0</v>
      </c>
      <c r="P782" t="n">
        <v>0</v>
      </c>
      <c r="Q782" t="n">
        <v>0</v>
      </c>
      <c r="R782" s="2" t="inlineStr"/>
    </row>
    <row r="783" ht="15" customHeight="1">
      <c r="A783" t="inlineStr">
        <is>
          <t>A 923-2024</t>
        </is>
      </c>
      <c r="B783" s="1" t="n">
        <v>45301</v>
      </c>
      <c r="C783" s="1" t="n">
        <v>45510</v>
      </c>
      <c r="D783" t="inlineStr">
        <is>
          <t>DALARNAS LÄN</t>
        </is>
      </c>
      <c r="E783" t="inlineStr">
        <is>
          <t>LUDVIKA</t>
        </is>
      </c>
      <c r="G783" t="n">
        <v>0.3</v>
      </c>
      <c r="H783" t="n">
        <v>0</v>
      </c>
      <c r="I783" t="n">
        <v>0</v>
      </c>
      <c r="J783" t="n">
        <v>0</v>
      </c>
      <c r="K783" t="n">
        <v>0</v>
      </c>
      <c r="L783" t="n">
        <v>0</v>
      </c>
      <c r="M783" t="n">
        <v>0</v>
      </c>
      <c r="N783" t="n">
        <v>0</v>
      </c>
      <c r="O783" t="n">
        <v>0</v>
      </c>
      <c r="P783" t="n">
        <v>0</v>
      </c>
      <c r="Q783" t="n">
        <v>0</v>
      </c>
      <c r="R783" s="2" t="inlineStr"/>
    </row>
    <row r="784" ht="15" customHeight="1">
      <c r="A784" t="inlineStr">
        <is>
          <t>A 918-2024</t>
        </is>
      </c>
      <c r="B784" s="1" t="n">
        <v>45301</v>
      </c>
      <c r="C784" s="1" t="n">
        <v>45510</v>
      </c>
      <c r="D784" t="inlineStr">
        <is>
          <t>DALARNAS LÄN</t>
        </is>
      </c>
      <c r="E784" t="inlineStr">
        <is>
          <t>LUDVIKA</t>
        </is>
      </c>
      <c r="G784" t="n">
        <v>6</v>
      </c>
      <c r="H784" t="n">
        <v>0</v>
      </c>
      <c r="I784" t="n">
        <v>0</v>
      </c>
      <c r="J784" t="n">
        <v>0</v>
      </c>
      <c r="K784" t="n">
        <v>0</v>
      </c>
      <c r="L784" t="n">
        <v>0</v>
      </c>
      <c r="M784" t="n">
        <v>0</v>
      </c>
      <c r="N784" t="n">
        <v>0</v>
      </c>
      <c r="O784" t="n">
        <v>0</v>
      </c>
      <c r="P784" t="n">
        <v>0</v>
      </c>
      <c r="Q784" t="n">
        <v>0</v>
      </c>
      <c r="R784" s="2" t="inlineStr"/>
    </row>
    <row r="785" ht="15" customHeight="1">
      <c r="A785" t="inlineStr">
        <is>
          <t>A 1133-2024</t>
        </is>
      </c>
      <c r="B785" s="1" t="n">
        <v>45302</v>
      </c>
      <c r="C785" s="1" t="n">
        <v>45510</v>
      </c>
      <c r="D785" t="inlineStr">
        <is>
          <t>DALARNAS LÄN</t>
        </is>
      </c>
      <c r="E785" t="inlineStr">
        <is>
          <t>LUDVIKA</t>
        </is>
      </c>
      <c r="G785" t="n">
        <v>2.6</v>
      </c>
      <c r="H785" t="n">
        <v>0</v>
      </c>
      <c r="I785" t="n">
        <v>0</v>
      </c>
      <c r="J785" t="n">
        <v>0</v>
      </c>
      <c r="K785" t="n">
        <v>0</v>
      </c>
      <c r="L785" t="n">
        <v>0</v>
      </c>
      <c r="M785" t="n">
        <v>0</v>
      </c>
      <c r="N785" t="n">
        <v>0</v>
      </c>
      <c r="O785" t="n">
        <v>0</v>
      </c>
      <c r="P785" t="n">
        <v>0</v>
      </c>
      <c r="Q785" t="n">
        <v>0</v>
      </c>
      <c r="R785" s="2" t="inlineStr"/>
    </row>
    <row r="786" ht="15" customHeight="1">
      <c r="A786" t="inlineStr">
        <is>
          <t>A 1444-2024</t>
        </is>
      </c>
      <c r="B786" s="1" t="n">
        <v>45303</v>
      </c>
      <c r="C786" s="1" t="n">
        <v>45510</v>
      </c>
      <c r="D786" t="inlineStr">
        <is>
          <t>DALARNAS LÄN</t>
        </is>
      </c>
      <c r="E786" t="inlineStr">
        <is>
          <t>LUDVIKA</t>
        </is>
      </c>
      <c r="G786" t="n">
        <v>0.9</v>
      </c>
      <c r="H786" t="n">
        <v>0</v>
      </c>
      <c r="I786" t="n">
        <v>0</v>
      </c>
      <c r="J786" t="n">
        <v>0</v>
      </c>
      <c r="K786" t="n">
        <v>0</v>
      </c>
      <c r="L786" t="n">
        <v>0</v>
      </c>
      <c r="M786" t="n">
        <v>0</v>
      </c>
      <c r="N786" t="n">
        <v>0</v>
      </c>
      <c r="O786" t="n">
        <v>0</v>
      </c>
      <c r="P786" t="n">
        <v>0</v>
      </c>
      <c r="Q786" t="n">
        <v>0</v>
      </c>
      <c r="R786" s="2" t="inlineStr"/>
    </row>
    <row r="787" ht="15" customHeight="1">
      <c r="A787" t="inlineStr">
        <is>
          <t>A 1761-2024</t>
        </is>
      </c>
      <c r="B787" s="1" t="n">
        <v>45307</v>
      </c>
      <c r="C787" s="1" t="n">
        <v>45510</v>
      </c>
      <c r="D787" t="inlineStr">
        <is>
          <t>DALARNAS LÄN</t>
        </is>
      </c>
      <c r="E787" t="inlineStr">
        <is>
          <t>LUDVIKA</t>
        </is>
      </c>
      <c r="F787" t="inlineStr">
        <is>
          <t>Naturvårdsverket</t>
        </is>
      </c>
      <c r="G787" t="n">
        <v>1.5</v>
      </c>
      <c r="H787" t="n">
        <v>0</v>
      </c>
      <c r="I787" t="n">
        <v>0</v>
      </c>
      <c r="J787" t="n">
        <v>0</v>
      </c>
      <c r="K787" t="n">
        <v>0</v>
      </c>
      <c r="L787" t="n">
        <v>0</v>
      </c>
      <c r="M787" t="n">
        <v>0</v>
      </c>
      <c r="N787" t="n">
        <v>0</v>
      </c>
      <c r="O787" t="n">
        <v>0</v>
      </c>
      <c r="P787" t="n">
        <v>0</v>
      </c>
      <c r="Q787" t="n">
        <v>0</v>
      </c>
      <c r="R787" s="2" t="inlineStr"/>
    </row>
    <row r="788" ht="15" customHeight="1">
      <c r="A788" t="inlineStr">
        <is>
          <t>A 1988-2024</t>
        </is>
      </c>
      <c r="B788" s="1" t="n">
        <v>45308</v>
      </c>
      <c r="C788" s="1" t="n">
        <v>45510</v>
      </c>
      <c r="D788" t="inlineStr">
        <is>
          <t>DALARNAS LÄN</t>
        </is>
      </c>
      <c r="E788" t="inlineStr">
        <is>
          <t>LUDVIKA</t>
        </is>
      </c>
      <c r="G788" t="n">
        <v>4.2</v>
      </c>
      <c r="H788" t="n">
        <v>0</v>
      </c>
      <c r="I788" t="n">
        <v>0</v>
      </c>
      <c r="J788" t="n">
        <v>0</v>
      </c>
      <c r="K788" t="n">
        <v>0</v>
      </c>
      <c r="L788" t="n">
        <v>0</v>
      </c>
      <c r="M788" t="n">
        <v>0</v>
      </c>
      <c r="N788" t="n">
        <v>0</v>
      </c>
      <c r="O788" t="n">
        <v>0</v>
      </c>
      <c r="P788" t="n">
        <v>0</v>
      </c>
      <c r="Q788" t="n">
        <v>0</v>
      </c>
      <c r="R788" s="2" t="inlineStr"/>
    </row>
    <row r="789" ht="15" customHeight="1">
      <c r="A789" t="inlineStr">
        <is>
          <t>A 2481-2024</t>
        </is>
      </c>
      <c r="B789" s="1" t="n">
        <v>45313</v>
      </c>
      <c r="C789" s="1" t="n">
        <v>45510</v>
      </c>
      <c r="D789" t="inlineStr">
        <is>
          <t>DALARNAS LÄN</t>
        </is>
      </c>
      <c r="E789" t="inlineStr">
        <is>
          <t>LUDVIKA</t>
        </is>
      </c>
      <c r="G789" t="n">
        <v>4.8</v>
      </c>
      <c r="H789" t="n">
        <v>0</v>
      </c>
      <c r="I789" t="n">
        <v>0</v>
      </c>
      <c r="J789" t="n">
        <v>0</v>
      </c>
      <c r="K789" t="n">
        <v>0</v>
      </c>
      <c r="L789" t="n">
        <v>0</v>
      </c>
      <c r="M789" t="n">
        <v>0</v>
      </c>
      <c r="N789" t="n">
        <v>0</v>
      </c>
      <c r="O789" t="n">
        <v>0</v>
      </c>
      <c r="P789" t="n">
        <v>0</v>
      </c>
      <c r="Q789" t="n">
        <v>0</v>
      </c>
      <c r="R789" s="2" t="inlineStr"/>
      <c r="U789">
        <f>HYPERLINK("https://klasma.github.io/Logging_2085/knärot/A 2481-2024 karta knärot.png", "A 2481-2024")</f>
        <v/>
      </c>
      <c r="V789">
        <f>HYPERLINK("https://klasma.github.io/Logging_2085/klagomål/A 2481-2024 FSC-klagomål.docx", "A 2481-2024")</f>
        <v/>
      </c>
      <c r="W789">
        <f>HYPERLINK("https://klasma.github.io/Logging_2085/klagomålsmail/A 2481-2024 FSC-klagomål mail.docx", "A 2481-2024")</f>
        <v/>
      </c>
      <c r="X789">
        <f>HYPERLINK("https://klasma.github.io/Logging_2085/tillsyn/A 2481-2024 tillsynsbegäran.docx", "A 2481-2024")</f>
        <v/>
      </c>
      <c r="Y789">
        <f>HYPERLINK("https://klasma.github.io/Logging_2085/tillsynsmail/A 2481-2024 tillsynsbegäran mail.docx", "A 2481-2024")</f>
        <v/>
      </c>
    </row>
    <row r="790" ht="15" customHeight="1">
      <c r="A790" t="inlineStr">
        <is>
          <t>A 2485-2024</t>
        </is>
      </c>
      <c r="B790" s="1" t="n">
        <v>45313</v>
      </c>
      <c r="C790" s="1" t="n">
        <v>45510</v>
      </c>
      <c r="D790" t="inlineStr">
        <is>
          <t>DALARNAS LÄN</t>
        </is>
      </c>
      <c r="E790" t="inlineStr">
        <is>
          <t>LUDVIKA</t>
        </is>
      </c>
      <c r="G790" t="n">
        <v>2</v>
      </c>
      <c r="H790" t="n">
        <v>0</v>
      </c>
      <c r="I790" t="n">
        <v>0</v>
      </c>
      <c r="J790" t="n">
        <v>0</v>
      </c>
      <c r="K790" t="n">
        <v>0</v>
      </c>
      <c r="L790" t="n">
        <v>0</v>
      </c>
      <c r="M790" t="n">
        <v>0</v>
      </c>
      <c r="N790" t="n">
        <v>0</v>
      </c>
      <c r="O790" t="n">
        <v>0</v>
      </c>
      <c r="P790" t="n">
        <v>0</v>
      </c>
      <c r="Q790" t="n">
        <v>0</v>
      </c>
      <c r="R790" s="2" t="inlineStr"/>
    </row>
    <row r="791" ht="15" customHeight="1">
      <c r="A791" t="inlineStr">
        <is>
          <t>A 2484-2024</t>
        </is>
      </c>
      <c r="B791" s="1" t="n">
        <v>45313</v>
      </c>
      <c r="C791" s="1" t="n">
        <v>45510</v>
      </c>
      <c r="D791" t="inlineStr">
        <is>
          <t>DALARNAS LÄN</t>
        </is>
      </c>
      <c r="E791" t="inlineStr">
        <is>
          <t>LUDVIKA</t>
        </is>
      </c>
      <c r="G791" t="n">
        <v>1</v>
      </c>
      <c r="H791" t="n">
        <v>0</v>
      </c>
      <c r="I791" t="n">
        <v>0</v>
      </c>
      <c r="J791" t="n">
        <v>0</v>
      </c>
      <c r="K791" t="n">
        <v>0</v>
      </c>
      <c r="L791" t="n">
        <v>0</v>
      </c>
      <c r="M791" t="n">
        <v>0</v>
      </c>
      <c r="N791" t="n">
        <v>0</v>
      </c>
      <c r="O791" t="n">
        <v>0</v>
      </c>
      <c r="P791" t="n">
        <v>0</v>
      </c>
      <c r="Q791" t="n">
        <v>0</v>
      </c>
      <c r="R791" s="2" t="inlineStr"/>
    </row>
    <row r="792" ht="15" customHeight="1">
      <c r="A792" t="inlineStr">
        <is>
          <t>A 2603-2024</t>
        </is>
      </c>
      <c r="B792" s="1" t="n">
        <v>45313</v>
      </c>
      <c r="C792" s="1" t="n">
        <v>45510</v>
      </c>
      <c r="D792" t="inlineStr">
        <is>
          <t>DALARNAS LÄN</t>
        </is>
      </c>
      <c r="E792" t="inlineStr">
        <is>
          <t>LUDVIKA</t>
        </is>
      </c>
      <c r="G792" t="n">
        <v>0.8</v>
      </c>
      <c r="H792" t="n">
        <v>0</v>
      </c>
      <c r="I792" t="n">
        <v>0</v>
      </c>
      <c r="J792" t="n">
        <v>0</v>
      </c>
      <c r="K792" t="n">
        <v>0</v>
      </c>
      <c r="L792" t="n">
        <v>0</v>
      </c>
      <c r="M792" t="n">
        <v>0</v>
      </c>
      <c r="N792" t="n">
        <v>0</v>
      </c>
      <c r="O792" t="n">
        <v>0</v>
      </c>
      <c r="P792" t="n">
        <v>0</v>
      </c>
      <c r="Q792" t="n">
        <v>0</v>
      </c>
      <c r="R792" s="2" t="inlineStr"/>
    </row>
    <row r="793" ht="15" customHeight="1">
      <c r="A793" t="inlineStr">
        <is>
          <t>A 3277-2024</t>
        </is>
      </c>
      <c r="B793" s="1" t="n">
        <v>45317</v>
      </c>
      <c r="C793" s="1" t="n">
        <v>45510</v>
      </c>
      <c r="D793" t="inlineStr">
        <is>
          <t>DALARNAS LÄN</t>
        </is>
      </c>
      <c r="E793" t="inlineStr">
        <is>
          <t>LUDVIKA</t>
        </is>
      </c>
      <c r="G793" t="n">
        <v>0.3</v>
      </c>
      <c r="H793" t="n">
        <v>0</v>
      </c>
      <c r="I793" t="n">
        <v>0</v>
      </c>
      <c r="J793" t="n">
        <v>0</v>
      </c>
      <c r="K793" t="n">
        <v>0</v>
      </c>
      <c r="L793" t="n">
        <v>0</v>
      </c>
      <c r="M793" t="n">
        <v>0</v>
      </c>
      <c r="N793" t="n">
        <v>0</v>
      </c>
      <c r="O793" t="n">
        <v>0</v>
      </c>
      <c r="P793" t="n">
        <v>0</v>
      </c>
      <c r="Q793" t="n">
        <v>0</v>
      </c>
      <c r="R793" s="2" t="inlineStr"/>
    </row>
    <row r="794" ht="15" customHeight="1">
      <c r="A794" t="inlineStr">
        <is>
          <t>A 3280-2024</t>
        </is>
      </c>
      <c r="B794" s="1" t="n">
        <v>45317</v>
      </c>
      <c r="C794" s="1" t="n">
        <v>45510</v>
      </c>
      <c r="D794" t="inlineStr">
        <is>
          <t>DALARNAS LÄN</t>
        </is>
      </c>
      <c r="E794" t="inlineStr">
        <is>
          <t>LUDVIKA</t>
        </is>
      </c>
      <c r="G794" t="n">
        <v>0.4</v>
      </c>
      <c r="H794" t="n">
        <v>0</v>
      </c>
      <c r="I794" t="n">
        <v>0</v>
      </c>
      <c r="J794" t="n">
        <v>0</v>
      </c>
      <c r="K794" t="n">
        <v>0</v>
      </c>
      <c r="L794" t="n">
        <v>0</v>
      </c>
      <c r="M794" t="n">
        <v>0</v>
      </c>
      <c r="N794" t="n">
        <v>0</v>
      </c>
      <c r="O794" t="n">
        <v>0</v>
      </c>
      <c r="P794" t="n">
        <v>0</v>
      </c>
      <c r="Q794" t="n">
        <v>0</v>
      </c>
      <c r="R794" s="2" t="inlineStr"/>
    </row>
    <row r="795" ht="15" customHeight="1">
      <c r="A795" t="inlineStr">
        <is>
          <t>A 3349-2024</t>
        </is>
      </c>
      <c r="B795" s="1" t="n">
        <v>45317</v>
      </c>
      <c r="C795" s="1" t="n">
        <v>45510</v>
      </c>
      <c r="D795" t="inlineStr">
        <is>
          <t>DALARNAS LÄN</t>
        </is>
      </c>
      <c r="E795" t="inlineStr">
        <is>
          <t>LUDVIKA</t>
        </is>
      </c>
      <c r="G795" t="n">
        <v>3.8</v>
      </c>
      <c r="H795" t="n">
        <v>0</v>
      </c>
      <c r="I795" t="n">
        <v>0</v>
      </c>
      <c r="J795" t="n">
        <v>0</v>
      </c>
      <c r="K795" t="n">
        <v>0</v>
      </c>
      <c r="L795" t="n">
        <v>0</v>
      </c>
      <c r="M795" t="n">
        <v>0</v>
      </c>
      <c r="N795" t="n">
        <v>0</v>
      </c>
      <c r="O795" t="n">
        <v>0</v>
      </c>
      <c r="P795" t="n">
        <v>0</v>
      </c>
      <c r="Q795" t="n">
        <v>0</v>
      </c>
      <c r="R795" s="2" t="inlineStr"/>
    </row>
    <row r="796" ht="15" customHeight="1">
      <c r="A796" t="inlineStr">
        <is>
          <t>A 3687-2024</t>
        </is>
      </c>
      <c r="B796" s="1" t="n">
        <v>45321</v>
      </c>
      <c r="C796" s="1" t="n">
        <v>45510</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3809-2024</t>
        </is>
      </c>
      <c r="B797" s="1" t="n">
        <v>45321</v>
      </c>
      <c r="C797" s="1" t="n">
        <v>45510</v>
      </c>
      <c r="D797" t="inlineStr">
        <is>
          <t>DALARNAS LÄN</t>
        </is>
      </c>
      <c r="E797" t="inlineStr">
        <is>
          <t>LUDVIKA</t>
        </is>
      </c>
      <c r="G797" t="n">
        <v>0.5</v>
      </c>
      <c r="H797" t="n">
        <v>0</v>
      </c>
      <c r="I797" t="n">
        <v>0</v>
      </c>
      <c r="J797" t="n">
        <v>0</v>
      </c>
      <c r="K797" t="n">
        <v>0</v>
      </c>
      <c r="L797" t="n">
        <v>0</v>
      </c>
      <c r="M797" t="n">
        <v>0</v>
      </c>
      <c r="N797" t="n">
        <v>0</v>
      </c>
      <c r="O797" t="n">
        <v>0</v>
      </c>
      <c r="P797" t="n">
        <v>0</v>
      </c>
      <c r="Q797" t="n">
        <v>0</v>
      </c>
      <c r="R797" s="2" t="inlineStr"/>
    </row>
    <row r="798" ht="15" customHeight="1">
      <c r="A798" t="inlineStr">
        <is>
          <t>A 5576-2024</t>
        </is>
      </c>
      <c r="B798" s="1" t="n">
        <v>45334</v>
      </c>
      <c r="C798" s="1" t="n">
        <v>45510</v>
      </c>
      <c r="D798" t="inlineStr">
        <is>
          <t>DALARNAS LÄN</t>
        </is>
      </c>
      <c r="E798" t="inlineStr">
        <is>
          <t>LUDVIKA</t>
        </is>
      </c>
      <c r="G798" t="n">
        <v>7</v>
      </c>
      <c r="H798" t="n">
        <v>0</v>
      </c>
      <c r="I798" t="n">
        <v>0</v>
      </c>
      <c r="J798" t="n">
        <v>0</v>
      </c>
      <c r="K798" t="n">
        <v>0</v>
      </c>
      <c r="L798" t="n">
        <v>0</v>
      </c>
      <c r="M798" t="n">
        <v>0</v>
      </c>
      <c r="N798" t="n">
        <v>0</v>
      </c>
      <c r="O798" t="n">
        <v>0</v>
      </c>
      <c r="P798" t="n">
        <v>0</v>
      </c>
      <c r="Q798" t="n">
        <v>0</v>
      </c>
      <c r="R798" s="2" t="inlineStr"/>
    </row>
    <row r="799" ht="15" customHeight="1">
      <c r="A799" t="inlineStr">
        <is>
          <t>A 5841-2024</t>
        </is>
      </c>
      <c r="B799" s="1" t="n">
        <v>45335</v>
      </c>
      <c r="C799" s="1" t="n">
        <v>45510</v>
      </c>
      <c r="D799" t="inlineStr">
        <is>
          <t>DALARNAS LÄN</t>
        </is>
      </c>
      <c r="E799" t="inlineStr">
        <is>
          <t>LUDVIKA</t>
        </is>
      </c>
      <c r="G799" t="n">
        <v>1.6</v>
      </c>
      <c r="H799" t="n">
        <v>0</v>
      </c>
      <c r="I799" t="n">
        <v>0</v>
      </c>
      <c r="J799" t="n">
        <v>0</v>
      </c>
      <c r="K799" t="n">
        <v>0</v>
      </c>
      <c r="L799" t="n">
        <v>0</v>
      </c>
      <c r="M799" t="n">
        <v>0</v>
      </c>
      <c r="N799" t="n">
        <v>0</v>
      </c>
      <c r="O799" t="n">
        <v>0</v>
      </c>
      <c r="P799" t="n">
        <v>0</v>
      </c>
      <c r="Q799" t="n">
        <v>0</v>
      </c>
      <c r="R799" s="2" t="inlineStr"/>
    </row>
    <row r="800" ht="15" customHeight="1">
      <c r="A800" t="inlineStr">
        <is>
          <t>A 5947-2024</t>
        </is>
      </c>
      <c r="B800" s="1" t="n">
        <v>45335</v>
      </c>
      <c r="C800" s="1" t="n">
        <v>45510</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6151-2024</t>
        </is>
      </c>
      <c r="B801" s="1" t="n">
        <v>45337</v>
      </c>
      <c r="C801" s="1" t="n">
        <v>45510</v>
      </c>
      <c r="D801" t="inlineStr">
        <is>
          <t>DALARNAS LÄN</t>
        </is>
      </c>
      <c r="E801" t="inlineStr">
        <is>
          <t>LUDVIKA</t>
        </is>
      </c>
      <c r="G801" t="n">
        <v>1.7</v>
      </c>
      <c r="H801" t="n">
        <v>0</v>
      </c>
      <c r="I801" t="n">
        <v>0</v>
      </c>
      <c r="J801" t="n">
        <v>0</v>
      </c>
      <c r="K801" t="n">
        <v>0</v>
      </c>
      <c r="L801" t="n">
        <v>0</v>
      </c>
      <c r="M801" t="n">
        <v>0</v>
      </c>
      <c r="N801" t="n">
        <v>0</v>
      </c>
      <c r="O801" t="n">
        <v>0</v>
      </c>
      <c r="P801" t="n">
        <v>0</v>
      </c>
      <c r="Q801" t="n">
        <v>0</v>
      </c>
      <c r="R801" s="2" t="inlineStr"/>
    </row>
    <row r="802" ht="15" customHeight="1">
      <c r="A802" t="inlineStr">
        <is>
          <t>A 7317-2024</t>
        </is>
      </c>
      <c r="B802" s="1" t="n">
        <v>45345</v>
      </c>
      <c r="C802" s="1" t="n">
        <v>45510</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8162-2024</t>
        </is>
      </c>
      <c r="B803" s="1" t="n">
        <v>45349</v>
      </c>
      <c r="C803" s="1" t="n">
        <v>45510</v>
      </c>
      <c r="D803" t="inlineStr">
        <is>
          <t>DALARNAS LÄN</t>
        </is>
      </c>
      <c r="E803" t="inlineStr">
        <is>
          <t>LUDVIKA</t>
        </is>
      </c>
      <c r="F803" t="inlineStr">
        <is>
          <t>Allmännings- och besparingsskogar</t>
        </is>
      </c>
      <c r="G803" t="n">
        <v>6.9</v>
      </c>
      <c r="H803" t="n">
        <v>0</v>
      </c>
      <c r="I803" t="n">
        <v>0</v>
      </c>
      <c r="J803" t="n">
        <v>0</v>
      </c>
      <c r="K803" t="n">
        <v>0</v>
      </c>
      <c r="L803" t="n">
        <v>0</v>
      </c>
      <c r="M803" t="n">
        <v>0</v>
      </c>
      <c r="N803" t="n">
        <v>0</v>
      </c>
      <c r="O803" t="n">
        <v>0</v>
      </c>
      <c r="P803" t="n">
        <v>0</v>
      </c>
      <c r="Q803" t="n">
        <v>0</v>
      </c>
      <c r="R803" s="2" t="inlineStr"/>
      <c r="U803">
        <f>HYPERLINK("https://klasma.github.io/Logging_2085/knärot/A 8162-2024 karta knärot.png", "A 8162-2024")</f>
        <v/>
      </c>
      <c r="V803">
        <f>HYPERLINK("https://klasma.github.io/Logging_2085/klagomål/A 8162-2024 FSC-klagomål.docx", "A 8162-2024")</f>
        <v/>
      </c>
      <c r="W803">
        <f>HYPERLINK("https://klasma.github.io/Logging_2085/klagomålsmail/A 8162-2024 FSC-klagomål mail.docx", "A 8162-2024")</f>
        <v/>
      </c>
      <c r="X803">
        <f>HYPERLINK("https://klasma.github.io/Logging_2085/tillsyn/A 8162-2024 tillsynsbegäran.docx", "A 8162-2024")</f>
        <v/>
      </c>
      <c r="Y803">
        <f>HYPERLINK("https://klasma.github.io/Logging_2085/tillsynsmail/A 8162-2024 tillsynsbegäran mail.docx", "A 8162-2024")</f>
        <v/>
      </c>
    </row>
    <row r="804" ht="15" customHeight="1">
      <c r="A804" t="inlineStr">
        <is>
          <t>A 8172-2024</t>
        </is>
      </c>
      <c r="B804" s="1" t="n">
        <v>45349</v>
      </c>
      <c r="C804" s="1" t="n">
        <v>45510</v>
      </c>
      <c r="D804" t="inlineStr">
        <is>
          <t>DALARNAS LÄN</t>
        </is>
      </c>
      <c r="E804" t="inlineStr">
        <is>
          <t>LUDVIKA</t>
        </is>
      </c>
      <c r="F804" t="inlineStr">
        <is>
          <t>Allmännings- och besparingsskogar</t>
        </is>
      </c>
      <c r="G804" t="n">
        <v>2</v>
      </c>
      <c r="H804" t="n">
        <v>0</v>
      </c>
      <c r="I804" t="n">
        <v>0</v>
      </c>
      <c r="J804" t="n">
        <v>0</v>
      </c>
      <c r="K804" t="n">
        <v>0</v>
      </c>
      <c r="L804" t="n">
        <v>0</v>
      </c>
      <c r="M804" t="n">
        <v>0</v>
      </c>
      <c r="N804" t="n">
        <v>0</v>
      </c>
      <c r="O804" t="n">
        <v>0</v>
      </c>
      <c r="P804" t="n">
        <v>0</v>
      </c>
      <c r="Q804" t="n">
        <v>0</v>
      </c>
      <c r="R804" s="2" t="inlineStr"/>
    </row>
    <row r="805" ht="15" customHeight="1">
      <c r="A805" t="inlineStr">
        <is>
          <t>A 8170-2024</t>
        </is>
      </c>
      <c r="B805" s="1" t="n">
        <v>45349</v>
      </c>
      <c r="C805" s="1" t="n">
        <v>45510</v>
      </c>
      <c r="D805" t="inlineStr">
        <is>
          <t>DALARNAS LÄN</t>
        </is>
      </c>
      <c r="E805" t="inlineStr">
        <is>
          <t>LUDVIKA</t>
        </is>
      </c>
      <c r="F805" t="inlineStr">
        <is>
          <t>Allmännings- och besparingsskogar</t>
        </is>
      </c>
      <c r="G805" t="n">
        <v>5.7</v>
      </c>
      <c r="H805" t="n">
        <v>0</v>
      </c>
      <c r="I805" t="n">
        <v>0</v>
      </c>
      <c r="J805" t="n">
        <v>0</v>
      </c>
      <c r="K805" t="n">
        <v>0</v>
      </c>
      <c r="L805" t="n">
        <v>0</v>
      </c>
      <c r="M805" t="n">
        <v>0</v>
      </c>
      <c r="N805" t="n">
        <v>0</v>
      </c>
      <c r="O805" t="n">
        <v>0</v>
      </c>
      <c r="P805" t="n">
        <v>0</v>
      </c>
      <c r="Q805" t="n">
        <v>0</v>
      </c>
      <c r="R805" s="2" t="inlineStr"/>
    </row>
    <row r="806" ht="15" customHeight="1">
      <c r="A806" t="inlineStr">
        <is>
          <t>A 8175-2024</t>
        </is>
      </c>
      <c r="B806" s="1" t="n">
        <v>45349</v>
      </c>
      <c r="C806" s="1" t="n">
        <v>45510</v>
      </c>
      <c r="D806" t="inlineStr">
        <is>
          <t>DALARNAS LÄN</t>
        </is>
      </c>
      <c r="E806" t="inlineStr">
        <is>
          <t>LUDVIKA</t>
        </is>
      </c>
      <c r="F806" t="inlineStr">
        <is>
          <t>Allmännings- och besparingsskogar</t>
        </is>
      </c>
      <c r="G806" t="n">
        <v>3.8</v>
      </c>
      <c r="H806" t="n">
        <v>0</v>
      </c>
      <c r="I806" t="n">
        <v>0</v>
      </c>
      <c r="J806" t="n">
        <v>0</v>
      </c>
      <c r="K806" t="n">
        <v>0</v>
      </c>
      <c r="L806" t="n">
        <v>0</v>
      </c>
      <c r="M806" t="n">
        <v>0</v>
      </c>
      <c r="N806" t="n">
        <v>0</v>
      </c>
      <c r="O806" t="n">
        <v>0</v>
      </c>
      <c r="P806" t="n">
        <v>0</v>
      </c>
      <c r="Q806" t="n">
        <v>0</v>
      </c>
      <c r="R806" s="2" t="inlineStr"/>
    </row>
    <row r="807" ht="15" customHeight="1">
      <c r="A807" t="inlineStr">
        <is>
          <t>A 7996-2024</t>
        </is>
      </c>
      <c r="B807" s="1" t="n">
        <v>45350</v>
      </c>
      <c r="C807" s="1" t="n">
        <v>45510</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11237-2024</t>
        </is>
      </c>
      <c r="B808" s="1" t="n">
        <v>45371</v>
      </c>
      <c r="C808" s="1" t="n">
        <v>45510</v>
      </c>
      <c r="D808" t="inlineStr">
        <is>
          <t>DALARNAS LÄN</t>
        </is>
      </c>
      <c r="E808" t="inlineStr">
        <is>
          <t>LUDVIKA</t>
        </is>
      </c>
      <c r="G808" t="n">
        <v>20.8</v>
      </c>
      <c r="H808" t="n">
        <v>0</v>
      </c>
      <c r="I808" t="n">
        <v>0</v>
      </c>
      <c r="J808" t="n">
        <v>0</v>
      </c>
      <c r="K808" t="n">
        <v>0</v>
      </c>
      <c r="L808" t="n">
        <v>0</v>
      </c>
      <c r="M808" t="n">
        <v>0</v>
      </c>
      <c r="N808" t="n">
        <v>0</v>
      </c>
      <c r="O808" t="n">
        <v>0</v>
      </c>
      <c r="P808" t="n">
        <v>0</v>
      </c>
      <c r="Q808" t="n">
        <v>0</v>
      </c>
      <c r="R808" s="2" t="inlineStr"/>
    </row>
    <row r="809" ht="15" customHeight="1">
      <c r="A809" t="inlineStr">
        <is>
          <t>A 11436-2024</t>
        </is>
      </c>
      <c r="B809" s="1" t="n">
        <v>45372</v>
      </c>
      <c r="C809" s="1" t="n">
        <v>45510</v>
      </c>
      <c r="D809" t="inlineStr">
        <is>
          <t>DALARNAS LÄN</t>
        </is>
      </c>
      <c r="E809" t="inlineStr">
        <is>
          <t>LUDVIKA</t>
        </is>
      </c>
      <c r="G809" t="n">
        <v>0.5</v>
      </c>
      <c r="H809" t="n">
        <v>0</v>
      </c>
      <c r="I809" t="n">
        <v>0</v>
      </c>
      <c r="J809" t="n">
        <v>0</v>
      </c>
      <c r="K809" t="n">
        <v>0</v>
      </c>
      <c r="L809" t="n">
        <v>0</v>
      </c>
      <c r="M809" t="n">
        <v>0</v>
      </c>
      <c r="N809" t="n">
        <v>0</v>
      </c>
      <c r="O809" t="n">
        <v>0</v>
      </c>
      <c r="P809" t="n">
        <v>0</v>
      </c>
      <c r="Q809" t="n">
        <v>0</v>
      </c>
      <c r="R809" s="2" t="inlineStr"/>
    </row>
    <row r="810" ht="15" customHeight="1">
      <c r="A810" t="inlineStr">
        <is>
          <t>A 11491-2024</t>
        </is>
      </c>
      <c r="B810" s="1" t="n">
        <v>45372</v>
      </c>
      <c r="C810" s="1" t="n">
        <v>45510</v>
      </c>
      <c r="D810" t="inlineStr">
        <is>
          <t>DALARNAS LÄN</t>
        </is>
      </c>
      <c r="E810" t="inlineStr">
        <is>
          <t>LUDVIKA</t>
        </is>
      </c>
      <c r="F810" t="inlineStr">
        <is>
          <t>Kommuner</t>
        </is>
      </c>
      <c r="G810" t="n">
        <v>3.2</v>
      </c>
      <c r="H810" t="n">
        <v>0</v>
      </c>
      <c r="I810" t="n">
        <v>0</v>
      </c>
      <c r="J810" t="n">
        <v>0</v>
      </c>
      <c r="K810" t="n">
        <v>0</v>
      </c>
      <c r="L810" t="n">
        <v>0</v>
      </c>
      <c r="M810" t="n">
        <v>0</v>
      </c>
      <c r="N810" t="n">
        <v>0</v>
      </c>
      <c r="O810" t="n">
        <v>0</v>
      </c>
      <c r="P810" t="n">
        <v>0</v>
      </c>
      <c r="Q810" t="n">
        <v>0</v>
      </c>
      <c r="R810" s="2" t="inlineStr"/>
    </row>
    <row r="811" ht="15" customHeight="1">
      <c r="A811" t="inlineStr">
        <is>
          <t>A 11632-2024</t>
        </is>
      </c>
      <c r="B811" s="1" t="n">
        <v>45373</v>
      </c>
      <c r="C811" s="1" t="n">
        <v>45510</v>
      </c>
      <c r="D811" t="inlineStr">
        <is>
          <t>DALARNAS LÄN</t>
        </is>
      </c>
      <c r="E811" t="inlineStr">
        <is>
          <t>LUDVIKA</t>
        </is>
      </c>
      <c r="G811" t="n">
        <v>5.1</v>
      </c>
      <c r="H811" t="n">
        <v>0</v>
      </c>
      <c r="I811" t="n">
        <v>0</v>
      </c>
      <c r="J811" t="n">
        <v>0</v>
      </c>
      <c r="K811" t="n">
        <v>0</v>
      </c>
      <c r="L811" t="n">
        <v>0</v>
      </c>
      <c r="M811" t="n">
        <v>0</v>
      </c>
      <c r="N811" t="n">
        <v>0</v>
      </c>
      <c r="O811" t="n">
        <v>0</v>
      </c>
      <c r="P811" t="n">
        <v>0</v>
      </c>
      <c r="Q811" t="n">
        <v>0</v>
      </c>
      <c r="R811" s="2" t="inlineStr"/>
    </row>
    <row r="812" ht="15" customHeight="1">
      <c r="A812" t="inlineStr">
        <is>
          <t>A 11829-2024</t>
        </is>
      </c>
      <c r="B812" s="1" t="n">
        <v>45376</v>
      </c>
      <c r="C812" s="1" t="n">
        <v>45510</v>
      </c>
      <c r="D812" t="inlineStr">
        <is>
          <t>DALARNAS LÄN</t>
        </is>
      </c>
      <c r="E812" t="inlineStr">
        <is>
          <t>LUDVIKA</t>
        </is>
      </c>
      <c r="G812" t="n">
        <v>0.6</v>
      </c>
      <c r="H812" t="n">
        <v>0</v>
      </c>
      <c r="I812" t="n">
        <v>0</v>
      </c>
      <c r="J812" t="n">
        <v>0</v>
      </c>
      <c r="K812" t="n">
        <v>0</v>
      </c>
      <c r="L812" t="n">
        <v>0</v>
      </c>
      <c r="M812" t="n">
        <v>0</v>
      </c>
      <c r="N812" t="n">
        <v>0</v>
      </c>
      <c r="O812" t="n">
        <v>0</v>
      </c>
      <c r="P812" t="n">
        <v>0</v>
      </c>
      <c r="Q812" t="n">
        <v>0</v>
      </c>
      <c r="R812" s="2" t="inlineStr"/>
    </row>
    <row r="813" ht="15" customHeight="1">
      <c r="A813" t="inlineStr">
        <is>
          <t>A 12497-2024</t>
        </is>
      </c>
      <c r="B813" s="1" t="n">
        <v>45379</v>
      </c>
      <c r="C813" s="1" t="n">
        <v>45510</v>
      </c>
      <c r="D813" t="inlineStr">
        <is>
          <t>DALARNAS LÄN</t>
        </is>
      </c>
      <c r="E813" t="inlineStr">
        <is>
          <t>LUDVIKA</t>
        </is>
      </c>
      <c r="F813" t="inlineStr">
        <is>
          <t>Naturvårdsverket</t>
        </is>
      </c>
      <c r="G813" t="n">
        <v>0.4</v>
      </c>
      <c r="H813" t="n">
        <v>0</v>
      </c>
      <c r="I813" t="n">
        <v>0</v>
      </c>
      <c r="J813" t="n">
        <v>0</v>
      </c>
      <c r="K813" t="n">
        <v>0</v>
      </c>
      <c r="L813" t="n">
        <v>0</v>
      </c>
      <c r="M813" t="n">
        <v>0</v>
      </c>
      <c r="N813" t="n">
        <v>0</v>
      </c>
      <c r="O813" t="n">
        <v>0</v>
      </c>
      <c r="P813" t="n">
        <v>0</v>
      </c>
      <c r="Q813" t="n">
        <v>0</v>
      </c>
      <c r="R813" s="2" t="inlineStr"/>
    </row>
    <row r="814" ht="15" customHeight="1">
      <c r="A814" t="inlineStr">
        <is>
          <t>A 13861-2024</t>
        </is>
      </c>
      <c r="B814" s="1" t="n">
        <v>45390</v>
      </c>
      <c r="C814" s="1" t="n">
        <v>45510</v>
      </c>
      <c r="D814" t="inlineStr">
        <is>
          <t>DALARNAS LÄN</t>
        </is>
      </c>
      <c r="E814" t="inlineStr">
        <is>
          <t>LUDVIKA</t>
        </is>
      </c>
      <c r="G814" t="n">
        <v>2.5</v>
      </c>
      <c r="H814" t="n">
        <v>0</v>
      </c>
      <c r="I814" t="n">
        <v>0</v>
      </c>
      <c r="J814" t="n">
        <v>0</v>
      </c>
      <c r="K814" t="n">
        <v>0</v>
      </c>
      <c r="L814" t="n">
        <v>0</v>
      </c>
      <c r="M814" t="n">
        <v>0</v>
      </c>
      <c r="N814" t="n">
        <v>0</v>
      </c>
      <c r="O814" t="n">
        <v>0</v>
      </c>
      <c r="P814" t="n">
        <v>0</v>
      </c>
      <c r="Q814" t="n">
        <v>0</v>
      </c>
      <c r="R814" s="2" t="inlineStr"/>
    </row>
    <row r="815" ht="15" customHeight="1">
      <c r="A815" t="inlineStr">
        <is>
          <t>A 14997-2024</t>
        </is>
      </c>
      <c r="B815" s="1" t="n">
        <v>45399</v>
      </c>
      <c r="C815" s="1" t="n">
        <v>45510</v>
      </c>
      <c r="D815" t="inlineStr">
        <is>
          <t>DALARNAS LÄN</t>
        </is>
      </c>
      <c r="E815" t="inlineStr">
        <is>
          <t>LUDVIKA</t>
        </is>
      </c>
      <c r="F815" t="inlineStr">
        <is>
          <t>Bergvik skog väst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15100-2024</t>
        </is>
      </c>
      <c r="B816" s="1" t="n">
        <v>45399</v>
      </c>
      <c r="C816" s="1" t="n">
        <v>45510</v>
      </c>
      <c r="D816" t="inlineStr">
        <is>
          <t>DALARNAS LÄN</t>
        </is>
      </c>
      <c r="E816" t="inlineStr">
        <is>
          <t>LUDVIKA</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14986-2024</t>
        </is>
      </c>
      <c r="B817" s="1" t="n">
        <v>45399</v>
      </c>
      <c r="C817" s="1" t="n">
        <v>45510</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15014-2024</t>
        </is>
      </c>
      <c r="B818" s="1" t="n">
        <v>45399</v>
      </c>
      <c r="C818" s="1" t="n">
        <v>45510</v>
      </c>
      <c r="D818" t="inlineStr">
        <is>
          <t>DALARNAS LÄN</t>
        </is>
      </c>
      <c r="E818" t="inlineStr">
        <is>
          <t>LUDVIKA</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14996-2024</t>
        </is>
      </c>
      <c r="B819" s="1" t="n">
        <v>45399</v>
      </c>
      <c r="C819" s="1" t="n">
        <v>45510</v>
      </c>
      <c r="D819" t="inlineStr">
        <is>
          <t>DALARNAS LÄN</t>
        </is>
      </c>
      <c r="E819" t="inlineStr">
        <is>
          <t>LUDVIKA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15008-2024</t>
        </is>
      </c>
      <c r="B820" s="1" t="n">
        <v>45399</v>
      </c>
      <c r="C820" s="1" t="n">
        <v>45510</v>
      </c>
      <c r="D820" t="inlineStr">
        <is>
          <t>DALARNAS LÄN</t>
        </is>
      </c>
      <c r="E820" t="inlineStr">
        <is>
          <t>LUDVIKA</t>
        </is>
      </c>
      <c r="G820" t="n">
        <v>1.3</v>
      </c>
      <c r="H820" t="n">
        <v>0</v>
      </c>
      <c r="I820" t="n">
        <v>0</v>
      </c>
      <c r="J820" t="n">
        <v>0</v>
      </c>
      <c r="K820" t="n">
        <v>0</v>
      </c>
      <c r="L820" t="n">
        <v>0</v>
      </c>
      <c r="M820" t="n">
        <v>0</v>
      </c>
      <c r="N820" t="n">
        <v>0</v>
      </c>
      <c r="O820" t="n">
        <v>0</v>
      </c>
      <c r="P820" t="n">
        <v>0</v>
      </c>
      <c r="Q820" t="n">
        <v>0</v>
      </c>
      <c r="R820" s="2" t="inlineStr"/>
    </row>
    <row r="821" ht="15" customHeight="1">
      <c r="A821" t="inlineStr">
        <is>
          <t>A 15016-2024</t>
        </is>
      </c>
      <c r="B821" s="1" t="n">
        <v>45399</v>
      </c>
      <c r="C821" s="1" t="n">
        <v>45510</v>
      </c>
      <c r="D821" t="inlineStr">
        <is>
          <t>DALARNAS LÄN</t>
        </is>
      </c>
      <c r="E821" t="inlineStr">
        <is>
          <t>LUDVIKA</t>
        </is>
      </c>
      <c r="F821" t="inlineStr">
        <is>
          <t>Bergvik skog väst AB</t>
        </is>
      </c>
      <c r="G821" t="n">
        <v>1.9</v>
      </c>
      <c r="H821" t="n">
        <v>0</v>
      </c>
      <c r="I821" t="n">
        <v>0</v>
      </c>
      <c r="J821" t="n">
        <v>0</v>
      </c>
      <c r="K821" t="n">
        <v>0</v>
      </c>
      <c r="L821" t="n">
        <v>0</v>
      </c>
      <c r="M821" t="n">
        <v>0</v>
      </c>
      <c r="N821" t="n">
        <v>0</v>
      </c>
      <c r="O821" t="n">
        <v>0</v>
      </c>
      <c r="P821" t="n">
        <v>0</v>
      </c>
      <c r="Q821" t="n">
        <v>0</v>
      </c>
      <c r="R821" s="2" t="inlineStr"/>
    </row>
    <row r="822" ht="15" customHeight="1">
      <c r="A822" t="inlineStr">
        <is>
          <t>A 15718-2024</t>
        </is>
      </c>
      <c r="B822" s="1" t="n">
        <v>45404</v>
      </c>
      <c r="C822" s="1" t="n">
        <v>45510</v>
      </c>
      <c r="D822" t="inlineStr">
        <is>
          <t>DALARNAS LÄN</t>
        </is>
      </c>
      <c r="E822" t="inlineStr">
        <is>
          <t>LUDVIKA</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15851-2024</t>
        </is>
      </c>
      <c r="B823" s="1" t="n">
        <v>45404</v>
      </c>
      <c r="C823" s="1" t="n">
        <v>45510</v>
      </c>
      <c r="D823" t="inlineStr">
        <is>
          <t>DALARNAS LÄN</t>
        </is>
      </c>
      <c r="E823" t="inlineStr">
        <is>
          <t>LUDVIKA</t>
        </is>
      </c>
      <c r="G823" t="n">
        <v>5.2</v>
      </c>
      <c r="H823" t="n">
        <v>0</v>
      </c>
      <c r="I823" t="n">
        <v>0</v>
      </c>
      <c r="J823" t="n">
        <v>0</v>
      </c>
      <c r="K823" t="n">
        <v>0</v>
      </c>
      <c r="L823" t="n">
        <v>0</v>
      </c>
      <c r="M823" t="n">
        <v>0</v>
      </c>
      <c r="N823" t="n">
        <v>0</v>
      </c>
      <c r="O823" t="n">
        <v>0</v>
      </c>
      <c r="P823" t="n">
        <v>0</v>
      </c>
      <c r="Q823" t="n">
        <v>0</v>
      </c>
      <c r="R823" s="2" t="inlineStr"/>
    </row>
    <row r="824" ht="15" customHeight="1">
      <c r="A824" t="inlineStr">
        <is>
          <t>A 15876-2024</t>
        </is>
      </c>
      <c r="B824" s="1" t="n">
        <v>45405</v>
      </c>
      <c r="C824" s="1" t="n">
        <v>45510</v>
      </c>
      <c r="D824" t="inlineStr">
        <is>
          <t>DALARNAS LÄN</t>
        </is>
      </c>
      <c r="E824" t="inlineStr">
        <is>
          <t>LUDVIKA</t>
        </is>
      </c>
      <c r="F824" t="inlineStr">
        <is>
          <t>Bergvik skog väst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15939-2024</t>
        </is>
      </c>
      <c r="B825" s="1" t="n">
        <v>45405</v>
      </c>
      <c r="C825" s="1" t="n">
        <v>45510</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c r="U825">
        <f>HYPERLINK("https://klasma.github.io/Logging_2085/knärot/A 15939-2024 karta knärot.png", "A 15939-2024")</f>
        <v/>
      </c>
      <c r="V825">
        <f>HYPERLINK("https://klasma.github.io/Logging_2085/klagomål/A 15939-2024 FSC-klagomål.docx", "A 15939-2024")</f>
        <v/>
      </c>
      <c r="W825">
        <f>HYPERLINK("https://klasma.github.io/Logging_2085/klagomålsmail/A 15939-2024 FSC-klagomål mail.docx", "A 15939-2024")</f>
        <v/>
      </c>
      <c r="X825">
        <f>HYPERLINK("https://klasma.github.io/Logging_2085/tillsyn/A 15939-2024 tillsynsbegäran.docx", "A 15939-2024")</f>
        <v/>
      </c>
      <c r="Y825">
        <f>HYPERLINK("https://klasma.github.io/Logging_2085/tillsynsmail/A 15939-2024 tillsynsbegäran mail.docx", "A 15939-2024")</f>
        <v/>
      </c>
    </row>
    <row r="826" ht="15" customHeight="1">
      <c r="A826" t="inlineStr">
        <is>
          <t>A 16494-2024</t>
        </is>
      </c>
      <c r="B826" s="1" t="n">
        <v>45408</v>
      </c>
      <c r="C826" s="1" t="n">
        <v>45510</v>
      </c>
      <c r="D826" t="inlineStr">
        <is>
          <t>DALARNAS LÄN</t>
        </is>
      </c>
      <c r="E826" t="inlineStr">
        <is>
          <t>LUDVIKA</t>
        </is>
      </c>
      <c r="F826" t="inlineStr">
        <is>
          <t>Bergvik skog väst AB</t>
        </is>
      </c>
      <c r="G826" t="n">
        <v>6.8</v>
      </c>
      <c r="H826" t="n">
        <v>0</v>
      </c>
      <c r="I826" t="n">
        <v>0</v>
      </c>
      <c r="J826" t="n">
        <v>0</v>
      </c>
      <c r="K826" t="n">
        <v>0</v>
      </c>
      <c r="L826" t="n">
        <v>0</v>
      </c>
      <c r="M826" t="n">
        <v>0</v>
      </c>
      <c r="N826" t="n">
        <v>0</v>
      </c>
      <c r="O826" t="n">
        <v>0</v>
      </c>
      <c r="P826" t="n">
        <v>0</v>
      </c>
      <c r="Q826" t="n">
        <v>0</v>
      </c>
      <c r="R826" s="2" t="inlineStr"/>
    </row>
    <row r="827" ht="15" customHeight="1">
      <c r="A827" t="inlineStr">
        <is>
          <t>A 16926-2024</t>
        </is>
      </c>
      <c r="B827" s="1" t="n">
        <v>45411</v>
      </c>
      <c r="C827" s="1" t="n">
        <v>45510</v>
      </c>
      <c r="D827" t="inlineStr">
        <is>
          <t>DALARNAS LÄN</t>
        </is>
      </c>
      <c r="E827" t="inlineStr">
        <is>
          <t>LUDVIKA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16814-2024</t>
        </is>
      </c>
      <c r="B828" s="1" t="n">
        <v>45411</v>
      </c>
      <c r="C828" s="1" t="n">
        <v>45510</v>
      </c>
      <c r="D828" t="inlineStr">
        <is>
          <t>DALARNAS LÄN</t>
        </is>
      </c>
      <c r="E828" t="inlineStr">
        <is>
          <t>LUDVIKA</t>
        </is>
      </c>
      <c r="F828" t="inlineStr">
        <is>
          <t>Bergvik skog väst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16928-2024</t>
        </is>
      </c>
      <c r="B829" s="1" t="n">
        <v>45411</v>
      </c>
      <c r="C829" s="1" t="n">
        <v>45510</v>
      </c>
      <c r="D829" t="inlineStr">
        <is>
          <t>DALARNAS LÄN</t>
        </is>
      </c>
      <c r="E829" t="inlineStr">
        <is>
          <t>LUDVIKA</t>
        </is>
      </c>
      <c r="F829" t="inlineStr">
        <is>
          <t>Bergvik skog väst AB</t>
        </is>
      </c>
      <c r="G829" t="n">
        <v>1.4</v>
      </c>
      <c r="H829" t="n">
        <v>0</v>
      </c>
      <c r="I829" t="n">
        <v>0</v>
      </c>
      <c r="J829" t="n">
        <v>0</v>
      </c>
      <c r="K829" t="n">
        <v>0</v>
      </c>
      <c r="L829" t="n">
        <v>0</v>
      </c>
      <c r="M829" t="n">
        <v>0</v>
      </c>
      <c r="N829" t="n">
        <v>0</v>
      </c>
      <c r="O829" t="n">
        <v>0</v>
      </c>
      <c r="P829" t="n">
        <v>0</v>
      </c>
      <c r="Q829" t="n">
        <v>0</v>
      </c>
      <c r="R829" s="2" t="inlineStr"/>
    </row>
    <row r="830" ht="15" customHeight="1">
      <c r="A830" t="inlineStr">
        <is>
          <t>A 16924-2024</t>
        </is>
      </c>
      <c r="B830" s="1" t="n">
        <v>45411</v>
      </c>
      <c r="C830" s="1" t="n">
        <v>45510</v>
      </c>
      <c r="D830" t="inlineStr">
        <is>
          <t>DALARNAS LÄN</t>
        </is>
      </c>
      <c r="E830" t="inlineStr">
        <is>
          <t>LUDVIKA</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17054-2024</t>
        </is>
      </c>
      <c r="B831" s="1" t="n">
        <v>45412</v>
      </c>
      <c r="C831" s="1" t="n">
        <v>45510</v>
      </c>
      <c r="D831" t="inlineStr">
        <is>
          <t>DALARNAS LÄN</t>
        </is>
      </c>
      <c r="E831" t="inlineStr">
        <is>
          <t>LUDVIKA</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17638-2024</t>
        </is>
      </c>
      <c r="B832" s="1" t="n">
        <v>45418</v>
      </c>
      <c r="C832" s="1" t="n">
        <v>45510</v>
      </c>
      <c r="D832" t="inlineStr">
        <is>
          <t>DALARNAS LÄN</t>
        </is>
      </c>
      <c r="E832" t="inlineStr">
        <is>
          <t>LUDVIKA</t>
        </is>
      </c>
      <c r="F832" t="inlineStr">
        <is>
          <t>Bergvik skog väst AB</t>
        </is>
      </c>
      <c r="G832" t="n">
        <v>8.1</v>
      </c>
      <c r="H832" t="n">
        <v>0</v>
      </c>
      <c r="I832" t="n">
        <v>0</v>
      </c>
      <c r="J832" t="n">
        <v>0</v>
      </c>
      <c r="K832" t="n">
        <v>0</v>
      </c>
      <c r="L832" t="n">
        <v>0</v>
      </c>
      <c r="M832" t="n">
        <v>0</v>
      </c>
      <c r="N832" t="n">
        <v>0</v>
      </c>
      <c r="O832" t="n">
        <v>0</v>
      </c>
      <c r="P832" t="n">
        <v>0</v>
      </c>
      <c r="Q832" t="n">
        <v>0</v>
      </c>
      <c r="R832" s="2" t="inlineStr"/>
    </row>
    <row r="833" ht="15" customHeight="1">
      <c r="A833" t="inlineStr">
        <is>
          <t>A 18102-2024</t>
        </is>
      </c>
      <c r="B833" s="1" t="n">
        <v>45420</v>
      </c>
      <c r="C833" s="1" t="n">
        <v>45510</v>
      </c>
      <c r="D833" t="inlineStr">
        <is>
          <t>DALARNAS LÄN</t>
        </is>
      </c>
      <c r="E833" t="inlineStr">
        <is>
          <t>LUDVIKA</t>
        </is>
      </c>
      <c r="F833" t="inlineStr">
        <is>
          <t>Bergvik skog väst AB</t>
        </is>
      </c>
      <c r="G833" t="n">
        <v>3.4</v>
      </c>
      <c r="H833" t="n">
        <v>0</v>
      </c>
      <c r="I833" t="n">
        <v>0</v>
      </c>
      <c r="J833" t="n">
        <v>0</v>
      </c>
      <c r="K833" t="n">
        <v>0</v>
      </c>
      <c r="L833" t="n">
        <v>0</v>
      </c>
      <c r="M833" t="n">
        <v>0</v>
      </c>
      <c r="N833" t="n">
        <v>0</v>
      </c>
      <c r="O833" t="n">
        <v>0</v>
      </c>
      <c r="P833" t="n">
        <v>0</v>
      </c>
      <c r="Q833" t="n">
        <v>0</v>
      </c>
      <c r="R833" s="2" t="inlineStr"/>
    </row>
    <row r="834" ht="15" customHeight="1">
      <c r="A834" t="inlineStr">
        <is>
          <t>A 19030-2024</t>
        </is>
      </c>
      <c r="B834" s="1" t="n">
        <v>45427</v>
      </c>
      <c r="C834" s="1" t="n">
        <v>45510</v>
      </c>
      <c r="D834" t="inlineStr">
        <is>
          <t>DALARNAS LÄN</t>
        </is>
      </c>
      <c r="E834" t="inlineStr">
        <is>
          <t>LUDVIKA</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19277-2024</t>
        </is>
      </c>
      <c r="B835" s="1" t="n">
        <v>45428</v>
      </c>
      <c r="C835" s="1" t="n">
        <v>45510</v>
      </c>
      <c r="D835" t="inlineStr">
        <is>
          <t>DALARNAS LÄN</t>
        </is>
      </c>
      <c r="E835" t="inlineStr">
        <is>
          <t>LUDVIKA</t>
        </is>
      </c>
      <c r="G835" t="n">
        <v>1.8</v>
      </c>
      <c r="H835" t="n">
        <v>0</v>
      </c>
      <c r="I835" t="n">
        <v>0</v>
      </c>
      <c r="J835" t="n">
        <v>0</v>
      </c>
      <c r="K835" t="n">
        <v>0</v>
      </c>
      <c r="L835" t="n">
        <v>0</v>
      </c>
      <c r="M835" t="n">
        <v>0</v>
      </c>
      <c r="N835" t="n">
        <v>0</v>
      </c>
      <c r="O835" t="n">
        <v>0</v>
      </c>
      <c r="P835" t="n">
        <v>0</v>
      </c>
      <c r="Q835" t="n">
        <v>0</v>
      </c>
      <c r="R835" s="2" t="inlineStr"/>
    </row>
    <row r="836" ht="15" customHeight="1">
      <c r="A836" t="inlineStr">
        <is>
          <t>A 19276-2024</t>
        </is>
      </c>
      <c r="B836" s="1" t="n">
        <v>45428</v>
      </c>
      <c r="C836" s="1" t="n">
        <v>45510</v>
      </c>
      <c r="D836" t="inlineStr">
        <is>
          <t>DALARNAS LÄN</t>
        </is>
      </c>
      <c r="E836" t="inlineStr">
        <is>
          <t>LUDVIKA</t>
        </is>
      </c>
      <c r="G836" t="n">
        <v>2.8</v>
      </c>
      <c r="H836" t="n">
        <v>0</v>
      </c>
      <c r="I836" t="n">
        <v>0</v>
      </c>
      <c r="J836" t="n">
        <v>0</v>
      </c>
      <c r="K836" t="n">
        <v>0</v>
      </c>
      <c r="L836" t="n">
        <v>0</v>
      </c>
      <c r="M836" t="n">
        <v>0</v>
      </c>
      <c r="N836" t="n">
        <v>0</v>
      </c>
      <c r="O836" t="n">
        <v>0</v>
      </c>
      <c r="P836" t="n">
        <v>0</v>
      </c>
      <c r="Q836" t="n">
        <v>0</v>
      </c>
      <c r="R836" s="2" t="inlineStr"/>
    </row>
    <row r="837" ht="15" customHeight="1">
      <c r="A837" t="inlineStr">
        <is>
          <t>A 19463-2024</t>
        </is>
      </c>
      <c r="B837" s="1" t="n">
        <v>45429</v>
      </c>
      <c r="C837" s="1" t="n">
        <v>45510</v>
      </c>
      <c r="D837" t="inlineStr">
        <is>
          <t>DALARNAS LÄN</t>
        </is>
      </c>
      <c r="E837" t="inlineStr">
        <is>
          <t>LUDVIKA</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19389-2024</t>
        </is>
      </c>
      <c r="B838" s="1" t="n">
        <v>45429</v>
      </c>
      <c r="C838" s="1" t="n">
        <v>45510</v>
      </c>
      <c r="D838" t="inlineStr">
        <is>
          <t>DALARNAS LÄN</t>
        </is>
      </c>
      <c r="E838" t="inlineStr">
        <is>
          <t>LUDVIKA</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19445-2024</t>
        </is>
      </c>
      <c r="B839" s="1" t="n">
        <v>45429</v>
      </c>
      <c r="C839" s="1" t="n">
        <v>45510</v>
      </c>
      <c r="D839" t="inlineStr">
        <is>
          <t>DALARNAS LÄN</t>
        </is>
      </c>
      <c r="E839" t="inlineStr">
        <is>
          <t>LUDVIKA</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19651-2024</t>
        </is>
      </c>
      <c r="B840" s="1" t="n">
        <v>45432</v>
      </c>
      <c r="C840" s="1" t="n">
        <v>45510</v>
      </c>
      <c r="D840" t="inlineStr">
        <is>
          <t>DALARNAS LÄN</t>
        </is>
      </c>
      <c r="E840" t="inlineStr">
        <is>
          <t>LUDVIKA</t>
        </is>
      </c>
      <c r="F840" t="inlineStr">
        <is>
          <t>Bergvik skog väst AB</t>
        </is>
      </c>
      <c r="G840" t="n">
        <v>1.2</v>
      </c>
      <c r="H840" t="n">
        <v>0</v>
      </c>
      <c r="I840" t="n">
        <v>0</v>
      </c>
      <c r="J840" t="n">
        <v>0</v>
      </c>
      <c r="K840" t="n">
        <v>0</v>
      </c>
      <c r="L840" t="n">
        <v>0</v>
      </c>
      <c r="M840" t="n">
        <v>0</v>
      </c>
      <c r="N840" t="n">
        <v>0</v>
      </c>
      <c r="O840" t="n">
        <v>0</v>
      </c>
      <c r="P840" t="n">
        <v>0</v>
      </c>
      <c r="Q840" t="n">
        <v>0</v>
      </c>
      <c r="R840" s="2" t="inlineStr"/>
    </row>
    <row r="841" ht="15" customHeight="1">
      <c r="A841" t="inlineStr">
        <is>
          <t>A 19684-2024</t>
        </is>
      </c>
      <c r="B841" s="1" t="n">
        <v>45432</v>
      </c>
      <c r="C841" s="1" t="n">
        <v>45510</v>
      </c>
      <c r="D841" t="inlineStr">
        <is>
          <t>DALARNAS LÄN</t>
        </is>
      </c>
      <c r="E841" t="inlineStr">
        <is>
          <t>LUDVIKA</t>
        </is>
      </c>
      <c r="F841" t="inlineStr">
        <is>
          <t>Bergvik skog väst AB</t>
        </is>
      </c>
      <c r="G841" t="n">
        <v>3.3</v>
      </c>
      <c r="H841" t="n">
        <v>0</v>
      </c>
      <c r="I841" t="n">
        <v>0</v>
      </c>
      <c r="J841" t="n">
        <v>0</v>
      </c>
      <c r="K841" t="n">
        <v>0</v>
      </c>
      <c r="L841" t="n">
        <v>0</v>
      </c>
      <c r="M841" t="n">
        <v>0</v>
      </c>
      <c r="N841" t="n">
        <v>0</v>
      </c>
      <c r="O841" t="n">
        <v>0</v>
      </c>
      <c r="P841" t="n">
        <v>0</v>
      </c>
      <c r="Q841" t="n">
        <v>0</v>
      </c>
      <c r="R841" s="2" t="inlineStr"/>
    </row>
    <row r="842" ht="15" customHeight="1">
      <c r="A842" t="inlineStr">
        <is>
          <t>A 19688-2024</t>
        </is>
      </c>
      <c r="B842" s="1" t="n">
        <v>45432</v>
      </c>
      <c r="C842" s="1" t="n">
        <v>45510</v>
      </c>
      <c r="D842" t="inlineStr">
        <is>
          <t>DALARNAS LÄN</t>
        </is>
      </c>
      <c r="E842" t="inlineStr">
        <is>
          <t>LUDVIKA</t>
        </is>
      </c>
      <c r="F842" t="inlineStr">
        <is>
          <t>Bergvik skog väst AB</t>
        </is>
      </c>
      <c r="G842" t="n">
        <v>10</v>
      </c>
      <c r="H842" t="n">
        <v>0</v>
      </c>
      <c r="I842" t="n">
        <v>0</v>
      </c>
      <c r="J842" t="n">
        <v>0</v>
      </c>
      <c r="K842" t="n">
        <v>0</v>
      </c>
      <c r="L842" t="n">
        <v>0</v>
      </c>
      <c r="M842" t="n">
        <v>0</v>
      </c>
      <c r="N842" t="n">
        <v>0</v>
      </c>
      <c r="O842" t="n">
        <v>0</v>
      </c>
      <c r="P842" t="n">
        <v>0</v>
      </c>
      <c r="Q842" t="n">
        <v>0</v>
      </c>
      <c r="R842" s="2" t="inlineStr"/>
    </row>
    <row r="843" ht="15" customHeight="1">
      <c r="A843" t="inlineStr">
        <is>
          <t>A 20692-2024</t>
        </is>
      </c>
      <c r="B843" s="1" t="n">
        <v>45436</v>
      </c>
      <c r="C843" s="1" t="n">
        <v>45510</v>
      </c>
      <c r="D843" t="inlineStr">
        <is>
          <t>DALARNAS LÄN</t>
        </is>
      </c>
      <c r="E843" t="inlineStr">
        <is>
          <t>LUDVIKA</t>
        </is>
      </c>
      <c r="F843" t="inlineStr">
        <is>
          <t>Bergvik skog väst AB</t>
        </is>
      </c>
      <c r="G843" t="n">
        <v>12.8</v>
      </c>
      <c r="H843" t="n">
        <v>0</v>
      </c>
      <c r="I843" t="n">
        <v>0</v>
      </c>
      <c r="J843" t="n">
        <v>0</v>
      </c>
      <c r="K843" t="n">
        <v>0</v>
      </c>
      <c r="L843" t="n">
        <v>0</v>
      </c>
      <c r="M843" t="n">
        <v>0</v>
      </c>
      <c r="N843" t="n">
        <v>0</v>
      </c>
      <c r="O843" t="n">
        <v>0</v>
      </c>
      <c r="P843" t="n">
        <v>0</v>
      </c>
      <c r="Q843" t="n">
        <v>0</v>
      </c>
      <c r="R843" s="2" t="inlineStr"/>
    </row>
    <row r="844" ht="15" customHeight="1">
      <c r="A844" t="inlineStr">
        <is>
          <t>A 23103-2024</t>
        </is>
      </c>
      <c r="B844" s="1" t="n">
        <v>45450</v>
      </c>
      <c r="C844" s="1" t="n">
        <v>45510</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23443-2024</t>
        </is>
      </c>
      <c r="B845" s="1" t="n">
        <v>45453</v>
      </c>
      <c r="C845" s="1" t="n">
        <v>45510</v>
      </c>
      <c r="D845" t="inlineStr">
        <is>
          <t>DALARNAS LÄN</t>
        </is>
      </c>
      <c r="E845" t="inlineStr">
        <is>
          <t>LUDVIKA</t>
        </is>
      </c>
      <c r="F845" t="inlineStr">
        <is>
          <t>Bergvik skog väst AB</t>
        </is>
      </c>
      <c r="G845" t="n">
        <v>3.2</v>
      </c>
      <c r="H845" t="n">
        <v>0</v>
      </c>
      <c r="I845" t="n">
        <v>0</v>
      </c>
      <c r="J845" t="n">
        <v>0</v>
      </c>
      <c r="K845" t="n">
        <v>0</v>
      </c>
      <c r="L845" t="n">
        <v>0</v>
      </c>
      <c r="M845" t="n">
        <v>0</v>
      </c>
      <c r="N845" t="n">
        <v>0</v>
      </c>
      <c r="O845" t="n">
        <v>0</v>
      </c>
      <c r="P845" t="n">
        <v>0</v>
      </c>
      <c r="Q845" t="n">
        <v>0</v>
      </c>
      <c r="R845" s="2" t="inlineStr"/>
    </row>
    <row r="846" ht="15" customHeight="1">
      <c r="A846" t="inlineStr">
        <is>
          <t>A 23392-2024</t>
        </is>
      </c>
      <c r="B846" s="1" t="n">
        <v>45453</v>
      </c>
      <c r="C846" s="1" t="n">
        <v>45510</v>
      </c>
      <c r="D846" t="inlineStr">
        <is>
          <t>DALARNAS LÄN</t>
        </is>
      </c>
      <c r="E846" t="inlineStr">
        <is>
          <t>LUDVIKA</t>
        </is>
      </c>
      <c r="G846" t="n">
        <v>5.2</v>
      </c>
      <c r="H846" t="n">
        <v>0</v>
      </c>
      <c r="I846" t="n">
        <v>0</v>
      </c>
      <c r="J846" t="n">
        <v>0</v>
      </c>
      <c r="K846" t="n">
        <v>0</v>
      </c>
      <c r="L846" t="n">
        <v>0</v>
      </c>
      <c r="M846" t="n">
        <v>0</v>
      </c>
      <c r="N846" t="n">
        <v>0</v>
      </c>
      <c r="O846" t="n">
        <v>0</v>
      </c>
      <c r="P846" t="n">
        <v>0</v>
      </c>
      <c r="Q846" t="n">
        <v>0</v>
      </c>
      <c r="R846" s="2" t="inlineStr"/>
    </row>
    <row r="847" ht="15" customHeight="1">
      <c r="A847" t="inlineStr">
        <is>
          <t>A 23383-2024</t>
        </is>
      </c>
      <c r="B847" s="1" t="n">
        <v>45453</v>
      </c>
      <c r="C847" s="1" t="n">
        <v>45510</v>
      </c>
      <c r="D847" t="inlineStr">
        <is>
          <t>DALARNAS LÄN</t>
        </is>
      </c>
      <c r="E847" t="inlineStr">
        <is>
          <t>LUDVIKA</t>
        </is>
      </c>
      <c r="G847" t="n">
        <v>1.6</v>
      </c>
      <c r="H847" t="n">
        <v>0</v>
      </c>
      <c r="I847" t="n">
        <v>0</v>
      </c>
      <c r="J847" t="n">
        <v>0</v>
      </c>
      <c r="K847" t="n">
        <v>0</v>
      </c>
      <c r="L847" t="n">
        <v>0</v>
      </c>
      <c r="M847" t="n">
        <v>0</v>
      </c>
      <c r="N847" t="n">
        <v>0</v>
      </c>
      <c r="O847" t="n">
        <v>0</v>
      </c>
      <c r="P847" t="n">
        <v>0</v>
      </c>
      <c r="Q847" t="n">
        <v>0</v>
      </c>
      <c r="R847" s="2" t="inlineStr"/>
    </row>
    <row r="848" ht="15" customHeight="1">
      <c r="A848" t="inlineStr">
        <is>
          <t>A 23363-2024</t>
        </is>
      </c>
      <c r="B848" s="1" t="n">
        <v>45453</v>
      </c>
      <c r="C848" s="1" t="n">
        <v>45510</v>
      </c>
      <c r="D848" t="inlineStr">
        <is>
          <t>DALARNAS LÄN</t>
        </is>
      </c>
      <c r="E848" t="inlineStr">
        <is>
          <t>LUDVIKA</t>
        </is>
      </c>
      <c r="G848" t="n">
        <v>6.4</v>
      </c>
      <c r="H848" t="n">
        <v>0</v>
      </c>
      <c r="I848" t="n">
        <v>0</v>
      </c>
      <c r="J848" t="n">
        <v>0</v>
      </c>
      <c r="K848" t="n">
        <v>0</v>
      </c>
      <c r="L848" t="n">
        <v>0</v>
      </c>
      <c r="M848" t="n">
        <v>0</v>
      </c>
      <c r="N848" t="n">
        <v>0</v>
      </c>
      <c r="O848" t="n">
        <v>0</v>
      </c>
      <c r="P848" t="n">
        <v>0</v>
      </c>
      <c r="Q848" t="n">
        <v>0</v>
      </c>
      <c r="R848" s="2" t="inlineStr"/>
    </row>
    <row r="849" ht="15" customHeight="1">
      <c r="A849" t="inlineStr">
        <is>
          <t>A 23689-2024</t>
        </is>
      </c>
      <c r="B849" s="1" t="n">
        <v>45454</v>
      </c>
      <c r="C849" s="1" t="n">
        <v>45510</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23867-2024</t>
        </is>
      </c>
      <c r="B850" s="1" t="n">
        <v>45455</v>
      </c>
      <c r="C850" s="1" t="n">
        <v>45510</v>
      </c>
      <c r="D850" t="inlineStr">
        <is>
          <t>DALARNAS LÄN</t>
        </is>
      </c>
      <c r="E850" t="inlineStr">
        <is>
          <t>LUDVIKA</t>
        </is>
      </c>
      <c r="G850" t="n">
        <v>2.4</v>
      </c>
      <c r="H850" t="n">
        <v>0</v>
      </c>
      <c r="I850" t="n">
        <v>0</v>
      </c>
      <c r="J850" t="n">
        <v>0</v>
      </c>
      <c r="K850" t="n">
        <v>0</v>
      </c>
      <c r="L850" t="n">
        <v>0</v>
      </c>
      <c r="M850" t="n">
        <v>0</v>
      </c>
      <c r="N850" t="n">
        <v>0</v>
      </c>
      <c r="O850" t="n">
        <v>0</v>
      </c>
      <c r="P850" t="n">
        <v>0</v>
      </c>
      <c r="Q850" t="n">
        <v>0</v>
      </c>
      <c r="R850" s="2" t="inlineStr"/>
    </row>
    <row r="851" ht="15" customHeight="1">
      <c r="A851" t="inlineStr">
        <is>
          <t>A 24712-2024</t>
        </is>
      </c>
      <c r="B851" s="1" t="n">
        <v>45460</v>
      </c>
      <c r="C851" s="1" t="n">
        <v>45510</v>
      </c>
      <c r="D851" t="inlineStr">
        <is>
          <t>DALARNAS LÄN</t>
        </is>
      </c>
      <c r="E851" t="inlineStr">
        <is>
          <t>LUDVIKA</t>
        </is>
      </c>
      <c r="G851" t="n">
        <v>4.2</v>
      </c>
      <c r="H851" t="n">
        <v>0</v>
      </c>
      <c r="I851" t="n">
        <v>0</v>
      </c>
      <c r="J851" t="n">
        <v>0</v>
      </c>
      <c r="K851" t="n">
        <v>0</v>
      </c>
      <c r="L851" t="n">
        <v>0</v>
      </c>
      <c r="M851" t="n">
        <v>0</v>
      </c>
      <c r="N851" t="n">
        <v>0</v>
      </c>
      <c r="O851" t="n">
        <v>0</v>
      </c>
      <c r="P851" t="n">
        <v>0</v>
      </c>
      <c r="Q851" t="n">
        <v>0</v>
      </c>
      <c r="R851" s="2" t="inlineStr"/>
    </row>
    <row r="852" ht="15" customHeight="1">
      <c r="A852" t="inlineStr">
        <is>
          <t>A 24977-2024</t>
        </is>
      </c>
      <c r="B852" s="1" t="n">
        <v>45461</v>
      </c>
      <c r="C852" s="1" t="n">
        <v>45510</v>
      </c>
      <c r="D852" t="inlineStr">
        <is>
          <t>DALARNAS LÄN</t>
        </is>
      </c>
      <c r="E852" t="inlineStr">
        <is>
          <t>LUDVIKA</t>
        </is>
      </c>
      <c r="F852" t="inlineStr">
        <is>
          <t>Bergvik skog väst AB</t>
        </is>
      </c>
      <c r="G852" t="n">
        <v>15.4</v>
      </c>
      <c r="H852" t="n">
        <v>0</v>
      </c>
      <c r="I852" t="n">
        <v>0</v>
      </c>
      <c r="J852" t="n">
        <v>0</v>
      </c>
      <c r="K852" t="n">
        <v>0</v>
      </c>
      <c r="L852" t="n">
        <v>0</v>
      </c>
      <c r="M852" t="n">
        <v>0</v>
      </c>
      <c r="N852" t="n">
        <v>0</v>
      </c>
      <c r="O852" t="n">
        <v>0</v>
      </c>
      <c r="P852" t="n">
        <v>0</v>
      </c>
      <c r="Q852" t="n">
        <v>0</v>
      </c>
      <c r="R852" s="2" t="inlineStr"/>
    </row>
    <row r="853" ht="15" customHeight="1">
      <c r="A853" t="inlineStr">
        <is>
          <t>A 25281-2024</t>
        </is>
      </c>
      <c r="B853" s="1" t="n">
        <v>45462</v>
      </c>
      <c r="C853" s="1" t="n">
        <v>45510</v>
      </c>
      <c r="D853" t="inlineStr">
        <is>
          <t>DALARNAS LÄN</t>
        </is>
      </c>
      <c r="E853" t="inlineStr">
        <is>
          <t>LUDVIKA</t>
        </is>
      </c>
      <c r="F853" t="inlineStr">
        <is>
          <t>Bergvik skog väst AB</t>
        </is>
      </c>
      <c r="G853" t="n">
        <v>14.8</v>
      </c>
      <c r="H853" t="n">
        <v>0</v>
      </c>
      <c r="I853" t="n">
        <v>0</v>
      </c>
      <c r="J853" t="n">
        <v>0</v>
      </c>
      <c r="K853" t="n">
        <v>0</v>
      </c>
      <c r="L853" t="n">
        <v>0</v>
      </c>
      <c r="M853" t="n">
        <v>0</v>
      </c>
      <c r="N853" t="n">
        <v>0</v>
      </c>
      <c r="O853" t="n">
        <v>0</v>
      </c>
      <c r="P853" t="n">
        <v>0</v>
      </c>
      <c r="Q853" t="n">
        <v>0</v>
      </c>
      <c r="R853" s="2" t="inlineStr"/>
    </row>
    <row r="854" ht="15" customHeight="1">
      <c r="A854" t="inlineStr">
        <is>
          <t>A 26856-2024</t>
        </is>
      </c>
      <c r="B854" s="1" t="n">
        <v>45470</v>
      </c>
      <c r="C854" s="1" t="n">
        <v>45510</v>
      </c>
      <c r="D854" t="inlineStr">
        <is>
          <t>DALARNAS LÄN</t>
        </is>
      </c>
      <c r="E854" t="inlineStr">
        <is>
          <t>LUDVIKA</t>
        </is>
      </c>
      <c r="G854" t="n">
        <v>3.2</v>
      </c>
      <c r="H854" t="n">
        <v>0</v>
      </c>
      <c r="I854" t="n">
        <v>0</v>
      </c>
      <c r="J854" t="n">
        <v>0</v>
      </c>
      <c r="K854" t="n">
        <v>0</v>
      </c>
      <c r="L854" t="n">
        <v>0</v>
      </c>
      <c r="M854" t="n">
        <v>0</v>
      </c>
      <c r="N854" t="n">
        <v>0</v>
      </c>
      <c r="O854" t="n">
        <v>0</v>
      </c>
      <c r="P854" t="n">
        <v>0</v>
      </c>
      <c r="Q854" t="n">
        <v>0</v>
      </c>
      <c r="R854" s="2" t="inlineStr"/>
    </row>
    <row r="855" ht="15" customHeight="1">
      <c r="A855" t="inlineStr">
        <is>
          <t>A 27044-2024</t>
        </is>
      </c>
      <c r="B855" s="1" t="n">
        <v>45471</v>
      </c>
      <c r="C855" s="1" t="n">
        <v>45510</v>
      </c>
      <c r="D855" t="inlineStr">
        <is>
          <t>DALARNAS LÄN</t>
        </is>
      </c>
      <c r="E855" t="inlineStr">
        <is>
          <t>LUDVIKA</t>
        </is>
      </c>
      <c r="G855" t="n">
        <v>0.7</v>
      </c>
      <c r="H855" t="n">
        <v>0</v>
      </c>
      <c r="I855" t="n">
        <v>0</v>
      </c>
      <c r="J855" t="n">
        <v>0</v>
      </c>
      <c r="K855" t="n">
        <v>0</v>
      </c>
      <c r="L855" t="n">
        <v>0</v>
      </c>
      <c r="M855" t="n">
        <v>0</v>
      </c>
      <c r="N855" t="n">
        <v>0</v>
      </c>
      <c r="O855" t="n">
        <v>0</v>
      </c>
      <c r="P855" t="n">
        <v>0</v>
      </c>
      <c r="Q855" t="n">
        <v>0</v>
      </c>
      <c r="R855" s="2" t="inlineStr"/>
    </row>
    <row r="856" ht="15" customHeight="1">
      <c r="A856" t="inlineStr">
        <is>
          <t>A 27389-2024</t>
        </is>
      </c>
      <c r="B856" s="1" t="n">
        <v>45474</v>
      </c>
      <c r="C856" s="1" t="n">
        <v>45510</v>
      </c>
      <c r="D856" t="inlineStr">
        <is>
          <t>DALARNAS LÄN</t>
        </is>
      </c>
      <c r="E856" t="inlineStr">
        <is>
          <t>LUDVIKA</t>
        </is>
      </c>
      <c r="G856" t="n">
        <v>0.6</v>
      </c>
      <c r="H856" t="n">
        <v>0</v>
      </c>
      <c r="I856" t="n">
        <v>0</v>
      </c>
      <c r="J856" t="n">
        <v>0</v>
      </c>
      <c r="K856" t="n">
        <v>0</v>
      </c>
      <c r="L856" t="n">
        <v>0</v>
      </c>
      <c r="M856" t="n">
        <v>0</v>
      </c>
      <c r="N856" t="n">
        <v>0</v>
      </c>
      <c r="O856" t="n">
        <v>0</v>
      </c>
      <c r="P856" t="n">
        <v>0</v>
      </c>
      <c r="Q856" t="n">
        <v>0</v>
      </c>
      <c r="R856" s="2" t="inlineStr"/>
    </row>
    <row r="857" ht="15" customHeight="1">
      <c r="A857" t="inlineStr">
        <is>
          <t>A 27425-2024</t>
        </is>
      </c>
      <c r="B857" s="1" t="n">
        <v>45474</v>
      </c>
      <c r="C857" s="1" t="n">
        <v>45510</v>
      </c>
      <c r="D857" t="inlineStr">
        <is>
          <t>DALARNAS LÄN</t>
        </is>
      </c>
      <c r="E857" t="inlineStr">
        <is>
          <t>LUDVIKA</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27429-2024</t>
        </is>
      </c>
      <c r="B858" s="1" t="n">
        <v>45474</v>
      </c>
      <c r="C858" s="1" t="n">
        <v>45510</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28085-2024</t>
        </is>
      </c>
      <c r="B859" s="1" t="n">
        <v>45476</v>
      </c>
      <c r="C859" s="1" t="n">
        <v>45510</v>
      </c>
      <c r="D859" t="inlineStr">
        <is>
          <t>DALARNAS LÄN</t>
        </is>
      </c>
      <c r="E859" t="inlineStr">
        <is>
          <t>LUDVIKA</t>
        </is>
      </c>
      <c r="F859" t="inlineStr">
        <is>
          <t>Bergvik skog väst AB</t>
        </is>
      </c>
      <c r="G859" t="n">
        <v>1.2</v>
      </c>
      <c r="H859" t="n">
        <v>0</v>
      </c>
      <c r="I859" t="n">
        <v>0</v>
      </c>
      <c r="J859" t="n">
        <v>0</v>
      </c>
      <c r="K859" t="n">
        <v>0</v>
      </c>
      <c r="L859" t="n">
        <v>0</v>
      </c>
      <c r="M859" t="n">
        <v>0</v>
      </c>
      <c r="N859" t="n">
        <v>0</v>
      </c>
      <c r="O859" t="n">
        <v>0</v>
      </c>
      <c r="P859" t="n">
        <v>0</v>
      </c>
      <c r="Q859" t="n">
        <v>0</v>
      </c>
      <c r="R859" s="2" t="inlineStr"/>
    </row>
    <row r="860" ht="15" customHeight="1">
      <c r="A860" t="inlineStr">
        <is>
          <t>A 28124-2024</t>
        </is>
      </c>
      <c r="B860" s="1" t="n">
        <v>45476</v>
      </c>
      <c r="C860" s="1" t="n">
        <v>45510</v>
      </c>
      <c r="D860" t="inlineStr">
        <is>
          <t>DALARNAS LÄN</t>
        </is>
      </c>
      <c r="E860" t="inlineStr">
        <is>
          <t>LUDVIKA</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28698-2024</t>
        </is>
      </c>
      <c r="B861" s="1" t="n">
        <v>45478</v>
      </c>
      <c r="C861" s="1" t="n">
        <v>45510</v>
      </c>
      <c r="D861" t="inlineStr">
        <is>
          <t>DALARNAS LÄN</t>
        </is>
      </c>
      <c r="E861" t="inlineStr">
        <is>
          <t>LUDVIKA</t>
        </is>
      </c>
      <c r="F861" t="inlineStr">
        <is>
          <t>Bergvik skog väst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28921-2024</t>
        </is>
      </c>
      <c r="B862" s="1" t="n">
        <v>45481</v>
      </c>
      <c r="C862" s="1" t="n">
        <v>45510</v>
      </c>
      <c r="D862" t="inlineStr">
        <is>
          <t>DALARNAS LÄN</t>
        </is>
      </c>
      <c r="E862" t="inlineStr">
        <is>
          <t>LUDVIKA</t>
        </is>
      </c>
      <c r="G862" t="n">
        <v>4.2</v>
      </c>
      <c r="H862" t="n">
        <v>0</v>
      </c>
      <c r="I862" t="n">
        <v>0</v>
      </c>
      <c r="J862" t="n">
        <v>0</v>
      </c>
      <c r="K862" t="n">
        <v>0</v>
      </c>
      <c r="L862" t="n">
        <v>0</v>
      </c>
      <c r="M862" t="n">
        <v>0</v>
      </c>
      <c r="N862" t="n">
        <v>0</v>
      </c>
      <c r="O862" t="n">
        <v>0</v>
      </c>
      <c r="P862" t="n">
        <v>0</v>
      </c>
      <c r="Q862" t="n">
        <v>0</v>
      </c>
      <c r="R862" s="2" t="inlineStr"/>
    </row>
    <row r="863" ht="15" customHeight="1">
      <c r="A863" t="inlineStr">
        <is>
          <t>A 29114-2024</t>
        </is>
      </c>
      <c r="B863" s="1" t="n">
        <v>45482</v>
      </c>
      <c r="C863" s="1" t="n">
        <v>45510</v>
      </c>
      <c r="D863" t="inlineStr">
        <is>
          <t>DALARNAS LÄN</t>
        </is>
      </c>
      <c r="E863" t="inlineStr">
        <is>
          <t>LUDVIKA</t>
        </is>
      </c>
      <c r="G863" t="n">
        <v>1</v>
      </c>
      <c r="H863" t="n">
        <v>0</v>
      </c>
      <c r="I863" t="n">
        <v>0</v>
      </c>
      <c r="J863" t="n">
        <v>0</v>
      </c>
      <c r="K863" t="n">
        <v>0</v>
      </c>
      <c r="L863" t="n">
        <v>0</v>
      </c>
      <c r="M863" t="n">
        <v>0</v>
      </c>
      <c r="N863" t="n">
        <v>0</v>
      </c>
      <c r="O863" t="n">
        <v>0</v>
      </c>
      <c r="P863" t="n">
        <v>0</v>
      </c>
      <c r="Q863" t="n">
        <v>0</v>
      </c>
      <c r="R863" s="2" t="inlineStr"/>
    </row>
    <row r="864" ht="15" customHeight="1">
      <c r="A864" t="inlineStr">
        <is>
          <t>A 29007-2024</t>
        </is>
      </c>
      <c r="B864" s="1" t="n">
        <v>45481</v>
      </c>
      <c r="C864" s="1" t="n">
        <v>45510</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29320-2024</t>
        </is>
      </c>
      <c r="B865" s="1" t="n">
        <v>45483</v>
      </c>
      <c r="C865" s="1" t="n">
        <v>45510</v>
      </c>
      <c r="D865" t="inlineStr">
        <is>
          <t>DALARNAS LÄN</t>
        </is>
      </c>
      <c r="E865" t="inlineStr">
        <is>
          <t>LUDVIKA</t>
        </is>
      </c>
      <c r="G865" t="n">
        <v>4.6</v>
      </c>
      <c r="H865" t="n">
        <v>0</v>
      </c>
      <c r="I865" t="n">
        <v>0</v>
      </c>
      <c r="J865" t="n">
        <v>0</v>
      </c>
      <c r="K865" t="n">
        <v>0</v>
      </c>
      <c r="L865" t="n">
        <v>0</v>
      </c>
      <c r="M865" t="n">
        <v>0</v>
      </c>
      <c r="N865" t="n">
        <v>0</v>
      </c>
      <c r="O865" t="n">
        <v>0</v>
      </c>
      <c r="P865" t="n">
        <v>0</v>
      </c>
      <c r="Q865" t="n">
        <v>0</v>
      </c>
      <c r="R865" s="2" t="inlineStr"/>
    </row>
    <row r="866" ht="15" customHeight="1">
      <c r="A866" t="inlineStr">
        <is>
          <t>A 29453-2024</t>
        </is>
      </c>
      <c r="B866" s="1" t="n">
        <v>45484</v>
      </c>
      <c r="C866" s="1" t="n">
        <v>45510</v>
      </c>
      <c r="D866" t="inlineStr">
        <is>
          <t>DALARNAS LÄN</t>
        </is>
      </c>
      <c r="E866" t="inlineStr">
        <is>
          <t>LUDVIKA</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29709-2024</t>
        </is>
      </c>
      <c r="B867" s="1" t="n">
        <v>45485</v>
      </c>
      <c r="C867" s="1" t="n">
        <v>45510</v>
      </c>
      <c r="D867" t="inlineStr">
        <is>
          <t>DALARNAS LÄN</t>
        </is>
      </c>
      <c r="E867" t="inlineStr">
        <is>
          <t>LUDVIKA</t>
        </is>
      </c>
      <c r="F867" t="inlineStr">
        <is>
          <t>Bergvik skog väst AB</t>
        </is>
      </c>
      <c r="G867" t="n">
        <v>2.1</v>
      </c>
      <c r="H867" t="n">
        <v>0</v>
      </c>
      <c r="I867" t="n">
        <v>0</v>
      </c>
      <c r="J867" t="n">
        <v>0</v>
      </c>
      <c r="K867" t="n">
        <v>0</v>
      </c>
      <c r="L867" t="n">
        <v>0</v>
      </c>
      <c r="M867" t="n">
        <v>0</v>
      </c>
      <c r="N867" t="n">
        <v>0</v>
      </c>
      <c r="O867" t="n">
        <v>0</v>
      </c>
      <c r="P867" t="n">
        <v>0</v>
      </c>
      <c r="Q867" t="n">
        <v>0</v>
      </c>
      <c r="R867" s="2" t="inlineStr"/>
    </row>
    <row r="868" ht="15" customHeight="1">
      <c r="A868" t="inlineStr">
        <is>
          <t>A 29757-2024</t>
        </is>
      </c>
      <c r="B868" s="1" t="n">
        <v>45485</v>
      </c>
      <c r="C868" s="1" t="n">
        <v>45510</v>
      </c>
      <c r="D868" t="inlineStr">
        <is>
          <t>DALARNAS LÄN</t>
        </is>
      </c>
      <c r="E868" t="inlineStr">
        <is>
          <t>LUDVIKA</t>
        </is>
      </c>
      <c r="F868" t="inlineStr">
        <is>
          <t>Bergvik skog väst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29780-2024</t>
        </is>
      </c>
      <c r="B869" s="1" t="n">
        <v>45485</v>
      </c>
      <c r="C869" s="1" t="n">
        <v>45510</v>
      </c>
      <c r="D869" t="inlineStr">
        <is>
          <t>DALARNAS LÄN</t>
        </is>
      </c>
      <c r="E869" t="inlineStr">
        <is>
          <t>LUDVIKA</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29743-2024</t>
        </is>
      </c>
      <c r="B870" s="1" t="n">
        <v>45485</v>
      </c>
      <c r="C870" s="1" t="n">
        <v>45510</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45510</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29882-2024</t>
        </is>
      </c>
      <c r="B872" s="1" t="n">
        <v>45486</v>
      </c>
      <c r="C872" s="1" t="n">
        <v>45510</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30039-2024</t>
        </is>
      </c>
      <c r="B873" s="1" t="n">
        <v>45488</v>
      </c>
      <c r="C873" s="1" t="n">
        <v>45510</v>
      </c>
      <c r="D873" t="inlineStr">
        <is>
          <t>DALARNAS LÄN</t>
        </is>
      </c>
      <c r="E873" t="inlineStr">
        <is>
          <t>LUDVIKA</t>
        </is>
      </c>
      <c r="G873" t="n">
        <v>1.3</v>
      </c>
      <c r="H873" t="n">
        <v>0</v>
      </c>
      <c r="I873" t="n">
        <v>0</v>
      </c>
      <c r="J873" t="n">
        <v>0</v>
      </c>
      <c r="K873" t="n">
        <v>0</v>
      </c>
      <c r="L873" t="n">
        <v>0</v>
      </c>
      <c r="M873" t="n">
        <v>0</v>
      </c>
      <c r="N873" t="n">
        <v>0</v>
      </c>
      <c r="O873" t="n">
        <v>0</v>
      </c>
      <c r="P873" t="n">
        <v>0</v>
      </c>
      <c r="Q873" t="n">
        <v>0</v>
      </c>
      <c r="R873" s="2" t="inlineStr"/>
    </row>
    <row r="874" ht="15" customHeight="1">
      <c r="A874" t="inlineStr">
        <is>
          <t>A 30977-2024</t>
        </is>
      </c>
      <c r="B874" s="1" t="n">
        <v>45499</v>
      </c>
      <c r="C874" s="1" t="n">
        <v>45510</v>
      </c>
      <c r="D874" t="inlineStr">
        <is>
          <t>DALARNAS LÄN</t>
        </is>
      </c>
      <c r="E874" t="inlineStr">
        <is>
          <t>LUDVIKA</t>
        </is>
      </c>
      <c r="G874" t="n">
        <v>3.3</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45510</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31041-2024</t>
        </is>
      </c>
      <c r="B876" s="1" t="n">
        <v>45502</v>
      </c>
      <c r="C876" s="1" t="n">
        <v>45510</v>
      </c>
      <c r="D876" t="inlineStr">
        <is>
          <t>DALARNAS LÄN</t>
        </is>
      </c>
      <c r="E876" t="inlineStr">
        <is>
          <t>LUDVIKA</t>
        </is>
      </c>
      <c r="F876" t="inlineStr">
        <is>
          <t>Bergvik skog väst AB</t>
        </is>
      </c>
      <c r="G876" t="n">
        <v>4.6</v>
      </c>
      <c r="H876" t="n">
        <v>0</v>
      </c>
      <c r="I876" t="n">
        <v>0</v>
      </c>
      <c r="J876" t="n">
        <v>0</v>
      </c>
      <c r="K876" t="n">
        <v>0</v>
      </c>
      <c r="L876" t="n">
        <v>0</v>
      </c>
      <c r="M876" t="n">
        <v>0</v>
      </c>
      <c r="N876" t="n">
        <v>0</v>
      </c>
      <c r="O876" t="n">
        <v>0</v>
      </c>
      <c r="P876" t="n">
        <v>0</v>
      </c>
      <c r="Q876" t="n">
        <v>0</v>
      </c>
      <c r="R876" s="2" t="inlineStr"/>
    </row>
    <row r="877" ht="15" customHeight="1">
      <c r="A877" t="inlineStr">
        <is>
          <t>A 31100-2024</t>
        </is>
      </c>
      <c r="B877" s="1" t="n">
        <v>45502</v>
      </c>
      <c r="C877" s="1" t="n">
        <v>45510</v>
      </c>
      <c r="D877" t="inlineStr">
        <is>
          <t>DALARNAS LÄN</t>
        </is>
      </c>
      <c r="E877" t="inlineStr">
        <is>
          <t>LUDVIKA</t>
        </is>
      </c>
      <c r="G877" t="n">
        <v>1.7</v>
      </c>
      <c r="H877" t="n">
        <v>0</v>
      </c>
      <c r="I877" t="n">
        <v>0</v>
      </c>
      <c r="J877" t="n">
        <v>0</v>
      </c>
      <c r="K877" t="n">
        <v>0</v>
      </c>
      <c r="L877" t="n">
        <v>0</v>
      </c>
      <c r="M877" t="n">
        <v>0</v>
      </c>
      <c r="N877" t="n">
        <v>0</v>
      </c>
      <c r="O877" t="n">
        <v>0</v>
      </c>
      <c r="P877" t="n">
        <v>0</v>
      </c>
      <c r="Q877" t="n">
        <v>0</v>
      </c>
      <c r="R877" s="2" t="inlineStr"/>
    </row>
    <row r="878" ht="15" customHeight="1">
      <c r="A878" t="inlineStr">
        <is>
          <t>A 31181-2024</t>
        </is>
      </c>
      <c r="B878" s="1" t="n">
        <v>45503</v>
      </c>
      <c r="C878" s="1" t="n">
        <v>45510</v>
      </c>
      <c r="D878" t="inlineStr">
        <is>
          <t>DALARNAS LÄN</t>
        </is>
      </c>
      <c r="E878" t="inlineStr">
        <is>
          <t>LUDVIKA</t>
        </is>
      </c>
      <c r="F878" t="inlineStr">
        <is>
          <t>Bergvik skog väst AB</t>
        </is>
      </c>
      <c r="G878" t="n">
        <v>1</v>
      </c>
      <c r="H878" t="n">
        <v>0</v>
      </c>
      <c r="I878" t="n">
        <v>0</v>
      </c>
      <c r="J878" t="n">
        <v>0</v>
      </c>
      <c r="K878" t="n">
        <v>0</v>
      </c>
      <c r="L878" t="n">
        <v>0</v>
      </c>
      <c r="M878" t="n">
        <v>0</v>
      </c>
      <c r="N878" t="n">
        <v>0</v>
      </c>
      <c r="O878" t="n">
        <v>0</v>
      </c>
      <c r="P878" t="n">
        <v>0</v>
      </c>
      <c r="Q878" t="n">
        <v>0</v>
      </c>
      <c r="R878" s="2" t="inlineStr"/>
    </row>
    <row r="879" ht="15" customHeight="1">
      <c r="A879" t="inlineStr">
        <is>
          <t>A 31188-2024</t>
        </is>
      </c>
      <c r="B879" s="1" t="n">
        <v>45503</v>
      </c>
      <c r="C879" s="1" t="n">
        <v>45510</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31208-2024</t>
        </is>
      </c>
      <c r="B880" s="1" t="n">
        <v>45503</v>
      </c>
      <c r="C880" s="1" t="n">
        <v>45510</v>
      </c>
      <c r="D880" t="inlineStr">
        <is>
          <t>DALARNAS LÄN</t>
        </is>
      </c>
      <c r="E880" t="inlineStr">
        <is>
          <t>LUDVIKA</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31219-2024</t>
        </is>
      </c>
      <c r="B881" s="1" t="n">
        <v>45503</v>
      </c>
      <c r="C881" s="1" t="n">
        <v>45510</v>
      </c>
      <c r="D881" t="inlineStr">
        <is>
          <t>DALARNAS LÄN</t>
        </is>
      </c>
      <c r="E881" t="inlineStr">
        <is>
          <t>LUDVIKA</t>
        </is>
      </c>
      <c r="F881" t="inlineStr">
        <is>
          <t>Bergvik skog väst AB</t>
        </is>
      </c>
      <c r="G881" t="n">
        <v>1.3</v>
      </c>
      <c r="H881" t="n">
        <v>0</v>
      </c>
      <c r="I881" t="n">
        <v>0</v>
      </c>
      <c r="J881" t="n">
        <v>0</v>
      </c>
      <c r="K881" t="n">
        <v>0</v>
      </c>
      <c r="L881" t="n">
        <v>0</v>
      </c>
      <c r="M881" t="n">
        <v>0</v>
      </c>
      <c r="N881" t="n">
        <v>0</v>
      </c>
      <c r="O881" t="n">
        <v>0</v>
      </c>
      <c r="P881" t="n">
        <v>0</v>
      </c>
      <c r="Q881" t="n">
        <v>0</v>
      </c>
      <c r="R881" s="2" t="inlineStr"/>
    </row>
    <row r="882" ht="15" customHeight="1">
      <c r="A882" t="inlineStr">
        <is>
          <t>A 31236-2024</t>
        </is>
      </c>
      <c r="B882" s="1" t="n">
        <v>45503</v>
      </c>
      <c r="C882" s="1" t="n">
        <v>45510</v>
      </c>
      <c r="D882" t="inlineStr">
        <is>
          <t>DALARNAS LÄN</t>
        </is>
      </c>
      <c r="E882" t="inlineStr">
        <is>
          <t>LUDVIKA</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31249-2024</t>
        </is>
      </c>
      <c r="B883" s="1" t="n">
        <v>45503</v>
      </c>
      <c r="C883" s="1" t="n">
        <v>45510</v>
      </c>
      <c r="D883" t="inlineStr">
        <is>
          <t>DALARNAS LÄN</t>
        </is>
      </c>
      <c r="E883" t="inlineStr">
        <is>
          <t>LUDVIKA</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31214-2024</t>
        </is>
      </c>
      <c r="B884" s="1" t="n">
        <v>45503</v>
      </c>
      <c r="C884" s="1" t="n">
        <v>45510</v>
      </c>
      <c r="D884" t="inlineStr">
        <is>
          <t>DALARNAS LÄN</t>
        </is>
      </c>
      <c r="E884" t="inlineStr">
        <is>
          <t>LUDVIKA</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31222-2024</t>
        </is>
      </c>
      <c r="B885" s="1" t="n">
        <v>45503</v>
      </c>
      <c r="C885" s="1" t="n">
        <v>45510</v>
      </c>
      <c r="D885" t="inlineStr">
        <is>
          <t>DALARNAS LÄN</t>
        </is>
      </c>
      <c r="E885" t="inlineStr">
        <is>
          <t>LUDVIKA</t>
        </is>
      </c>
      <c r="F885" t="inlineStr">
        <is>
          <t>Bergvik skog väst AB</t>
        </is>
      </c>
      <c r="G885" t="n">
        <v>1.8</v>
      </c>
      <c r="H885" t="n">
        <v>0</v>
      </c>
      <c r="I885" t="n">
        <v>0</v>
      </c>
      <c r="J885" t="n">
        <v>0</v>
      </c>
      <c r="K885" t="n">
        <v>0</v>
      </c>
      <c r="L885" t="n">
        <v>0</v>
      </c>
      <c r="M885" t="n">
        <v>0</v>
      </c>
      <c r="N885" t="n">
        <v>0</v>
      </c>
      <c r="O885" t="n">
        <v>0</v>
      </c>
      <c r="P885" t="n">
        <v>0</v>
      </c>
      <c r="Q885" t="n">
        <v>0</v>
      </c>
      <c r="R885" s="2" t="inlineStr"/>
    </row>
    <row r="886" ht="15" customHeight="1">
      <c r="A886" t="inlineStr">
        <is>
          <t>A 31331-2024</t>
        </is>
      </c>
      <c r="B886" s="1" t="n">
        <v>45504</v>
      </c>
      <c r="C886" s="1" t="n">
        <v>45510</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31328-2024</t>
        </is>
      </c>
      <c r="B887" s="1" t="n">
        <v>45504</v>
      </c>
      <c r="C887" s="1" t="n">
        <v>45510</v>
      </c>
      <c r="D887" t="inlineStr">
        <is>
          <t>DALARNAS LÄN</t>
        </is>
      </c>
      <c r="E887" t="inlineStr">
        <is>
          <t>LUDVIKA</t>
        </is>
      </c>
      <c r="F887" t="inlineStr">
        <is>
          <t>Bergvik skog väst AB</t>
        </is>
      </c>
      <c r="G887" t="n">
        <v>2.3</v>
      </c>
      <c r="H887" t="n">
        <v>0</v>
      </c>
      <c r="I887" t="n">
        <v>0</v>
      </c>
      <c r="J887" t="n">
        <v>0</v>
      </c>
      <c r="K887" t="n">
        <v>0</v>
      </c>
      <c r="L887" t="n">
        <v>0</v>
      </c>
      <c r="M887" t="n">
        <v>0</v>
      </c>
      <c r="N887" t="n">
        <v>0</v>
      </c>
      <c r="O887" t="n">
        <v>0</v>
      </c>
      <c r="P887" t="n">
        <v>0</v>
      </c>
      <c r="Q887" t="n">
        <v>0</v>
      </c>
      <c r="R887" s="2" t="inlineStr"/>
    </row>
    <row r="888" ht="15" customHeight="1">
      <c r="A888" t="inlineStr">
        <is>
          <t>A 31602-2024</t>
        </is>
      </c>
      <c r="B888" s="1" t="n">
        <v>45506</v>
      </c>
      <c r="C888" s="1" t="n">
        <v>45510</v>
      </c>
      <c r="D888" t="inlineStr">
        <is>
          <t>DALARNAS LÄN</t>
        </is>
      </c>
      <c r="E888" t="inlineStr">
        <is>
          <t>LUDVIKA</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31749-2024</t>
        </is>
      </c>
      <c r="B889" s="1" t="n">
        <v>45509</v>
      </c>
      <c r="C889" s="1" t="n">
        <v>45510</v>
      </c>
      <c r="D889" t="inlineStr">
        <is>
          <t>DALARNAS LÄN</t>
        </is>
      </c>
      <c r="E889" t="inlineStr">
        <is>
          <t>LUDVIKA</t>
        </is>
      </c>
      <c r="G889" t="n">
        <v>6.7</v>
      </c>
      <c r="H889" t="n">
        <v>0</v>
      </c>
      <c r="I889" t="n">
        <v>0</v>
      </c>
      <c r="J889" t="n">
        <v>0</v>
      </c>
      <c r="K889" t="n">
        <v>0</v>
      </c>
      <c r="L889" t="n">
        <v>0</v>
      </c>
      <c r="M889" t="n">
        <v>0</v>
      </c>
      <c r="N889" t="n">
        <v>0</v>
      </c>
      <c r="O889" t="n">
        <v>0</v>
      </c>
      <c r="P889" t="n">
        <v>0</v>
      </c>
      <c r="Q889" t="n">
        <v>0</v>
      </c>
      <c r="R889" s="2" t="inlineStr"/>
    </row>
    <row r="890">
      <c r="A890" t="inlineStr">
        <is>
          <t>A 31761-2024</t>
        </is>
      </c>
      <c r="B890" s="1" t="n">
        <v>45509</v>
      </c>
      <c r="C890" s="1" t="n">
        <v>45510</v>
      </c>
      <c r="D890" t="inlineStr">
        <is>
          <t>DALARNAS LÄN</t>
        </is>
      </c>
      <c r="E890" t="inlineStr">
        <is>
          <t>LUDVIKA</t>
        </is>
      </c>
      <c r="F890" t="inlineStr">
        <is>
          <t>Bergvik skog väst AB</t>
        </is>
      </c>
      <c r="G890" t="n">
        <v>4.6</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2024-08-06T11:02:34Z</dcterms:created>
  <dcterms:modified xmlns:dcterms="http://purl.org/dc/terms/" xmlns:xsi="http://www.w3.org/2001/XMLSchema-instance" xsi:type="dcterms:W3CDTF">2024-08-06T11:02:35Z</dcterms:modified>
</cp:coreProperties>
</file>
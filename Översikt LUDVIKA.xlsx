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46292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46292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46292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46292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46292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46292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46292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46292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46292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46292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46292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46292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46292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46292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46292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46292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46292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46292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46292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46292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46292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33885-2025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45842</v>
      </c>
      <c r="E31" s="1" t="n">
        <v>46292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2.6</v>
      </c>
      <c r="J31" t="n">
        <v>2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6</v>
      </c>
      <c r="T31" t="n">
        <v>10</v>
      </c>
      <c r="U31" t="n">
        <v>10</v>
      </c>
      <c r="V31" s="2" t="inlineStr">
        <is>
          <t>Garnlav
Knärot
Dropptaggsvamp
Ullticka
Nästlav
Tjäder</t>
        </is>
      </c>
      <c r="W31">
        <f>HYPERLINK("https://klasma.github.io/Logging_2085/artfynd/A 33885-2025 artfynd.xlsx", "A 33885-2025")</f>
        <v/>
      </c>
      <c r="X31">
        <f>HYPERLINK("https://klasma.github.io/Logging_2085/kartor/A 33885-2025 karta.png", "A 33885-2025")</f>
        <v/>
      </c>
      <c r="Y31">
        <f>HYPERLINK("https://klasma.github.io/Logging_2085/kartor_geotiff/A 33885-2025 georefererad karta.tif", "A 33885-2025")</f>
        <v/>
      </c>
      <c r="Z31">
        <f>HYPERLINK("https://klasma.github.io/Logging_2085/knärot/A 33885-2025 karta knärot.png", "A 33885-2025")</f>
        <v/>
      </c>
      <c r="AA31">
        <f>HYPERLINK("https://klasma.github.io/Logging_2085/klagomål/A 33885-2025 FSC-klagomål.docx", "A 33885-2025")</f>
        <v/>
      </c>
      <c r="AB31">
        <f>HYPERLINK("https://klasma.github.io/Logging_2085/klagomålsmail/A 33885-2025 FSC-klagomål mail.docx", "A 33885-2025")</f>
        <v/>
      </c>
      <c r="AC31">
        <f>HYPERLINK("https://klasma.github.io/Logging_2085/tillsyn/A 33885-2025 tillsynsbegäran.docx", "A 33885-2025")</f>
        <v/>
      </c>
      <c r="AD31">
        <f>HYPERLINK("https://klasma.github.io/Logging_2085/tillsynsmail/A 33885-2025 tillsynsbegäran mail.docx", "A 33885-2025")</f>
        <v/>
      </c>
      <c r="AE31">
        <f>HYPERLINK("https://klasma.github.io/Logging_2085/fåglar/A 33885-2025 prioriterade fågelarter.docx", "A 33885-2025")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46292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46292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46292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46292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46292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46292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46292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46292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46292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46292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13</v>
      </c>
      <c r="U41" t="n">
        <v>11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46292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46292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37639-2024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45541</v>
      </c>
      <c r="E44" s="1" t="n">
        <v>46292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5</v>
      </c>
      <c r="U44" t="n">
        <v>0</v>
      </c>
      <c r="V44" s="2" t="inlineStr">
        <is>
          <t>Garnlav
Lunglav
Violettgrå tagellav
Gulnål
Korallblylav</t>
        </is>
      </c>
      <c r="W44">
        <f>HYPERLINK("https://klasma.github.io/Logging_2085/artfynd/A 37639-2024 artfynd.xlsx", "A 37639-2024")</f>
        <v/>
      </c>
      <c r="X44">
        <f>HYPERLINK("https://klasma.github.io/Logging_2085/kartor/A 37639-2024 karta.png", "A 37639-2024")</f>
        <v/>
      </c>
      <c r="Y44">
        <f>HYPERLINK("https://klasma.github.io/Logging_2085/kartor_geotiff/A 37639-2024 georefererad karta.tif", "A 37639-2024")</f>
        <v/>
      </c>
      <c r="AA44">
        <f>HYPERLINK("https://klasma.github.io/Logging_2085/klagomål/A 37639-2024 FSC-klagomål.docx", "A 37639-2024")</f>
        <v/>
      </c>
      <c r="AB44">
        <f>HYPERLINK("https://klasma.github.io/Logging_2085/klagomålsmail/A 37639-2024 FSC-klagomål mail.docx", "A 37639-2024")</f>
        <v/>
      </c>
      <c r="AC44">
        <f>HYPERLINK("https://klasma.github.io/Logging_2085/tillsyn/A 37639-2024 tillsynsbegäran.docx", "A 37639-2024")</f>
        <v/>
      </c>
      <c r="AD44">
        <f>HYPERLINK("https://klasma.github.io/Logging_2085/tillsynsmail/A 37639-2024 tillsynsbegäran mail.docx", "A 37639-2024")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46292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46292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46292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46292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46292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35820-2026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46265</v>
      </c>
      <c r="E50" s="1" t="n">
        <v>46292</v>
      </c>
      <c r="F50" t="inlineStr">
        <is>
          <t>DALARNAS LÄN</t>
        </is>
      </c>
      <c r="G50" t="inlineStr">
        <is>
          <t>LUDVIKA</t>
        </is>
      </c>
      <c r="H50" t="inlineStr">
        <is>
          <t>Naturvårdsverket</t>
        </is>
      </c>
      <c r="I50" t="n">
        <v>4.3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</v>
      </c>
      <c r="U50" t="n">
        <v>0</v>
      </c>
      <c r="V50" s="2" t="inlineStr">
        <is>
          <t>Garnlav
Kortskaftad ärgspik
Vedtrappmossa
Spillkråka</t>
        </is>
      </c>
      <c r="W50">
        <f>HYPERLINK("https://klasma.github.io/Logging_2085/artfynd/A 35820-2026 artfynd.xlsx", "A 35820-2026")</f>
        <v/>
      </c>
      <c r="X50">
        <f>HYPERLINK("https://klasma.github.io/Logging_2085/kartor/A 35820-2026 karta.png", "A 35820-2026")</f>
        <v/>
      </c>
      <c r="Y50">
        <f>HYPERLINK("https://klasma.github.io/Logging_2085/kartor_geotiff/A 35820-2026 georefererad karta.tif", "A 35820-2026")</f>
        <v/>
      </c>
      <c r="AA50">
        <f>HYPERLINK("https://klasma.github.io/Logging_2085/klagomål/A 35820-2026 FSC-klagomål.docx", "A 35820-2026")</f>
        <v/>
      </c>
      <c r="AB50">
        <f>HYPERLINK("https://klasma.github.io/Logging_2085/klagomålsmail/A 35820-2026 FSC-klagomål mail.docx", "A 35820-2026")</f>
        <v/>
      </c>
      <c r="AC50">
        <f>HYPERLINK("https://klasma.github.io/Logging_2085/tillsyn/A 35820-2026 tillsynsbegäran.docx", "A 35820-2026")</f>
        <v/>
      </c>
      <c r="AD50">
        <f>HYPERLINK("https://klasma.github.io/Logging_2085/tillsynsmail/A 35820-2026 tillsynsbegäran mail.docx", "A 35820-2026")</f>
        <v/>
      </c>
      <c r="AE50">
        <f>HYPERLINK("https://klasma.github.io/Logging_2085/fåglar/A 35820-2026 prioriterade fågelarter.docx", "A 35820-2026")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46292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57803-2023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45246</v>
      </c>
      <c r="E52" s="1" t="n">
        <v>46292</v>
      </c>
      <c r="F52" t="inlineStr">
        <is>
          <t>DALARNAS LÄN</t>
        </is>
      </c>
      <c r="G52" t="inlineStr">
        <is>
          <t>LUDVIKA</t>
        </is>
      </c>
      <c r="I52" t="n">
        <v>3.3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Spillkråka
Tjäder
Gröngöling</t>
        </is>
      </c>
      <c r="W52">
        <f>HYPERLINK("https://klasma.github.io/Logging_2085/artfynd/A 57803-2023 artfynd.xlsx", "A 57803-2023")</f>
        <v/>
      </c>
      <c r="X52">
        <f>HYPERLINK("https://klasma.github.io/Logging_2085/kartor/A 57803-2023 karta.png", "A 57803-2023")</f>
        <v/>
      </c>
      <c r="Y52">
        <f>HYPERLINK("https://klasma.github.io/Logging_2085/kartor_geotiff/A 57803-2023 georefererad karta.tif", "A 57803-2023")</f>
        <v/>
      </c>
      <c r="AA52">
        <f>HYPERLINK("https://klasma.github.io/Logging_2085/klagomål/A 57803-2023 FSC-klagomål.docx", "A 57803-2023")</f>
        <v/>
      </c>
      <c r="AB52">
        <f>HYPERLINK("https://klasma.github.io/Logging_2085/klagomålsmail/A 57803-2023 FSC-klagomål mail.docx", "A 57803-2023")</f>
        <v/>
      </c>
      <c r="AC52">
        <f>HYPERLINK("https://klasma.github.io/Logging_2085/tillsyn/A 57803-2023 tillsynsbegäran.docx", "A 57803-2023")</f>
        <v/>
      </c>
      <c r="AD52">
        <f>HYPERLINK("https://klasma.github.io/Logging_2085/tillsynsmail/A 57803-2023 tillsynsbegäran mail.docx", "A 57803-2023")</f>
        <v/>
      </c>
      <c r="AE52">
        <f>HYPERLINK("https://klasma.github.io/Logging_2085/fåglar/A 57803-2023 prioriterade fågelarter.docx", "A 57803-2023")</f>
        <v/>
      </c>
    </row>
    <row r="53" ht="15" customHeight="1">
      <c r="A53" t="inlineStr">
        <is>
          <t>A 38635-2026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46283</v>
      </c>
      <c r="E53" s="1" t="n">
        <v>46292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Lunglav
Mörk husmossa
Vedticka
Vågbandad barkbock</t>
        </is>
      </c>
      <c r="W53">
        <f>HYPERLINK("https://klasma.github.io/Logging_2085/artfynd/A 38635-2026 artfynd.xlsx", "A 38635-2026")</f>
        <v/>
      </c>
      <c r="X53">
        <f>HYPERLINK("https://klasma.github.io/Logging_2085/kartor/A 38635-2026 karta.png", "A 38635-2026")</f>
        <v/>
      </c>
      <c r="Y53">
        <f>HYPERLINK("https://klasma.github.io/Logging_2085/kartor_geotiff/A 38635-2026 georefererad karta.tif", "A 38635-2026")</f>
        <v/>
      </c>
      <c r="AA53">
        <f>HYPERLINK("https://klasma.github.io/Logging_2085/klagomål/A 38635-2026 FSC-klagomål.docx", "A 38635-2026")</f>
        <v/>
      </c>
      <c r="AB53">
        <f>HYPERLINK("https://klasma.github.io/Logging_2085/klagomålsmail/A 38635-2026 FSC-klagomål mail.docx", "A 38635-2026")</f>
        <v/>
      </c>
      <c r="AC53">
        <f>HYPERLINK("https://klasma.github.io/Logging_2085/tillsyn/A 38635-2026 tillsynsbegäran.docx", "A 38635-2026")</f>
        <v/>
      </c>
      <c r="AD53">
        <f>HYPERLINK("https://klasma.github.io/Logging_2085/tillsynsmail/A 38635-2026 tillsynsbegäran mail.docx", "A 38635-2026")</f>
        <v/>
      </c>
    </row>
    <row r="54" ht="15" customHeight="1">
      <c r="A54" t="inlineStr">
        <is>
          <t>A 22589-2026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46155</v>
      </c>
      <c r="E54" s="1" t="n">
        <v>46292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3.7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Järpe
Spillkråka
Tjäder</t>
        </is>
      </c>
      <c r="W54">
        <f>HYPERLINK("https://klasma.github.io/Logging_2085/artfynd/A 22589-2026 artfynd.xlsx", "A 22589-2026")</f>
        <v/>
      </c>
      <c r="X54">
        <f>HYPERLINK("https://klasma.github.io/Logging_2085/kartor/A 22589-2026 karta.png", "A 22589-2026")</f>
        <v/>
      </c>
      <c r="Y54">
        <f>HYPERLINK("https://klasma.github.io/Logging_2085/kartor_geotiff/A 22589-2026 georefererad karta.tif", "A 22589-2026")</f>
        <v/>
      </c>
      <c r="AA54">
        <f>HYPERLINK("https://klasma.github.io/Logging_2085/klagomål/A 22589-2026 FSC-klagomål.docx", "A 22589-2026")</f>
        <v/>
      </c>
      <c r="AB54">
        <f>HYPERLINK("https://klasma.github.io/Logging_2085/klagomålsmail/A 22589-2026 FSC-klagomål mail.docx", "A 22589-2026")</f>
        <v/>
      </c>
      <c r="AC54">
        <f>HYPERLINK("https://klasma.github.io/Logging_2085/tillsyn/A 22589-2026 tillsynsbegäran.docx", "A 22589-2026")</f>
        <v/>
      </c>
      <c r="AD54">
        <f>HYPERLINK("https://klasma.github.io/Logging_2085/tillsynsmail/A 22589-2026 tillsynsbegäran mail.docx", "A 22589-2026")</f>
        <v/>
      </c>
      <c r="AE54">
        <f>HYPERLINK("https://klasma.github.io/Logging_2085/fåglar/A 22589-2026 prioriterade fågelarter.docx", "A 22589-2026")</f>
        <v/>
      </c>
    </row>
    <row r="55" ht="15" customHeight="1">
      <c r="A55" t="inlineStr">
        <is>
          <t>A 23682-2026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46163</v>
      </c>
      <c r="E55" s="1" t="n">
        <v>46292</v>
      </c>
      <c r="F55" t="inlineStr">
        <is>
          <t>DALARNAS LÄN</t>
        </is>
      </c>
      <c r="G55" t="inlineStr">
        <is>
          <t>LUDVIKA</t>
        </is>
      </c>
      <c r="I55" t="n">
        <v>3.9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Vårärt
Järpe
Spillkråka
Tjäder</t>
        </is>
      </c>
      <c r="W55">
        <f>HYPERLINK("https://klasma.github.io/Logging_2085/artfynd/A 23682-2026 artfynd.xlsx", "A 23682-2026")</f>
        <v/>
      </c>
      <c r="X55">
        <f>HYPERLINK("https://klasma.github.io/Logging_2085/kartor/A 23682-2026 karta.png", "A 23682-2026")</f>
        <v/>
      </c>
      <c r="Y55">
        <f>HYPERLINK("https://klasma.github.io/Logging_2085/kartor_geotiff/A 23682-2026 georefererad karta.tif", "A 23682-2026")</f>
        <v/>
      </c>
      <c r="AA55">
        <f>HYPERLINK("https://klasma.github.io/Logging_2085/klagomål/A 23682-2026 FSC-klagomål.docx", "A 23682-2026")</f>
        <v/>
      </c>
      <c r="AB55">
        <f>HYPERLINK("https://klasma.github.io/Logging_2085/klagomålsmail/A 23682-2026 FSC-klagomål mail.docx", "A 23682-2026")</f>
        <v/>
      </c>
      <c r="AC55">
        <f>HYPERLINK("https://klasma.github.io/Logging_2085/tillsyn/A 23682-2026 tillsynsbegäran.docx", "A 23682-2026")</f>
        <v/>
      </c>
      <c r="AD55">
        <f>HYPERLINK("https://klasma.github.io/Logging_2085/tillsynsmail/A 23682-2026 tillsynsbegäran mail.docx", "A 23682-2026")</f>
        <v/>
      </c>
      <c r="AE55">
        <f>HYPERLINK("https://klasma.github.io/Logging_2085/fåglar/A 23682-2026 prioriterade fågelarter.docx", "A 23682-2026")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46292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46292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46292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46292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46292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24425-2026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46168</v>
      </c>
      <c r="E61" s="1" t="n">
        <v>46292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5.6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6</v>
      </c>
      <c r="U61" t="n">
        <v>0</v>
      </c>
      <c r="V61" s="2" t="inlineStr">
        <is>
          <t>Tretåig hackspett
Spillkråka
Sälg</t>
        </is>
      </c>
      <c r="W61">
        <f>HYPERLINK("https://klasma.github.io/Logging_2085/artfynd/A 24425-2026 artfynd.xlsx", "A 24425-2026")</f>
        <v/>
      </c>
      <c r="X61">
        <f>HYPERLINK("https://klasma.github.io/Logging_2085/kartor/A 24425-2026 karta.png", "A 24425-2026")</f>
        <v/>
      </c>
      <c r="Y61">
        <f>HYPERLINK("https://klasma.github.io/Logging_2085/kartor_geotiff/A 24425-2026 georefererad karta.tif", "A 24425-2026")</f>
        <v/>
      </c>
      <c r="AA61">
        <f>HYPERLINK("https://klasma.github.io/Logging_2085/klagomål/A 24425-2026 FSC-klagomål.docx", "A 24425-2026")</f>
        <v/>
      </c>
      <c r="AB61">
        <f>HYPERLINK("https://klasma.github.io/Logging_2085/klagomålsmail/A 24425-2026 FSC-klagomål mail.docx", "A 24425-2026")</f>
        <v/>
      </c>
      <c r="AC61">
        <f>HYPERLINK("https://klasma.github.io/Logging_2085/tillsyn/A 24425-2026 tillsynsbegäran.docx", "A 24425-2026")</f>
        <v/>
      </c>
      <c r="AD61">
        <f>HYPERLINK("https://klasma.github.io/Logging_2085/tillsynsmail/A 24425-2026 tillsynsbegäran mail.docx", "A 24425-2026")</f>
        <v/>
      </c>
      <c r="AE61">
        <f>HYPERLINK("https://klasma.github.io/Logging_2085/fåglar/A 24425-2026 prioriterade fågelarter.docx", "A 24425-2026")</f>
        <v/>
      </c>
    </row>
    <row r="62" ht="15" customHeight="1">
      <c r="A62" t="inlineStr">
        <is>
          <t>A 18759-2026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46292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3.5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11</v>
      </c>
      <c r="U62" t="n">
        <v>0</v>
      </c>
      <c r="V62" s="2" t="inlineStr">
        <is>
          <t>Knärot
Dropptaggsvamp
Nattviol</t>
        </is>
      </c>
      <c r="W62">
        <f>HYPERLINK("https://klasma.github.io/Logging_2085/artfynd/A 18759-2026 artfynd.xlsx", "A 18759-2026")</f>
        <v/>
      </c>
      <c r="X62">
        <f>HYPERLINK("https://klasma.github.io/Logging_2085/kartor/A 18759-2026 karta.png", "A 18759-2026")</f>
        <v/>
      </c>
      <c r="Y62">
        <f>HYPERLINK("https://klasma.github.io/Logging_2085/kartor_geotiff/A 18759-2026 georefererad karta.tif", "A 18759-2026")</f>
        <v/>
      </c>
      <c r="Z62">
        <f>HYPERLINK("https://klasma.github.io/Logging_2085/knärot/A 18759-2026 karta knärot.png", "A 18759-2026")</f>
        <v/>
      </c>
      <c r="AA62">
        <f>HYPERLINK("https://klasma.github.io/Logging_2085/klagomål/A 18759-2026 FSC-klagomål.docx", "A 18759-2026")</f>
        <v/>
      </c>
      <c r="AB62">
        <f>HYPERLINK("https://klasma.github.io/Logging_2085/klagomålsmail/A 18759-2026 FSC-klagomål mail.docx", "A 18759-2026")</f>
        <v/>
      </c>
      <c r="AC62">
        <f>HYPERLINK("https://klasma.github.io/Logging_2085/tillsyn/A 18759-2026 tillsynsbegäran.docx", "A 18759-2026")</f>
        <v/>
      </c>
      <c r="AD62">
        <f>HYPERLINK("https://klasma.github.io/Logging_2085/tillsynsmail/A 18759-2026 tillsynsbegäran mail.docx", "A 18759-2026")</f>
        <v/>
      </c>
    </row>
    <row r="63" ht="15" customHeight="1">
      <c r="A63" t="inlineStr">
        <is>
          <t>A 43226-2025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46292</v>
      </c>
      <c r="F63" t="inlineStr">
        <is>
          <t>DALARNAS LÄN</t>
        </is>
      </c>
      <c r="G63" t="inlineStr">
        <is>
          <t>LUDVIKA</t>
        </is>
      </c>
      <c r="I63" t="n">
        <v>1.1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4</v>
      </c>
      <c r="V63" s="2" t="inlineStr">
        <is>
          <t>Tretåig hackspett
Rävticka
Rödgul trumpetsvamp</t>
        </is>
      </c>
      <c r="W63">
        <f>HYPERLINK("https://klasma.github.io/Logging_2085/artfynd/A 43226-2025 artfynd.xlsx", "A 43226-2025")</f>
        <v/>
      </c>
      <c r="X63">
        <f>HYPERLINK("https://klasma.github.io/Logging_2085/kartor/A 43226-2025 karta.png", "A 43226-2025")</f>
        <v/>
      </c>
      <c r="Y63">
        <f>HYPERLINK("https://klasma.github.io/Logging_2085/kartor_geotiff/A 43226-2025 georefererad karta.tif", "A 43226-2025")</f>
        <v/>
      </c>
      <c r="AA63">
        <f>HYPERLINK("https://klasma.github.io/Logging_2085/klagomål/A 43226-2025 FSC-klagomål.docx", "A 43226-2025")</f>
        <v/>
      </c>
      <c r="AB63">
        <f>HYPERLINK("https://klasma.github.io/Logging_2085/klagomålsmail/A 43226-2025 FSC-klagomål mail.docx", "A 43226-2025")</f>
        <v/>
      </c>
      <c r="AC63">
        <f>HYPERLINK("https://klasma.github.io/Logging_2085/tillsyn/A 43226-2025 tillsynsbegäran.docx", "A 43226-2025")</f>
        <v/>
      </c>
      <c r="AD63">
        <f>HYPERLINK("https://klasma.github.io/Logging_2085/tillsynsmail/A 43226-2025 tillsynsbegäran mail.docx", "A 43226-2025")</f>
        <v/>
      </c>
      <c r="AE63">
        <f>HYPERLINK("https://klasma.github.io/Logging_2085/fåglar/A 43226-2025 prioriterade fågelarter.docx", "A 43226-2025")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46292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46292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21369-2023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46292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0.4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Skogsalm
Tibast</t>
        </is>
      </c>
      <c r="W66">
        <f>HYPERLINK("https://klasma.github.io/Logging_2085/artfynd/A 21369-2023 artfynd.xlsx", "A 21369-2023")</f>
        <v/>
      </c>
      <c r="X66">
        <f>HYPERLINK("https://klasma.github.io/Logging_2085/kartor/A 21369-2023 karta.png", "A 21369-2023")</f>
        <v/>
      </c>
      <c r="Y66">
        <f>HYPERLINK("https://klasma.github.io/Logging_2085/kartor_geotiff/A 21369-2023 georefererad karta.tif", "A 21369-2023")</f>
        <v/>
      </c>
      <c r="AA66">
        <f>HYPERLINK("https://klasma.github.io/Logging_2085/klagomål/A 21369-2023 FSC-klagomål.docx", "A 21369-2023")</f>
        <v/>
      </c>
      <c r="AB66">
        <f>HYPERLINK("https://klasma.github.io/Logging_2085/klagomålsmail/A 21369-2023 FSC-klagomål mail.docx", "A 21369-2023")</f>
        <v/>
      </c>
      <c r="AC66">
        <f>HYPERLINK("https://klasma.github.io/Logging_2085/tillsyn/A 21369-2023 tillsynsbegäran.docx", "A 21369-2023")</f>
        <v/>
      </c>
      <c r="AD66">
        <f>HYPERLINK("https://klasma.github.io/Logging_2085/tillsynsmail/A 21369-2023 tillsynsbegäran mail.docx", "A 21369-2023")</f>
        <v/>
      </c>
    </row>
    <row r="67" ht="15" customHeight="1">
      <c r="A67" t="inlineStr">
        <is>
          <t>A 42558-2022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44831</v>
      </c>
      <c r="E67" s="1" t="n">
        <v>46292</v>
      </c>
      <c r="F67" t="inlineStr">
        <is>
          <t>DALARNAS LÄN</t>
        </is>
      </c>
      <c r="G67" t="inlineStr">
        <is>
          <t>LUDVIKA</t>
        </is>
      </c>
      <c r="H67" t="inlineStr">
        <is>
          <t>Naturvårdsverket</t>
        </is>
      </c>
      <c r="I67" t="n">
        <v>4.9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Gräddporing
Lopplummer (aggregat)</t>
        </is>
      </c>
      <c r="W67">
        <f>HYPERLINK("https://klasma.github.io/Logging_2085/artfynd/A 42558-2022 artfynd.xlsx", "A 42558-2022")</f>
        <v/>
      </c>
      <c r="X67">
        <f>HYPERLINK("https://klasma.github.io/Logging_2085/kartor/A 42558-2022 karta.png", "A 42558-2022")</f>
        <v/>
      </c>
      <c r="Y67">
        <f>HYPERLINK("https://klasma.github.io/Logging_2085/kartor_geotiff/A 42558-2022 georefererad karta.tif", "A 42558-2022")</f>
        <v/>
      </c>
      <c r="AA67">
        <f>HYPERLINK("https://klasma.github.io/Logging_2085/klagomål/A 42558-2022 FSC-klagomål.docx", "A 42558-2022")</f>
        <v/>
      </c>
      <c r="AB67">
        <f>HYPERLINK("https://klasma.github.io/Logging_2085/klagomålsmail/A 42558-2022 FSC-klagomål mail.docx", "A 42558-2022")</f>
        <v/>
      </c>
      <c r="AC67">
        <f>HYPERLINK("https://klasma.github.io/Logging_2085/tillsyn/A 42558-2022 tillsynsbegäran.docx", "A 42558-2022")</f>
        <v/>
      </c>
      <c r="AD67">
        <f>HYPERLINK("https://klasma.github.io/Logging_2085/tillsynsmail/A 42558-2022 tillsynsbegäran mail.docx", "A 42558-2022")</f>
        <v/>
      </c>
    </row>
    <row r="68" ht="15" customHeight="1">
      <c r="A68" t="inlineStr">
        <is>
          <t>A 11755-2023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46292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Garnlav
Spillkråka</t>
        </is>
      </c>
      <c r="W68">
        <f>HYPERLINK("https://klasma.github.io/Logging_2085/artfynd/A 11755-2023 artfynd.xlsx", "A 11755-2023")</f>
        <v/>
      </c>
      <c r="X68">
        <f>HYPERLINK("https://klasma.github.io/Logging_2085/kartor/A 11755-2023 karta.png", "A 11755-2023")</f>
        <v/>
      </c>
      <c r="Y68">
        <f>HYPERLINK("https://klasma.github.io/Logging_2085/kartor_geotiff/A 11755-2023 georefererad karta.tif", "A 11755-2023")</f>
        <v/>
      </c>
      <c r="AA68">
        <f>HYPERLINK("https://klasma.github.io/Logging_2085/klagomål/A 11755-2023 FSC-klagomål.docx", "A 11755-2023")</f>
        <v/>
      </c>
      <c r="AB68">
        <f>HYPERLINK("https://klasma.github.io/Logging_2085/klagomålsmail/A 11755-2023 FSC-klagomål mail.docx", "A 11755-2023")</f>
        <v/>
      </c>
      <c r="AC68">
        <f>HYPERLINK("https://klasma.github.io/Logging_2085/tillsyn/A 11755-2023 tillsynsbegäran.docx", "A 11755-2023")</f>
        <v/>
      </c>
      <c r="AD68">
        <f>HYPERLINK("https://klasma.github.io/Logging_2085/tillsynsmail/A 11755-2023 tillsynsbegäran mail.docx", "A 11755-2023")</f>
        <v/>
      </c>
      <c r="AE68">
        <f>HYPERLINK("https://klasma.github.io/Logging_2085/fåglar/A 11755-2023 prioriterade fågelarter.docx", "A 11755-2023")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46292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46292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46292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56879-2025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45978</v>
      </c>
      <c r="E72" s="1" t="n">
        <v>46292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3</v>
      </c>
      <c r="V72" s="2" t="inlineStr">
        <is>
          <t>Garnlav
Tjäder</t>
        </is>
      </c>
      <c r="W72">
        <f>HYPERLINK("https://klasma.github.io/Logging_2085/artfynd/A 56879-2025 artfynd.xlsx", "A 56879-2025")</f>
        <v/>
      </c>
      <c r="X72">
        <f>HYPERLINK("https://klasma.github.io/Logging_2085/kartor/A 56879-2025 karta.png", "A 56879-2025")</f>
        <v/>
      </c>
      <c r="Y72">
        <f>HYPERLINK("https://klasma.github.io/Logging_2085/kartor_geotiff/A 56879-2025 georefererad karta.tif", "A 56879-2025")</f>
        <v/>
      </c>
      <c r="AA72">
        <f>HYPERLINK("https://klasma.github.io/Logging_2085/klagomål/A 56879-2025 FSC-klagomål.docx", "A 56879-2025")</f>
        <v/>
      </c>
      <c r="AB72">
        <f>HYPERLINK("https://klasma.github.io/Logging_2085/klagomålsmail/A 56879-2025 FSC-klagomål mail.docx", "A 56879-2025")</f>
        <v/>
      </c>
      <c r="AC72">
        <f>HYPERLINK("https://klasma.github.io/Logging_2085/tillsyn/A 56879-2025 tillsynsbegäran.docx", "A 56879-2025")</f>
        <v/>
      </c>
      <c r="AD72">
        <f>HYPERLINK("https://klasma.github.io/Logging_2085/tillsynsmail/A 56879-2025 tillsynsbegäran mail.docx", "A 56879-2025")</f>
        <v/>
      </c>
      <c r="AE72">
        <f>HYPERLINK("https://klasma.github.io/Logging_2085/fåglar/A 56879-2025 prioriterade fågelarter.docx", "A 56879-2025")</f>
        <v/>
      </c>
    </row>
    <row r="73" ht="15" customHeight="1">
      <c r="A73" t="inlineStr">
        <is>
          <t>A 50170-2025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46292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2.5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Labyrintlav
Gulnål</t>
        </is>
      </c>
      <c r="W73">
        <f>HYPERLINK("https://klasma.github.io/Logging_2085/artfynd/A 50170-2025 artfynd.xlsx", "A 50170-2025")</f>
        <v/>
      </c>
      <c r="X73">
        <f>HYPERLINK("https://klasma.github.io/Logging_2085/kartor/A 50170-2025 karta.png", "A 50170-2025")</f>
        <v/>
      </c>
      <c r="Y73">
        <f>HYPERLINK("https://klasma.github.io/Logging_2085/kartor_geotiff/A 50170-2025 georefererad karta.tif", "A 50170-2025")</f>
        <v/>
      </c>
      <c r="AA73">
        <f>HYPERLINK("https://klasma.github.io/Logging_2085/klagomål/A 50170-2025 FSC-klagomål.docx", "A 50170-2025")</f>
        <v/>
      </c>
      <c r="AB73">
        <f>HYPERLINK("https://klasma.github.io/Logging_2085/klagomålsmail/A 50170-2025 FSC-klagomål mail.docx", "A 50170-2025")</f>
        <v/>
      </c>
      <c r="AC73">
        <f>HYPERLINK("https://klasma.github.io/Logging_2085/tillsyn/A 50170-2025 tillsynsbegäran.docx", "A 50170-2025")</f>
        <v/>
      </c>
      <c r="AD73">
        <f>HYPERLINK("https://klasma.github.io/Logging_2085/tillsynsmail/A 50170-2025 tillsynsbegäran mail.docx", "A 50170-2025")</f>
        <v/>
      </c>
    </row>
    <row r="74" ht="15" customHeight="1">
      <c r="A74" t="inlineStr">
        <is>
          <t>A 56179-2025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46292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Gultoppig fingersvamp
Kortskaftad ärgspik</t>
        </is>
      </c>
      <c r="W74">
        <f>HYPERLINK("https://klasma.github.io/Logging_2085/artfynd/A 56179-2025 artfynd.xlsx", "A 56179-2025")</f>
        <v/>
      </c>
      <c r="X74">
        <f>HYPERLINK("https://klasma.github.io/Logging_2085/kartor/A 56179-2025 karta.png", "A 56179-2025")</f>
        <v/>
      </c>
      <c r="Y74">
        <f>HYPERLINK("https://klasma.github.io/Logging_2085/kartor_geotiff/A 56179-2025 georefererad karta.tif", "A 56179-2025")</f>
        <v/>
      </c>
      <c r="Z74">
        <f>HYPERLINK("https://klasma.github.io/Logging_2085/knärot/A 56179-2025 karta knärot.png", "A 56179-2025")</f>
        <v/>
      </c>
      <c r="AA74">
        <f>HYPERLINK("https://klasma.github.io/Logging_2085/klagomål/A 56179-2025 FSC-klagomål.docx", "A 56179-2025")</f>
        <v/>
      </c>
      <c r="AB74">
        <f>HYPERLINK("https://klasma.github.io/Logging_2085/klagomålsmail/A 56179-2025 FSC-klagomål mail.docx", "A 56179-2025")</f>
        <v/>
      </c>
      <c r="AC74">
        <f>HYPERLINK("https://klasma.github.io/Logging_2085/tillsyn/A 56179-2025 tillsynsbegäran.docx", "A 56179-2025")</f>
        <v/>
      </c>
      <c r="AD74">
        <f>HYPERLINK("https://klasma.github.io/Logging_2085/tillsynsmail/A 56179-2025 tillsynsbegäran mail.docx", "A 56179-2025")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46292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46292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46292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46292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33155-2024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45518</v>
      </c>
      <c r="E79" s="1" t="n">
        <v>46292</v>
      </c>
      <c r="F79" t="inlineStr">
        <is>
          <t>DALARNAS LÄN</t>
        </is>
      </c>
      <c r="G79" t="inlineStr">
        <is>
          <t>LUDVIKA</t>
        </is>
      </c>
      <c r="I79" t="n">
        <v>2.9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Brunpudrad nållav
Tretåig hackspett</t>
        </is>
      </c>
      <c r="W79">
        <f>HYPERLINK("https://klasma.github.io/Logging_2085/artfynd/A 33155-2024 artfynd.xlsx", "A 33155-2024")</f>
        <v/>
      </c>
      <c r="X79">
        <f>HYPERLINK("https://klasma.github.io/Logging_2085/kartor/A 33155-2024 karta.png", "A 33155-2024")</f>
        <v/>
      </c>
      <c r="Y79">
        <f>HYPERLINK("https://klasma.github.io/Logging_2085/kartor_geotiff/A 33155-2024 georefererad karta.tif", "A 33155-2024")</f>
        <v/>
      </c>
      <c r="AA79">
        <f>HYPERLINK("https://klasma.github.io/Logging_2085/klagomål/A 33155-2024 FSC-klagomål.docx", "A 33155-2024")</f>
        <v/>
      </c>
      <c r="AB79">
        <f>HYPERLINK("https://klasma.github.io/Logging_2085/klagomålsmail/A 33155-2024 FSC-klagomål mail.docx", "A 33155-2024")</f>
        <v/>
      </c>
      <c r="AC79">
        <f>HYPERLINK("https://klasma.github.io/Logging_2085/tillsyn/A 33155-2024 tillsynsbegäran.docx", "A 33155-2024")</f>
        <v/>
      </c>
      <c r="AD79">
        <f>HYPERLINK("https://klasma.github.io/Logging_2085/tillsynsmail/A 33155-2024 tillsynsbegäran mail.docx", "A 33155-2024")</f>
        <v/>
      </c>
      <c r="AE79">
        <f>HYPERLINK("https://klasma.github.io/Logging_2085/fåglar/A 33155-2024 prioriterade fågelarter.docx", "A 33155-2024")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46292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46292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49051-2024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46292</v>
      </c>
      <c r="F82" t="inlineStr">
        <is>
          <t>DALARNAS LÄN</t>
        </is>
      </c>
      <c r="G82" t="inlineStr">
        <is>
          <t>LUDVIKA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2</v>
      </c>
      <c r="O82" t="n">
        <v>0</v>
      </c>
      <c r="P82" t="n">
        <v>0</v>
      </c>
      <c r="Q82" t="n">
        <v>2</v>
      </c>
      <c r="R82" t="n">
        <v>2</v>
      </c>
      <c r="S82" t="n">
        <v>2</v>
      </c>
      <c r="T82" t="n">
        <v>2</v>
      </c>
      <c r="U82" t="n">
        <v>0</v>
      </c>
      <c r="V82" s="2" t="inlineStr">
        <is>
          <t>Ladparasitspik
Vedkastanjelav</t>
        </is>
      </c>
      <c r="W82">
        <f>HYPERLINK("https://klasma.github.io/Logging_2085/artfynd/A 49051-2024 artfynd.xlsx", "A 49051-2024")</f>
        <v/>
      </c>
      <c r="X82">
        <f>HYPERLINK("https://klasma.github.io/Logging_2085/kartor/A 49051-2024 karta.png", "A 49051-2024")</f>
        <v/>
      </c>
      <c r="Y82">
        <f>HYPERLINK("https://klasma.github.io/Logging_2085/kartor_geotiff/A 49051-2024 georefererad karta.tif", "A 49051-2024")</f>
        <v/>
      </c>
      <c r="AA82">
        <f>HYPERLINK("https://klasma.github.io/Logging_2085/klagomål/A 49051-2024 FSC-klagomål.docx", "A 49051-2024")</f>
        <v/>
      </c>
      <c r="AB82">
        <f>HYPERLINK("https://klasma.github.io/Logging_2085/klagomålsmail/A 49051-2024 FSC-klagomål mail.docx", "A 49051-2024")</f>
        <v/>
      </c>
      <c r="AC82">
        <f>HYPERLINK("https://klasma.github.io/Logging_2085/tillsyn/A 49051-2024 tillsynsbegäran.docx", "A 49051-2024")</f>
        <v/>
      </c>
      <c r="AD82">
        <f>HYPERLINK("https://klasma.github.io/Logging_2085/tillsynsmail/A 49051-2024 tillsynsbegäran mail.docx", "A 49051-2024")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46292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46292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46292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3809-2024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46292</v>
      </c>
      <c r="F86" t="inlineStr">
        <is>
          <t>DALARNAS LÄN</t>
        </is>
      </c>
      <c r="G86" t="inlineStr">
        <is>
          <t>LUDVIKA</t>
        </is>
      </c>
      <c r="I86" t="n">
        <v>0.5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8</v>
      </c>
      <c r="U86" t="n">
        <v>8</v>
      </c>
      <c r="V86" s="2" t="inlineStr">
        <is>
          <t>Nordfladdermus
Fläcknycklar</t>
        </is>
      </c>
      <c r="W86">
        <f>HYPERLINK("https://klasma.github.io/Logging_2085/artfynd/A 3809-2024 artfynd.xlsx", "A 3809-2024")</f>
        <v/>
      </c>
      <c r="X86">
        <f>HYPERLINK("https://klasma.github.io/Logging_2085/kartor/A 3809-2024 karta.png", "A 3809-2024")</f>
        <v/>
      </c>
      <c r="Y86">
        <f>HYPERLINK("https://klasma.github.io/Logging_2085/kartor_geotiff/A 3809-2024 georefererad karta.tif", "A 3809-2024")</f>
        <v/>
      </c>
      <c r="AA86">
        <f>HYPERLINK("https://klasma.github.io/Logging_2085/klagomål/A 3809-2024 FSC-klagomål.docx", "A 3809-2024")</f>
        <v/>
      </c>
      <c r="AB86">
        <f>HYPERLINK("https://klasma.github.io/Logging_2085/klagomålsmail/A 3809-2024 FSC-klagomål mail.docx", "A 3809-2024")</f>
        <v/>
      </c>
      <c r="AC86">
        <f>HYPERLINK("https://klasma.github.io/Logging_2085/tillsyn/A 3809-2024 tillsynsbegäran.docx", "A 3809-2024")</f>
        <v/>
      </c>
      <c r="AD86">
        <f>HYPERLINK("https://klasma.github.io/Logging_2085/tillsynsmail/A 3809-2024 tillsynsbegäran mail.docx", "A 3809-2024")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46292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56826-2025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46292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4.5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8</v>
      </c>
      <c r="U88" t="n">
        <v>8</v>
      </c>
      <c r="V88" s="2" t="inlineStr">
        <is>
          <t>Garnlav
Tretåig hackspett</t>
        </is>
      </c>
      <c r="W88">
        <f>HYPERLINK("https://klasma.github.io/Logging_2085/artfynd/A 56826-2025 artfynd.xlsx", "A 56826-2025")</f>
        <v/>
      </c>
      <c r="X88">
        <f>HYPERLINK("https://klasma.github.io/Logging_2085/kartor/A 56826-2025 karta.png", "A 56826-2025")</f>
        <v/>
      </c>
      <c r="Y88">
        <f>HYPERLINK("https://klasma.github.io/Logging_2085/kartor_geotiff/A 56826-2025 georefererad karta.tif", "A 56826-2025")</f>
        <v/>
      </c>
      <c r="AA88">
        <f>HYPERLINK("https://klasma.github.io/Logging_2085/klagomål/A 56826-2025 FSC-klagomål.docx", "A 56826-2025")</f>
        <v/>
      </c>
      <c r="AB88">
        <f>HYPERLINK("https://klasma.github.io/Logging_2085/klagomålsmail/A 56826-2025 FSC-klagomål mail.docx", "A 56826-2025")</f>
        <v/>
      </c>
      <c r="AC88">
        <f>HYPERLINK("https://klasma.github.io/Logging_2085/tillsyn/A 56826-2025 tillsynsbegäran.docx", "A 56826-2025")</f>
        <v/>
      </c>
      <c r="AD88">
        <f>HYPERLINK("https://klasma.github.io/Logging_2085/tillsynsmail/A 56826-2025 tillsynsbegäran mail.docx", "A 56826-2025")</f>
        <v/>
      </c>
      <c r="AE88">
        <f>HYPERLINK("https://klasma.github.io/Logging_2085/fåglar/A 56826-2025 prioriterade fågelarter.docx", "A 56826-2025")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46292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46292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46292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46292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46292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25448-2024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45463</v>
      </c>
      <c r="E94" s="1" t="n">
        <v>46292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24.7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Blåsippa</t>
        </is>
      </c>
      <c r="W94">
        <f>HYPERLINK("https://klasma.github.io/Logging_2085/artfynd/A 25448-2024 artfynd.xlsx", "A 25448-2024")</f>
        <v/>
      </c>
      <c r="X94">
        <f>HYPERLINK("https://klasma.github.io/Logging_2085/kartor/A 25448-2024 karta.png", "A 25448-2024")</f>
        <v/>
      </c>
      <c r="Y94">
        <f>HYPERLINK("https://klasma.github.io/Logging_2085/kartor_geotiff/A 25448-2024 georefererad karta.tif", "A 25448-2024")</f>
        <v/>
      </c>
      <c r="AA94">
        <f>HYPERLINK("https://klasma.github.io/Logging_2085/klagomål/A 25448-2024 FSC-klagomål.docx", "A 25448-2024")</f>
        <v/>
      </c>
      <c r="AB94">
        <f>HYPERLINK("https://klasma.github.io/Logging_2085/klagomålsmail/A 25448-2024 FSC-klagomål mail.docx", "A 25448-2024")</f>
        <v/>
      </c>
      <c r="AC94">
        <f>HYPERLINK("https://klasma.github.io/Logging_2085/tillsyn/A 25448-2024 tillsynsbegäran.docx", "A 25448-2024")</f>
        <v/>
      </c>
      <c r="AD94">
        <f>HYPERLINK("https://klasma.github.io/Logging_2085/tillsynsmail/A 25448-2024 tillsynsbegäran mail.docx", "A 25448-2024")</f>
        <v/>
      </c>
    </row>
    <row r="95" ht="15" customHeight="1">
      <c r="A95" t="inlineStr">
        <is>
          <t>A 59947-2025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46292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HYPERLINK("https://klasma.github.io/Logging_2085/artfynd/A 59947-2025 artfynd.xlsx", "A 59947-2025")</f>
        <v/>
      </c>
      <c r="X95">
        <f>HYPERLINK("https://klasma.github.io/Logging_2085/kartor/A 59947-2025 karta.png", "A 59947-2025")</f>
        <v/>
      </c>
      <c r="Y95">
        <f>HYPERLINK("https://klasma.github.io/Logging_2085/kartor_geotiff/A 59947-2025 georefererad karta.tif", "A 59947-2025")</f>
        <v/>
      </c>
      <c r="AA95">
        <f>HYPERLINK("https://klasma.github.io/Logging_2085/klagomål/A 59947-2025 FSC-klagomål.docx", "A 59947-2025")</f>
        <v/>
      </c>
      <c r="AB95">
        <f>HYPERLINK("https://klasma.github.io/Logging_2085/klagomålsmail/A 59947-2025 FSC-klagomål mail.docx", "A 59947-2025")</f>
        <v/>
      </c>
      <c r="AC95">
        <f>HYPERLINK("https://klasma.github.io/Logging_2085/tillsyn/A 59947-2025 tillsynsbegäran.docx", "A 59947-2025")</f>
        <v/>
      </c>
      <c r="AD95">
        <f>HYPERLINK("https://klasma.github.io/Logging_2085/tillsynsmail/A 59947-2025 tillsynsbegäran mail.docx", "A 59947-2025")</f>
        <v/>
      </c>
      <c r="AE95">
        <f>HYPERLINK("https://klasma.github.io/Logging_2085/fåglar/A 59947-2025 prioriterade fågelarter.docx", "A 59947-2025")</f>
        <v/>
      </c>
    </row>
    <row r="96" ht="15" customHeight="1">
      <c r="A96" t="inlineStr">
        <is>
          <t>A 45791-2025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46292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Vitfläckig guldvinge</t>
        </is>
      </c>
      <c r="W96">
        <f>HYPERLINK("https://klasma.github.io/Logging_2085/artfynd/A 45791-2025 artfynd.xlsx", "A 45791-2025")</f>
        <v/>
      </c>
      <c r="X96">
        <f>HYPERLINK("https://klasma.github.io/Logging_2085/kartor/A 45791-2025 karta.png", "A 45791-2025")</f>
        <v/>
      </c>
      <c r="Y96">
        <f>HYPERLINK("https://klasma.github.io/Logging_2085/kartor_geotiff/A 45791-2025 georefererad karta.tif", "A 45791-2025")</f>
        <v/>
      </c>
      <c r="AA96">
        <f>HYPERLINK("https://klasma.github.io/Logging_2085/klagomål/A 45791-2025 FSC-klagomål.docx", "A 45791-2025")</f>
        <v/>
      </c>
      <c r="AB96">
        <f>HYPERLINK("https://klasma.github.io/Logging_2085/klagomålsmail/A 45791-2025 FSC-klagomål mail.docx", "A 45791-2025")</f>
        <v/>
      </c>
      <c r="AC96">
        <f>HYPERLINK("https://klasma.github.io/Logging_2085/tillsyn/A 45791-2025 tillsynsbegäran.docx", "A 45791-2025")</f>
        <v/>
      </c>
      <c r="AD96">
        <f>HYPERLINK("https://klasma.github.io/Logging_2085/tillsynsmail/A 45791-2025 tillsynsbegäran mail.docx", "A 45791-2025")</f>
        <v/>
      </c>
    </row>
    <row r="97" ht="15" customHeight="1">
      <c r="A97" t="inlineStr">
        <is>
          <t>A 45858-2025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46292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Granbarkgnagare</t>
        </is>
      </c>
      <c r="W97">
        <f>HYPERLINK("https://klasma.github.io/Logging_2085/artfynd/A 45858-2025 artfynd.xlsx", "A 45858-2025")</f>
        <v/>
      </c>
      <c r="X97">
        <f>HYPERLINK("https://klasma.github.io/Logging_2085/kartor/A 45858-2025 karta.png", "A 45858-2025")</f>
        <v/>
      </c>
      <c r="Y97">
        <f>HYPERLINK("https://klasma.github.io/Logging_2085/kartor_geotiff/A 45858-2025 georefererad karta.tif", "A 45858-2025")</f>
        <v/>
      </c>
      <c r="AA97">
        <f>HYPERLINK("https://klasma.github.io/Logging_2085/klagomål/A 45858-2025 FSC-klagomål.docx", "A 45858-2025")</f>
        <v/>
      </c>
      <c r="AB97">
        <f>HYPERLINK("https://klasma.github.io/Logging_2085/klagomålsmail/A 45858-2025 FSC-klagomål mail.docx", "A 45858-2025")</f>
        <v/>
      </c>
      <c r="AC97">
        <f>HYPERLINK("https://klasma.github.io/Logging_2085/tillsyn/A 45858-2025 tillsynsbegäran.docx", "A 45858-2025")</f>
        <v/>
      </c>
      <c r="AD97">
        <f>HYPERLINK("https://klasma.github.io/Logging_2085/tillsynsmail/A 45858-2025 tillsynsbegäran mail.docx", "A 45858-2025")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46292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26850-2023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46292</v>
      </c>
      <c r="F99" t="inlineStr">
        <is>
          <t>DALARNAS LÄN</t>
        </is>
      </c>
      <c r="G99" t="inlineStr">
        <is>
          <t>LUDVIKA</t>
        </is>
      </c>
      <c r="H99" t="inlineStr">
        <is>
          <t>Naturvårdsverket</t>
        </is>
      </c>
      <c r="I99" t="n">
        <v>2.7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HYPERLINK("https://klasma.github.io/Logging_2085/artfynd/A 26850-2023 artfynd.xlsx", "A 26850-2023")</f>
        <v/>
      </c>
      <c r="X99">
        <f>HYPERLINK("https://klasma.github.io/Logging_2085/kartor/A 26850-2023 karta.png", "A 26850-2023")</f>
        <v/>
      </c>
      <c r="Y99">
        <f>HYPERLINK("https://klasma.github.io/Logging_2085/kartor_geotiff/A 26850-2023 georefererad karta.tif", "A 26850-2023")</f>
        <v/>
      </c>
      <c r="AA99">
        <f>HYPERLINK("https://klasma.github.io/Logging_2085/klagomål/A 26850-2023 FSC-klagomål.docx", "A 26850-2023")</f>
        <v/>
      </c>
      <c r="AB99">
        <f>HYPERLINK("https://klasma.github.io/Logging_2085/klagomålsmail/A 26850-2023 FSC-klagomål mail.docx", "A 26850-2023")</f>
        <v/>
      </c>
      <c r="AC99">
        <f>HYPERLINK("https://klasma.github.io/Logging_2085/tillsyn/A 26850-2023 tillsynsbegäran.docx", "A 26850-2023")</f>
        <v/>
      </c>
      <c r="AD99">
        <f>HYPERLINK("https://klasma.github.io/Logging_2085/tillsynsmail/A 26850-2023 tillsynsbegäran mail.docx", "A 26850-2023")</f>
        <v/>
      </c>
    </row>
    <row r="100" ht="15" customHeight="1">
      <c r="A100" t="inlineStr">
        <is>
          <t>A 400-2023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46292</v>
      </c>
      <c r="F100" t="inlineStr">
        <is>
          <t>DALARNAS LÄN</t>
        </is>
      </c>
      <c r="G100" t="inlineStr">
        <is>
          <t>LUDVIKA</t>
        </is>
      </c>
      <c r="I100" t="n">
        <v>3.6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Nordfladdermus</t>
        </is>
      </c>
      <c r="W100">
        <f>HYPERLINK("https://klasma.github.io/Logging_2085/artfynd/A 400-2023 artfynd.xlsx", "A 400-2023")</f>
        <v/>
      </c>
      <c r="X100">
        <f>HYPERLINK("https://klasma.github.io/Logging_2085/kartor/A 400-2023 karta.png", "A 400-2023")</f>
        <v/>
      </c>
      <c r="Y100">
        <f>HYPERLINK("https://klasma.github.io/Logging_2085/kartor_geotiff/A 400-2023 georefererad karta.tif", "A 400-2023")</f>
        <v/>
      </c>
      <c r="AA100">
        <f>HYPERLINK("https://klasma.github.io/Logging_2085/klagomål/A 400-2023 FSC-klagomål.docx", "A 400-2023")</f>
        <v/>
      </c>
      <c r="AB100">
        <f>HYPERLINK("https://klasma.github.io/Logging_2085/klagomålsmail/A 400-2023 FSC-klagomål mail.docx", "A 400-2023")</f>
        <v/>
      </c>
      <c r="AC100">
        <f>HYPERLINK("https://klasma.github.io/Logging_2085/tillsyn/A 400-2023 tillsynsbegäran.docx", "A 400-2023")</f>
        <v/>
      </c>
      <c r="AD100">
        <f>HYPERLINK("https://klasma.github.io/Logging_2085/tillsynsmail/A 400-2023 tillsynsbegäran mail.docx", "A 400-2023")</f>
        <v/>
      </c>
    </row>
    <row r="101" ht="15" customHeight="1">
      <c r="A101" t="inlineStr">
        <is>
          <t>A 31478-2023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45114</v>
      </c>
      <c r="E101" s="1" t="n">
        <v>46292</v>
      </c>
      <c r="F101" t="inlineStr">
        <is>
          <t>DALARNAS LÄN</t>
        </is>
      </c>
      <c r="G101" t="inlineStr">
        <is>
          <t>LUDVIKA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HYPERLINK("https://klasma.github.io/Logging_2085/artfynd/A 31478-2023 artfynd.xlsx", "A 31478-2023")</f>
        <v/>
      </c>
      <c r="X101">
        <f>HYPERLINK("https://klasma.github.io/Logging_2085/kartor/A 31478-2023 karta.png", "A 31478-2023")</f>
        <v/>
      </c>
      <c r="Y101">
        <f>HYPERLINK("https://klasma.github.io/Logging_2085/kartor_geotiff/A 31478-2023 georefererad karta.tif", "A 31478-2023")</f>
        <v/>
      </c>
      <c r="AA101">
        <f>HYPERLINK("https://klasma.github.io/Logging_2085/klagomål/A 31478-2023 FSC-klagomål.docx", "A 31478-2023")</f>
        <v/>
      </c>
      <c r="AB101">
        <f>HYPERLINK("https://klasma.github.io/Logging_2085/klagomålsmail/A 31478-2023 FSC-klagomål mail.docx", "A 31478-2023")</f>
        <v/>
      </c>
      <c r="AC101">
        <f>HYPERLINK("https://klasma.github.io/Logging_2085/tillsyn/A 31478-2023 tillsynsbegäran.docx", "A 31478-2023")</f>
        <v/>
      </c>
      <c r="AD101">
        <f>HYPERLINK("https://klasma.github.io/Logging_2085/tillsynsmail/A 31478-2023 tillsynsbegäran mail.docx", "A 31478-2023")</f>
        <v/>
      </c>
    </row>
    <row r="102" ht="15" customHeight="1">
      <c r="A102" t="inlineStr">
        <is>
          <t>A 36050-2025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45866</v>
      </c>
      <c r="E102" s="1" t="n">
        <v>46292</v>
      </c>
      <c r="F102" t="inlineStr">
        <is>
          <t>DALARNAS LÄN</t>
        </is>
      </c>
      <c r="G102" t="inlineStr">
        <is>
          <t>LUDVIKA</t>
        </is>
      </c>
      <c r="I102" t="n">
        <v>1.4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hackspett</t>
        </is>
      </c>
      <c r="W102">
        <f>HYPERLINK("https://klasma.github.io/Logging_2085/artfynd/A 36050-2025 artfynd.xlsx", "A 36050-2025")</f>
        <v/>
      </c>
      <c r="X102">
        <f>HYPERLINK("https://klasma.github.io/Logging_2085/kartor/A 36050-2025 karta.png", "A 36050-2025")</f>
        <v/>
      </c>
      <c r="Y102">
        <f>HYPERLINK("https://klasma.github.io/Logging_2085/kartor_geotiff/A 36050-2025 georefererad karta.tif", "A 36050-2025")</f>
        <v/>
      </c>
      <c r="AA102">
        <f>HYPERLINK("https://klasma.github.io/Logging_2085/klagomål/A 36050-2025 FSC-klagomål.docx", "A 36050-2025")</f>
        <v/>
      </c>
      <c r="AB102">
        <f>HYPERLINK("https://klasma.github.io/Logging_2085/klagomålsmail/A 36050-2025 FSC-klagomål mail.docx", "A 36050-2025")</f>
        <v/>
      </c>
      <c r="AC102">
        <f>HYPERLINK("https://klasma.github.io/Logging_2085/tillsyn/A 36050-2025 tillsynsbegäran.docx", "A 36050-2025")</f>
        <v/>
      </c>
      <c r="AD102">
        <f>HYPERLINK("https://klasma.github.io/Logging_2085/tillsynsmail/A 36050-2025 tillsynsbegäran mail.docx", "A 36050-2025")</f>
        <v/>
      </c>
      <c r="AE102">
        <f>HYPERLINK("https://klasma.github.io/Logging_2085/fåglar/A 36050-2025 prioriterade fågelarter.docx", "A 36050-2025")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46292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59873-2025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45992</v>
      </c>
      <c r="E104" s="1" t="n">
        <v>46292</v>
      </c>
      <c r="F104" t="inlineStr">
        <is>
          <t>DALARNAS LÄN</t>
        </is>
      </c>
      <c r="G104" t="inlineStr">
        <is>
          <t>LUDVIKA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Lateritticka</t>
        </is>
      </c>
      <c r="W104">
        <f>HYPERLINK("https://klasma.github.io/Logging_2085/artfynd/A 59873-2025 artfynd.xlsx", "A 59873-2025")</f>
        <v/>
      </c>
      <c r="X104">
        <f>HYPERLINK("https://klasma.github.io/Logging_2085/kartor/A 59873-2025 karta.png", "A 59873-2025")</f>
        <v/>
      </c>
      <c r="Y104">
        <f>HYPERLINK("https://klasma.github.io/Logging_2085/kartor_geotiff/A 59873-2025 georefererad karta.tif", "A 59873-2025")</f>
        <v/>
      </c>
      <c r="AA104">
        <f>HYPERLINK("https://klasma.github.io/Logging_2085/klagomål/A 59873-2025 FSC-klagomål.docx", "A 59873-2025")</f>
        <v/>
      </c>
      <c r="AB104">
        <f>HYPERLINK("https://klasma.github.io/Logging_2085/klagomålsmail/A 59873-2025 FSC-klagomål mail.docx", "A 59873-2025")</f>
        <v/>
      </c>
      <c r="AC104">
        <f>HYPERLINK("https://klasma.github.io/Logging_2085/tillsyn/A 59873-2025 tillsynsbegäran.docx", "A 59873-2025")</f>
        <v/>
      </c>
      <c r="AD104">
        <f>HYPERLINK("https://klasma.github.io/Logging_2085/tillsynsmail/A 59873-2025 tillsynsbegäran mail.docx", "A 59873-2025")</f>
        <v/>
      </c>
    </row>
    <row r="105" ht="15" customHeight="1">
      <c r="A105" t="inlineStr">
        <is>
          <t>A 44578-2023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46292</v>
      </c>
      <c r="F105" t="inlineStr">
        <is>
          <t>DALARNAS LÄN</t>
        </is>
      </c>
      <c r="G105" t="inlineStr">
        <is>
          <t>LUDVIKA</t>
        </is>
      </c>
      <c r="H105" t="inlineStr">
        <is>
          <t>Övriga Aktiebolag</t>
        </is>
      </c>
      <c r="I105" t="n">
        <v>12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Dofttaggsvamp</t>
        </is>
      </c>
      <c r="W105">
        <f>HYPERLINK("https://klasma.github.io/Logging_2085/artfynd/A 44578-2023 artfynd.xlsx", "A 44578-2023")</f>
        <v/>
      </c>
      <c r="X105">
        <f>HYPERLINK("https://klasma.github.io/Logging_2085/kartor/A 44578-2023 karta.png", "A 44578-2023")</f>
        <v/>
      </c>
      <c r="Y105">
        <f>HYPERLINK("https://klasma.github.io/Logging_2085/kartor_geotiff/A 44578-2023 georefererad karta.tif", "A 44578-2023")</f>
        <v/>
      </c>
      <c r="AA105">
        <f>HYPERLINK("https://klasma.github.io/Logging_2085/klagomål/A 44578-2023 FSC-klagomål.docx", "A 44578-2023")</f>
        <v/>
      </c>
      <c r="AB105">
        <f>HYPERLINK("https://klasma.github.io/Logging_2085/klagomålsmail/A 44578-2023 FSC-klagomål mail.docx", "A 44578-2023")</f>
        <v/>
      </c>
      <c r="AC105">
        <f>HYPERLINK("https://klasma.github.io/Logging_2085/tillsyn/A 44578-2023 tillsynsbegäran.docx", "A 44578-2023")</f>
        <v/>
      </c>
      <c r="AD105">
        <f>HYPERLINK("https://klasma.github.io/Logging_2085/tillsynsmail/A 44578-2023 tillsynsbegäran mail.docx", "A 44578-2023")</f>
        <v/>
      </c>
    </row>
    <row r="106" ht="15" customHeight="1">
      <c r="A106" t="inlineStr">
        <is>
          <t>A 62676-2025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46292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4.2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Kolflarnlav</t>
        </is>
      </c>
      <c r="W106">
        <f>HYPERLINK("https://klasma.github.io/Logging_2085/artfynd/A 62676-2025 artfynd.xlsx", "A 62676-2025")</f>
        <v/>
      </c>
      <c r="X106">
        <f>HYPERLINK("https://klasma.github.io/Logging_2085/kartor/A 62676-2025 karta.png", "A 62676-2025")</f>
        <v/>
      </c>
      <c r="Y106">
        <f>HYPERLINK("https://klasma.github.io/Logging_2085/kartor_geotiff/A 62676-2025 georefererad karta.tif", "A 62676-2025")</f>
        <v/>
      </c>
      <c r="AA106">
        <f>HYPERLINK("https://klasma.github.io/Logging_2085/klagomål/A 62676-2025 FSC-klagomål.docx", "A 62676-2025")</f>
        <v/>
      </c>
      <c r="AB106">
        <f>HYPERLINK("https://klasma.github.io/Logging_2085/klagomålsmail/A 62676-2025 FSC-klagomål mail.docx", "A 62676-2025")</f>
        <v/>
      </c>
      <c r="AC106">
        <f>HYPERLINK("https://klasma.github.io/Logging_2085/tillsyn/A 62676-2025 tillsynsbegäran.docx", "A 62676-2025")</f>
        <v/>
      </c>
      <c r="AD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62275-2022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46292</v>
      </c>
      <c r="F107" t="inlineStr">
        <is>
          <t>DALARNAS LÄN</t>
        </is>
      </c>
      <c r="G107" t="inlineStr">
        <is>
          <t>LUDVIKA</t>
        </is>
      </c>
      <c r="I107" t="n">
        <v>4.6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HYPERLINK("https://klasma.github.io/Logging_2085/artfynd/A 62275-2022 artfynd.xlsx", "A 62275-2022")</f>
        <v/>
      </c>
      <c r="X107">
        <f>HYPERLINK("https://klasma.github.io/Logging_2085/kartor/A 62275-2022 karta.png", "A 62275-2022")</f>
        <v/>
      </c>
      <c r="Y107">
        <f>HYPERLINK("https://klasma.github.io/Logging_2085/kartor_geotiff/A 62275-2022 georefererad karta.tif", "A 62275-2022")</f>
        <v/>
      </c>
      <c r="Z107">
        <f>HYPERLINK("https://klasma.github.io/Logging_2085/knärot/A 62275-2022 karta knärot.png", "A 62275-2022")</f>
        <v/>
      </c>
      <c r="AA107">
        <f>HYPERLINK("https://klasma.github.io/Logging_2085/klagomål/A 62275-2022 FSC-klagomål.docx", "A 62275-2022")</f>
        <v/>
      </c>
      <c r="AB107">
        <f>HYPERLINK("https://klasma.github.io/Logging_2085/klagomålsmail/A 62275-2022 FSC-klagomål mail.docx", "A 62275-2022")</f>
        <v/>
      </c>
      <c r="AC107">
        <f>HYPERLINK("https://klasma.github.io/Logging_2085/tillsyn/A 62275-2022 tillsynsbegäran.docx", "A 62275-2022")</f>
        <v/>
      </c>
      <c r="AD107">
        <f>HYPERLINK("https://klasma.github.io/Logging_2085/tillsynsmail/A 62275-2022 tillsynsbegäran mail.docx", "A 62275-2022")</f>
        <v/>
      </c>
    </row>
    <row r="108" ht="15" customHeight="1">
      <c r="A108" t="inlineStr">
        <is>
          <t>A 21880-2026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46292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3.2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21880-2026 artfynd.xlsx", "A 21880-2026")</f>
        <v/>
      </c>
      <c r="X108">
        <f>HYPERLINK("https://klasma.github.io/Logging_2085/kartor/A 21880-2026 karta.png", "A 21880-2026")</f>
        <v/>
      </c>
      <c r="Y108">
        <f>HYPERLINK("https://klasma.github.io/Logging_2085/kartor_geotiff/A 21880-2026 georefererad karta.tif", "A 21880-2026")</f>
        <v/>
      </c>
      <c r="AA108">
        <f>HYPERLINK("https://klasma.github.io/Logging_2085/klagomål/A 21880-2026 FSC-klagomål.docx", "A 21880-2026")</f>
        <v/>
      </c>
      <c r="AB108">
        <f>HYPERLINK("https://klasma.github.io/Logging_2085/klagomålsmail/A 21880-2026 FSC-klagomål mail.docx", "A 21880-2026")</f>
        <v/>
      </c>
      <c r="AC108">
        <f>HYPERLINK("https://klasma.github.io/Logging_2085/tillsyn/A 21880-2026 tillsynsbegäran.docx", "A 21880-2026")</f>
        <v/>
      </c>
      <c r="AD108">
        <f>HYPERLINK("https://klasma.github.io/Logging_2085/tillsynsmail/A 21880-2026 tillsynsbegäran mail.docx", "A 21880-2026")</f>
        <v/>
      </c>
      <c r="AE108">
        <f>HYPERLINK("https://klasma.github.io/Logging_2085/fåglar/A 21880-2026 prioriterade fågelarter.docx", "A 21880-2026")</f>
        <v/>
      </c>
    </row>
    <row r="109" ht="15" customHeight="1">
      <c r="A109" t="inlineStr">
        <is>
          <t>A 17987-2025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46292</v>
      </c>
      <c r="F109" t="inlineStr">
        <is>
          <t>DALARNAS LÄN</t>
        </is>
      </c>
      <c r="G109" t="inlineStr">
        <is>
          <t>LUDVIKA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HYPERLINK("https://klasma.github.io/Logging_2085/artfynd/A 17987-2025 artfynd.xlsx", "A 17987-2025")</f>
        <v/>
      </c>
      <c r="X109">
        <f>HYPERLINK("https://klasma.github.io/Logging_2085/kartor/A 17987-2025 karta.png", "A 17987-2025")</f>
        <v/>
      </c>
      <c r="Y109">
        <f>HYPERLINK("https://klasma.github.io/Logging_2085/kartor_geotiff/A 17987-2025 georefererad karta.tif", "A 17987-2025")</f>
        <v/>
      </c>
      <c r="AA109">
        <f>HYPERLINK("https://klasma.github.io/Logging_2085/klagomål/A 17987-2025 FSC-klagomål.docx", "A 17987-2025")</f>
        <v/>
      </c>
      <c r="AB109">
        <f>HYPERLINK("https://klasma.github.io/Logging_2085/klagomålsmail/A 17987-2025 FSC-klagomål mail.docx", "A 17987-2025")</f>
        <v/>
      </c>
      <c r="AC109">
        <f>HYPERLINK("https://klasma.github.io/Logging_2085/tillsyn/A 17987-2025 tillsynsbegäran.docx", "A 17987-2025")</f>
        <v/>
      </c>
      <c r="AD109">
        <f>HYPERLINK("https://klasma.github.io/Logging_2085/tillsynsmail/A 17987-2025 tillsynsbegäran mail.docx", "A 17987-2025")</f>
        <v/>
      </c>
      <c r="AE109">
        <f>HYPERLINK("https://klasma.github.io/Logging_2085/fåglar/A 17987-2025 prioriterade fågelarter.docx", "A 17987-2025")</f>
        <v/>
      </c>
    </row>
    <row r="110" ht="15" customHeight="1">
      <c r="A110" t="inlineStr">
        <is>
          <t>A 25588-2023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45089</v>
      </c>
      <c r="E110" s="1" t="n">
        <v>46292</v>
      </c>
      <c r="F110" t="inlineStr">
        <is>
          <t>DALARNAS LÄN</t>
        </is>
      </c>
      <c r="G110" t="inlineStr">
        <is>
          <t>LUDVIKA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HYPERLINK("https://klasma.github.io/Logging_2085/artfynd/A 25588-2023 artfynd.xlsx", "A 25588-2023")</f>
        <v/>
      </c>
      <c r="X110">
        <f>HYPERLINK("https://klasma.github.io/Logging_2085/kartor/A 25588-2023 karta.png", "A 25588-2023")</f>
        <v/>
      </c>
      <c r="Y110">
        <f>HYPERLINK("https://klasma.github.io/Logging_2085/kartor_geotiff/A 25588-2023 georefererad karta.tif", "A 25588-2023")</f>
        <v/>
      </c>
      <c r="AA110">
        <f>HYPERLINK("https://klasma.github.io/Logging_2085/klagomål/A 25588-2023 FSC-klagomål.docx", "A 25588-2023")</f>
        <v/>
      </c>
      <c r="AB110">
        <f>HYPERLINK("https://klasma.github.io/Logging_2085/klagomålsmail/A 25588-2023 FSC-klagomål mail.docx", "A 25588-2023")</f>
        <v/>
      </c>
      <c r="AC110">
        <f>HYPERLINK("https://klasma.github.io/Logging_2085/tillsyn/A 25588-2023 tillsynsbegäran.docx", "A 25588-2023")</f>
        <v/>
      </c>
      <c r="AD110">
        <f>HYPERLINK("https://klasma.github.io/Logging_2085/tillsynsmail/A 25588-2023 tillsynsbegäran mail.docx", "A 25588-2023")</f>
        <v/>
      </c>
    </row>
    <row r="111" ht="15" customHeight="1">
      <c r="A111" t="inlineStr">
        <is>
          <t>A 12093-2023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46292</v>
      </c>
      <c r="F111" t="inlineStr">
        <is>
          <t>DALARNAS LÄN</t>
        </is>
      </c>
      <c r="G111" t="inlineStr">
        <is>
          <t>LUDVIKA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Bitter taggsvamp</t>
        </is>
      </c>
      <c r="W111">
        <f>HYPERLINK("https://klasma.github.io/Logging_2085/artfynd/A 12093-2023 artfynd.xlsx", "A 12093-2023")</f>
        <v/>
      </c>
      <c r="X111">
        <f>HYPERLINK("https://klasma.github.io/Logging_2085/kartor/A 12093-2023 karta.png", "A 12093-2023")</f>
        <v/>
      </c>
      <c r="Y111">
        <f>HYPERLINK("https://klasma.github.io/Logging_2085/kartor_geotiff/A 12093-2023 georefererad karta.tif", "A 12093-2023")</f>
        <v/>
      </c>
      <c r="AA111">
        <f>HYPERLINK("https://klasma.github.io/Logging_2085/klagomål/A 12093-2023 FSC-klagomål.docx", "A 12093-2023")</f>
        <v/>
      </c>
      <c r="AB111">
        <f>HYPERLINK("https://klasma.github.io/Logging_2085/klagomålsmail/A 12093-2023 FSC-klagomål mail.docx", "A 12093-2023")</f>
        <v/>
      </c>
      <c r="AC111">
        <f>HYPERLINK("https://klasma.github.io/Logging_2085/tillsyn/A 12093-2023 tillsynsbegäran.docx", "A 12093-2023")</f>
        <v/>
      </c>
      <c r="AD111">
        <f>HYPERLINK("https://klasma.github.io/Logging_2085/tillsynsmail/A 12093-2023 tillsynsbegäran mail.docx", "A 12093-2023")</f>
        <v/>
      </c>
    </row>
    <row r="112" ht="15" customHeight="1">
      <c r="A112" t="inlineStr">
        <is>
          <t>A 33560-2023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46292</v>
      </c>
      <c r="F112" t="inlineStr">
        <is>
          <t>DALARNAS LÄN</t>
        </is>
      </c>
      <c r="G112" t="inlineStr">
        <is>
          <t>LUDVIKA</t>
        </is>
      </c>
      <c r="I112" t="n">
        <v>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vattensalamander</t>
        </is>
      </c>
      <c r="W112">
        <f>HYPERLINK("https://klasma.github.io/Logging_2085/artfynd/A 33560-2023 artfynd.xlsx", "A 33560-2023")</f>
        <v/>
      </c>
      <c r="X112">
        <f>HYPERLINK("https://klasma.github.io/Logging_2085/kartor/A 33560-2023 karta.png", "A 33560-2023")</f>
        <v/>
      </c>
      <c r="Y112">
        <f>HYPERLINK("https://klasma.github.io/Logging_2085/kartor_geotiff/A 33560-2023 georefererad karta.tif", "A 33560-2023")</f>
        <v/>
      </c>
      <c r="AA112">
        <f>HYPERLINK("https://klasma.github.io/Logging_2085/klagomål/A 33560-2023 FSC-klagomål.docx", "A 33560-2023")</f>
        <v/>
      </c>
      <c r="AB112">
        <f>HYPERLINK("https://klasma.github.io/Logging_2085/klagomålsmail/A 33560-2023 FSC-klagomål mail.docx", "A 33560-2023")</f>
        <v/>
      </c>
      <c r="AC112">
        <f>HYPERLINK("https://klasma.github.io/Logging_2085/tillsyn/A 33560-2023 tillsynsbegäran.docx", "A 33560-2023")</f>
        <v/>
      </c>
      <c r="AD112">
        <f>HYPERLINK("https://klasma.github.io/Logging_2085/tillsynsmail/A 33560-2023 tillsynsbegäran mail.docx", "A 33560-2023")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46292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23720-2026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46163</v>
      </c>
      <c r="E114" s="1" t="n">
        <v>46292</v>
      </c>
      <c r="F114" t="inlineStr">
        <is>
          <t>DALARNAS LÄN</t>
        </is>
      </c>
      <c r="G114" t="inlineStr">
        <is>
          <t>LUDVIKA</t>
        </is>
      </c>
      <c r="I114" t="n">
        <v>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HYPERLINK("https://klasma.github.io/Logging_2085/artfynd/A 23720-2026 artfynd.xlsx", "A 23720-2026")</f>
        <v/>
      </c>
      <c r="X114">
        <f>HYPERLINK("https://klasma.github.io/Logging_2085/kartor/A 23720-2026 karta.png", "A 23720-2026")</f>
        <v/>
      </c>
      <c r="Y114">
        <f>HYPERLINK("https://klasma.github.io/Logging_2085/kartor_geotiff/A 23720-2026 georefererad karta.tif", "A 23720-2026")</f>
        <v/>
      </c>
      <c r="AA114">
        <f>HYPERLINK("https://klasma.github.io/Logging_2085/klagomål/A 23720-2026 FSC-klagomål.docx", "A 23720-2026")</f>
        <v/>
      </c>
      <c r="AB114">
        <f>HYPERLINK("https://klasma.github.io/Logging_2085/klagomålsmail/A 23720-2026 FSC-klagomål mail.docx", "A 23720-2026")</f>
        <v/>
      </c>
      <c r="AC114">
        <f>HYPERLINK("https://klasma.github.io/Logging_2085/tillsyn/A 23720-2026 tillsynsbegäran.docx", "A 23720-2026")</f>
        <v/>
      </c>
      <c r="AD114">
        <f>HYPERLINK("https://klasma.github.io/Logging_2085/tillsynsmail/A 23720-2026 tillsynsbegäran mail.docx", "A 23720-2026")</f>
        <v/>
      </c>
      <c r="AE114">
        <f>HYPERLINK("https://klasma.github.io/Logging_2085/fåglar/A 23720-2026 prioriterade fågelarter.docx", "A 23720-2026")</f>
        <v/>
      </c>
    </row>
    <row r="115" ht="15" customHeight="1">
      <c r="A115" t="inlineStr">
        <is>
          <t>A 23778-2026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46164</v>
      </c>
      <c r="E115" s="1" t="n">
        <v>46292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23778-2026 artfynd.xlsx", "A 23778-2026")</f>
        <v/>
      </c>
      <c r="X115">
        <f>HYPERLINK("https://klasma.github.io/Logging_2085/kartor/A 23778-2026 karta.png", "A 23778-2026")</f>
        <v/>
      </c>
      <c r="Y115">
        <f>HYPERLINK("https://klasma.github.io/Logging_2085/kartor_geotiff/A 23778-2026 georefererad karta.tif", "A 23778-2026")</f>
        <v/>
      </c>
      <c r="AA115">
        <f>HYPERLINK("https://klasma.github.io/Logging_2085/klagomål/A 23778-2026 FSC-klagomål.docx", "A 23778-2026")</f>
        <v/>
      </c>
      <c r="AB115">
        <f>HYPERLINK("https://klasma.github.io/Logging_2085/klagomålsmail/A 23778-2026 FSC-klagomål mail.docx", "A 23778-2026")</f>
        <v/>
      </c>
      <c r="AC115">
        <f>HYPERLINK("https://klasma.github.io/Logging_2085/tillsyn/A 23778-2026 tillsynsbegäran.docx", "A 23778-2026")</f>
        <v/>
      </c>
      <c r="AD115">
        <f>HYPERLINK("https://klasma.github.io/Logging_2085/tillsynsmail/A 23778-2026 tillsynsbegäran mail.docx", "A 23778-2026")</f>
        <v/>
      </c>
      <c r="AE115">
        <f>HYPERLINK("https://klasma.github.io/Logging_2085/fåglar/A 23778-2026 prioriterade fågelarter.docx", "A 23778-2026")</f>
        <v/>
      </c>
    </row>
    <row r="116" ht="15" customHeight="1">
      <c r="A116" t="inlineStr">
        <is>
          <t>A 29733-2025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46292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10.4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Stuplav</t>
        </is>
      </c>
      <c r="W116">
        <f>HYPERLINK("https://klasma.github.io/Logging_2085/artfynd/A 29733-2025 artfynd.xlsx", "A 29733-2025")</f>
        <v/>
      </c>
      <c r="X116">
        <f>HYPERLINK("https://klasma.github.io/Logging_2085/kartor/A 29733-2025 karta.png", "A 29733-2025")</f>
        <v/>
      </c>
      <c r="Y116">
        <f>HYPERLINK("https://klasma.github.io/Logging_2085/kartor_geotiff/A 29733-2025 georefererad karta.tif", "A 29733-2025")</f>
        <v/>
      </c>
      <c r="AA116">
        <f>HYPERLINK("https://klasma.github.io/Logging_2085/klagomål/A 29733-2025 FSC-klagomål.docx", "A 29733-2025")</f>
        <v/>
      </c>
      <c r="AB116">
        <f>HYPERLINK("https://klasma.github.io/Logging_2085/klagomålsmail/A 29733-2025 FSC-klagomål mail.docx", "A 29733-2025")</f>
        <v/>
      </c>
      <c r="AC116">
        <f>HYPERLINK("https://klasma.github.io/Logging_2085/tillsyn/A 29733-2025 tillsynsbegäran.docx", "A 29733-2025")</f>
        <v/>
      </c>
      <c r="AD116">
        <f>HYPERLINK("https://klasma.github.io/Logging_2085/tillsynsmail/A 29733-2025 tillsynsbegäran mail.docx", "A 29733-2025")</f>
        <v/>
      </c>
    </row>
    <row r="117" ht="15" customHeight="1">
      <c r="A117" t="inlineStr">
        <is>
          <t>A 63005-2025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46292</v>
      </c>
      <c r="F117" t="inlineStr">
        <is>
          <t>DALARNAS LÄN</t>
        </is>
      </c>
      <c r="G117" t="inlineStr">
        <is>
          <t>LUDVIKA</t>
        </is>
      </c>
      <c r="I117" t="n">
        <v>4.4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63005-2025 artfynd.xlsx", "A 63005-2025")</f>
        <v/>
      </c>
      <c r="X117">
        <f>HYPERLINK("https://klasma.github.io/Logging_2085/kartor/A 63005-2025 karta.png", "A 63005-2025")</f>
        <v/>
      </c>
      <c r="Y117">
        <f>HYPERLINK("https://klasma.github.io/Logging_2085/kartor_geotiff/A 63005-2025 georefererad karta.tif", "A 63005-2025")</f>
        <v/>
      </c>
      <c r="AA117">
        <f>HYPERLINK("https://klasma.github.io/Logging_2085/klagomål/A 63005-2025 FSC-klagomål.docx", "A 63005-2025")</f>
        <v/>
      </c>
      <c r="AB117">
        <f>HYPERLINK("https://klasma.github.io/Logging_2085/klagomålsmail/A 63005-2025 FSC-klagomål mail.docx", "A 63005-2025")</f>
        <v/>
      </c>
      <c r="AC117">
        <f>HYPERLINK("https://klasma.github.io/Logging_2085/tillsyn/A 63005-2025 tillsynsbegäran.docx", "A 63005-2025")</f>
        <v/>
      </c>
      <c r="AD117">
        <f>HYPERLINK("https://klasma.github.io/Logging_2085/tillsynsmail/A 63005-2025 tillsynsbegäran mail.docx", "A 63005-2025")</f>
        <v/>
      </c>
      <c r="AE117">
        <f>HYPERLINK("https://klasma.github.io/Logging_2085/fåglar/A 63005-2025 prioriterade fågelarter.docx", "A 63005-2025")</f>
        <v/>
      </c>
    </row>
    <row r="118" ht="15" customHeight="1">
      <c r="A118" t="inlineStr">
        <is>
          <t>A 56119-2021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44477</v>
      </c>
      <c r="E118" s="1" t="n">
        <v>46292</v>
      </c>
      <c r="F118" t="inlineStr">
        <is>
          <t>DALARNAS LÄN</t>
        </is>
      </c>
      <c r="G118" t="inlineStr">
        <is>
          <t>LUDVIKA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HYPERLINK("https://klasma.github.io/Logging_2085/artfynd/A 56119-2021 artfynd.xlsx", "A 56119-2021")</f>
        <v/>
      </c>
      <c r="X118">
        <f>HYPERLINK("https://klasma.github.io/Logging_2085/kartor/A 56119-2021 karta.png", "A 56119-2021")</f>
        <v/>
      </c>
      <c r="Y118">
        <f>HYPERLINK("https://klasma.github.io/Logging_2085/kartor_geotiff/A 56119-2021 georefererad karta.tif", "A 56119-2021")</f>
        <v/>
      </c>
      <c r="AA118">
        <f>HYPERLINK("https://klasma.github.io/Logging_2085/klagomål/A 56119-2021 FSC-klagomål.docx", "A 56119-2021")</f>
        <v/>
      </c>
      <c r="AB118">
        <f>HYPERLINK("https://klasma.github.io/Logging_2085/klagomålsmail/A 56119-2021 FSC-klagomål mail.docx", "A 56119-2021")</f>
        <v/>
      </c>
      <c r="AC118">
        <f>HYPERLINK("https://klasma.github.io/Logging_2085/tillsyn/A 56119-2021 tillsynsbegäran.docx", "A 56119-2021")</f>
        <v/>
      </c>
      <c r="AD118">
        <f>HYPERLINK("https://klasma.github.io/Logging_2085/tillsynsmail/A 56119-2021 tillsynsbegäran mail.docx", "A 56119-2021")</f>
        <v/>
      </c>
    </row>
    <row r="119" ht="15" customHeight="1">
      <c r="A119" t="inlineStr">
        <is>
          <t>A 25159-2026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46175</v>
      </c>
      <c r="E119" s="1" t="n">
        <v>46292</v>
      </c>
      <c r="F119" t="inlineStr">
        <is>
          <t>DALARNAS LÄN</t>
        </is>
      </c>
      <c r="G119" t="inlineStr">
        <is>
          <t>LUDVIKA</t>
        </is>
      </c>
      <c r="I119" t="n">
        <v>2.3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Tibast</t>
        </is>
      </c>
      <c r="W119">
        <f>HYPERLINK("https://klasma.github.io/Logging_2085/artfynd/A 25159-2026 artfynd.xlsx", "A 25159-2026")</f>
        <v/>
      </c>
      <c r="X119">
        <f>HYPERLINK("https://klasma.github.io/Logging_2085/kartor/A 25159-2026 karta.png", "A 25159-2026")</f>
        <v/>
      </c>
      <c r="Y119">
        <f>HYPERLINK("https://klasma.github.io/Logging_2085/kartor_geotiff/A 25159-2026 georefererad karta.tif", "A 25159-2026")</f>
        <v/>
      </c>
      <c r="AA119">
        <f>HYPERLINK("https://klasma.github.io/Logging_2085/klagomål/A 25159-2026 FSC-klagomål.docx", "A 25159-2026")</f>
        <v/>
      </c>
      <c r="AB119">
        <f>HYPERLINK("https://klasma.github.io/Logging_2085/klagomålsmail/A 25159-2026 FSC-klagomål mail.docx", "A 25159-2026")</f>
        <v/>
      </c>
      <c r="AC119">
        <f>HYPERLINK("https://klasma.github.io/Logging_2085/tillsyn/A 25159-2026 tillsynsbegäran.docx", "A 25159-2026")</f>
        <v/>
      </c>
      <c r="AD119">
        <f>HYPERLINK("https://klasma.github.io/Logging_2085/tillsynsmail/A 25159-2026 tillsynsbegäran mail.docx", "A 25159-2026")</f>
        <v/>
      </c>
    </row>
    <row r="120" ht="15" customHeight="1">
      <c r="A120" t="inlineStr">
        <is>
          <t>A 56655-2025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45975</v>
      </c>
      <c r="E120" s="1" t="n">
        <v>46292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8.5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56655-2025 artfynd.xlsx", "A 56655-2025")</f>
        <v/>
      </c>
      <c r="X120">
        <f>HYPERLINK("https://klasma.github.io/Logging_2085/kartor/A 56655-2025 karta.png", "A 56655-2025")</f>
        <v/>
      </c>
      <c r="Y120">
        <f>HYPERLINK("https://klasma.github.io/Logging_2085/kartor_geotiff/A 56655-2025 georefererad karta.tif", "A 56655-2025")</f>
        <v/>
      </c>
      <c r="AA120">
        <f>HYPERLINK("https://klasma.github.io/Logging_2085/klagomål/A 56655-2025 FSC-klagomål.docx", "A 56655-2025")</f>
        <v/>
      </c>
      <c r="AB120">
        <f>HYPERLINK("https://klasma.github.io/Logging_2085/klagomålsmail/A 56655-2025 FSC-klagomål mail.docx", "A 56655-2025")</f>
        <v/>
      </c>
      <c r="AC120">
        <f>HYPERLINK("https://klasma.github.io/Logging_2085/tillsyn/A 56655-2025 tillsynsbegäran.docx", "A 56655-2025")</f>
        <v/>
      </c>
      <c r="AD120">
        <f>HYPERLINK("https://klasma.github.io/Logging_2085/tillsynsmail/A 56655-2025 tillsynsbegäran mail.docx", "A 56655-2025")</f>
        <v/>
      </c>
      <c r="AE120">
        <f>HYPERLINK("https://klasma.github.io/Logging_2085/fåglar/A 56655-2025 prioriterade fågelarter.docx", "A 56655-2025")</f>
        <v/>
      </c>
    </row>
    <row r="121" ht="15" customHeight="1">
      <c r="A121" t="inlineStr">
        <is>
          <t>A 74401-2021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46292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0.6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Gullgröppa</t>
        </is>
      </c>
      <c r="W121">
        <f>HYPERLINK("https://klasma.github.io/Logging_2085/artfynd/A 74401-2021 artfynd.xlsx", "A 74401-2021")</f>
        <v/>
      </c>
      <c r="X121">
        <f>HYPERLINK("https://klasma.github.io/Logging_2085/kartor/A 74401-2021 karta.png", "A 74401-2021")</f>
        <v/>
      </c>
      <c r="Y121">
        <f>HYPERLINK("https://klasma.github.io/Logging_2085/kartor_geotiff/A 74401-2021 georefererad karta.tif", "A 74401-2021")</f>
        <v/>
      </c>
      <c r="AA121">
        <f>HYPERLINK("https://klasma.github.io/Logging_2085/klagomål/A 74401-2021 FSC-klagomål.docx", "A 74401-2021")</f>
        <v/>
      </c>
      <c r="AB121">
        <f>HYPERLINK("https://klasma.github.io/Logging_2085/klagomålsmail/A 74401-2021 FSC-klagomål mail.docx", "A 74401-2021")</f>
        <v/>
      </c>
      <c r="AC121">
        <f>HYPERLINK("https://klasma.github.io/Logging_2085/tillsyn/A 74401-2021 tillsynsbegäran.docx", "A 74401-2021")</f>
        <v/>
      </c>
      <c r="AD121">
        <f>HYPERLINK("https://klasma.github.io/Logging_2085/tillsynsmail/A 74401-2021 tillsynsbegäran mail.docx", "A 74401-2021")</f>
        <v/>
      </c>
    </row>
    <row r="122" ht="15" customHeight="1">
      <c r="A122" t="inlineStr">
        <is>
          <t>A 49660-2024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45596</v>
      </c>
      <c r="E122" s="1" t="n">
        <v>46292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0.9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husmossa</t>
        </is>
      </c>
      <c r="W122">
        <f>HYPERLINK("https://klasma.github.io/Logging_2085/artfynd/A 49660-2024 artfynd.xlsx", "A 49660-2024")</f>
        <v/>
      </c>
      <c r="X122">
        <f>HYPERLINK("https://klasma.github.io/Logging_2085/kartor/A 49660-2024 karta.png", "A 49660-2024")</f>
        <v/>
      </c>
      <c r="Y122">
        <f>HYPERLINK("https://klasma.github.io/Logging_2085/kartor_geotiff/A 49660-2024 georefererad karta.tif", "A 49660-2024")</f>
        <v/>
      </c>
      <c r="AA122">
        <f>HYPERLINK("https://klasma.github.io/Logging_2085/klagomål/A 49660-2024 FSC-klagomål.docx", "A 49660-2024")</f>
        <v/>
      </c>
      <c r="AB122">
        <f>HYPERLINK("https://klasma.github.io/Logging_2085/klagomålsmail/A 49660-2024 FSC-klagomål mail.docx", "A 49660-2024")</f>
        <v/>
      </c>
      <c r="AC122">
        <f>HYPERLINK("https://klasma.github.io/Logging_2085/tillsyn/A 49660-2024 tillsynsbegäran.docx", "A 49660-2024")</f>
        <v/>
      </c>
      <c r="AD122">
        <f>HYPERLINK("https://klasma.github.io/Logging_2085/tillsynsmail/A 49660-2024 tillsynsbegäran mail.docx", "A 49660-2024")</f>
        <v/>
      </c>
    </row>
    <row r="123" ht="15" customHeight="1">
      <c r="A123" t="inlineStr">
        <is>
          <t>A 60787-2024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46292</v>
      </c>
      <c r="F123" t="inlineStr">
        <is>
          <t>DALARNAS LÄN</t>
        </is>
      </c>
      <c r="G123" t="inlineStr">
        <is>
          <t>LUDVIKA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Järpe</t>
        </is>
      </c>
      <c r="W123">
        <f>HYPERLINK("https://klasma.github.io/Logging_2085/artfynd/A 60787-2024 artfynd.xlsx", "A 60787-2024")</f>
        <v/>
      </c>
      <c r="X123">
        <f>HYPERLINK("https://klasma.github.io/Logging_2085/kartor/A 60787-2024 karta.png", "A 60787-2024")</f>
        <v/>
      </c>
      <c r="Y123">
        <f>HYPERLINK("https://klasma.github.io/Logging_2085/kartor_geotiff/A 60787-2024 georefererad karta.tif", "A 60787-2024")</f>
        <v/>
      </c>
      <c r="AA123">
        <f>HYPERLINK("https://klasma.github.io/Logging_2085/klagomål/A 60787-2024 FSC-klagomål.docx", "A 60787-2024")</f>
        <v/>
      </c>
      <c r="AB123">
        <f>HYPERLINK("https://klasma.github.io/Logging_2085/klagomålsmail/A 60787-2024 FSC-klagomål mail.docx", "A 60787-2024")</f>
        <v/>
      </c>
      <c r="AC123">
        <f>HYPERLINK("https://klasma.github.io/Logging_2085/tillsyn/A 60787-2024 tillsynsbegäran.docx", "A 60787-2024")</f>
        <v/>
      </c>
      <c r="AD123">
        <f>HYPERLINK("https://klasma.github.io/Logging_2085/tillsynsmail/A 60787-2024 tillsynsbegäran mail.docx", "A 60787-2024")</f>
        <v/>
      </c>
      <c r="AE123">
        <f>HYPERLINK("https://klasma.github.io/Logging_2085/fåglar/A 60787-2024 prioriterade fågelarter.docx", "A 60787-2024")</f>
        <v/>
      </c>
    </row>
    <row r="124" ht="15" customHeight="1">
      <c r="A124" t="inlineStr">
        <is>
          <t>A 21499-2022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46292</v>
      </c>
      <c r="F124" t="inlineStr">
        <is>
          <t>DALARNAS LÄN</t>
        </is>
      </c>
      <c r="G124" t="inlineStr">
        <is>
          <t>LUDVIKA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Strimspindling</t>
        </is>
      </c>
      <c r="W124">
        <f>HYPERLINK("https://klasma.github.io/Logging_2085/artfynd/A 21499-2022 artfynd.xlsx", "A 21499-2022")</f>
        <v/>
      </c>
      <c r="X124">
        <f>HYPERLINK("https://klasma.github.io/Logging_2085/kartor/A 21499-2022 karta.png", "A 21499-2022")</f>
        <v/>
      </c>
      <c r="Y124">
        <f>HYPERLINK("https://klasma.github.io/Logging_2085/kartor_geotiff/A 21499-2022 georefererad karta.tif", "A 21499-2022")</f>
        <v/>
      </c>
      <c r="AA124">
        <f>HYPERLINK("https://klasma.github.io/Logging_2085/klagomål/A 21499-2022 FSC-klagomål.docx", "A 21499-2022")</f>
        <v/>
      </c>
      <c r="AB124">
        <f>HYPERLINK("https://klasma.github.io/Logging_2085/klagomålsmail/A 21499-2022 FSC-klagomål mail.docx", "A 21499-2022")</f>
        <v/>
      </c>
      <c r="AC124">
        <f>HYPERLINK("https://klasma.github.io/Logging_2085/tillsyn/A 21499-2022 tillsynsbegäran.docx", "A 21499-2022")</f>
        <v/>
      </c>
      <c r="AD124">
        <f>HYPERLINK("https://klasma.github.io/Logging_2085/tillsynsmail/A 21499-2022 tillsynsbegäran mail.docx", "A 21499-2022")</f>
        <v/>
      </c>
    </row>
    <row r="125" ht="15" customHeight="1">
      <c r="A125" t="inlineStr">
        <is>
          <t>A 31352-2026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46219</v>
      </c>
      <c r="E125" s="1" t="n">
        <v>46292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Tvåblad</t>
        </is>
      </c>
      <c r="W125">
        <f>HYPERLINK("https://klasma.github.io/Logging_2085/artfynd/A 31352-2026 artfynd.xlsx", "A 31352-2026")</f>
        <v/>
      </c>
      <c r="X125">
        <f>HYPERLINK("https://klasma.github.io/Logging_2085/kartor/A 31352-2026 karta.png", "A 31352-2026")</f>
        <v/>
      </c>
      <c r="Y125">
        <f>HYPERLINK("https://klasma.github.io/Logging_2085/kartor_geotiff/A 31352-2026 georefererad karta.tif", "A 31352-2026")</f>
        <v/>
      </c>
      <c r="AA125">
        <f>HYPERLINK("https://klasma.github.io/Logging_2085/klagomål/A 31352-2026 FSC-klagomål.docx", "A 31352-2026")</f>
        <v/>
      </c>
      <c r="AB125">
        <f>HYPERLINK("https://klasma.github.io/Logging_2085/klagomålsmail/A 31352-2026 FSC-klagomål mail.docx", "A 31352-2026")</f>
        <v/>
      </c>
      <c r="AC125">
        <f>HYPERLINK("https://klasma.github.io/Logging_2085/tillsyn/A 31352-2026 tillsynsbegäran.docx", "A 31352-2026")</f>
        <v/>
      </c>
      <c r="AD125">
        <f>HYPERLINK("https://klasma.github.io/Logging_2085/tillsynsmail/A 31352-2026 tillsynsbegäran mail.docx", "A 31352-2026")</f>
        <v/>
      </c>
    </row>
    <row r="126" ht="15" customHeight="1">
      <c r="A126" t="inlineStr">
        <is>
          <t>A 35652-2026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46292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Garnlav</t>
        </is>
      </c>
      <c r="W126">
        <f>HYPERLINK("https://klasma.github.io/Logging_2085/artfynd/A 35652-2026 artfynd.xlsx", "A 35652-2026")</f>
        <v/>
      </c>
      <c r="X126">
        <f>HYPERLINK("https://klasma.github.io/Logging_2085/kartor/A 35652-2026 karta.png", "A 35652-2026")</f>
        <v/>
      </c>
      <c r="Y126">
        <f>HYPERLINK("https://klasma.github.io/Logging_2085/kartor_geotiff/A 35652-2026 georefererad karta.tif", "A 35652-2026")</f>
        <v/>
      </c>
      <c r="AA126">
        <f>HYPERLINK("https://klasma.github.io/Logging_2085/klagomål/A 35652-2026 FSC-klagomål.docx", "A 35652-2026")</f>
        <v/>
      </c>
      <c r="AB126">
        <f>HYPERLINK("https://klasma.github.io/Logging_2085/klagomålsmail/A 35652-2026 FSC-klagomål mail.docx", "A 35652-2026")</f>
        <v/>
      </c>
      <c r="AC126">
        <f>HYPERLINK("https://klasma.github.io/Logging_2085/tillsyn/A 35652-2026 tillsynsbegäran.docx", "A 35652-2026")</f>
        <v/>
      </c>
      <c r="AD126">
        <f>HYPERLINK("https://klasma.github.io/Logging_2085/tillsynsmail/A 35652-2026 tillsynsbegäran mail.docx", "A 35652-2026")</f>
        <v/>
      </c>
    </row>
    <row r="127" ht="15" customHeight="1">
      <c r="A127" t="inlineStr">
        <is>
          <t>A 36478-2026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46292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Skogsalm</t>
        </is>
      </c>
      <c r="W127">
        <f>HYPERLINK("https://klasma.github.io/Logging_2085/artfynd/A 36478-2026 artfynd.xlsx", "A 36478-2026")</f>
        <v/>
      </c>
      <c r="X127">
        <f>HYPERLINK("https://klasma.github.io/Logging_2085/kartor/A 36478-2026 karta.png", "A 36478-2026")</f>
        <v/>
      </c>
      <c r="Y127">
        <f>HYPERLINK("https://klasma.github.io/Logging_2085/kartor_geotiff/A 36478-2026 georefererad karta.tif", "A 36478-2026")</f>
        <v/>
      </c>
      <c r="AA127">
        <f>HYPERLINK("https://klasma.github.io/Logging_2085/klagomål/A 36478-2026 FSC-klagomål.docx", "A 36478-2026")</f>
        <v/>
      </c>
      <c r="AB127">
        <f>HYPERLINK("https://klasma.github.io/Logging_2085/klagomålsmail/A 36478-2026 FSC-klagomål mail.docx", "A 36478-2026")</f>
        <v/>
      </c>
      <c r="AC127">
        <f>HYPERLINK("https://klasma.github.io/Logging_2085/tillsyn/A 36478-2026 tillsynsbegäran.docx", "A 36478-2026")</f>
        <v/>
      </c>
      <c r="AD127">
        <f>HYPERLINK("https://klasma.github.io/Logging_2085/tillsynsmail/A 36478-2026 tillsynsbegäran mail.docx", "A 36478-2026")</f>
        <v/>
      </c>
    </row>
    <row r="128" ht="15" customHeight="1">
      <c r="A128" t="inlineStr">
        <is>
          <t>A 18189-2025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46292</v>
      </c>
      <c r="F128" t="inlineStr">
        <is>
          <t>DALARNAS LÄN</t>
        </is>
      </c>
      <c r="G128" t="inlineStr">
        <is>
          <t>LUDVIKA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Fläcknycklar</t>
        </is>
      </c>
      <c r="W128">
        <f>HYPERLINK("https://klasma.github.io/Logging_2085/artfynd/A 18189-2025 artfynd.xlsx", "A 18189-2025")</f>
        <v/>
      </c>
      <c r="X128">
        <f>HYPERLINK("https://klasma.github.io/Logging_2085/kartor/A 18189-2025 karta.png", "A 18189-2025")</f>
        <v/>
      </c>
      <c r="Y128">
        <f>HYPERLINK("https://klasma.github.io/Logging_2085/kartor_geotiff/A 18189-2025 georefererad karta.tif", "A 18189-2025")</f>
        <v/>
      </c>
      <c r="AA128">
        <f>HYPERLINK("https://klasma.github.io/Logging_2085/klagomål/A 18189-2025 FSC-klagomål.docx", "A 18189-2025")</f>
        <v/>
      </c>
      <c r="AB128">
        <f>HYPERLINK("https://klasma.github.io/Logging_2085/klagomålsmail/A 18189-2025 FSC-klagomål mail.docx", "A 18189-2025")</f>
        <v/>
      </c>
      <c r="AC128">
        <f>HYPERLINK("https://klasma.github.io/Logging_2085/tillsyn/A 18189-2025 tillsynsbegäran.docx", "A 18189-2025")</f>
        <v/>
      </c>
      <c r="AD128">
        <f>HYPERLINK("https://klasma.github.io/Logging_2085/tillsynsmail/A 18189-2025 tillsynsbegäran mail.docx", "A 18189-2025")</f>
        <v/>
      </c>
    </row>
    <row r="129" ht="15" customHeight="1">
      <c r="A129" t="inlineStr">
        <is>
          <t>A 37560-2026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46276</v>
      </c>
      <c r="E129" s="1" t="n">
        <v>46292</v>
      </c>
      <c r="F129" t="inlineStr">
        <is>
          <t>DALARNAS LÄN</t>
        </is>
      </c>
      <c r="G129" t="inlineStr">
        <is>
          <t>LUDVIKA</t>
        </is>
      </c>
      <c r="H129" t="inlineStr">
        <is>
          <t>Naturvårdsverket</t>
        </is>
      </c>
      <c r="I129" t="n">
        <v>0.9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HYPERLINK("https://klasma.github.io/Logging_2085/artfynd/A 37560-2026 artfynd.xlsx", "A 37560-2026")</f>
        <v/>
      </c>
      <c r="X129">
        <f>HYPERLINK("https://klasma.github.io/Logging_2085/kartor/A 37560-2026 karta.png", "A 37560-2026")</f>
        <v/>
      </c>
      <c r="Y129">
        <f>HYPERLINK("https://klasma.github.io/Logging_2085/kartor_geotiff/A 37560-2026 georefererad karta.tif", "A 37560-2026")</f>
        <v/>
      </c>
      <c r="AA129">
        <f>HYPERLINK("https://klasma.github.io/Logging_2085/klagomål/A 37560-2026 FSC-klagomål.docx", "A 37560-2026")</f>
        <v/>
      </c>
      <c r="AB129">
        <f>HYPERLINK("https://klasma.github.io/Logging_2085/klagomålsmail/A 37560-2026 FSC-klagomål mail.docx", "A 37560-2026")</f>
        <v/>
      </c>
      <c r="AC129">
        <f>HYPERLINK("https://klasma.github.io/Logging_2085/tillsyn/A 37560-2026 tillsynsbegäran.docx", "A 37560-2026")</f>
        <v/>
      </c>
      <c r="AD129">
        <f>HYPERLINK("https://klasma.github.io/Logging_2085/tillsynsmail/A 37560-2026 tillsynsbegäran mail.docx", "A 37560-2026")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46292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51886-2022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46292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Brun gräsfjäril</t>
        </is>
      </c>
      <c r="W131">
        <f>HYPERLINK("https://klasma.github.io/Logging_2085/artfynd/A 51886-2022 artfynd.xlsx", "A 51886-2022")</f>
        <v/>
      </c>
      <c r="X131">
        <f>HYPERLINK("https://klasma.github.io/Logging_2085/kartor/A 51886-2022 karta.png", "A 51886-2022")</f>
        <v/>
      </c>
      <c r="Y131">
        <f>HYPERLINK("https://klasma.github.io/Logging_2085/kartor_geotiff/A 51886-2022 georefererad karta.tif", "A 51886-2022")</f>
        <v/>
      </c>
      <c r="AA131">
        <f>HYPERLINK("https://klasma.github.io/Logging_2085/klagomål/A 51886-2022 FSC-klagomål.docx", "A 51886-2022")</f>
        <v/>
      </c>
      <c r="AB131">
        <f>HYPERLINK("https://klasma.github.io/Logging_2085/klagomålsmail/A 51886-2022 FSC-klagomål mail.docx", "A 51886-2022")</f>
        <v/>
      </c>
      <c r="AC131">
        <f>HYPERLINK("https://klasma.github.io/Logging_2085/tillsyn/A 51886-2022 tillsynsbegäran.docx", "A 51886-2022")</f>
        <v/>
      </c>
      <c r="AD131">
        <f>HYPERLINK("https://klasma.github.io/Logging_2085/tillsynsmail/A 51886-2022 tillsynsbegäran mail.docx", "A 51886-2022")</f>
        <v/>
      </c>
    </row>
    <row r="132" ht="15" customHeight="1">
      <c r="A132" t="inlineStr">
        <is>
          <t>A 1047-2023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46292</v>
      </c>
      <c r="F132" t="inlineStr">
        <is>
          <t>DALARNAS LÄN</t>
        </is>
      </c>
      <c r="G132" t="inlineStr">
        <is>
          <t>LUDVIKA</t>
        </is>
      </c>
      <c r="H132" t="inlineStr">
        <is>
          <t>Kommuner</t>
        </is>
      </c>
      <c r="I132" t="n">
        <v>3.2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Ullticka</t>
        </is>
      </c>
      <c r="W132">
        <f>HYPERLINK("https://klasma.github.io/Logging_2085/artfynd/A 1047-2023 artfynd.xlsx", "A 1047-2023")</f>
        <v/>
      </c>
      <c r="X132">
        <f>HYPERLINK("https://klasma.github.io/Logging_2085/kartor/A 1047-2023 karta.png", "A 1047-2023")</f>
        <v/>
      </c>
      <c r="Y132">
        <f>HYPERLINK("https://klasma.github.io/Logging_2085/kartor_geotiff/A 1047-2023 georefererad karta.tif", "A 1047-2023")</f>
        <v/>
      </c>
      <c r="AA132">
        <f>HYPERLINK("https://klasma.github.io/Logging_2085/klagomål/A 1047-2023 FSC-klagomål.docx", "A 1047-2023")</f>
        <v/>
      </c>
      <c r="AB132">
        <f>HYPERLINK("https://klasma.github.io/Logging_2085/klagomålsmail/A 1047-2023 FSC-klagomål mail.docx", "A 1047-2023")</f>
        <v/>
      </c>
      <c r="AC132">
        <f>HYPERLINK("https://klasma.github.io/Logging_2085/tillsyn/A 1047-2023 tillsynsbegäran.docx", "A 1047-2023")</f>
        <v/>
      </c>
      <c r="AD132">
        <f>HYPERLINK("https://klasma.github.io/Logging_2085/tillsynsmail/A 1047-2023 tillsynsbegäran mail.docx", "A 1047-2023")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46292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Spillkråka</t>
        </is>
      </c>
      <c r="W133">
        <f>HYPERLINK("https://klasma.github.io/Logging_2085/artfynd/A 29882-2024 artfynd.xlsx", "A 29882-2024")</f>
        <v/>
      </c>
      <c r="X133">
        <f>HYPERLINK("https://klasma.github.io/Logging_2085/kartor/A 29882-2024 karta.png", "A 29882-2024")</f>
        <v/>
      </c>
      <c r="Y133">
        <f>HYPERLINK("https://klasma.github.io/Logging_2085/kartor_geotiff/A 29882-2024 georefererad karta.tif", "A 29882-2024")</f>
        <v/>
      </c>
      <c r="AA133">
        <f>HYPERLINK("https://klasma.github.io/Logging_2085/klagomål/A 29882-2024 FSC-klagomål.docx", "A 29882-2024")</f>
        <v/>
      </c>
      <c r="AB133">
        <f>HYPERLINK("https://klasma.github.io/Logging_2085/klagomålsmail/A 29882-2024 FSC-klagomål mail.docx", "A 29882-2024")</f>
        <v/>
      </c>
      <c r="AC133">
        <f>HYPERLINK("https://klasma.github.io/Logging_2085/tillsyn/A 29882-2024 tillsynsbegäran.docx", "A 29882-2024")</f>
        <v/>
      </c>
      <c r="AD133">
        <f>HYPERLINK("https://klasma.github.io/Logging_2085/tillsynsmail/A 29882-2024 tillsynsbegäran mail.docx", "A 29882-2024")</f>
        <v/>
      </c>
      <c r="AE133">
        <f>HYPERLINK("https://klasma.github.io/Logging_2085/fåglar/A 29882-2024 prioriterade fågelarter.docx", "A 29882-2024")</f>
        <v/>
      </c>
    </row>
    <row r="134" ht="15" customHeight="1">
      <c r="A134" t="inlineStr">
        <is>
          <t>A 23102-2025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46292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Vanlig groda</t>
        </is>
      </c>
      <c r="W134">
        <f>HYPERLINK("https://klasma.github.io/Logging_2085/artfynd/A 23102-2025 artfynd.xlsx", "A 23102-2025")</f>
        <v/>
      </c>
      <c r="X134">
        <f>HYPERLINK("https://klasma.github.io/Logging_2085/kartor/A 23102-2025 karta.png", "A 23102-2025")</f>
        <v/>
      </c>
      <c r="Y134">
        <f>HYPERLINK("https://klasma.github.io/Logging_2085/kartor_geotiff/A 23102-2025 georefererad karta.tif", "A 23102-2025")</f>
        <v/>
      </c>
      <c r="AA134">
        <f>HYPERLINK("https://klasma.github.io/Logging_2085/klagomål/A 23102-2025 FSC-klagomål.docx", "A 23102-2025")</f>
        <v/>
      </c>
      <c r="AB134">
        <f>HYPERLINK("https://klasma.github.io/Logging_2085/klagomålsmail/A 23102-2025 FSC-klagomål mail.docx", "A 23102-2025")</f>
        <v/>
      </c>
      <c r="AC134">
        <f>HYPERLINK("https://klasma.github.io/Logging_2085/tillsyn/A 23102-2025 tillsynsbegäran.docx", "A 23102-2025")</f>
        <v/>
      </c>
      <c r="AD134">
        <f>HYPERLINK("https://klasma.github.io/Logging_2085/tillsynsmail/A 23102-2025 tillsynsbegäran mail.docx", "A 23102-2025")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46292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46292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46292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46292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46292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46292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46292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46292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46292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46292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46292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46292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46292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46292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46292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46292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46292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46292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46292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46292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46292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46292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46292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46292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46292</v>
      </c>
      <c r="F159" t="inlineStr">
        <is>
          <t>DALARNAS LÄN</t>
        </is>
      </c>
      <c r="G159" t="inlineStr">
        <is>
          <t>LUDVIKA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46292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46292</v>
      </c>
      <c r="F161" t="inlineStr">
        <is>
          <t>DALARNAS LÄN</t>
        </is>
      </c>
      <c r="G161" t="inlineStr">
        <is>
          <t>LUDVIKA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46292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46292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44826</v>
      </c>
      <c r="E164" s="1" t="n">
        <v>46292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34845-2024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45526</v>
      </c>
      <c r="E165" s="1" t="n">
        <v>46292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46292</v>
      </c>
      <c r="F166" t="inlineStr">
        <is>
          <t>DALARNAS LÄN</t>
        </is>
      </c>
      <c r="G166" t="inlineStr">
        <is>
          <t>LUDVIKA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46292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46292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11436-2024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45372</v>
      </c>
      <c r="E169" s="1" t="n">
        <v>46292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46292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46292</v>
      </c>
      <c r="F171" t="inlineStr">
        <is>
          <t>DALARNAS LÄN</t>
        </is>
      </c>
      <c r="G171" t="inlineStr">
        <is>
          <t>LUDVIKA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31702-2023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45105</v>
      </c>
      <c r="E172" s="1" t="n">
        <v>46292</v>
      </c>
      <c r="F172" t="inlineStr">
        <is>
          <t>DALARNAS LÄN</t>
        </is>
      </c>
      <c r="G172" t="inlineStr">
        <is>
          <t>LUDVIKA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46292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47496-2022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44853</v>
      </c>
      <c r="E174" s="1" t="n">
        <v>46292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45512</v>
      </c>
      <c r="E175" s="1" t="n">
        <v>46292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46292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46292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44883</v>
      </c>
      <c r="E178" s="1" t="n">
        <v>46292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46292</v>
      </c>
      <c r="F179" t="inlineStr">
        <is>
          <t>DALARNAS LÄN</t>
        </is>
      </c>
      <c r="G179" t="inlineStr">
        <is>
          <t>LUDVIKA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45796</v>
      </c>
      <c r="E180" s="1" t="n">
        <v>46292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46292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30977-2024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45499</v>
      </c>
      <c r="E182" s="1" t="n">
        <v>46292</v>
      </c>
      <c r="F182" t="inlineStr">
        <is>
          <t>DALARNAS LÄN</t>
        </is>
      </c>
      <c r="G182" t="inlineStr">
        <is>
          <t>LUDVIKA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45621</v>
      </c>
      <c r="E183" s="1" t="n">
        <v>46292</v>
      </c>
      <c r="F183" t="inlineStr">
        <is>
          <t>DALARNAS LÄN</t>
        </is>
      </c>
      <c r="G183" t="inlineStr">
        <is>
          <t>LUDVIKA</t>
        </is>
      </c>
      <c r="H183" t="inlineStr">
        <is>
          <t>Naturvårdsverket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45502</v>
      </c>
      <c r="E184" s="1" t="n">
        <v>46292</v>
      </c>
      <c r="F184" t="inlineStr">
        <is>
          <t>DALARNAS LÄN</t>
        </is>
      </c>
      <c r="G184" t="inlineStr">
        <is>
          <t>LUDVIKA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46292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45776</v>
      </c>
      <c r="E186" s="1" t="n">
        <v>46292</v>
      </c>
      <c r="F186" t="inlineStr">
        <is>
          <t>DALARNAS LÄN</t>
        </is>
      </c>
      <c r="G186" t="inlineStr">
        <is>
          <t>LUDVIKA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46292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46292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46292</v>
      </c>
      <c r="F189" t="inlineStr">
        <is>
          <t>DALARNAS LÄN</t>
        </is>
      </c>
      <c r="G189" t="inlineStr">
        <is>
          <t>LUDVIKA</t>
        </is>
      </c>
      <c r="H189" t="inlineStr">
        <is>
          <t>Övriga Aktiebolag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46292</v>
      </c>
      <c r="F190" t="inlineStr">
        <is>
          <t>DALARNAS LÄN</t>
        </is>
      </c>
      <c r="G190" t="inlineStr">
        <is>
          <t>LUDVIKA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46292</v>
      </c>
      <c r="F191" t="inlineStr">
        <is>
          <t>DALARNAS LÄN</t>
        </is>
      </c>
      <c r="G191" t="inlineStr">
        <is>
          <t>LUDVIKA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44844</v>
      </c>
      <c r="E192" s="1" t="n">
        <v>46292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46292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46292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46292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46292</v>
      </c>
      <c r="F196" t="inlineStr">
        <is>
          <t>DALARNAS LÄN</t>
        </is>
      </c>
      <c r="G196" t="inlineStr">
        <is>
          <t>LUDVIKA</t>
        </is>
      </c>
      <c r="H196" t="inlineStr">
        <is>
          <t>Övriga Aktiebolag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25235-2025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45800</v>
      </c>
      <c r="E197" s="1" t="n">
        <v>46292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46292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46292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46292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45512</v>
      </c>
      <c r="E201" s="1" t="n">
        <v>46292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46292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46292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65195-2021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46292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46292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46292</v>
      </c>
      <c r="F206" t="inlineStr">
        <is>
          <t>DALARNAS LÄN</t>
        </is>
      </c>
      <c r="G206" t="inlineStr">
        <is>
          <t>LUDVIKA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46292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46292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41269-2025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46292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46292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46292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8703-2023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44978</v>
      </c>
      <c r="E212" s="1" t="n">
        <v>46292</v>
      </c>
      <c r="F212" t="inlineStr">
        <is>
          <t>DALARNAS LÄN</t>
        </is>
      </c>
      <c r="G212" t="inlineStr">
        <is>
          <t>LUDVIKA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46292</v>
      </c>
      <c r="F213" t="inlineStr">
        <is>
          <t>DALARNAS LÄN</t>
        </is>
      </c>
      <c r="G213" t="inlineStr">
        <is>
          <t>LUDVIKA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46292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46292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46292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46292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46292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36338-2025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45868</v>
      </c>
      <c r="E219" s="1" t="n">
        <v>46292</v>
      </c>
      <c r="F219" t="inlineStr">
        <is>
          <t>DALARNAS LÄN</t>
        </is>
      </c>
      <c r="G219" t="inlineStr">
        <is>
          <t>LUDVIKA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46292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46292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46292</v>
      </c>
      <c r="F222" t="inlineStr">
        <is>
          <t>DALARNAS LÄN</t>
        </is>
      </c>
      <c r="G222" t="inlineStr">
        <is>
          <t>LUDVIKA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46292</v>
      </c>
      <c r="F223" t="inlineStr">
        <is>
          <t>DALARNAS LÄN</t>
        </is>
      </c>
      <c r="G223" t="inlineStr">
        <is>
          <t>LUDVIKA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46292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46292</v>
      </c>
      <c r="F225" t="inlineStr">
        <is>
          <t>DALARNAS LÄN</t>
        </is>
      </c>
      <c r="G225" t="inlineStr">
        <is>
          <t>LUDVIKA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46292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46292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46292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46292</v>
      </c>
      <c r="F229" t="inlineStr">
        <is>
          <t>DALARNAS LÄN</t>
        </is>
      </c>
      <c r="G229" t="inlineStr">
        <is>
          <t>LUDVIKA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46292</v>
      </c>
      <c r="F230" t="inlineStr">
        <is>
          <t>DALARNAS LÄN</t>
        </is>
      </c>
      <c r="G230" t="inlineStr">
        <is>
          <t>LUDVIKA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46292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46292</v>
      </c>
      <c r="F232" t="inlineStr">
        <is>
          <t>DALARNAS LÄN</t>
        </is>
      </c>
      <c r="G232" t="inlineStr">
        <is>
          <t>LUDVIKA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56615-2025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45975</v>
      </c>
      <c r="E233" s="1" t="n">
        <v>46292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46292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46292</v>
      </c>
      <c r="F235" t="inlineStr">
        <is>
          <t>DALARNAS LÄN</t>
        </is>
      </c>
      <c r="G235" t="inlineStr">
        <is>
          <t>LUDVIKA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45224</v>
      </c>
      <c r="E236" s="1" t="n">
        <v>46292</v>
      </c>
      <c r="F236" t="inlineStr">
        <is>
          <t>DALARNAS LÄN</t>
        </is>
      </c>
      <c r="G236" t="inlineStr">
        <is>
          <t>LUDVIKA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46292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46292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46292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46292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46292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46292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46292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46292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46292</v>
      </c>
      <c r="F245" t="inlineStr">
        <is>
          <t>DALARNAS LÄN</t>
        </is>
      </c>
      <c r="G245" t="inlineStr">
        <is>
          <t>LUDVIKA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46292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45805</v>
      </c>
      <c r="E247" s="1" t="n">
        <v>46292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44893</v>
      </c>
      <c r="E248" s="1" t="n">
        <v>46292</v>
      </c>
      <c r="F248" t="inlineStr">
        <is>
          <t>DALARNAS LÄN</t>
        </is>
      </c>
      <c r="G248" t="inlineStr">
        <is>
          <t>LUDVIKA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46292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46292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46292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46292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26698-2025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45810</v>
      </c>
      <c r="E253" s="1" t="n">
        <v>46292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26628-2025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45810</v>
      </c>
      <c r="E254" s="1" t="n">
        <v>46292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26794-2025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45810</v>
      </c>
      <c r="E255" s="1" t="n">
        <v>46292</v>
      </c>
      <c r="F255" t="inlineStr">
        <is>
          <t>DALARNAS LÄN</t>
        </is>
      </c>
      <c r="G255" t="inlineStr">
        <is>
          <t>LUDVIKA</t>
        </is>
      </c>
      <c r="H255" t="inlineStr">
        <is>
          <t>Kommuner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46292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45622</v>
      </c>
      <c r="E257" s="1" t="n">
        <v>46292</v>
      </c>
      <c r="F257" t="inlineStr">
        <is>
          <t>DALARNAS LÄN</t>
        </is>
      </c>
      <c r="G257" t="inlineStr">
        <is>
          <t>LUDVIKA</t>
        </is>
      </c>
      <c r="H257" t="inlineStr">
        <is>
          <t>Naturvårdsverket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46292</v>
      </c>
      <c r="F258" t="inlineStr">
        <is>
          <t>DALARNAS LÄN</t>
        </is>
      </c>
      <c r="G258" t="inlineStr">
        <is>
          <t>LUDVIKA</t>
        </is>
      </c>
      <c r="H258" t="inlineStr">
        <is>
          <t>Naturvårdsverket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46292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46292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45940</v>
      </c>
      <c r="E261" s="1" t="n">
        <v>46292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45579</v>
      </c>
      <c r="E262" s="1" t="n">
        <v>46292</v>
      </c>
      <c r="F262" t="inlineStr">
        <is>
          <t>DALARNAS LÄN</t>
        </is>
      </c>
      <c r="G262" t="inlineStr">
        <is>
          <t>LUDVIKA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46292</v>
      </c>
      <c r="F263" t="inlineStr">
        <is>
          <t>DALARNAS LÄN</t>
        </is>
      </c>
      <c r="G263" t="inlineStr">
        <is>
          <t>LUDVIKA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45740</v>
      </c>
      <c r="E264" s="1" t="n">
        <v>46292</v>
      </c>
      <c r="F264" t="inlineStr">
        <is>
          <t>DALARNAS LÄN</t>
        </is>
      </c>
      <c r="G264" t="inlineStr">
        <is>
          <t>LUDVIKA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46292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46292</v>
      </c>
      <c r="F266" t="inlineStr">
        <is>
          <t>DALARNAS LÄN</t>
        </is>
      </c>
      <c r="G266" t="inlineStr">
        <is>
          <t>LUDVIKA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52552-2025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45954</v>
      </c>
      <c r="E267" s="1" t="n">
        <v>46292</v>
      </c>
      <c r="F267" t="inlineStr">
        <is>
          <t>DALARNAS LÄN</t>
        </is>
      </c>
      <c r="G267" t="inlineStr">
        <is>
          <t>LUDVIKA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52484-2025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46292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46292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9.300000000000001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45623</v>
      </c>
      <c r="E270" s="1" t="n">
        <v>46292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52459-2025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45954</v>
      </c>
      <c r="E271" s="1" t="n">
        <v>46292</v>
      </c>
      <c r="F271" t="inlineStr">
        <is>
          <t>DALARNAS LÄN</t>
        </is>
      </c>
      <c r="G271" t="inlineStr">
        <is>
          <t>LUDVIKA</t>
        </is>
      </c>
      <c r="H271" t="inlineStr">
        <is>
          <t>Övriga Aktiebolag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52491-2025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46292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52900-2025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46292</v>
      </c>
      <c r="F273" t="inlineStr">
        <is>
          <t>DALARNAS LÄN</t>
        </is>
      </c>
      <c r="G273" t="inlineStr">
        <is>
          <t>LUDVIKA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46292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52427-2025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45954</v>
      </c>
      <c r="E275" s="1" t="n">
        <v>46292</v>
      </c>
      <c r="F275" t="inlineStr">
        <is>
          <t>DALARNAS LÄN</t>
        </is>
      </c>
      <c r="G275" t="inlineStr">
        <is>
          <t>LUDVIKA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46292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52556-2025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45954</v>
      </c>
      <c r="E277" s="1" t="n">
        <v>46292</v>
      </c>
      <c r="F277" t="inlineStr">
        <is>
          <t>DALARNAS LÄN</t>
        </is>
      </c>
      <c r="G277" t="inlineStr">
        <is>
          <t>LUDVIKA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46292</v>
      </c>
      <c r="F278" t="inlineStr">
        <is>
          <t>DALARNAS LÄN</t>
        </is>
      </c>
      <c r="G278" t="inlineStr">
        <is>
          <t>LUDVIKA</t>
        </is>
      </c>
      <c r="H278" t="inlineStr">
        <is>
          <t>Övriga Aktiebolag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52832-2025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46292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46292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46292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44711</v>
      </c>
      <c r="E282" s="1" t="n">
        <v>46292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46292</v>
      </c>
      <c r="F283" t="inlineStr">
        <is>
          <t>DALARNAS LÄN</t>
        </is>
      </c>
      <c r="G283" t="inlineStr">
        <is>
          <t>LUDVIKA</t>
        </is>
      </c>
      <c r="H283" t="inlineStr">
        <is>
          <t>Naturvårdsverket</t>
        </is>
      </c>
      <c r="I283" t="n">
        <v>19.8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46292</v>
      </c>
      <c r="F284" t="inlineStr">
        <is>
          <t>DALARNAS LÄN</t>
        </is>
      </c>
      <c r="G284" t="inlineStr">
        <is>
          <t>LUDVIKA</t>
        </is>
      </c>
      <c r="H284" t="inlineStr">
        <is>
          <t>Naturvårdsverket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45569</v>
      </c>
      <c r="E285" s="1" t="n">
        <v>46292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46292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45891</v>
      </c>
      <c r="E287" s="1" t="n">
        <v>46292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45624</v>
      </c>
      <c r="E288" s="1" t="n">
        <v>46292</v>
      </c>
      <c r="F288" t="inlineStr">
        <is>
          <t>DALARNAS LÄN</t>
        </is>
      </c>
      <c r="G288" t="inlineStr">
        <is>
          <t>LUDVIKA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45963</v>
      </c>
      <c r="E289" s="1" t="n">
        <v>46292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46292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46292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46292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46292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46292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46292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46292</v>
      </c>
      <c r="F296" t="inlineStr">
        <is>
          <t>DALARNAS LÄN</t>
        </is>
      </c>
      <c r="G296" t="inlineStr">
        <is>
          <t>LUDVIKA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46122</v>
      </c>
      <c r="E297" s="1" t="n">
        <v>46292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46292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46292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46292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54341-2025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45965</v>
      </c>
      <c r="E301" s="1" t="n">
        <v>46292</v>
      </c>
      <c r="F301" t="inlineStr">
        <is>
          <t>DALARNAS LÄN</t>
        </is>
      </c>
      <c r="G301" t="inlineStr">
        <is>
          <t>LUDVIKA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45625</v>
      </c>
      <c r="E302" s="1" t="n">
        <v>46292</v>
      </c>
      <c r="F302" t="inlineStr">
        <is>
          <t>DALARNAS LÄN</t>
        </is>
      </c>
      <c r="G302" t="inlineStr">
        <is>
          <t>LUDVIKA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46292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46292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46292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45301</v>
      </c>
      <c r="E306" s="1" t="n">
        <v>46292</v>
      </c>
      <c r="F306" t="inlineStr">
        <is>
          <t>DALARNAS LÄN</t>
        </is>
      </c>
      <c r="G306" t="inlineStr">
        <is>
          <t>LUDVIKA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46292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46292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46292</v>
      </c>
      <c r="F309" t="inlineStr">
        <is>
          <t>DALARNAS LÄN</t>
        </is>
      </c>
      <c r="G309" t="inlineStr">
        <is>
          <t>LUDVIKA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46292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45593</v>
      </c>
      <c r="E311" s="1" t="n">
        <v>46292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46292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46292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46292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46292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46292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45813</v>
      </c>
      <c r="E317" s="1" t="n">
        <v>46292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46292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56178-2025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46292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56002-2025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46292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56219-2025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46292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46292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46292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56030-2025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46292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46292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46292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56155-2025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46292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45062</v>
      </c>
      <c r="E328" s="1" t="n">
        <v>46292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46292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46128</v>
      </c>
      <c r="E330" s="1" t="n">
        <v>46292</v>
      </c>
      <c r="F330" t="inlineStr">
        <is>
          <t>DALARNAS LÄN</t>
        </is>
      </c>
      <c r="G330" t="inlineStr">
        <is>
          <t>LUDVIKA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46292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46292</v>
      </c>
      <c r="F332" t="inlineStr">
        <is>
          <t>DALARNAS LÄN</t>
        </is>
      </c>
      <c r="G332" t="inlineStr">
        <is>
          <t>LUDVIKA</t>
        </is>
      </c>
      <c r="H332" t="inlineStr">
        <is>
          <t>Naturvårdsverket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46292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59347-2024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46292</v>
      </c>
      <c r="F334" t="inlineStr">
        <is>
          <t>DALARNAS LÄN</t>
        </is>
      </c>
      <c r="G334" t="inlineStr">
        <is>
          <t>LUDVIKA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45644</v>
      </c>
      <c r="E335" s="1" t="n">
        <v>46292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46292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39833-2025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45891</v>
      </c>
      <c r="E337" s="1" t="n">
        <v>46292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45929</v>
      </c>
      <c r="E338" s="1" t="n">
        <v>46292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46292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45568</v>
      </c>
      <c r="E340" s="1" t="n">
        <v>46292</v>
      </c>
      <c r="F340" t="inlineStr">
        <is>
          <t>DALARNAS LÄN</t>
        </is>
      </c>
      <c r="G340" t="inlineStr">
        <is>
          <t>LUDVIKA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46292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46292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46292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46292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45909</v>
      </c>
      <c r="E345" s="1" t="n">
        <v>46292</v>
      </c>
      <c r="F345" t="inlineStr">
        <is>
          <t>DALARNAS LÄN</t>
        </is>
      </c>
      <c r="G345" t="inlineStr">
        <is>
          <t>LUDVIKA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46292</v>
      </c>
      <c r="F346" t="inlineStr">
        <is>
          <t>DALARNAS LÄN</t>
        </is>
      </c>
      <c r="G346" t="inlineStr">
        <is>
          <t>LUDVIKA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46292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46292</v>
      </c>
      <c r="F348" t="inlineStr">
        <is>
          <t>DALARNAS LÄN</t>
        </is>
      </c>
      <c r="G348" t="inlineStr">
        <is>
          <t>LUDVIKA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46292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46292</v>
      </c>
      <c r="F350" t="inlineStr">
        <is>
          <t>DALARNAS LÄN</t>
        </is>
      </c>
      <c r="G350" t="inlineStr">
        <is>
          <t>LUDVIKA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46292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46292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46136</v>
      </c>
      <c r="E353" s="1" t="n">
        <v>46292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25273-2022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44729</v>
      </c>
      <c r="E354" s="1" t="n">
        <v>46292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45995</v>
      </c>
      <c r="E355" s="1" t="n">
        <v>46292</v>
      </c>
      <c r="F355" t="inlineStr">
        <is>
          <t>DALARNAS LÄN</t>
        </is>
      </c>
      <c r="G355" t="inlineStr">
        <is>
          <t>LUDVIKA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46292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46292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46292</v>
      </c>
      <c r="F358" t="inlineStr">
        <is>
          <t>DALARNAS LÄN</t>
        </is>
      </c>
      <c r="G358" t="inlineStr">
        <is>
          <t>LUDVIKA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46292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45845</v>
      </c>
      <c r="E360" s="1" t="n">
        <v>46292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46292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61502-2025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46001</v>
      </c>
      <c r="E362" s="1" t="n">
        <v>46292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46292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46292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46292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2838-2022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44581</v>
      </c>
      <c r="E366" s="1" t="n">
        <v>46292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52466-2023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45225</v>
      </c>
      <c r="E367" s="1" t="n">
        <v>46292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40142-2022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44820</v>
      </c>
      <c r="E368" s="1" t="n">
        <v>46292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40151-2022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46292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45954</v>
      </c>
      <c r="E370" s="1" t="n">
        <v>46292</v>
      </c>
      <c r="F370" t="inlineStr">
        <is>
          <t>DALARNAS LÄN</t>
        </is>
      </c>
      <c r="G370" t="inlineStr">
        <is>
          <t>LUDVIKA</t>
        </is>
      </c>
      <c r="I370" t="n">
        <v>9.800000000000001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46292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46292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46292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46292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46292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46292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62824-2025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46292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62695-2025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46292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46292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46292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62688-2025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46292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46292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46292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45687</v>
      </c>
      <c r="E384" s="1" t="n">
        <v>46292</v>
      </c>
      <c r="F384" t="inlineStr">
        <is>
          <t>DALARNAS LÄN</t>
        </is>
      </c>
      <c r="G384" t="inlineStr">
        <is>
          <t>LUDVIKA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46292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46292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46292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45762</v>
      </c>
      <c r="E388" s="1" t="n">
        <v>46292</v>
      </c>
      <c r="F388" t="inlineStr">
        <is>
          <t>DALARNAS LÄN</t>
        </is>
      </c>
      <c r="G388" t="inlineStr">
        <is>
          <t>LUDVIKA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46009</v>
      </c>
      <c r="E389" s="1" t="n">
        <v>46292</v>
      </c>
      <c r="F389" t="inlineStr">
        <is>
          <t>DALARNAS LÄN</t>
        </is>
      </c>
      <c r="G389" t="inlineStr">
        <is>
          <t>LUDVIKA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46292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45562</v>
      </c>
      <c r="E391" s="1" t="n">
        <v>46292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45860</v>
      </c>
      <c r="E392" s="1" t="n">
        <v>46292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41828-2025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45902</v>
      </c>
      <c r="E393" s="1" t="n">
        <v>46292</v>
      </c>
      <c r="F393" t="inlineStr">
        <is>
          <t>DALARNAS LÄN</t>
        </is>
      </c>
      <c r="G393" t="inlineStr">
        <is>
          <t>LUDVIKA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45765</v>
      </c>
      <c r="E394" s="1" t="n">
        <v>46292</v>
      </c>
      <c r="F394" t="inlineStr">
        <is>
          <t>DALARNAS LÄN</t>
        </is>
      </c>
      <c r="G394" t="inlineStr">
        <is>
          <t>LUDVIKA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46292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29443-2025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46292</v>
      </c>
      <c r="F396" t="inlineStr">
        <is>
          <t>DALARNAS LÄN</t>
        </is>
      </c>
      <c r="G396" t="inlineStr">
        <is>
          <t>LUDVIKA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45826</v>
      </c>
      <c r="E397" s="1" t="n">
        <v>46292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46292</v>
      </c>
      <c r="F398" t="inlineStr">
        <is>
          <t>DALARNAS LÄN</t>
        </is>
      </c>
      <c r="G398" t="inlineStr">
        <is>
          <t>LUDVIKA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47671-2024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46292</v>
      </c>
      <c r="F399" t="inlineStr">
        <is>
          <t>DALARNAS LÄN</t>
        </is>
      </c>
      <c r="G399" t="inlineStr">
        <is>
          <t>LUDVIKA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44916</v>
      </c>
      <c r="E400" s="1" t="n">
        <v>46292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20789-2026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46141</v>
      </c>
      <c r="E401" s="1" t="n">
        <v>46292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46292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45826</v>
      </c>
      <c r="E403" s="1" t="n">
        <v>46292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46185-2024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45581</v>
      </c>
      <c r="E404" s="1" t="n">
        <v>46292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46292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46292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20888-2026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46142</v>
      </c>
      <c r="E407" s="1" t="n">
        <v>46292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30844-2024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45497</v>
      </c>
      <c r="E408" s="1" t="n">
        <v>46292</v>
      </c>
      <c r="F408" t="inlineStr">
        <is>
          <t>DALARNAS LÄN</t>
        </is>
      </c>
      <c r="G408" t="inlineStr">
        <is>
          <t>LUDVIKA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46292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29535-2023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45106</v>
      </c>
      <c r="E410" s="1" t="n">
        <v>46292</v>
      </c>
      <c r="F410" t="inlineStr">
        <is>
          <t>DALARNAS LÄN</t>
        </is>
      </c>
      <c r="G410" t="inlineStr">
        <is>
          <t>LUDVIKA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46292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46292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21345-2026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46147</v>
      </c>
      <c r="E413" s="1" t="n">
        <v>46292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16814-2024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45411</v>
      </c>
      <c r="E414" s="1" t="n">
        <v>46292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46150</v>
      </c>
      <c r="E415" s="1" t="n">
        <v>46292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45832</v>
      </c>
      <c r="E416" s="1" t="n">
        <v>46292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21872-2026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46292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46292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46292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21462-2026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46292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46292</v>
      </c>
      <c r="F421" t="inlineStr">
        <is>
          <t>DALARNAS LÄN</t>
        </is>
      </c>
      <c r="G421" t="inlineStr">
        <is>
          <t>LUDVIKA</t>
        </is>
      </c>
      <c r="I421" t="n">
        <v>13.1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46292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44730</v>
      </c>
      <c r="E423" s="1" t="n">
        <v>46292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46292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46292</v>
      </c>
      <c r="F425" t="inlineStr">
        <is>
          <t>DALARNAS LÄN</t>
        </is>
      </c>
      <c r="G425" t="inlineStr">
        <is>
          <t>LUDVIKA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45637</v>
      </c>
      <c r="E426" s="1" t="n">
        <v>46292</v>
      </c>
      <c r="F426" t="inlineStr">
        <is>
          <t>DALARNAS LÄN</t>
        </is>
      </c>
      <c r="G426" t="inlineStr">
        <is>
          <t>LUDVIKA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21002-2026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46292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46292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46292</v>
      </c>
      <c r="F429" t="inlineStr">
        <is>
          <t>DALARNAS LÄN</t>
        </is>
      </c>
      <c r="G429" t="inlineStr">
        <is>
          <t>LUDVIKA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45679</v>
      </c>
      <c r="E430" s="1" t="n">
        <v>46292</v>
      </c>
      <c r="F430" t="inlineStr">
        <is>
          <t>DALARNAS LÄN</t>
        </is>
      </c>
      <c r="G430" t="inlineStr">
        <is>
          <t>LUDVIKA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46292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46292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46292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9.800000000000001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46292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46292</v>
      </c>
      <c r="F435" t="inlineStr">
        <is>
          <t>DALARNAS LÄN</t>
        </is>
      </c>
      <c r="G435" t="inlineStr">
        <is>
          <t>LUDVIKA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46292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46292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45265</v>
      </c>
      <c r="E438" s="1" t="n">
        <v>46292</v>
      </c>
      <c r="F438" t="inlineStr">
        <is>
          <t>DALARNAS LÄN</t>
        </is>
      </c>
      <c r="G438" t="inlineStr">
        <is>
          <t>LUDVIKA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46160</v>
      </c>
      <c r="E439" s="1" t="n">
        <v>46292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46292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45761</v>
      </c>
      <c r="E441" s="1" t="n">
        <v>46292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46292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46292</v>
      </c>
      <c r="F443" t="inlineStr">
        <is>
          <t>DALARNAS LÄN</t>
        </is>
      </c>
      <c r="G443" t="inlineStr">
        <is>
          <t>LUDVIKA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34067-2025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45845</v>
      </c>
      <c r="E444" s="1" t="n">
        <v>46292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45502</v>
      </c>
      <c r="E445" s="1" t="n">
        <v>46292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65104-2023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45288</v>
      </c>
      <c r="E446" s="1" t="n">
        <v>46292</v>
      </c>
      <c r="F446" t="inlineStr">
        <is>
          <t>DALARNAS LÄN</t>
        </is>
      </c>
      <c r="G446" t="inlineStr">
        <is>
          <t>LUDVIKA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34861-2025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45849</v>
      </c>
      <c r="E447" s="1" t="n">
        <v>46292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45525</v>
      </c>
      <c r="E448" s="1" t="n">
        <v>46292</v>
      </c>
      <c r="F448" t="inlineStr">
        <is>
          <t>DALARNAS LÄN</t>
        </is>
      </c>
      <c r="G448" t="inlineStr">
        <is>
          <t>LUDVIKA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23097-2025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46292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45825</v>
      </c>
      <c r="E450" s="1" t="n">
        <v>46292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46292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49951-2022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46292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46292</v>
      </c>
      <c r="F453" t="inlineStr">
        <is>
          <t>DALARNAS LÄN</t>
        </is>
      </c>
      <c r="G453" t="inlineStr">
        <is>
          <t>LUDVIKA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46292</v>
      </c>
      <c r="F454" t="inlineStr">
        <is>
          <t>DALARNAS LÄN</t>
        </is>
      </c>
      <c r="G454" t="inlineStr">
        <is>
          <t>LUDVIKA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45399</v>
      </c>
      <c r="E455" s="1" t="n">
        <v>46292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46038</v>
      </c>
      <c r="E456" s="1" t="n">
        <v>46292</v>
      </c>
      <c r="F456" t="inlineStr">
        <is>
          <t>DALARNAS LÄN</t>
        </is>
      </c>
      <c r="G456" t="inlineStr">
        <is>
          <t>LUDVIKA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46292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45512</v>
      </c>
      <c r="E458" s="1" t="n">
        <v>46292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46171</v>
      </c>
      <c r="E459" s="1" t="n">
        <v>46292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45832</v>
      </c>
      <c r="E460" s="1" t="n">
        <v>46292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45832</v>
      </c>
      <c r="E461" s="1" t="n">
        <v>46292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33001-2025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46292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46292</v>
      </c>
      <c r="F463" t="inlineStr">
        <is>
          <t>DALARNAS LÄN</t>
        </is>
      </c>
      <c r="G463" t="inlineStr">
        <is>
          <t>LUDVIKA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31057-2025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45832</v>
      </c>
      <c r="E464" s="1" t="n">
        <v>46292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46292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46292</v>
      </c>
      <c r="F466" t="inlineStr">
        <is>
          <t>DALARNAS LÄN</t>
        </is>
      </c>
      <c r="G466" t="inlineStr">
        <is>
          <t>LUDVIKA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45567</v>
      </c>
      <c r="E467" s="1" t="n">
        <v>46292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46292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55633-2021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44476</v>
      </c>
      <c r="E469" s="1" t="n">
        <v>46292</v>
      </c>
      <c r="F469" t="inlineStr">
        <is>
          <t>DALARNAS LÄN</t>
        </is>
      </c>
      <c r="G469" t="inlineStr">
        <is>
          <t>LUDVIKA</t>
        </is>
      </c>
      <c r="H469" t="inlineStr">
        <is>
          <t>Övriga Aktiebolag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17677-2022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44680</v>
      </c>
      <c r="E470" s="1" t="n">
        <v>46292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46292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46171</v>
      </c>
      <c r="E472" s="1" t="n">
        <v>46292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46292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46292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46292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25320-2026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46176</v>
      </c>
      <c r="E476" s="1" t="n">
        <v>46292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46292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36437-2025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45869</v>
      </c>
      <c r="E478" s="1" t="n">
        <v>46292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60138-2023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45258</v>
      </c>
      <c r="E479" s="1" t="n">
        <v>46292</v>
      </c>
      <c r="F479" t="inlineStr">
        <is>
          <t>DALARNAS LÄN</t>
        </is>
      </c>
      <c r="G479" t="inlineStr">
        <is>
          <t>LUDVIKA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15851-2024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46292</v>
      </c>
      <c r="F480" t="inlineStr">
        <is>
          <t>DALARNAS LÄN</t>
        </is>
      </c>
      <c r="G480" t="inlineStr">
        <is>
          <t>LUDVIKA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49166-2025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46292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46136</v>
      </c>
      <c r="E482" s="1" t="n">
        <v>46292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45110</v>
      </c>
      <c r="E483" s="1" t="n">
        <v>46292</v>
      </c>
      <c r="F483" t="inlineStr">
        <is>
          <t>DALARNAS LÄN</t>
        </is>
      </c>
      <c r="G483" t="inlineStr">
        <is>
          <t>LUDVIKA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20969-2026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46142</v>
      </c>
      <c r="E484" s="1" t="n">
        <v>46292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70046-2021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44533</v>
      </c>
      <c r="E485" s="1" t="n">
        <v>46292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46183</v>
      </c>
      <c r="E486" s="1" t="n">
        <v>46292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45337</v>
      </c>
      <c r="E487" s="1" t="n">
        <v>46292</v>
      </c>
      <c r="F487" t="inlineStr">
        <is>
          <t>DALARNAS LÄN</t>
        </is>
      </c>
      <c r="G487" t="inlineStr">
        <is>
          <t>LUDVIKA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46292</v>
      </c>
      <c r="F488" t="inlineStr">
        <is>
          <t>DALARNAS LÄN</t>
        </is>
      </c>
      <c r="G488" t="inlineStr">
        <is>
          <t>LUDVIKA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46292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26902-2026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46292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46292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8.199999999999999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46292</v>
      </c>
      <c r="F492" t="inlineStr">
        <is>
          <t>DALARNAS LÄN</t>
        </is>
      </c>
      <c r="G492" t="inlineStr">
        <is>
          <t>LUDVIKA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49669-2024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45596</v>
      </c>
      <c r="E493" s="1" t="n">
        <v>46292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45761</v>
      </c>
      <c r="E494" s="1" t="n">
        <v>46292</v>
      </c>
      <c r="F494" t="inlineStr">
        <is>
          <t>DALARNAS LÄN</t>
        </is>
      </c>
      <c r="G494" t="inlineStr">
        <is>
          <t>LUDVIKA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46184</v>
      </c>
      <c r="E495" s="1" t="n">
        <v>46292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27609-2026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46292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27611-2026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46292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46292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32995-2023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45113</v>
      </c>
      <c r="E499" s="1" t="n">
        <v>46292</v>
      </c>
      <c r="F499" t="inlineStr">
        <is>
          <t>DALARNAS LÄN</t>
        </is>
      </c>
      <c r="G499" t="inlineStr">
        <is>
          <t>LUDVIKA</t>
        </is>
      </c>
      <c r="H499" t="inlineStr">
        <is>
          <t>Kommuner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46292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45602</v>
      </c>
      <c r="E501" s="1" t="n">
        <v>46292</v>
      </c>
      <c r="F501" t="inlineStr">
        <is>
          <t>DALARNAS LÄN</t>
        </is>
      </c>
      <c r="G501" t="inlineStr">
        <is>
          <t>LUDVIKA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46292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45112</v>
      </c>
      <c r="E503" s="1" t="n">
        <v>46292</v>
      </c>
      <c r="F503" t="inlineStr">
        <is>
          <t>DALARNAS LÄN</t>
        </is>
      </c>
      <c r="G503" t="inlineStr">
        <is>
          <t>LUDVIKA</t>
        </is>
      </c>
      <c r="H503" t="inlineStr">
        <is>
          <t>Kommuner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46191</v>
      </c>
      <c r="E504" s="1" t="n">
        <v>46292</v>
      </c>
      <c r="F504" t="inlineStr">
        <is>
          <t>DALARNAS LÄN</t>
        </is>
      </c>
      <c r="G504" t="inlineStr">
        <is>
          <t>LUDVIKA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45875</v>
      </c>
      <c r="E505" s="1" t="n">
        <v>46292</v>
      </c>
      <c r="F505" t="inlineStr">
        <is>
          <t>DALARNAS LÄN</t>
        </is>
      </c>
      <c r="G505" t="inlineStr">
        <is>
          <t>LUDVIKA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60788-2024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46292</v>
      </c>
      <c r="F506" t="inlineStr">
        <is>
          <t>DALARNAS LÄN</t>
        </is>
      </c>
      <c r="G506" t="inlineStr">
        <is>
          <t>LUDVIKA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45639</v>
      </c>
      <c r="E507" s="1" t="n">
        <v>46292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46292</v>
      </c>
      <c r="F508" t="inlineStr">
        <is>
          <t>DALARNAS LÄN</t>
        </is>
      </c>
      <c r="G508" t="inlineStr">
        <is>
          <t>LUDVIKA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46160</v>
      </c>
      <c r="E509" s="1" t="n">
        <v>46292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43704-2024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45569</v>
      </c>
      <c r="E510" s="1" t="n">
        <v>46292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46292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46292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46292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22806-2026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46160</v>
      </c>
      <c r="E514" s="1" t="n">
        <v>46292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46292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46198</v>
      </c>
      <c r="E516" s="1" t="n">
        <v>46292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37586-2024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45541</v>
      </c>
      <c r="E517" s="1" t="n">
        <v>46292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55551-2024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45622</v>
      </c>
      <c r="E518" s="1" t="n">
        <v>46292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45189</v>
      </c>
      <c r="E519" s="1" t="n">
        <v>46292</v>
      </c>
      <c r="F519" t="inlineStr">
        <is>
          <t>DALARNAS LÄN</t>
        </is>
      </c>
      <c r="G519" t="inlineStr">
        <is>
          <t>LUDVIKA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46292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45045-2023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45191</v>
      </c>
      <c r="E521" s="1" t="n">
        <v>46292</v>
      </c>
      <c r="F521" t="inlineStr">
        <is>
          <t>DALARNAS LÄN</t>
        </is>
      </c>
      <c r="G521" t="inlineStr">
        <is>
          <t>LUDVIKA</t>
        </is>
      </c>
      <c r="H521" t="inlineStr">
        <is>
          <t>Sveaskog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55510-2024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45622</v>
      </c>
      <c r="E522" s="1" t="n">
        <v>46292</v>
      </c>
      <c r="F522" t="inlineStr">
        <is>
          <t>DALARNAS LÄN</t>
        </is>
      </c>
      <c r="G522" t="inlineStr">
        <is>
          <t>LUDVIKA</t>
        </is>
      </c>
      <c r="H522" t="inlineStr">
        <is>
          <t>Naturvårdsverket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49045-2024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45594</v>
      </c>
      <c r="E523" s="1" t="n">
        <v>46292</v>
      </c>
      <c r="F523" t="inlineStr">
        <is>
          <t>DALARNAS LÄN</t>
        </is>
      </c>
      <c r="G523" t="inlineStr">
        <is>
          <t>LUDVIKA</t>
        </is>
      </c>
      <c r="H523" t="inlineStr">
        <is>
          <t>Naturvårdsverket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45198</v>
      </c>
      <c r="E524" s="1" t="n">
        <v>46292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22611-2026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46292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46292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46292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8.300000000000001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46292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46248</v>
      </c>
      <c r="E529" s="1" t="n">
        <v>46292</v>
      </c>
      <c r="F529" t="inlineStr">
        <is>
          <t>DALARNAS LÄN</t>
        </is>
      </c>
      <c r="G529" t="inlineStr">
        <is>
          <t>LUDVIKA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46292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32301-2024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45512</v>
      </c>
      <c r="E531" s="1" t="n">
        <v>46292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55462-2024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45622</v>
      </c>
      <c r="E532" s="1" t="n">
        <v>46292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45622</v>
      </c>
      <c r="E533" s="1" t="n">
        <v>46292</v>
      </c>
      <c r="F533" t="inlineStr">
        <is>
          <t>DALARNAS LÄN</t>
        </is>
      </c>
      <c r="G533" t="inlineStr">
        <is>
          <t>LUDVIKA</t>
        </is>
      </c>
      <c r="H533" t="inlineStr">
        <is>
          <t>Naturvårdsverket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46292</v>
      </c>
      <c r="F534" t="inlineStr">
        <is>
          <t>DALARNAS LÄN</t>
        </is>
      </c>
      <c r="G534" t="inlineStr">
        <is>
          <t>LUDVIKA</t>
        </is>
      </c>
      <c r="H534" t="inlineStr">
        <is>
          <t>Kommuner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45099</v>
      </c>
      <c r="E535" s="1" t="n">
        <v>46292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46292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46292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4550-2025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45687</v>
      </c>
      <c r="E538" s="1" t="n">
        <v>46292</v>
      </c>
      <c r="F538" t="inlineStr">
        <is>
          <t>DALARNAS LÄN</t>
        </is>
      </c>
      <c r="G538" t="inlineStr">
        <is>
          <t>LUDVIKA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39849-2023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45168</v>
      </c>
      <c r="E539" s="1" t="n">
        <v>46292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48589-2023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46292</v>
      </c>
      <c r="F540" t="inlineStr">
        <is>
          <t>DALARNAS LÄN</t>
        </is>
      </c>
      <c r="G540" t="inlineStr">
        <is>
          <t>LUDVIKA</t>
        </is>
      </c>
      <c r="H540" t="inlineStr">
        <is>
          <t>Naturvårdsverket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28062-2026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46195</v>
      </c>
      <c r="E541" s="1" t="n">
        <v>46292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46292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33673-2022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44789</v>
      </c>
      <c r="E543" s="1" t="n">
        <v>46292</v>
      </c>
      <c r="F543" t="inlineStr">
        <is>
          <t>DALARNAS LÄN</t>
        </is>
      </c>
      <c r="G543" t="inlineStr">
        <is>
          <t>LUDVIKA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39437-2023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46292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21741-2022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44708</v>
      </c>
      <c r="E545" s="1" t="n">
        <v>46292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18724-2022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44687</v>
      </c>
      <c r="E546" s="1" t="n">
        <v>46292</v>
      </c>
      <c r="F546" t="inlineStr">
        <is>
          <t>DALARNAS LÄN</t>
        </is>
      </c>
      <c r="G546" t="inlineStr">
        <is>
          <t>LUDVIKA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46292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49114-2023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46292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45060-2022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44841</v>
      </c>
      <c r="E549" s="1" t="n">
        <v>46292</v>
      </c>
      <c r="F549" t="inlineStr">
        <is>
          <t>DALARNAS LÄN</t>
        </is>
      </c>
      <c r="G549" t="inlineStr">
        <is>
          <t>LUDVIKA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46292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46292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45754</v>
      </c>
      <c r="E552" s="1" t="n">
        <v>46292</v>
      </c>
      <c r="F552" t="inlineStr">
        <is>
          <t>DALARNAS LÄN</t>
        </is>
      </c>
      <c r="G552" t="inlineStr">
        <is>
          <t>LUDVIKA</t>
        </is>
      </c>
      <c r="H552" t="inlineStr">
        <is>
          <t>Naturvårdsverket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34632-2026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46292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46292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45645</v>
      </c>
      <c r="E555" s="1" t="n">
        <v>46292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46292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46292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56818-2023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45244</v>
      </c>
      <c r="E558" s="1" t="n">
        <v>46292</v>
      </c>
      <c r="F558" t="inlineStr">
        <is>
          <t>DALARNAS LÄN</t>
        </is>
      </c>
      <c r="G558" t="inlineStr">
        <is>
          <t>LUDVIKA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46292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46292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46292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46154</v>
      </c>
      <c r="E562" s="1" t="n">
        <v>46292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46198</v>
      </c>
      <c r="E563" s="1" t="n">
        <v>46292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35101-2026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46292</v>
      </c>
      <c r="F564" t="inlineStr">
        <is>
          <t>DALARNAS LÄN</t>
        </is>
      </c>
      <c r="G564" t="inlineStr">
        <is>
          <t>LUDVIKA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46292</v>
      </c>
      <c r="F565" t="inlineStr">
        <is>
          <t>DALARNAS LÄN</t>
        </is>
      </c>
      <c r="G565" t="inlineStr">
        <is>
          <t>LUDVIKA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34780-2026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46292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27989-2026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46292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46292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46292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37392-2023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45156</v>
      </c>
      <c r="E570" s="1" t="n">
        <v>46292</v>
      </c>
      <c r="F570" t="inlineStr">
        <is>
          <t>DALARNAS LÄN</t>
        </is>
      </c>
      <c r="G570" t="inlineStr">
        <is>
          <t>LUDVIKA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46292</v>
      </c>
      <c r="F571" t="inlineStr">
        <is>
          <t>DALARNAS LÄN</t>
        </is>
      </c>
      <c r="G571" t="inlineStr">
        <is>
          <t>LUDVIKA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46260</v>
      </c>
      <c r="E572" s="1" t="n">
        <v>46292</v>
      </c>
      <c r="F572" t="inlineStr">
        <is>
          <t>DALARNAS LÄN</t>
        </is>
      </c>
      <c r="G572" t="inlineStr">
        <is>
          <t>LUDVIKA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46292</v>
      </c>
      <c r="F573" t="inlineStr">
        <is>
          <t>DALARNAS LÄN</t>
        </is>
      </c>
      <c r="G573" t="inlineStr">
        <is>
          <t>LUDVIKA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46292</v>
      </c>
      <c r="F574" t="inlineStr">
        <is>
          <t>DALARNAS LÄN</t>
        </is>
      </c>
      <c r="G574" t="inlineStr">
        <is>
          <t>LUDVIKA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46292</v>
      </c>
      <c r="F575" t="inlineStr">
        <is>
          <t>DALARNAS LÄN</t>
        </is>
      </c>
      <c r="G575" t="inlineStr">
        <is>
          <t>LUDVIKA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46292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20973-2026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46142</v>
      </c>
      <c r="E577" s="1" t="n">
        <v>46292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46292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46292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46292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46292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4173-2025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46292</v>
      </c>
      <c r="F582" t="inlineStr">
        <is>
          <t>DALARNAS LÄN</t>
        </is>
      </c>
      <c r="G582" t="inlineStr">
        <is>
          <t>LUDVIKA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51208-2023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45219</v>
      </c>
      <c r="E583" s="1" t="n">
        <v>46292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46292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45253</v>
      </c>
      <c r="E585" s="1" t="n">
        <v>46292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46292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59351-2023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45253</v>
      </c>
      <c r="E587" s="1" t="n">
        <v>46292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31227-2026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46217</v>
      </c>
      <c r="E588" s="1" t="n">
        <v>46292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46218</v>
      </c>
      <c r="E589" s="1" t="n">
        <v>46292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46219</v>
      </c>
      <c r="E590" s="1" t="n">
        <v>46292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46262</v>
      </c>
      <c r="E591" s="1" t="n">
        <v>46292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46656-2023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45198</v>
      </c>
      <c r="E592" s="1" t="n">
        <v>46292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48683-2023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45208</v>
      </c>
      <c r="E593" s="1" t="n">
        <v>46292</v>
      </c>
      <c r="F593" t="inlineStr">
        <is>
          <t>DALARNAS LÄN</t>
        </is>
      </c>
      <c r="G593" t="inlineStr">
        <is>
          <t>LUDVIKA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57557-2023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45246</v>
      </c>
      <c r="E594" s="1" t="n">
        <v>46292</v>
      </c>
      <c r="F594" t="inlineStr">
        <is>
          <t>DALARNAS LÄN</t>
        </is>
      </c>
      <c r="G594" t="inlineStr">
        <is>
          <t>LUDVIKA</t>
        </is>
      </c>
      <c r="I594" t="n">
        <v>12.7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16807-2025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45754</v>
      </c>
      <c r="E595" s="1" t="n">
        <v>46292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46292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45744</v>
      </c>
      <c r="E597" s="1" t="n">
        <v>46292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35837-2026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46292</v>
      </c>
      <c r="F598" t="inlineStr">
        <is>
          <t>DALARNAS LÄN</t>
        </is>
      </c>
      <c r="G598" t="inlineStr">
        <is>
          <t>LUDVIKA</t>
        </is>
      </c>
      <c r="H598" t="inlineStr">
        <is>
          <t>Kyrkan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46220</v>
      </c>
      <c r="E599" s="1" t="n">
        <v>46292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31646-2026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46225</v>
      </c>
      <c r="E600" s="1" t="n">
        <v>46292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46292</v>
      </c>
      <c r="F601" t="inlineStr">
        <is>
          <t>DALARNAS LÄN</t>
        </is>
      </c>
      <c r="G601" t="inlineStr">
        <is>
          <t>LUDVIKA</t>
        </is>
      </c>
      <c r="I601" t="n">
        <v>8.5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31270-2022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44771</v>
      </c>
      <c r="E602" s="1" t="n">
        <v>46292</v>
      </c>
      <c r="F602" t="inlineStr">
        <is>
          <t>DALARNAS LÄN</t>
        </is>
      </c>
      <c r="G602" t="inlineStr">
        <is>
          <t>LUDVIKA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61309-2022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46292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48740-2022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44859</v>
      </c>
      <c r="E604" s="1" t="n">
        <v>46292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46230</v>
      </c>
      <c r="E605" s="1" t="n">
        <v>46292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46272</v>
      </c>
      <c r="E606" s="1" t="n">
        <v>46292</v>
      </c>
      <c r="F606" t="inlineStr">
        <is>
          <t>DALARNAS LÄN</t>
        </is>
      </c>
      <c r="G606" t="inlineStr">
        <is>
          <t>LUDVIKA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46292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37052-2026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46273</v>
      </c>
      <c r="E608" s="1" t="n">
        <v>46292</v>
      </c>
      <c r="F608" t="inlineStr">
        <is>
          <t>DALARNAS LÄN</t>
        </is>
      </c>
      <c r="G608" t="inlineStr">
        <is>
          <t>LUDVIKA</t>
        </is>
      </c>
      <c r="I608" t="n">
        <v>8.5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46230</v>
      </c>
      <c r="E609" s="1" t="n">
        <v>46292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37015-2026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46273</v>
      </c>
      <c r="E610" s="1" t="n">
        <v>46292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46273</v>
      </c>
      <c r="E611" s="1" t="n">
        <v>46292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37000-2026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46273</v>
      </c>
      <c r="E612" s="1" t="n">
        <v>46292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46292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36073-2026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46267</v>
      </c>
      <c r="E614" s="1" t="n">
        <v>46292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37359-2026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46275</v>
      </c>
      <c r="E615" s="1" t="n">
        <v>46292</v>
      </c>
      <c r="F615" t="inlineStr">
        <is>
          <t>DALARNAS LÄN</t>
        </is>
      </c>
      <c r="G615" t="inlineStr">
        <is>
          <t>LUDVIKA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37350-2026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46275</v>
      </c>
      <c r="E616" s="1" t="n">
        <v>46292</v>
      </c>
      <c r="F616" t="inlineStr">
        <is>
          <t>DALARNAS LÄN</t>
        </is>
      </c>
      <c r="G616" t="inlineStr">
        <is>
          <t>LUDVIKA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46292</v>
      </c>
      <c r="F617" t="inlineStr">
        <is>
          <t>DALARNAS LÄN</t>
        </is>
      </c>
      <c r="G617" t="inlineStr">
        <is>
          <t>LUDVIKA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45243</v>
      </c>
      <c r="E618" s="1" t="n">
        <v>46292</v>
      </c>
      <c r="F618" t="inlineStr">
        <is>
          <t>DALARNAS LÄN</t>
        </is>
      </c>
      <c r="G618" t="inlineStr">
        <is>
          <t>LUDVIKA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46280</v>
      </c>
      <c r="E619" s="1" t="n">
        <v>46292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46292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46279</v>
      </c>
      <c r="E621" s="1" t="n">
        <v>46292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53996-2024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45616</v>
      </c>
      <c r="E622" s="1" t="n">
        <v>46292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46233</v>
      </c>
      <c r="E623" s="1" t="n">
        <v>46292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46280</v>
      </c>
      <c r="E624" s="1" t="n">
        <v>46292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64171-2023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45279</v>
      </c>
      <c r="E625" s="1" t="n">
        <v>46292</v>
      </c>
      <c r="F625" t="inlineStr">
        <is>
          <t>DALARNAS LÄN</t>
        </is>
      </c>
      <c r="G625" t="inlineStr">
        <is>
          <t>LUDVIKA</t>
        </is>
      </c>
      <c r="I625" t="n">
        <v>8.6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923-2024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45301</v>
      </c>
      <c r="E626" s="1" t="n">
        <v>46292</v>
      </c>
      <c r="F626" t="inlineStr">
        <is>
          <t>DALARNAS LÄN</t>
        </is>
      </c>
      <c r="G626" t="inlineStr">
        <is>
          <t>LUDVIKA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37702-2026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46292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45775</v>
      </c>
      <c r="E628" s="1" t="n">
        <v>46292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46281</v>
      </c>
      <c r="E629" s="1" t="n">
        <v>46292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38357-2026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46282</v>
      </c>
      <c r="E630" s="1" t="n">
        <v>46292</v>
      </c>
      <c r="F630" t="inlineStr">
        <is>
          <t>DALARNAS LÄN</t>
        </is>
      </c>
      <c r="G630" t="inlineStr">
        <is>
          <t>LUDVIKA</t>
        </is>
      </c>
      <c r="H630" t="inlineStr">
        <is>
          <t>Naturvårdsverket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53620-2022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44879</v>
      </c>
      <c r="E631" s="1" t="n">
        <v>46292</v>
      </c>
      <c r="F631" t="inlineStr">
        <is>
          <t>DALARNAS LÄN</t>
        </is>
      </c>
      <c r="G631" t="inlineStr">
        <is>
          <t>LUDVIKA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46241</v>
      </c>
      <c r="E632" s="1" t="n">
        <v>46292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46241</v>
      </c>
      <c r="E633" s="1" t="n">
        <v>46292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7238-2023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44970</v>
      </c>
      <c r="E634" s="1" t="n">
        <v>46292</v>
      </c>
      <c r="F634" t="inlineStr">
        <is>
          <t>DALARNAS LÄN</t>
        </is>
      </c>
      <c r="G634" t="inlineStr">
        <is>
          <t>LUDVIKA</t>
        </is>
      </c>
      <c r="H634" t="inlineStr">
        <is>
          <t>Övriga Aktiebolag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32749-2026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46241</v>
      </c>
      <c r="E635" s="1" t="n">
        <v>46292</v>
      </c>
      <c r="F635" t="inlineStr">
        <is>
          <t>DALARNAS LÄN</t>
        </is>
      </c>
      <c r="G635" t="inlineStr">
        <is>
          <t>LUDVIKA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73703-2021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44552</v>
      </c>
      <c r="E636" s="1" t="n">
        <v>46292</v>
      </c>
      <c r="F636" t="inlineStr">
        <is>
          <t>DALARNAS LÄN</t>
        </is>
      </c>
      <c r="G636" t="inlineStr">
        <is>
          <t>LUDVIKA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46292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38620-2026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46292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46241</v>
      </c>
      <c r="E639" s="1" t="n">
        <v>46292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46292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38656-2026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46283</v>
      </c>
      <c r="E641" s="1" t="n">
        <v>46292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46283</v>
      </c>
      <c r="E642" s="1" t="n">
        <v>46292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46287</v>
      </c>
      <c r="E643" s="1" t="n">
        <v>46292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46292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25299-2022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44730</v>
      </c>
      <c r="E645" s="1" t="n">
        <v>46292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44599</v>
      </c>
      <c r="E646" s="1" t="n">
        <v>46292</v>
      </c>
      <c r="F646" t="inlineStr">
        <is>
          <t>DALARNAS LÄN</t>
        </is>
      </c>
      <c r="G646" t="inlineStr">
        <is>
          <t>LUDVIKA</t>
        </is>
      </c>
      <c r="I646" t="n">
        <v>8.4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48642-2022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44859</v>
      </c>
      <c r="E647" s="1" t="n">
        <v>46292</v>
      </c>
      <c r="F647" t="inlineStr">
        <is>
          <t>DALARNAS LÄN</t>
        </is>
      </c>
      <c r="G647" t="inlineStr">
        <is>
          <t>LUDVIKA</t>
        </is>
      </c>
      <c r="H647" t="inlineStr">
        <is>
          <t>Naturvårdsverket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44960</v>
      </c>
      <c r="E648" s="1" t="n">
        <v>46292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39435-2026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46288</v>
      </c>
      <c r="E649" s="1" t="n">
        <v>46292</v>
      </c>
      <c r="F649" t="inlineStr">
        <is>
          <t>DALARNAS LÄN</t>
        </is>
      </c>
      <c r="G649" t="inlineStr">
        <is>
          <t>LUDVIKA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46247</v>
      </c>
      <c r="E650" s="1" t="n">
        <v>46292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39855-2026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46292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33397-2026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46247</v>
      </c>
      <c r="E652" s="1" t="n">
        <v>46292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46247</v>
      </c>
      <c r="E653" s="1" t="n">
        <v>46292</v>
      </c>
      <c r="F653" t="inlineStr">
        <is>
          <t>DALARNAS LÄN</t>
        </is>
      </c>
      <c r="G653" t="inlineStr">
        <is>
          <t>LUDVIKA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38869-2026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46286</v>
      </c>
      <c r="E654" s="1" t="n">
        <v>46292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46074-2023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45196</v>
      </c>
      <c r="E655" s="1" t="n">
        <v>46292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48288-2023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45205</v>
      </c>
      <c r="E656" s="1" t="n">
        <v>46292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39789-2026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46290</v>
      </c>
      <c r="E657" s="1" t="n">
        <v>46292</v>
      </c>
      <c r="F657" t="inlineStr">
        <is>
          <t>DALARNAS LÄN</t>
        </is>
      </c>
      <c r="G657" t="inlineStr">
        <is>
          <t>LUDVIKA</t>
        </is>
      </c>
      <c r="H657" t="inlineStr">
        <is>
          <t>Naturvårdsverket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39777-2026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46290</v>
      </c>
      <c r="E658" s="1" t="n">
        <v>46292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39854-2026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46290</v>
      </c>
      <c r="E659" s="1" t="n">
        <v>46292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46286</v>
      </c>
      <c r="E660" s="1" t="n">
        <v>46292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39879-2026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46290</v>
      </c>
      <c r="E661" s="1" t="n">
        <v>46292</v>
      </c>
      <c r="F661" t="inlineStr">
        <is>
          <t>DALARNAS LÄN</t>
        </is>
      </c>
      <c r="G661" t="inlineStr">
        <is>
          <t>LUDVIKA</t>
        </is>
      </c>
      <c r="H661" t="inlineStr">
        <is>
          <t>Naturvårdsverket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49035-2024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45594</v>
      </c>
      <c r="E662" s="1" t="n">
        <v>46292</v>
      </c>
      <c r="F662" t="inlineStr">
        <is>
          <t>DALARNAS LÄN</t>
        </is>
      </c>
      <c r="G662" t="inlineStr">
        <is>
          <t>LUDVIKA</t>
        </is>
      </c>
      <c r="H662" t="inlineStr">
        <is>
          <t>Naturvårdsverket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49043-2024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45594</v>
      </c>
      <c r="E663" s="1" t="n">
        <v>46292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46292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18708-2023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46292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59050-2022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44903</v>
      </c>
      <c r="E666" s="1" t="n">
        <v>46292</v>
      </c>
      <c r="F666" t="inlineStr">
        <is>
          <t>DALARNAS LÄN</t>
        </is>
      </c>
      <c r="G666" t="inlineStr">
        <is>
          <t>LUDVIKA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7243-2023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44970</v>
      </c>
      <c r="E667" s="1" t="n">
        <v>46292</v>
      </c>
      <c r="F667" t="inlineStr">
        <is>
          <t>DALARNAS LÄN</t>
        </is>
      </c>
      <c r="G667" t="inlineStr">
        <is>
          <t>LUDVIKA</t>
        </is>
      </c>
      <c r="H667" t="inlineStr">
        <is>
          <t>Övriga Aktiebolag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38170-2023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45161</v>
      </c>
      <c r="E668" s="1" t="n">
        <v>46292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42128-2024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45562</v>
      </c>
      <c r="E669" s="1" t="n">
        <v>46292</v>
      </c>
      <c r="F669" t="inlineStr">
        <is>
          <t>DALARNAS LÄN</t>
        </is>
      </c>
      <c r="G669" t="inlineStr">
        <is>
          <t>LUDVIKA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56346-2022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44890</v>
      </c>
      <c r="E670" s="1" t="n">
        <v>46292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11237-2024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45371</v>
      </c>
      <c r="E671" s="1" t="n">
        <v>46292</v>
      </c>
      <c r="F671" t="inlineStr">
        <is>
          <t>DALARNAS LÄN</t>
        </is>
      </c>
      <c r="G671" t="inlineStr">
        <is>
          <t>LUDVIKA</t>
        </is>
      </c>
      <c r="I671" t="n">
        <v>20.8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56672-2023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45243</v>
      </c>
      <c r="E672" s="1" t="n">
        <v>46292</v>
      </c>
      <c r="F672" t="inlineStr">
        <is>
          <t>DALARNAS LÄN</t>
        </is>
      </c>
      <c r="G672" t="inlineStr">
        <is>
          <t>LUDVIKA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45373</v>
      </c>
      <c r="E673" s="1" t="n">
        <v>46292</v>
      </c>
      <c r="F673" t="inlineStr">
        <is>
          <t>DALARNAS LÄN</t>
        </is>
      </c>
      <c r="G673" t="inlineStr">
        <is>
          <t>LUDVIKA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57969-2024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45631</v>
      </c>
      <c r="E674" s="1" t="n">
        <v>46292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41668-2023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45176</v>
      </c>
      <c r="E675" s="1" t="n">
        <v>46292</v>
      </c>
      <c r="F675" t="inlineStr">
        <is>
          <t>DALARNAS LÄN</t>
        </is>
      </c>
      <c r="G675" t="inlineStr">
        <is>
          <t>LUDVIKA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20411-2023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45056</v>
      </c>
      <c r="E676" s="1" t="n">
        <v>46292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39400-2023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45166</v>
      </c>
      <c r="E677" s="1" t="n">
        <v>46292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30113-2023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45110</v>
      </c>
      <c r="E678" s="1" t="n">
        <v>46292</v>
      </c>
      <c r="F678" t="inlineStr">
        <is>
          <t>DALARNAS LÄN</t>
        </is>
      </c>
      <c r="G678" t="inlineStr">
        <is>
          <t>LUDVIKA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39519-2024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45551</v>
      </c>
      <c r="E679" s="1" t="n">
        <v>46292</v>
      </c>
      <c r="F679" t="inlineStr">
        <is>
          <t>DALARNAS LÄN</t>
        </is>
      </c>
      <c r="G679" t="inlineStr">
        <is>
          <t>LUDVIKA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44967</v>
      </c>
      <c r="E680" s="1" t="n">
        <v>46292</v>
      </c>
      <c r="F680" t="inlineStr">
        <is>
          <t>DALARNAS LÄN</t>
        </is>
      </c>
      <c r="G680" t="inlineStr">
        <is>
          <t>LUDVIKA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40125-2024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45554</v>
      </c>
      <c r="E681" s="1" t="n">
        <v>46292</v>
      </c>
      <c r="F681" t="inlineStr">
        <is>
          <t>DALARNAS LÄN</t>
        </is>
      </c>
      <c r="G681" t="inlineStr">
        <is>
          <t>LUDVIKA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33839-2024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45520</v>
      </c>
      <c r="E682" s="1" t="n">
        <v>46292</v>
      </c>
      <c r="F682" t="inlineStr">
        <is>
          <t>DALARNAS LÄN</t>
        </is>
      </c>
      <c r="G682" t="inlineStr">
        <is>
          <t>LUDVIKA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45481</v>
      </c>
      <c r="E683" s="1" t="n">
        <v>46292</v>
      </c>
      <c r="F683" t="inlineStr">
        <is>
          <t>DALARNAS LÄN</t>
        </is>
      </c>
      <c r="G683" t="inlineStr">
        <is>
          <t>LUDVIKA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45297</v>
      </c>
      <c r="E684" s="1" t="n">
        <v>46292</v>
      </c>
      <c r="F684" t="inlineStr">
        <is>
          <t>DALARNAS LÄN</t>
        </is>
      </c>
      <c r="G684" t="inlineStr">
        <is>
          <t>LUDVIKA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45218</v>
      </c>
      <c r="E685" s="1" t="n">
        <v>46292</v>
      </c>
      <c r="F685" t="inlineStr">
        <is>
          <t>DALARNAS LÄN</t>
        </is>
      </c>
      <c r="G685" t="inlineStr">
        <is>
          <t>LUDVIKA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60660-2024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45644</v>
      </c>
      <c r="E686" s="1" t="n">
        <v>46292</v>
      </c>
      <c r="F686" t="inlineStr">
        <is>
          <t>DALARNAS LÄN</t>
        </is>
      </c>
      <c r="G686" t="inlineStr">
        <is>
          <t>LUDVIKA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53048-2024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45611</v>
      </c>
      <c r="E687" s="1" t="n">
        <v>46292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50777-2024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45602</v>
      </c>
      <c r="E688" s="1" t="n">
        <v>46292</v>
      </c>
      <c r="F688" t="inlineStr">
        <is>
          <t>DALARNAS LÄN</t>
        </is>
      </c>
      <c r="G688" t="inlineStr">
        <is>
          <t>LUDVIKA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28507-2023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46292</v>
      </c>
      <c r="F689" t="inlineStr">
        <is>
          <t>DALARNAS LÄN</t>
        </is>
      </c>
      <c r="G689" t="inlineStr">
        <is>
          <t>LUDVIKA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3470-2025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45680</v>
      </c>
      <c r="E690" s="1" t="n">
        <v>46292</v>
      </c>
      <c r="F690" t="inlineStr">
        <is>
          <t>DALARNAS LÄN</t>
        </is>
      </c>
      <c r="G690" t="inlineStr">
        <is>
          <t>LUDVIKA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45544-2024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45579</v>
      </c>
      <c r="E691" s="1" t="n">
        <v>46292</v>
      </c>
      <c r="F691" t="inlineStr">
        <is>
          <t>DALARNAS LÄN</t>
        </is>
      </c>
      <c r="G691" t="inlineStr">
        <is>
          <t>LUDVIKA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45547-2024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45579</v>
      </c>
      <c r="E692" s="1" t="n">
        <v>46292</v>
      </c>
      <c r="F692" t="inlineStr">
        <is>
          <t>DALARNAS LÄN</t>
        </is>
      </c>
      <c r="G692" t="inlineStr">
        <is>
          <t>LUDVIKA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56996-2021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44482</v>
      </c>
      <c r="E693" s="1" t="n">
        <v>46292</v>
      </c>
      <c r="F693" t="inlineStr">
        <is>
          <t>DALARNAS LÄN</t>
        </is>
      </c>
      <c r="G693" t="inlineStr">
        <is>
          <t>LUDVIKA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3277-2024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45317</v>
      </c>
      <c r="E694" s="1" t="n">
        <v>46292</v>
      </c>
      <c r="F694" t="inlineStr">
        <is>
          <t>DALARNAS LÄN</t>
        </is>
      </c>
      <c r="G694" t="inlineStr">
        <is>
          <t>LUDVIKA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12497-2024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45379</v>
      </c>
      <c r="E695" s="1" t="n">
        <v>46292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49805-2023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45212</v>
      </c>
      <c r="E696" s="1" t="n">
        <v>46292</v>
      </c>
      <c r="F696" t="inlineStr">
        <is>
          <t>DALARNAS LÄN</t>
        </is>
      </c>
      <c r="G696" t="inlineStr">
        <is>
          <t>LUDVIKA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61384-2024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45646</v>
      </c>
      <c r="E697" s="1" t="n">
        <v>46292</v>
      </c>
      <c r="F697" t="inlineStr">
        <is>
          <t>DALARNAS LÄN</t>
        </is>
      </c>
      <c r="G697" t="inlineStr">
        <is>
          <t>LUDVIKA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3280-2024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45317</v>
      </c>
      <c r="E698" s="1" t="n">
        <v>46292</v>
      </c>
      <c r="F698" t="inlineStr">
        <is>
          <t>DALARNAS LÄN</t>
        </is>
      </c>
      <c r="G698" t="inlineStr">
        <is>
          <t>LUDVIKA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29780-2024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45485</v>
      </c>
      <c r="E699" s="1" t="n">
        <v>46292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14881-2025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45743</v>
      </c>
      <c r="E700" s="1" t="n">
        <v>46292</v>
      </c>
      <c r="F700" t="inlineStr">
        <is>
          <t>DALARNAS LÄN</t>
        </is>
      </c>
      <c r="G700" t="inlineStr">
        <is>
          <t>LUDVIKA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21891-2025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46292</v>
      </c>
      <c r="F701" t="inlineStr">
        <is>
          <t>DALARNAS LÄN</t>
        </is>
      </c>
      <c r="G701" t="inlineStr">
        <is>
          <t>LUDVIKA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21893-2025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46292</v>
      </c>
      <c r="F702" t="inlineStr">
        <is>
          <t>DALARNAS LÄN</t>
        </is>
      </c>
      <c r="G702" t="inlineStr">
        <is>
          <t>LUDVIKA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38359-2024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46292</v>
      </c>
      <c r="F703" t="inlineStr">
        <is>
          <t>DALARNAS LÄN</t>
        </is>
      </c>
      <c r="G703" t="inlineStr">
        <is>
          <t>LUDVIKA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42421-2024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45565</v>
      </c>
      <c r="E704" s="1" t="n">
        <v>46292</v>
      </c>
      <c r="F704" t="inlineStr">
        <is>
          <t>DALARNAS LÄN</t>
        </is>
      </c>
      <c r="G704" t="inlineStr">
        <is>
          <t>LUDVIKA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24712-2024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45460</v>
      </c>
      <c r="E705" s="1" t="n">
        <v>46292</v>
      </c>
      <c r="F705" t="inlineStr">
        <is>
          <t>DALARNAS LÄN</t>
        </is>
      </c>
      <c r="G705" t="inlineStr">
        <is>
          <t>LUDVIKA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53602-2023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45230</v>
      </c>
      <c r="E706" s="1" t="n">
        <v>46292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46095-2024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45581</v>
      </c>
      <c r="E707" s="1" t="n">
        <v>46292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52359-2024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45609</v>
      </c>
      <c r="E708" s="1" t="n">
        <v>46292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46093-2024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45581</v>
      </c>
      <c r="E709" s="1" t="n">
        <v>46292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33914-2023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45134</v>
      </c>
      <c r="E710" s="1" t="n">
        <v>46292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45789</v>
      </c>
      <c r="E711" s="1" t="n">
        <v>46292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22610-2025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45789</v>
      </c>
      <c r="E712" s="1" t="n">
        <v>46292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50240-2024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45600</v>
      </c>
      <c r="E713" s="1" t="n">
        <v>46292</v>
      </c>
      <c r="F713" t="inlineStr">
        <is>
          <t>DALARNAS LÄN</t>
        </is>
      </c>
      <c r="G713" t="inlineStr">
        <is>
          <t>LUDVIKA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36066-2024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45533</v>
      </c>
      <c r="E714" s="1" t="n">
        <v>46292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43702-2024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45569</v>
      </c>
      <c r="E715" s="1" t="n">
        <v>46292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22599-2025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45789</v>
      </c>
      <c r="E716" s="1" t="n">
        <v>46292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45789</v>
      </c>
      <c r="E717" s="1" t="n">
        <v>46292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47233-2024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45586</v>
      </c>
      <c r="E718" s="1" t="n">
        <v>46292</v>
      </c>
      <c r="F718" t="inlineStr">
        <is>
          <t>DALARNAS LÄN</t>
        </is>
      </c>
      <c r="G718" t="inlineStr">
        <is>
          <t>LUDVIKA</t>
        </is>
      </c>
      <c r="I718" t="n">
        <v>9.5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46107-2024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45581</v>
      </c>
      <c r="E719" s="1" t="n">
        <v>46292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41539-2024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45560</v>
      </c>
      <c r="E720" s="1" t="n">
        <v>46292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23088-2025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45791</v>
      </c>
      <c r="E721" s="1" t="n">
        <v>46292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22686-2025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45786</v>
      </c>
      <c r="E722" s="1" t="n">
        <v>46292</v>
      </c>
      <c r="F722" t="inlineStr">
        <is>
          <t>DALARNAS LÄN</t>
        </is>
      </c>
      <c r="G722" t="inlineStr">
        <is>
          <t>LUDVIKA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34280-2024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45524</v>
      </c>
      <c r="E723" s="1" t="n">
        <v>46292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23105-2025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45791</v>
      </c>
      <c r="E724" s="1" t="n">
        <v>46292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2837-2023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45167</v>
      </c>
      <c r="E725" s="1" t="n">
        <v>46292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1122-2023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45015</v>
      </c>
      <c r="E726" s="1" t="n">
        <v>46292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115.7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3660-2023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45216</v>
      </c>
      <c r="E727" s="1" t="n">
        <v>46292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1246-2024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45400</v>
      </c>
      <c r="E728" s="1" t="n">
        <v>46292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35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1096-2024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45391</v>
      </c>
      <c r="E729" s="1" t="n">
        <v>46292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26.7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4863-2022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44805</v>
      </c>
      <c r="E730" s="1" t="n">
        <v>46292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5.7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1113-2023</t>
        </is>
      </c>
      <c r="B731" t="inlineStr">
        <is>
          <t>samrådsanmälan</t>
        </is>
      </c>
      <c r="C731" t="inlineStr">
        <is>
          <t>Skogsgödsling</t>
        </is>
      </c>
      <c r="D731" s="1" t="n">
        <v>45015</v>
      </c>
      <c r="E731" s="1" t="n">
        <v>46292</v>
      </c>
      <c r="F731" t="inlineStr">
        <is>
          <t>DALARNAS LÄN</t>
        </is>
      </c>
      <c r="G731" t="inlineStr">
        <is>
          <t>LUDVIKA</t>
        </is>
      </c>
      <c r="H731" t="inlineStr">
        <is>
          <t>Bergvik skog väst AB</t>
        </is>
      </c>
      <c r="I731" t="n">
        <v>37.9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>
      <c r="A732" t="inlineStr">
        <is>
          <t>S 1815-2026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46190</v>
      </c>
      <c r="E732" s="1" t="n">
        <v>46292</v>
      </c>
      <c r="F732" t="inlineStr">
        <is>
          <t>DALARNAS LÄN</t>
        </is>
      </c>
      <c r="G732" t="inlineStr">
        <is>
          <t>LUDVIKA</t>
        </is>
      </c>
      <c r="H732" t="inlineStr">
        <is>
          <t>Bergvik skog väst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2026-09-27T01:58:46Z</dcterms:created>
  <dcterms:modified xmlns:dcterms="http://purl.org/dc/terms/" xmlns:xsi="http://www.w3.org/2001/XMLSchema-instance" xsi:type="dcterms:W3CDTF">2026-09-27T01:58:47Z</dcterms:modified>
</cp:coreProperties>
</file>
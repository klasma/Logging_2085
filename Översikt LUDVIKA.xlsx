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46267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46267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46267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46267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46267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46267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46267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46267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46267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46267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46267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46267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46267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46267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46267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46267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46267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46267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46267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46267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46267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46267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46267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46267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46267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46267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46267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46267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46267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46267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46267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46267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46267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46267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46267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46267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46267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46267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46267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46267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46267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46267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46267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46267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46267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Spillkråka</t>
        </is>
      </c>
      <c r="W65">
        <f>HYPERLINK("https://klasma.github.io/Logging_2085/artfynd/A 11755-2023 artfynd.xlsx", "A 11755-2023")</f>
        <v/>
      </c>
      <c r="X65">
        <f>HYPERLINK("https://klasma.github.io/Logging_2085/kartor/A 11755-2023 karta.png", "A 11755-2023")</f>
        <v/>
      </c>
      <c r="Y65">
        <f>HYPERLINK("https://klasma.github.io/Logging_2085/kartor_geotiff/A 11755-2023 georefererad karta.tif", "A 11755-2023")</f>
        <v/>
      </c>
      <c r="AA65">
        <f>HYPERLINK("https://klasma.github.io/Logging_2085/klagomål/A 11755-2023 FSC-klagomål.docx", "A 11755-2023")</f>
        <v/>
      </c>
      <c r="AB65">
        <f>HYPERLINK("https://klasma.github.io/Logging_2085/klagomålsmail/A 11755-2023 FSC-klagomål mail.docx", "A 11755-2023")</f>
        <v/>
      </c>
      <c r="AC65">
        <f>HYPERLINK("https://klasma.github.io/Logging_2085/tillsyn/A 11755-2023 tillsynsbegäran.docx", "A 11755-2023")</f>
        <v/>
      </c>
      <c r="AD65">
        <f>HYPERLINK("https://klasma.github.io/Logging_2085/tillsynsmail/A 11755-2023 tillsynsbegäran mail.docx", "A 11755-2023")</f>
        <v/>
      </c>
      <c r="AE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46267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Ärtsångare</t>
        </is>
      </c>
      <c r="W66">
        <f>HYPERLINK("https://klasma.github.io/Logging_2085/artfynd/A 45225-2024 artfynd.xlsx", "A 45225-2024")</f>
        <v/>
      </c>
      <c r="X66">
        <f>HYPERLINK("https://klasma.github.io/Logging_2085/kartor/A 45225-2024 karta.png", "A 45225-2024")</f>
        <v/>
      </c>
      <c r="Y66">
        <f>HYPERLINK("https://klasma.github.io/Logging_2085/kartor_geotiff/A 45225-2024 georefererad karta.tif", "A 45225-2024")</f>
        <v/>
      </c>
      <c r="AA66">
        <f>HYPERLINK("https://klasma.github.io/Logging_2085/klagomål/A 45225-2024 FSC-klagomål.docx", "A 45225-2024")</f>
        <v/>
      </c>
      <c r="AB66">
        <f>HYPERLINK("https://klasma.github.io/Logging_2085/klagomålsmail/A 45225-2024 FSC-klagomål mail.docx", "A 45225-2024")</f>
        <v/>
      </c>
      <c r="AC66">
        <f>HYPERLINK("https://klasma.github.io/Logging_2085/tillsyn/A 45225-2024 tillsynsbegäran.docx", "A 45225-2024")</f>
        <v/>
      </c>
      <c r="AD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46267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46267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46267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46267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56879-2025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46267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3</v>
      </c>
      <c r="V71" s="2" t="inlineStr">
        <is>
          <t>Garnlav
Tjäder</t>
        </is>
      </c>
      <c r="W71">
        <f>HYPERLINK("https://klasma.github.io/Logging_2085/artfynd/A 56879-2025 artfynd.xlsx", "A 56879-2025")</f>
        <v/>
      </c>
      <c r="X71">
        <f>HYPERLINK("https://klasma.github.io/Logging_2085/kartor/A 56879-2025 karta.png", "A 56879-2025")</f>
        <v/>
      </c>
      <c r="Y71">
        <f>HYPERLINK("https://klasma.github.io/Logging_2085/kartor_geotiff/A 56879-2025 georefererad karta.tif", "A 56879-2025")</f>
        <v/>
      </c>
      <c r="AA71">
        <f>HYPERLINK("https://klasma.github.io/Logging_2085/klagomål/A 56879-2025 FSC-klagomål.docx", "A 56879-2025")</f>
        <v/>
      </c>
      <c r="AB71">
        <f>HYPERLINK("https://klasma.github.io/Logging_2085/klagomålsmail/A 56879-2025 FSC-klagomål mail.docx", "A 56879-2025")</f>
        <v/>
      </c>
      <c r="AC71">
        <f>HYPERLINK("https://klasma.github.io/Logging_2085/tillsyn/A 56879-2025 tillsynsbegäran.docx", "A 56879-2025")</f>
        <v/>
      </c>
      <c r="AD71">
        <f>HYPERLINK("https://klasma.github.io/Logging_2085/tillsynsmail/A 56879-2025 tillsynsbegäran mail.docx", "A 56879-2025")</f>
        <v/>
      </c>
      <c r="AE71">
        <f>HYPERLINK("https://klasma.github.io/Logging_2085/fåglar/A 56879-2025 prioriterade fågelarter.docx", "A 56879-2025")</f>
        <v/>
      </c>
    </row>
    <row r="72" ht="15" customHeight="1">
      <c r="A72" t="inlineStr">
        <is>
          <t>A 33155-2024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45518</v>
      </c>
      <c r="E72" s="1" t="n">
        <v>46267</v>
      </c>
      <c r="F72" t="inlineStr">
        <is>
          <t>DALARNAS LÄN</t>
        </is>
      </c>
      <c r="G72" t="inlineStr">
        <is>
          <t>LUDVIKA</t>
        </is>
      </c>
      <c r="I72" t="n">
        <v>2.9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Brunpudrad nållav
Tretåig hackspett</t>
        </is>
      </c>
      <c r="W72">
        <f>HYPERLINK("https://klasma.github.io/Logging_2085/artfynd/A 33155-2024 artfynd.xlsx", "A 33155-2024")</f>
        <v/>
      </c>
      <c r="X72">
        <f>HYPERLINK("https://klasma.github.io/Logging_2085/kartor/A 33155-2024 karta.png", "A 33155-2024")</f>
        <v/>
      </c>
      <c r="Y72">
        <f>HYPERLINK("https://klasma.github.io/Logging_2085/kartor_geotiff/A 33155-2024 georefererad karta.tif", "A 33155-2024")</f>
        <v/>
      </c>
      <c r="AA72">
        <f>HYPERLINK("https://klasma.github.io/Logging_2085/klagomål/A 33155-2024 FSC-klagomål.docx", "A 33155-2024")</f>
        <v/>
      </c>
      <c r="AB72">
        <f>HYPERLINK("https://klasma.github.io/Logging_2085/klagomålsmail/A 33155-2024 FSC-klagomål mail.docx", "A 33155-2024")</f>
        <v/>
      </c>
      <c r="AC72">
        <f>HYPERLINK("https://klasma.github.io/Logging_2085/tillsyn/A 33155-2024 tillsynsbegäran.docx", "A 33155-2024")</f>
        <v/>
      </c>
      <c r="AD72">
        <f>HYPERLINK("https://klasma.github.io/Logging_2085/tillsynsmail/A 33155-2024 tillsynsbegäran mail.docx", "A 33155-2024")</f>
        <v/>
      </c>
      <c r="AE72">
        <f>HYPERLINK("https://klasma.github.io/Logging_2085/fåglar/A 33155-2024 prioriterade fågelarter.docx", "A 33155-2024")</f>
        <v/>
      </c>
    </row>
    <row r="73" ht="15" customHeight="1">
      <c r="A73" t="inlineStr">
        <is>
          <t>A 49051-2024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46267</v>
      </c>
      <c r="F73" t="inlineStr">
        <is>
          <t>DALARNAS LÄN</t>
        </is>
      </c>
      <c r="G73" t="inlineStr">
        <is>
          <t>LUDVIKA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2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0</v>
      </c>
      <c r="V73" s="2" t="inlineStr">
        <is>
          <t>Ladparasitspik
Vedkastanjelav</t>
        </is>
      </c>
      <c r="W73">
        <f>HYPERLINK("https://klasma.github.io/Logging_2085/artfynd/A 49051-2024 artfynd.xlsx", "A 49051-2024")</f>
        <v/>
      </c>
      <c r="X73">
        <f>HYPERLINK("https://klasma.github.io/Logging_2085/kartor/A 49051-2024 karta.png", "A 49051-2024")</f>
        <v/>
      </c>
      <c r="Y73">
        <f>HYPERLINK("https://klasma.github.io/Logging_2085/kartor_geotiff/A 49051-2024 georefererad karta.tif", "A 49051-2024")</f>
        <v/>
      </c>
      <c r="AA73">
        <f>HYPERLINK("https://klasma.github.io/Logging_2085/klagomål/A 49051-2024 FSC-klagomål.docx", "A 49051-2024")</f>
        <v/>
      </c>
      <c r="AB73">
        <f>HYPERLINK("https://klasma.github.io/Logging_2085/klagomålsmail/A 49051-2024 FSC-klagomål mail.docx", "A 49051-2024")</f>
        <v/>
      </c>
      <c r="AC73">
        <f>HYPERLINK("https://klasma.github.io/Logging_2085/tillsyn/A 49051-2024 tillsynsbegäran.docx", "A 49051-2024")</f>
        <v/>
      </c>
      <c r="AD73">
        <f>HYPERLINK("https://klasma.github.io/Logging_2085/tillsynsmail/A 49051-2024 tillsynsbegäran mail.docx", "A 49051-2024")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46267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46267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46267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46267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46267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46267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46267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46267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46267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46267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46267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46267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46267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46267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46267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46267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46267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46267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59947-2025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46267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HYPERLINK("https://klasma.github.io/Logging_2085/artfynd/A 59947-2025 artfynd.xlsx", "A 59947-2025")</f>
        <v/>
      </c>
      <c r="X95">
        <f>HYPERLINK("https://klasma.github.io/Logging_2085/kartor/A 59947-2025 karta.png", "A 59947-2025")</f>
        <v/>
      </c>
      <c r="Y95">
        <f>HYPERLINK("https://klasma.github.io/Logging_2085/kartor_geotiff/A 59947-2025 georefererad karta.tif", "A 59947-2025")</f>
        <v/>
      </c>
      <c r="AA95">
        <f>HYPERLINK("https://klasma.github.io/Logging_2085/klagomål/A 59947-2025 FSC-klagomål.docx", "A 59947-2025")</f>
        <v/>
      </c>
      <c r="AB95">
        <f>HYPERLINK("https://klasma.github.io/Logging_2085/klagomålsmail/A 59947-2025 FSC-klagomål mail.docx", "A 59947-2025")</f>
        <v/>
      </c>
      <c r="AC95">
        <f>HYPERLINK("https://klasma.github.io/Logging_2085/tillsyn/A 59947-2025 tillsynsbegäran.docx", "A 59947-2025")</f>
        <v/>
      </c>
      <c r="AD95">
        <f>HYPERLINK("https://klasma.github.io/Logging_2085/tillsynsmail/A 59947-2025 tillsynsbegäran mail.docx", "A 59947-2025")</f>
        <v/>
      </c>
      <c r="AE95">
        <f>HYPERLINK("https://klasma.github.io/Logging_2085/fåglar/A 59947-2025 prioriterade fågelarter.docx", "A 59947-2025")</f>
        <v/>
      </c>
    </row>
    <row r="96" ht="15" customHeight="1">
      <c r="A96" t="inlineStr">
        <is>
          <t>A 55550-2022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46267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Ögonpyrola</t>
        </is>
      </c>
      <c r="W96">
        <f>HYPERLINK("https://klasma.github.io/Logging_2085/artfynd/A 55550-2022 artfynd.xlsx", "A 55550-2022")</f>
        <v/>
      </c>
      <c r="X96">
        <f>HYPERLINK("https://klasma.github.io/Logging_2085/kartor/A 55550-2022 karta.png", "A 55550-2022")</f>
        <v/>
      </c>
      <c r="Y96">
        <f>HYPERLINK("https://klasma.github.io/Logging_2085/kartor_geotiff/A 55550-2022 georefererad karta.tif", "A 55550-2022")</f>
        <v/>
      </c>
      <c r="AA96">
        <f>HYPERLINK("https://klasma.github.io/Logging_2085/klagomål/A 55550-2022 FSC-klagomål.docx", "A 55550-2022")</f>
        <v/>
      </c>
      <c r="AB96">
        <f>HYPERLINK("https://klasma.github.io/Logging_2085/klagomålsmail/A 55550-2022 FSC-klagomål mail.docx", "A 55550-2022")</f>
        <v/>
      </c>
      <c r="AC96">
        <f>HYPERLINK("https://klasma.github.io/Logging_2085/tillsyn/A 55550-2022 tillsynsbegäran.docx", "A 55550-2022")</f>
        <v/>
      </c>
      <c r="AD96">
        <f>HYPERLINK("https://klasma.github.io/Logging_2085/tillsynsmail/A 55550-2022 tillsynsbegäran mail.docx", "A 55550-2022")</f>
        <v/>
      </c>
    </row>
    <row r="97" ht="15" customHeight="1">
      <c r="A97" t="inlineStr">
        <is>
          <t>A 26850-2023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46267</v>
      </c>
      <c r="F97" t="inlineStr">
        <is>
          <t>DALARNAS LÄN</t>
        </is>
      </c>
      <c r="G97" t="inlineStr">
        <is>
          <t>LUDVIKA</t>
        </is>
      </c>
      <c r="H97" t="inlineStr">
        <is>
          <t>Naturvårdsverket</t>
        </is>
      </c>
      <c r="I97" t="n">
        <v>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HYPERLINK("https://klasma.github.io/Logging_2085/artfynd/A 26850-2023 artfynd.xlsx", "A 26850-2023")</f>
        <v/>
      </c>
      <c r="X97">
        <f>HYPERLINK("https://klasma.github.io/Logging_2085/kartor/A 26850-2023 karta.png", "A 26850-2023")</f>
        <v/>
      </c>
      <c r="Y97">
        <f>HYPERLINK("https://klasma.github.io/Logging_2085/kartor_geotiff/A 26850-2023 georefererad karta.tif", "A 26850-2023")</f>
        <v/>
      </c>
      <c r="AA97">
        <f>HYPERLINK("https://klasma.github.io/Logging_2085/klagomål/A 26850-2023 FSC-klagomål.docx", "A 26850-2023")</f>
        <v/>
      </c>
      <c r="AB97">
        <f>HYPERLINK("https://klasma.github.io/Logging_2085/klagomålsmail/A 26850-2023 FSC-klagomål mail.docx", "A 26850-2023")</f>
        <v/>
      </c>
      <c r="AC97">
        <f>HYPERLINK("https://klasma.github.io/Logging_2085/tillsyn/A 26850-2023 tillsynsbegäran.docx", "A 26850-2023")</f>
        <v/>
      </c>
      <c r="AD97">
        <f>HYPERLINK("https://klasma.github.io/Logging_2085/tillsynsmail/A 26850-2023 tillsynsbegäran mail.docx", "A 26850-2023")</f>
        <v/>
      </c>
    </row>
    <row r="98" ht="15" customHeight="1">
      <c r="A98" t="inlineStr">
        <is>
          <t>A 29733-2025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46267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HYPERLINK("https://klasma.github.io/Logging_2085/artfynd/A 29733-2025 artfynd.xlsx", "A 29733-2025")</f>
        <v/>
      </c>
      <c r="X98">
        <f>HYPERLINK("https://klasma.github.io/Logging_2085/kartor/A 29733-2025 karta.png", "A 29733-2025")</f>
        <v/>
      </c>
      <c r="Y98">
        <f>HYPERLINK("https://klasma.github.io/Logging_2085/kartor_geotiff/A 29733-2025 georefererad karta.tif", "A 29733-2025")</f>
        <v/>
      </c>
      <c r="AA98">
        <f>HYPERLINK("https://klasma.github.io/Logging_2085/klagomål/A 29733-2025 FSC-klagomål.docx", "A 29733-2025")</f>
        <v/>
      </c>
      <c r="AB98">
        <f>HYPERLINK("https://klasma.github.io/Logging_2085/klagomålsmail/A 29733-2025 FSC-klagomål mail.docx", "A 29733-2025")</f>
        <v/>
      </c>
      <c r="AC98">
        <f>HYPERLINK("https://klasma.github.io/Logging_2085/tillsyn/A 29733-2025 tillsynsbegäran.docx", "A 29733-2025")</f>
        <v/>
      </c>
      <c r="AD98">
        <f>HYPERLINK("https://klasma.github.io/Logging_2085/tillsynsmail/A 29733-2025 tillsynsbegäran mail.docx", "A 29733-2025")</f>
        <v/>
      </c>
    </row>
    <row r="99" ht="15" customHeight="1">
      <c r="A99" t="inlineStr">
        <is>
          <t>A 400-2023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46267</v>
      </c>
      <c r="F99" t="inlineStr">
        <is>
          <t>DALARNAS LÄN</t>
        </is>
      </c>
      <c r="G99" t="inlineStr">
        <is>
          <t>LUDVIKA</t>
        </is>
      </c>
      <c r="I99" t="n">
        <v>3.6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Nordfladdermus</t>
        </is>
      </c>
      <c r="W99">
        <f>HYPERLINK("https://klasma.github.io/Logging_2085/artfynd/A 400-2023 artfynd.xlsx", "A 400-2023")</f>
        <v/>
      </c>
      <c r="X99">
        <f>HYPERLINK("https://klasma.github.io/Logging_2085/kartor/A 400-2023 karta.png", "A 400-2023")</f>
        <v/>
      </c>
      <c r="Y99">
        <f>HYPERLINK("https://klasma.github.io/Logging_2085/kartor_geotiff/A 400-2023 georefererad karta.tif", "A 400-2023")</f>
        <v/>
      </c>
      <c r="AA99">
        <f>HYPERLINK("https://klasma.github.io/Logging_2085/klagomål/A 400-2023 FSC-klagomål.docx", "A 400-2023")</f>
        <v/>
      </c>
      <c r="AB99">
        <f>HYPERLINK("https://klasma.github.io/Logging_2085/klagomålsmail/A 400-2023 FSC-klagomål mail.docx", "A 400-2023")</f>
        <v/>
      </c>
      <c r="AC99">
        <f>HYPERLINK("https://klasma.github.io/Logging_2085/tillsyn/A 400-2023 tillsynsbegäran.docx", "A 400-2023")</f>
        <v/>
      </c>
      <c r="AD99">
        <f>HYPERLINK("https://klasma.github.io/Logging_2085/tillsynsmail/A 400-2023 tillsynsbegäran mail.docx", "A 400-2023")</f>
        <v/>
      </c>
    </row>
    <row r="100" ht="15" customHeight="1">
      <c r="A100" t="inlineStr">
        <is>
          <t>A 31478-2023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45114</v>
      </c>
      <c r="E100" s="1" t="n">
        <v>46267</v>
      </c>
      <c r="F100" t="inlineStr">
        <is>
          <t>DALARNAS LÄN</t>
        </is>
      </c>
      <c r="G100" t="inlineStr">
        <is>
          <t>LUDVIKA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HYPERLINK("https://klasma.github.io/Logging_2085/artfynd/A 31478-2023 artfynd.xlsx", "A 31478-2023")</f>
        <v/>
      </c>
      <c r="X100">
        <f>HYPERLINK("https://klasma.github.io/Logging_2085/kartor/A 31478-2023 karta.png", "A 31478-2023")</f>
        <v/>
      </c>
      <c r="Y100">
        <f>HYPERLINK("https://klasma.github.io/Logging_2085/kartor_geotiff/A 31478-2023 georefererad karta.tif", "A 31478-2023")</f>
        <v/>
      </c>
      <c r="AA100">
        <f>HYPERLINK("https://klasma.github.io/Logging_2085/klagomål/A 31478-2023 FSC-klagomål.docx", "A 31478-2023")</f>
        <v/>
      </c>
      <c r="AB100">
        <f>HYPERLINK("https://klasma.github.io/Logging_2085/klagomålsmail/A 31478-2023 FSC-klagomål mail.docx", "A 31478-2023")</f>
        <v/>
      </c>
      <c r="AC100">
        <f>HYPERLINK("https://klasma.github.io/Logging_2085/tillsyn/A 31478-2023 tillsynsbegäran.docx", "A 31478-2023")</f>
        <v/>
      </c>
      <c r="AD100">
        <f>HYPERLINK("https://klasma.github.io/Logging_2085/tillsynsmail/A 31478-2023 tillsynsbegäran mail.docx", "A 31478-2023")</f>
        <v/>
      </c>
    </row>
    <row r="101" ht="15" customHeight="1">
      <c r="A101" t="inlineStr">
        <is>
          <t>A 74401-2021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44560</v>
      </c>
      <c r="E101" s="1" t="n">
        <v>46267</v>
      </c>
      <c r="F101" t="inlineStr">
        <is>
          <t>DALARNAS LÄN</t>
        </is>
      </c>
      <c r="G101" t="inlineStr">
        <is>
          <t>LUDVIKA</t>
        </is>
      </c>
      <c r="H101" t="inlineStr">
        <is>
          <t>Kommuner</t>
        </is>
      </c>
      <c r="I101" t="n">
        <v>0.6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Gullgröppa</t>
        </is>
      </c>
      <c r="W101">
        <f>HYPERLINK("https://klasma.github.io/Logging_2085/artfynd/A 74401-2021 artfynd.xlsx", "A 74401-2021")</f>
        <v/>
      </c>
      <c r="X101">
        <f>HYPERLINK("https://klasma.github.io/Logging_2085/kartor/A 74401-2021 karta.png", "A 74401-2021")</f>
        <v/>
      </c>
      <c r="Y101">
        <f>HYPERLINK("https://klasma.github.io/Logging_2085/kartor_geotiff/A 74401-2021 georefererad karta.tif", "A 74401-2021")</f>
        <v/>
      </c>
      <c r="AA101">
        <f>HYPERLINK("https://klasma.github.io/Logging_2085/klagomål/A 74401-2021 FSC-klagomål.docx", "A 74401-2021")</f>
        <v/>
      </c>
      <c r="AB101">
        <f>HYPERLINK("https://klasma.github.io/Logging_2085/klagomålsmail/A 74401-2021 FSC-klagomål mail.docx", "A 74401-2021")</f>
        <v/>
      </c>
      <c r="AC101">
        <f>HYPERLINK("https://klasma.github.io/Logging_2085/tillsyn/A 74401-2021 tillsynsbegäran.docx", "A 74401-2021")</f>
        <v/>
      </c>
      <c r="AD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45791-2025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46267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Vitfläckig guldvinge</t>
        </is>
      </c>
      <c r="W102">
        <f>HYPERLINK("https://klasma.github.io/Logging_2085/artfynd/A 45791-2025 artfynd.xlsx", "A 45791-2025")</f>
        <v/>
      </c>
      <c r="X102">
        <f>HYPERLINK("https://klasma.github.io/Logging_2085/kartor/A 45791-2025 karta.png", "A 45791-2025")</f>
        <v/>
      </c>
      <c r="Y102">
        <f>HYPERLINK("https://klasma.github.io/Logging_2085/kartor_geotiff/A 45791-2025 georefererad karta.tif", "A 45791-2025")</f>
        <v/>
      </c>
      <c r="AA102">
        <f>HYPERLINK("https://klasma.github.io/Logging_2085/klagomål/A 45791-2025 FSC-klagomål.docx", "A 45791-2025")</f>
        <v/>
      </c>
      <c r="AB102">
        <f>HYPERLINK("https://klasma.github.io/Logging_2085/klagomålsmail/A 45791-2025 FSC-klagomål mail.docx", "A 45791-2025")</f>
        <v/>
      </c>
      <c r="AC102">
        <f>HYPERLINK("https://klasma.github.io/Logging_2085/tillsyn/A 45791-2025 tillsynsbegäran.docx", "A 45791-2025")</f>
        <v/>
      </c>
      <c r="AD102">
        <f>HYPERLINK("https://klasma.github.io/Logging_2085/tillsynsmail/A 45791-2025 tillsynsbegäran mail.docx", "A 45791-2025")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46267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46267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Blomkålssvamp</t>
        </is>
      </c>
      <c r="W104">
        <f>HYPERLINK("https://klasma.github.io/Logging_2085/artfynd/A 6579-2023 artfynd.xlsx", "A 6579-2023")</f>
        <v/>
      </c>
      <c r="X104">
        <f>HYPERLINK("https://klasma.github.io/Logging_2085/kartor/A 6579-2023 karta.png", "A 6579-2023")</f>
        <v/>
      </c>
      <c r="Y104">
        <f>HYPERLINK("https://klasma.github.io/Logging_2085/kartor_geotiff/A 6579-2023 georefererad karta.tif", "A 6579-2023")</f>
        <v/>
      </c>
      <c r="AA104">
        <f>HYPERLINK("https://klasma.github.io/Logging_2085/klagomål/A 6579-2023 FSC-klagomål.docx", "A 6579-2023")</f>
        <v/>
      </c>
      <c r="AB104">
        <f>HYPERLINK("https://klasma.github.io/Logging_2085/klagomålsmail/A 6579-2023 FSC-klagomål mail.docx", "A 6579-2023")</f>
        <v/>
      </c>
      <c r="AC104">
        <f>HYPERLINK("https://klasma.github.io/Logging_2085/tillsyn/A 6579-2023 tillsynsbegäran.docx", "A 6579-2023")</f>
        <v/>
      </c>
      <c r="AD104">
        <f>HYPERLINK("https://klasma.github.io/Logging_2085/tillsynsmail/A 6579-2023 tillsynsbegäran mail.docx", "A 6579-2023")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46267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36050-2025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45866</v>
      </c>
      <c r="E106" s="1" t="n">
        <v>46267</v>
      </c>
      <c r="F106" t="inlineStr">
        <is>
          <t>DALARNAS LÄN</t>
        </is>
      </c>
      <c r="G106" t="inlineStr">
        <is>
          <t>LUDVIKA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HYPERLINK("https://klasma.github.io/Logging_2085/artfynd/A 36050-2025 artfynd.xlsx", "A 36050-2025")</f>
        <v/>
      </c>
      <c r="X106">
        <f>HYPERLINK("https://klasma.github.io/Logging_2085/kartor/A 36050-2025 karta.png", "A 36050-2025")</f>
        <v/>
      </c>
      <c r="Y106">
        <f>HYPERLINK("https://klasma.github.io/Logging_2085/kartor_geotiff/A 36050-2025 georefererad karta.tif", "A 36050-2025")</f>
        <v/>
      </c>
      <c r="AA106">
        <f>HYPERLINK("https://klasma.github.io/Logging_2085/klagomål/A 36050-2025 FSC-klagomål.docx", "A 36050-2025")</f>
        <v/>
      </c>
      <c r="AB106">
        <f>HYPERLINK("https://klasma.github.io/Logging_2085/klagomålsmail/A 36050-2025 FSC-klagomål mail.docx", "A 36050-2025")</f>
        <v/>
      </c>
      <c r="AC106">
        <f>HYPERLINK("https://klasma.github.io/Logging_2085/tillsyn/A 36050-2025 tillsynsbegäran.docx", "A 36050-2025")</f>
        <v/>
      </c>
      <c r="AD106">
        <f>HYPERLINK("https://klasma.github.io/Logging_2085/tillsynsmail/A 36050-2025 tillsynsbegäran mail.docx", "A 36050-2025")</f>
        <v/>
      </c>
      <c r="AE106">
        <f>HYPERLINK("https://klasma.github.io/Logging_2085/fåglar/A 36050-2025 prioriterade fågelarter.docx", "A 36050-2025")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46267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17987-2025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45761</v>
      </c>
      <c r="E108" s="1" t="n">
        <v>46267</v>
      </c>
      <c r="F108" t="inlineStr">
        <is>
          <t>DALARNAS LÄN</t>
        </is>
      </c>
      <c r="G108" t="inlineStr">
        <is>
          <t>LUDVIKA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HYPERLINK("https://klasma.github.io/Logging_2085/artfynd/A 17987-2025 artfynd.xlsx", "A 17987-2025")</f>
        <v/>
      </c>
      <c r="X108">
        <f>HYPERLINK("https://klasma.github.io/Logging_2085/kartor/A 17987-2025 karta.png", "A 17987-2025")</f>
        <v/>
      </c>
      <c r="Y108">
        <f>HYPERLINK("https://klasma.github.io/Logging_2085/kartor_geotiff/A 17987-2025 georefererad karta.tif", "A 17987-2025")</f>
        <v/>
      </c>
      <c r="AA108">
        <f>HYPERLINK("https://klasma.github.io/Logging_2085/klagomål/A 17987-2025 FSC-klagomål.docx", "A 17987-2025")</f>
        <v/>
      </c>
      <c r="AB108">
        <f>HYPERLINK("https://klasma.github.io/Logging_2085/klagomålsmail/A 17987-2025 FSC-klagomål mail.docx", "A 17987-2025")</f>
        <v/>
      </c>
      <c r="AC108">
        <f>HYPERLINK("https://klasma.github.io/Logging_2085/tillsyn/A 17987-2025 tillsynsbegäran.docx", "A 17987-2025")</f>
        <v/>
      </c>
      <c r="AD108">
        <f>HYPERLINK("https://klasma.github.io/Logging_2085/tillsynsmail/A 17987-2025 tillsynsbegäran mail.docx", "A 17987-2025")</f>
        <v/>
      </c>
      <c r="AE108">
        <f>HYPERLINK("https://klasma.github.io/Logging_2085/fåglar/A 17987-2025 prioriterade fågelarter.docx", "A 17987-2025")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46267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46267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12093-2023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46267</v>
      </c>
      <c r="F111" t="inlineStr">
        <is>
          <t>DALARNAS LÄN</t>
        </is>
      </c>
      <c r="G111" t="inlineStr">
        <is>
          <t>LUDVIKA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Bitter taggsvamp</t>
        </is>
      </c>
      <c r="W111">
        <f>HYPERLINK("https://klasma.github.io/Logging_2085/artfynd/A 12093-2023 artfynd.xlsx", "A 12093-2023")</f>
        <v/>
      </c>
      <c r="X111">
        <f>HYPERLINK("https://klasma.github.io/Logging_2085/kartor/A 12093-2023 karta.png", "A 12093-2023")</f>
        <v/>
      </c>
      <c r="Y111">
        <f>HYPERLINK("https://klasma.github.io/Logging_2085/kartor_geotiff/A 12093-2023 georefererad karta.tif", "A 12093-2023")</f>
        <v/>
      </c>
      <c r="AA111">
        <f>HYPERLINK("https://klasma.github.io/Logging_2085/klagomål/A 12093-2023 FSC-klagomål.docx", "A 12093-2023")</f>
        <v/>
      </c>
      <c r="AB111">
        <f>HYPERLINK("https://klasma.github.io/Logging_2085/klagomålsmail/A 12093-2023 FSC-klagomål mail.docx", "A 12093-2023")</f>
        <v/>
      </c>
      <c r="AC111">
        <f>HYPERLINK("https://klasma.github.io/Logging_2085/tillsyn/A 12093-2023 tillsynsbegäran.docx", "A 12093-2023")</f>
        <v/>
      </c>
      <c r="AD111">
        <f>HYPERLINK("https://klasma.github.io/Logging_2085/tillsynsmail/A 12093-2023 tillsynsbegäran mail.docx", "A 12093-2023")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46267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46267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46267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HYPERLINK("https://klasma.github.io/Logging_2085/artfynd/A 62676-2025 artfynd.xlsx", "A 62676-2025")</f>
        <v/>
      </c>
      <c r="X114">
        <f>HYPERLINK("https://klasma.github.io/Logging_2085/kartor/A 62676-2025 karta.png", "A 62676-2025")</f>
        <v/>
      </c>
      <c r="Y114">
        <f>HYPERLINK("https://klasma.github.io/Logging_2085/kartor_geotiff/A 62676-2025 georefererad karta.tif", "A 62676-2025")</f>
        <v/>
      </c>
      <c r="AA114">
        <f>HYPERLINK("https://klasma.github.io/Logging_2085/klagomål/A 62676-2025 FSC-klagomål.docx", "A 62676-2025")</f>
        <v/>
      </c>
      <c r="AB114">
        <f>HYPERLINK("https://klasma.github.io/Logging_2085/klagomålsmail/A 62676-2025 FSC-klagomål mail.docx", "A 62676-2025")</f>
        <v/>
      </c>
      <c r="AC114">
        <f>HYPERLINK("https://klasma.github.io/Logging_2085/tillsyn/A 62676-2025 tillsynsbegäran.docx", "A 62676-2025")</f>
        <v/>
      </c>
      <c r="AD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56119-2021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44477</v>
      </c>
      <c r="E115" s="1" t="n">
        <v>46267</v>
      </c>
      <c r="F115" t="inlineStr">
        <is>
          <t>DALARNAS LÄN</t>
        </is>
      </c>
      <c r="G115" t="inlineStr">
        <is>
          <t>LUDVIKA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HYPERLINK("https://klasma.github.io/Logging_2085/artfynd/A 56119-2021 artfynd.xlsx", "A 56119-2021")</f>
        <v/>
      </c>
      <c r="X115">
        <f>HYPERLINK("https://klasma.github.io/Logging_2085/kartor/A 56119-2021 karta.png", "A 56119-2021")</f>
        <v/>
      </c>
      <c r="Y115">
        <f>HYPERLINK("https://klasma.github.io/Logging_2085/kartor_geotiff/A 56119-2021 georefererad karta.tif", "A 56119-2021")</f>
        <v/>
      </c>
      <c r="AA115">
        <f>HYPERLINK("https://klasma.github.io/Logging_2085/klagomål/A 56119-2021 FSC-klagomål.docx", "A 56119-2021")</f>
        <v/>
      </c>
      <c r="AB115">
        <f>HYPERLINK("https://klasma.github.io/Logging_2085/klagomålsmail/A 56119-2021 FSC-klagomål mail.docx", "A 56119-2021")</f>
        <v/>
      </c>
      <c r="AC115">
        <f>HYPERLINK("https://klasma.github.io/Logging_2085/tillsyn/A 56119-2021 tillsynsbegäran.docx", "A 56119-2021")</f>
        <v/>
      </c>
      <c r="AD115">
        <f>HYPERLINK("https://klasma.github.io/Logging_2085/tillsynsmail/A 56119-2021 tillsynsbegäran mail.docx", "A 56119-2021")</f>
        <v/>
      </c>
    </row>
    <row r="116" ht="15" customHeight="1">
      <c r="A116" t="inlineStr">
        <is>
          <t>A 1237-2026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46267</v>
      </c>
      <c r="F116" t="inlineStr">
        <is>
          <t>DALARNAS LÄN</t>
        </is>
      </c>
      <c r="G116" t="inlineStr">
        <is>
          <t>LUDVIKA</t>
        </is>
      </c>
      <c r="I116" t="n">
        <v>5.9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Fläcknycklar</t>
        </is>
      </c>
      <c r="W116">
        <f>HYPERLINK("https://klasma.github.io/Logging_2085/artfynd/A 1237-2026 artfynd.xlsx", "A 1237-2026")</f>
        <v/>
      </c>
      <c r="X116">
        <f>HYPERLINK("https://klasma.github.io/Logging_2085/kartor/A 1237-2026 karta.png", "A 1237-2026")</f>
        <v/>
      </c>
      <c r="Y116">
        <f>HYPERLINK("https://klasma.github.io/Logging_2085/kartor_geotiff/A 1237-2026 georefererad karta.tif", "A 1237-2026")</f>
        <v/>
      </c>
      <c r="AA116">
        <f>HYPERLINK("https://klasma.github.io/Logging_2085/klagomål/A 1237-2026 FSC-klagomål.docx", "A 1237-2026")</f>
        <v/>
      </c>
      <c r="AB116">
        <f>HYPERLINK("https://klasma.github.io/Logging_2085/klagomålsmail/A 1237-2026 FSC-klagomål mail.docx", "A 1237-2026")</f>
        <v/>
      </c>
      <c r="AC116">
        <f>HYPERLINK("https://klasma.github.io/Logging_2085/tillsyn/A 1237-2026 tillsynsbegäran.docx", "A 1237-2026")</f>
        <v/>
      </c>
      <c r="AD116">
        <f>HYPERLINK("https://klasma.github.io/Logging_2085/tillsynsmail/A 1237-2026 tillsynsbegäran mail.docx", "A 1237-2026")</f>
        <v/>
      </c>
    </row>
    <row r="117" ht="15" customHeight="1">
      <c r="A117" t="inlineStr">
        <is>
          <t>A 21499-2022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46267</v>
      </c>
      <c r="F117" t="inlineStr">
        <is>
          <t>DALARNAS LÄN</t>
        </is>
      </c>
      <c r="G117" t="inlineStr">
        <is>
          <t>LUDVIKA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Strimspindling</t>
        </is>
      </c>
      <c r="W117">
        <f>HYPERLINK("https://klasma.github.io/Logging_2085/artfynd/A 21499-2022 artfynd.xlsx", "A 21499-2022")</f>
        <v/>
      </c>
      <c r="X117">
        <f>HYPERLINK("https://klasma.github.io/Logging_2085/kartor/A 21499-2022 karta.png", "A 21499-2022")</f>
        <v/>
      </c>
      <c r="Y117">
        <f>HYPERLINK("https://klasma.github.io/Logging_2085/kartor_geotiff/A 21499-2022 georefererad karta.tif", "A 21499-2022")</f>
        <v/>
      </c>
      <c r="AA117">
        <f>HYPERLINK("https://klasma.github.io/Logging_2085/klagomål/A 21499-2022 FSC-klagomål.docx", "A 21499-2022")</f>
        <v/>
      </c>
      <c r="AB117">
        <f>HYPERLINK("https://klasma.github.io/Logging_2085/klagomålsmail/A 21499-2022 FSC-klagomål mail.docx", "A 21499-2022")</f>
        <v/>
      </c>
      <c r="AC117">
        <f>HYPERLINK("https://klasma.github.io/Logging_2085/tillsyn/A 21499-2022 tillsynsbegäran.docx", "A 21499-2022")</f>
        <v/>
      </c>
      <c r="AD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46267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18189-2025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46267</v>
      </c>
      <c r="F119" t="inlineStr">
        <is>
          <t>DALARNAS LÄN</t>
        </is>
      </c>
      <c r="G119" t="inlineStr">
        <is>
          <t>LUDVIKA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HYPERLINK("https://klasma.github.io/Logging_2085/artfynd/A 18189-2025 artfynd.xlsx", "A 18189-2025")</f>
        <v/>
      </c>
      <c r="X119">
        <f>HYPERLINK("https://klasma.github.io/Logging_2085/kartor/A 18189-2025 karta.png", "A 18189-2025")</f>
        <v/>
      </c>
      <c r="Y119">
        <f>HYPERLINK("https://klasma.github.io/Logging_2085/kartor_geotiff/A 18189-2025 georefererad karta.tif", "A 18189-2025")</f>
        <v/>
      </c>
      <c r="AA119">
        <f>HYPERLINK("https://klasma.github.io/Logging_2085/klagomål/A 18189-2025 FSC-klagomål.docx", "A 18189-2025")</f>
        <v/>
      </c>
      <c r="AB119">
        <f>HYPERLINK("https://klasma.github.io/Logging_2085/klagomålsmail/A 18189-2025 FSC-klagomål mail.docx", "A 18189-2025")</f>
        <v/>
      </c>
      <c r="AC119">
        <f>HYPERLINK("https://klasma.github.io/Logging_2085/tillsyn/A 18189-2025 tillsynsbegäran.docx", "A 18189-2025")</f>
        <v/>
      </c>
      <c r="AD119">
        <f>HYPERLINK("https://klasma.github.io/Logging_2085/tillsynsmail/A 18189-2025 tillsynsbegäran mail.docx", "A 18189-2025")</f>
        <v/>
      </c>
    </row>
    <row r="120" ht="15" customHeight="1">
      <c r="A120" t="inlineStr">
        <is>
          <t>A 23720-2026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46163</v>
      </c>
      <c r="E120" s="1" t="n">
        <v>46267</v>
      </c>
      <c r="F120" t="inlineStr">
        <is>
          <t>DALARNAS LÄN</t>
        </is>
      </c>
      <c r="G120" t="inlineStr">
        <is>
          <t>LUDVIKA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Tretåig hackspett</t>
        </is>
      </c>
      <c r="W120">
        <f>HYPERLINK("https://klasma.github.io/Logging_2085/artfynd/A 23720-2026 artfynd.xlsx", "A 23720-2026")</f>
        <v/>
      </c>
      <c r="X120">
        <f>HYPERLINK("https://klasma.github.io/Logging_2085/kartor/A 23720-2026 karta.png", "A 23720-2026")</f>
        <v/>
      </c>
      <c r="Y120">
        <f>HYPERLINK("https://klasma.github.io/Logging_2085/kartor_geotiff/A 23720-2026 georefererad karta.tif", "A 23720-2026")</f>
        <v/>
      </c>
      <c r="AA120">
        <f>HYPERLINK("https://klasma.github.io/Logging_2085/klagomål/A 23720-2026 FSC-klagomål.docx", "A 23720-2026")</f>
        <v/>
      </c>
      <c r="AB120">
        <f>HYPERLINK("https://klasma.github.io/Logging_2085/klagomålsmail/A 23720-2026 FSC-klagomål mail.docx", "A 23720-2026")</f>
        <v/>
      </c>
      <c r="AC120">
        <f>HYPERLINK("https://klasma.github.io/Logging_2085/tillsyn/A 23720-2026 tillsynsbegäran.docx", "A 23720-2026")</f>
        <v/>
      </c>
      <c r="AD120">
        <f>HYPERLINK("https://klasma.github.io/Logging_2085/tillsynsmail/A 23720-2026 tillsynsbegäran mail.docx", "A 23720-2026")</f>
        <v/>
      </c>
      <c r="AE120">
        <f>HYPERLINK("https://klasma.github.io/Logging_2085/fåglar/A 23720-2026 prioriterade fågelarter.docx", "A 23720-2026")</f>
        <v/>
      </c>
    </row>
    <row r="121" ht="15" customHeight="1">
      <c r="A121" t="inlineStr">
        <is>
          <t>A 23778-2026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46164</v>
      </c>
      <c r="E121" s="1" t="n">
        <v>46267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23778-2026 artfynd.xlsx", "A 23778-2026")</f>
        <v/>
      </c>
      <c r="X121">
        <f>HYPERLINK("https://klasma.github.io/Logging_2085/kartor/A 23778-2026 karta.png", "A 23778-2026")</f>
        <v/>
      </c>
      <c r="Y121">
        <f>HYPERLINK("https://klasma.github.io/Logging_2085/kartor_geotiff/A 23778-2026 georefererad karta.tif", "A 23778-2026")</f>
        <v/>
      </c>
      <c r="AA121">
        <f>HYPERLINK("https://klasma.github.io/Logging_2085/klagomål/A 23778-2026 FSC-klagomål.docx", "A 23778-2026")</f>
        <v/>
      </c>
      <c r="AB121">
        <f>HYPERLINK("https://klasma.github.io/Logging_2085/klagomålsmail/A 23778-2026 FSC-klagomål mail.docx", "A 23778-2026")</f>
        <v/>
      </c>
      <c r="AC121">
        <f>HYPERLINK("https://klasma.github.io/Logging_2085/tillsyn/A 23778-2026 tillsynsbegäran.docx", "A 23778-2026")</f>
        <v/>
      </c>
      <c r="AD121">
        <f>HYPERLINK("https://klasma.github.io/Logging_2085/tillsynsmail/A 23778-2026 tillsynsbegäran mail.docx", "A 23778-2026")</f>
        <v/>
      </c>
      <c r="AE121">
        <f>HYPERLINK("https://klasma.github.io/Logging_2085/fåglar/A 23778-2026 prioriterade fågelarter.docx", "A 23778-2026")</f>
        <v/>
      </c>
    </row>
    <row r="122" ht="15" customHeight="1">
      <c r="A122" t="inlineStr">
        <is>
          <t>A 63005-2025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46267</v>
      </c>
      <c r="F122" t="inlineStr">
        <is>
          <t>DALARNAS LÄN</t>
        </is>
      </c>
      <c r="G122" t="inlineStr">
        <is>
          <t>LUDVIKA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63005-2025 artfynd.xlsx", "A 63005-2025")</f>
        <v/>
      </c>
      <c r="X122">
        <f>HYPERLINK("https://klasma.github.io/Logging_2085/kartor/A 63005-2025 karta.png", "A 63005-2025")</f>
        <v/>
      </c>
      <c r="Y122">
        <f>HYPERLINK("https://klasma.github.io/Logging_2085/kartor_geotiff/A 63005-2025 georefererad karta.tif", "A 63005-2025")</f>
        <v/>
      </c>
      <c r="AA122">
        <f>HYPERLINK("https://klasma.github.io/Logging_2085/klagomål/A 63005-2025 FSC-klagomål.docx", "A 63005-2025")</f>
        <v/>
      </c>
      <c r="AB122">
        <f>HYPERLINK("https://klasma.github.io/Logging_2085/klagomålsmail/A 63005-2025 FSC-klagomål mail.docx", "A 63005-2025")</f>
        <v/>
      </c>
      <c r="AC122">
        <f>HYPERLINK("https://klasma.github.io/Logging_2085/tillsyn/A 63005-2025 tillsynsbegäran.docx", "A 63005-2025")</f>
        <v/>
      </c>
      <c r="AD122">
        <f>HYPERLINK("https://klasma.github.io/Logging_2085/tillsynsmail/A 63005-2025 tillsynsbegäran mail.docx", "A 63005-2025")</f>
        <v/>
      </c>
      <c r="AE122">
        <f>HYPERLINK("https://klasma.github.io/Logging_2085/fåglar/A 63005-2025 prioriterade fågelarter.docx", "A 63005-2025")</f>
        <v/>
      </c>
    </row>
    <row r="123" ht="15" customHeight="1">
      <c r="A123" t="inlineStr">
        <is>
          <t>A 25159-2026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46175</v>
      </c>
      <c r="E123" s="1" t="n">
        <v>46267</v>
      </c>
      <c r="F123" t="inlineStr">
        <is>
          <t>DALARNAS LÄN</t>
        </is>
      </c>
      <c r="G123" t="inlineStr">
        <is>
          <t>LUDVIKA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HYPERLINK("https://klasma.github.io/Logging_2085/artfynd/A 25159-2026 artfynd.xlsx", "A 25159-2026")</f>
        <v/>
      </c>
      <c r="X123">
        <f>HYPERLINK("https://klasma.github.io/Logging_2085/kartor/A 25159-2026 karta.png", "A 25159-2026")</f>
        <v/>
      </c>
      <c r="Y123">
        <f>HYPERLINK("https://klasma.github.io/Logging_2085/kartor_geotiff/A 25159-2026 georefererad karta.tif", "A 25159-2026")</f>
        <v/>
      </c>
      <c r="AA123">
        <f>HYPERLINK("https://klasma.github.io/Logging_2085/klagomål/A 25159-2026 FSC-klagomål.docx", "A 25159-2026")</f>
        <v/>
      </c>
      <c r="AB123">
        <f>HYPERLINK("https://klasma.github.io/Logging_2085/klagomålsmail/A 25159-2026 FSC-klagomål mail.docx", "A 25159-2026")</f>
        <v/>
      </c>
      <c r="AC123">
        <f>HYPERLINK("https://klasma.github.io/Logging_2085/tillsyn/A 25159-2026 tillsynsbegäran.docx", "A 25159-2026")</f>
        <v/>
      </c>
      <c r="AD123">
        <f>HYPERLINK("https://klasma.github.io/Logging_2085/tillsynsmail/A 25159-2026 tillsynsbegäran mail.docx", "A 25159-2026")</f>
        <v/>
      </c>
    </row>
    <row r="124" ht="15" customHeight="1">
      <c r="A124" t="inlineStr">
        <is>
          <t>A 56655-2025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46267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8.5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56655-2025 artfynd.xlsx", "A 56655-2025")</f>
        <v/>
      </c>
      <c r="X124">
        <f>HYPERLINK("https://klasma.github.io/Logging_2085/kartor/A 56655-2025 karta.png", "A 56655-2025")</f>
        <v/>
      </c>
      <c r="Y124">
        <f>HYPERLINK("https://klasma.github.io/Logging_2085/kartor_geotiff/A 56655-2025 georefererad karta.tif", "A 56655-2025")</f>
        <v/>
      </c>
      <c r="AA124">
        <f>HYPERLINK("https://klasma.github.io/Logging_2085/klagomål/A 56655-2025 FSC-klagomål.docx", "A 56655-2025")</f>
        <v/>
      </c>
      <c r="AB124">
        <f>HYPERLINK("https://klasma.github.io/Logging_2085/klagomålsmail/A 56655-2025 FSC-klagomål mail.docx", "A 56655-2025")</f>
        <v/>
      </c>
      <c r="AC124">
        <f>HYPERLINK("https://klasma.github.io/Logging_2085/tillsyn/A 56655-2025 tillsynsbegäran.docx", "A 56655-2025")</f>
        <v/>
      </c>
      <c r="AD124">
        <f>HYPERLINK("https://klasma.github.io/Logging_2085/tillsynsmail/A 56655-2025 tillsynsbegäran mail.docx", "A 56655-2025")</f>
        <v/>
      </c>
      <c r="AE124">
        <f>HYPERLINK("https://klasma.github.io/Logging_2085/fåglar/A 56655-2025 prioriterade fågelarter.docx", "A 56655-2025")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46267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46267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51886-2022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46267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Brun gräsfjäril</t>
        </is>
      </c>
      <c r="W127">
        <f>HYPERLINK("https://klasma.github.io/Logging_2085/artfynd/A 51886-2022 artfynd.xlsx", "A 51886-2022")</f>
        <v/>
      </c>
      <c r="X127">
        <f>HYPERLINK("https://klasma.github.io/Logging_2085/kartor/A 51886-2022 karta.png", "A 51886-2022")</f>
        <v/>
      </c>
      <c r="Y127">
        <f>HYPERLINK("https://klasma.github.io/Logging_2085/kartor_geotiff/A 51886-2022 georefererad karta.tif", "A 51886-2022")</f>
        <v/>
      </c>
      <c r="AA127">
        <f>HYPERLINK("https://klasma.github.io/Logging_2085/klagomål/A 51886-2022 FSC-klagomål.docx", "A 51886-2022")</f>
        <v/>
      </c>
      <c r="AB127">
        <f>HYPERLINK("https://klasma.github.io/Logging_2085/klagomålsmail/A 51886-2022 FSC-klagomål mail.docx", "A 51886-2022")</f>
        <v/>
      </c>
      <c r="AC127">
        <f>HYPERLINK("https://klasma.github.io/Logging_2085/tillsyn/A 51886-2022 tillsynsbegäran.docx", "A 51886-2022")</f>
        <v/>
      </c>
      <c r="AD127">
        <f>HYPERLINK("https://klasma.github.io/Logging_2085/tillsynsmail/A 51886-2022 tillsynsbegäran mail.docx", "A 51886-2022")</f>
        <v/>
      </c>
    </row>
    <row r="128" ht="15" customHeight="1">
      <c r="A128" t="inlineStr">
        <is>
          <t>A 1047-2023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44929</v>
      </c>
      <c r="E128" s="1" t="n">
        <v>46267</v>
      </c>
      <c r="F128" t="inlineStr">
        <is>
          <t>DALARNAS LÄN</t>
        </is>
      </c>
      <c r="G128" t="inlineStr">
        <is>
          <t>LUDVIKA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HYPERLINK("https://klasma.github.io/Logging_2085/artfynd/A 1047-2023 artfynd.xlsx", "A 1047-2023")</f>
        <v/>
      </c>
      <c r="X128">
        <f>HYPERLINK("https://klasma.github.io/Logging_2085/kartor/A 1047-2023 karta.png", "A 1047-2023")</f>
        <v/>
      </c>
      <c r="Y128">
        <f>HYPERLINK("https://klasma.github.io/Logging_2085/kartor_geotiff/A 1047-2023 georefererad karta.tif", "A 1047-2023")</f>
        <v/>
      </c>
      <c r="AA128">
        <f>HYPERLINK("https://klasma.github.io/Logging_2085/klagomål/A 1047-2023 FSC-klagomål.docx", "A 1047-2023")</f>
        <v/>
      </c>
      <c r="AB128">
        <f>HYPERLINK("https://klasma.github.io/Logging_2085/klagomålsmail/A 1047-2023 FSC-klagomål mail.docx", "A 1047-2023")</f>
        <v/>
      </c>
      <c r="AC128">
        <f>HYPERLINK("https://klasma.github.io/Logging_2085/tillsyn/A 1047-2023 tillsynsbegäran.docx", "A 1047-2023")</f>
        <v/>
      </c>
      <c r="AD128">
        <f>HYPERLINK("https://klasma.github.io/Logging_2085/tillsynsmail/A 1047-2023 tillsynsbegäran mail.docx", "A 1047-2023")</f>
        <v/>
      </c>
    </row>
    <row r="129" ht="15" customHeight="1">
      <c r="A129" t="inlineStr">
        <is>
          <t>A 33399-2026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46247</v>
      </c>
      <c r="E129" s="1" t="n">
        <v>46267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HYPERLINK("https://klasma.github.io/Logging_2085/artfynd/A 33399-2026 artfynd.xlsx", "A 33399-2026")</f>
        <v/>
      </c>
      <c r="X129">
        <f>HYPERLINK("https://klasma.github.io/Logging_2085/kartor/A 33399-2026 karta.png", "A 33399-2026")</f>
        <v/>
      </c>
      <c r="Y129">
        <f>HYPERLINK("https://klasma.github.io/Logging_2085/kartor_geotiff/A 33399-2026 georefererad karta.tif", "A 33399-2026")</f>
        <v/>
      </c>
      <c r="AA129">
        <f>HYPERLINK("https://klasma.github.io/Logging_2085/klagomål/A 33399-2026 FSC-klagomål.docx", "A 33399-2026")</f>
        <v/>
      </c>
      <c r="AB129">
        <f>HYPERLINK("https://klasma.github.io/Logging_2085/klagomålsmail/A 33399-2026 FSC-klagomål mail.docx", "A 33399-2026")</f>
        <v/>
      </c>
      <c r="AC129">
        <f>HYPERLINK("https://klasma.github.io/Logging_2085/tillsyn/A 33399-2026 tillsynsbegäran.docx", "A 33399-2026")</f>
        <v/>
      </c>
      <c r="AD129">
        <f>HYPERLINK("https://klasma.github.io/Logging_2085/tillsynsmail/A 33399-2026 tillsynsbegäran mail.docx", "A 33399-2026")</f>
        <v/>
      </c>
      <c r="AE129">
        <f>HYPERLINK("https://klasma.github.io/Logging_2085/fåglar/A 33399-2026 prioriterade fågelarter.docx", "A 33399-2026")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46267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46267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groda</t>
        </is>
      </c>
      <c r="W131">
        <f>HYPERLINK("https://klasma.github.io/Logging_2085/artfynd/A 23102-2025 artfynd.xlsx", "A 23102-2025")</f>
        <v/>
      </c>
      <c r="X131">
        <f>HYPERLINK("https://klasma.github.io/Logging_2085/kartor/A 23102-2025 karta.png", "A 23102-2025")</f>
        <v/>
      </c>
      <c r="Y131">
        <f>HYPERLINK("https://klasma.github.io/Logging_2085/kartor_geotiff/A 23102-2025 georefererad karta.tif", "A 23102-2025")</f>
        <v/>
      </c>
      <c r="AA131">
        <f>HYPERLINK("https://klasma.github.io/Logging_2085/klagomål/A 23102-2025 FSC-klagomål.docx", "A 23102-2025")</f>
        <v/>
      </c>
      <c r="AB131">
        <f>HYPERLINK("https://klasma.github.io/Logging_2085/klagomålsmail/A 23102-2025 FSC-klagomål mail.docx", "A 23102-2025")</f>
        <v/>
      </c>
      <c r="AC131">
        <f>HYPERLINK("https://klasma.github.io/Logging_2085/tillsyn/A 23102-2025 tillsynsbegäran.docx", "A 23102-2025")</f>
        <v/>
      </c>
      <c r="AD131">
        <f>HYPERLINK("https://klasma.github.io/Logging_2085/tillsynsmail/A 23102-2025 tillsynsbegäran mail.docx", "A 23102-2025")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46267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46267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46267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46267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46267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46267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46267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46267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46267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46267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46267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46267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46267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46267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46267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46267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46267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46267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46267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46267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46267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46267</v>
      </c>
      <c r="F153" t="inlineStr">
        <is>
          <t>DALARNAS LÄN</t>
        </is>
      </c>
      <c r="G153" t="inlineStr">
        <is>
          <t>LUDVIKA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46267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46267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46267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46267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46267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46267</v>
      </c>
      <c r="F159" t="inlineStr">
        <is>
          <t>DALARNAS LÄN</t>
        </is>
      </c>
      <c r="G159" t="inlineStr">
        <is>
          <t>LUDVIKA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46267</v>
      </c>
      <c r="F160" t="inlineStr">
        <is>
          <t>DALARNAS LÄN</t>
        </is>
      </c>
      <c r="G160" t="inlineStr">
        <is>
          <t>LUDVIKA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46267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46267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46267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46267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46267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34845-2024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46267</v>
      </c>
      <c r="F166" t="inlineStr">
        <is>
          <t>DALARNAS LÄN</t>
        </is>
      </c>
      <c r="G166" t="inlineStr">
        <is>
          <t>LUDVIKA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46267</v>
      </c>
      <c r="F167" t="inlineStr">
        <is>
          <t>DALARNAS LÄN</t>
        </is>
      </c>
      <c r="G167" t="inlineStr">
        <is>
          <t>LUDVIKA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46267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46267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11436-2024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45372</v>
      </c>
      <c r="E170" s="1" t="n">
        <v>46267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45208</v>
      </c>
      <c r="E171" s="1" t="n">
        <v>46267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46267</v>
      </c>
      <c r="F172" t="inlineStr">
        <is>
          <t>DALARNAS LÄN</t>
        </is>
      </c>
      <c r="G172" t="inlineStr">
        <is>
          <t>LUDVIKA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46267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45105</v>
      </c>
      <c r="E174" s="1" t="n">
        <v>46267</v>
      </c>
      <c r="F174" t="inlineStr">
        <is>
          <t>DALARNAS LÄN</t>
        </is>
      </c>
      <c r="G174" t="inlineStr">
        <is>
          <t>LUDVIKA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46267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47496-2022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44853</v>
      </c>
      <c r="E176" s="1" t="n">
        <v>46267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46267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46267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46267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45502</v>
      </c>
      <c r="E180" s="1" t="n">
        <v>46267</v>
      </c>
      <c r="F180" t="inlineStr">
        <is>
          <t>DALARNAS LÄN</t>
        </is>
      </c>
      <c r="G180" t="inlineStr">
        <is>
          <t>LUDVIKA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46267</v>
      </c>
      <c r="F181" t="inlineStr">
        <is>
          <t>DALARNAS LÄN</t>
        </is>
      </c>
      <c r="G181" t="inlineStr">
        <is>
          <t>LUDVIKA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46267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46267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46267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45512</v>
      </c>
      <c r="E185" s="1" t="n">
        <v>46267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46267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46267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65195-2021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46267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46267</v>
      </c>
      <c r="F189" t="inlineStr">
        <is>
          <t>DALARNAS LÄN</t>
        </is>
      </c>
      <c r="G189" t="inlineStr">
        <is>
          <t>LUDVIKA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46267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26698-2025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45810</v>
      </c>
      <c r="E191" s="1" t="n">
        <v>46267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46267</v>
      </c>
      <c r="F192" t="inlineStr">
        <is>
          <t>DALARNAS LÄN</t>
        </is>
      </c>
      <c r="G192" t="inlineStr">
        <is>
          <t>LUDVIKA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46267</v>
      </c>
      <c r="F193" t="inlineStr">
        <is>
          <t>DALARNAS LÄN</t>
        </is>
      </c>
      <c r="G193" t="inlineStr">
        <is>
          <t>LUDVIKA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26628-2025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45810</v>
      </c>
      <c r="E194" s="1" t="n">
        <v>46267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26794-2025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45810</v>
      </c>
      <c r="E195" s="1" t="n">
        <v>46267</v>
      </c>
      <c r="F195" t="inlineStr">
        <is>
          <t>DALARNAS LÄN</t>
        </is>
      </c>
      <c r="G195" t="inlineStr">
        <is>
          <t>LUDVIKA</t>
        </is>
      </c>
      <c r="H195" t="inlineStr">
        <is>
          <t>Kommuner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46267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46267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46267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46267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46267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46267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46267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46267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46267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46267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46267</v>
      </c>
      <c r="F206" t="inlineStr">
        <is>
          <t>DALARNAS LÄN</t>
        </is>
      </c>
      <c r="G206" t="inlineStr">
        <is>
          <t>LUDVIKA</t>
        </is>
      </c>
      <c r="H206" t="inlineStr">
        <is>
          <t>Övriga Aktiebolag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46267</v>
      </c>
      <c r="F207" t="inlineStr">
        <is>
          <t>DALARNAS LÄN</t>
        </is>
      </c>
      <c r="G207" t="inlineStr">
        <is>
          <t>LUDVIKA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46267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46267</v>
      </c>
      <c r="F209" t="inlineStr">
        <is>
          <t>DALARNAS LÄN</t>
        </is>
      </c>
      <c r="G209" t="inlineStr">
        <is>
          <t>LUDVIKA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46267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46267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46267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46267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46267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46267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46267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46267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46267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46267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46267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46267</v>
      </c>
      <c r="F221" t="inlineStr">
        <is>
          <t>DALARNAS LÄN</t>
        </is>
      </c>
      <c r="G221" t="inlineStr">
        <is>
          <t>LUDVIKA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46267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48003-2024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46267</v>
      </c>
      <c r="F223" t="inlineStr">
        <is>
          <t>DALARNAS LÄN</t>
        </is>
      </c>
      <c r="G223" t="inlineStr">
        <is>
          <t>LUDVIKA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46267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46267</v>
      </c>
      <c r="F225" t="inlineStr">
        <is>
          <t>DALARNAS LÄN</t>
        </is>
      </c>
      <c r="G225" t="inlineStr">
        <is>
          <t>LUDVIKA</t>
        </is>
      </c>
      <c r="H225" t="inlineStr">
        <is>
          <t>Naturvårdsverket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45622</v>
      </c>
      <c r="E226" s="1" t="n">
        <v>46267</v>
      </c>
      <c r="F226" t="inlineStr">
        <is>
          <t>DALARNAS LÄN</t>
        </is>
      </c>
      <c r="G226" t="inlineStr">
        <is>
          <t>LUDVIKA</t>
        </is>
      </c>
      <c r="H226" t="inlineStr">
        <is>
          <t>Naturvårdsverket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46267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46267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46267</v>
      </c>
      <c r="F229" t="inlineStr">
        <is>
          <t>DALARNAS LÄN</t>
        </is>
      </c>
      <c r="G229" t="inlineStr">
        <is>
          <t>LUDVIKA</t>
        </is>
      </c>
      <c r="H229" t="inlineStr">
        <is>
          <t>Naturvårdsverket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45840</v>
      </c>
      <c r="E230" s="1" t="n">
        <v>46267</v>
      </c>
      <c r="F230" t="inlineStr">
        <is>
          <t>DALARNAS LÄN</t>
        </is>
      </c>
      <c r="G230" t="inlineStr">
        <is>
          <t>LUDVIKA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8703-2023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44978</v>
      </c>
      <c r="E231" s="1" t="n">
        <v>46267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45902</v>
      </c>
      <c r="E232" s="1" t="n">
        <v>46267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46267</v>
      </c>
      <c r="F233" t="inlineStr">
        <is>
          <t>DALARNAS LÄN</t>
        </is>
      </c>
      <c r="G233" t="inlineStr">
        <is>
          <t>LUDVIKA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34067-2025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45845</v>
      </c>
      <c r="E234" s="1" t="n">
        <v>46267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41866-2025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46267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46267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46267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46267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36338-2025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45868</v>
      </c>
      <c r="E239" s="1" t="n">
        <v>46267</v>
      </c>
      <c r="F239" t="inlineStr">
        <is>
          <t>DALARNAS LÄN</t>
        </is>
      </c>
      <c r="G239" t="inlineStr">
        <is>
          <t>LUDVIKA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46267</v>
      </c>
      <c r="F240" t="inlineStr">
        <is>
          <t>DALARNAS LÄN</t>
        </is>
      </c>
      <c r="G240" t="inlineStr">
        <is>
          <t>LUDVIKA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46267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45525</v>
      </c>
      <c r="E242" s="1" t="n">
        <v>46267</v>
      </c>
      <c r="F242" t="inlineStr">
        <is>
          <t>DALARNAS LÄN</t>
        </is>
      </c>
      <c r="G242" t="inlineStr">
        <is>
          <t>LUDVIKA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46267</v>
      </c>
      <c r="F243" t="inlineStr">
        <is>
          <t>DALARNAS LÄN</t>
        </is>
      </c>
      <c r="G243" t="inlineStr">
        <is>
          <t>LUDVIKA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46267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46267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46267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46267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46267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46267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46267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46267</v>
      </c>
      <c r="F251" t="inlineStr">
        <is>
          <t>DALARNAS LÄN</t>
        </is>
      </c>
      <c r="G251" t="inlineStr">
        <is>
          <t>LUDVIKA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45623</v>
      </c>
      <c r="E252" s="1" t="n">
        <v>46267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46267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45512</v>
      </c>
      <c r="E254" s="1" t="n">
        <v>46267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46267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46267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46267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46267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46267</v>
      </c>
      <c r="F259" t="inlineStr">
        <is>
          <t>DALARNAS LÄN</t>
        </is>
      </c>
      <c r="G259" t="inlineStr">
        <is>
          <t>LUDVIKA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46267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46267</v>
      </c>
      <c r="F261" t="inlineStr">
        <is>
          <t>DALARNAS LÄN</t>
        </is>
      </c>
      <c r="G261" t="inlineStr">
        <is>
          <t>LUDVIKA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44680</v>
      </c>
      <c r="E262" s="1" t="n">
        <v>46267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44711</v>
      </c>
      <c r="E263" s="1" t="n">
        <v>46267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46267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45869</v>
      </c>
      <c r="E265" s="1" t="n">
        <v>46267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45624</v>
      </c>
      <c r="E266" s="1" t="n">
        <v>46267</v>
      </c>
      <c r="F266" t="inlineStr">
        <is>
          <t>DALARNAS LÄN</t>
        </is>
      </c>
      <c r="G266" t="inlineStr">
        <is>
          <t>LUDVIKA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46267</v>
      </c>
      <c r="F267" t="inlineStr">
        <is>
          <t>DALARNAS LÄN</t>
        </is>
      </c>
      <c r="G267" t="inlineStr">
        <is>
          <t>LUDVIKA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46267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45629</v>
      </c>
      <c r="E269" s="1" t="n">
        <v>46267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46267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46267</v>
      </c>
      <c r="F271" t="inlineStr">
        <is>
          <t>DALARNAS LÄN</t>
        </is>
      </c>
      <c r="G271" t="inlineStr">
        <is>
          <t>LUDVIKA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46267</v>
      </c>
      <c r="F272" t="inlineStr">
        <is>
          <t>DALARNAS LÄN</t>
        </is>
      </c>
      <c r="G272" t="inlineStr">
        <is>
          <t>LUDVIKA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45912</v>
      </c>
      <c r="E273" s="1" t="n">
        <v>46267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46267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46267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46267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46267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46267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46267</v>
      </c>
      <c r="F279" t="inlineStr">
        <is>
          <t>DALARNAS LÄN</t>
        </is>
      </c>
      <c r="G279" t="inlineStr">
        <is>
          <t>LUDVIKA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46267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45301</v>
      </c>
      <c r="E281" s="1" t="n">
        <v>46267</v>
      </c>
      <c r="F281" t="inlineStr">
        <is>
          <t>DALARNAS LÄN</t>
        </is>
      </c>
      <c r="G281" t="inlineStr">
        <is>
          <t>LUDVIKA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46267</v>
      </c>
      <c r="F282" t="inlineStr">
        <is>
          <t>DALARNAS LÄN</t>
        </is>
      </c>
      <c r="G282" t="inlineStr">
        <is>
          <t>LUDVIKA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46267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46267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33345-2024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46267</v>
      </c>
      <c r="F285" t="inlineStr">
        <is>
          <t>DALARNAS LÄN</t>
        </is>
      </c>
      <c r="G285" t="inlineStr">
        <is>
          <t>LUDVIKA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46267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46267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45062</v>
      </c>
      <c r="E288" s="1" t="n">
        <v>46267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46267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46267</v>
      </c>
      <c r="F290" t="inlineStr">
        <is>
          <t>DALARNAS LÄN</t>
        </is>
      </c>
      <c r="G290" t="inlineStr">
        <is>
          <t>LUDVIKA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46267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45568</v>
      </c>
      <c r="E292" s="1" t="n">
        <v>46267</v>
      </c>
      <c r="F292" t="inlineStr">
        <is>
          <t>DALARNAS LÄN</t>
        </is>
      </c>
      <c r="G292" t="inlineStr">
        <is>
          <t>LUDVIKA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46267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46267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46267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46267</v>
      </c>
      <c r="F296" t="inlineStr">
        <is>
          <t>DALARNAS LÄN</t>
        </is>
      </c>
      <c r="G296" t="inlineStr">
        <is>
          <t>LUDVIKA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25273-2022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44729</v>
      </c>
      <c r="E297" s="1" t="n">
        <v>46267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56615-2025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45975</v>
      </c>
      <c r="E298" s="1" t="n">
        <v>46267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30813-2025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46267</v>
      </c>
      <c r="F299" t="inlineStr">
        <is>
          <t>DALARNAS LÄN</t>
        </is>
      </c>
      <c r="G299" t="inlineStr">
        <is>
          <t>LUDVIKA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46267</v>
      </c>
      <c r="F300" t="inlineStr">
        <is>
          <t>DALARNAS LÄN</t>
        </is>
      </c>
      <c r="G300" t="inlineStr">
        <is>
          <t>LUDVIKA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2838-2022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44581</v>
      </c>
      <c r="E301" s="1" t="n">
        <v>46267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46267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46267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46267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45224</v>
      </c>
      <c r="E305" s="1" t="n">
        <v>46267</v>
      </c>
      <c r="F305" t="inlineStr">
        <is>
          <t>DALARNAS LÄN</t>
        </is>
      </c>
      <c r="G305" t="inlineStr">
        <is>
          <t>LUDVIKA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46267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44820</v>
      </c>
      <c r="E307" s="1" t="n">
        <v>46267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40151-2022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44820</v>
      </c>
      <c r="E308" s="1" t="n">
        <v>46267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46267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46267</v>
      </c>
      <c r="F310" t="inlineStr">
        <is>
          <t>DALARNAS LÄN</t>
        </is>
      </c>
      <c r="G310" t="inlineStr">
        <is>
          <t>LUDVIKA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46267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52427-2025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45954</v>
      </c>
      <c r="E312" s="1" t="n">
        <v>46267</v>
      </c>
      <c r="F312" t="inlineStr">
        <is>
          <t>DALARNAS LÄN</t>
        </is>
      </c>
      <c r="G312" t="inlineStr">
        <is>
          <t>LUDVIKA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46267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46267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52556-2025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46267</v>
      </c>
      <c r="F315" t="inlineStr">
        <is>
          <t>DALARNAS LÄN</t>
        </is>
      </c>
      <c r="G315" t="inlineStr">
        <is>
          <t>LUDVIKA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45957</v>
      </c>
      <c r="E316" s="1" t="n">
        <v>46267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46267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45687</v>
      </c>
      <c r="E318" s="1" t="n">
        <v>46267</v>
      </c>
      <c r="F318" t="inlineStr">
        <is>
          <t>DALARNAS LÄN</t>
        </is>
      </c>
      <c r="G318" t="inlineStr">
        <is>
          <t>LUDVIKA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46267</v>
      </c>
      <c r="F319" t="inlineStr">
        <is>
          <t>DALARNAS LÄN</t>
        </is>
      </c>
      <c r="G319" t="inlineStr">
        <is>
          <t>LUDVIKA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45891</v>
      </c>
      <c r="E320" s="1" t="n">
        <v>46267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46267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46267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46267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46267</v>
      </c>
      <c r="F324" t="inlineStr">
        <is>
          <t>DALARNAS LÄN</t>
        </is>
      </c>
      <c r="G324" t="inlineStr">
        <is>
          <t>LUDVIKA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45966</v>
      </c>
      <c r="E325" s="1" t="n">
        <v>46267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46267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54341-2025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45965</v>
      </c>
      <c r="E327" s="1" t="n">
        <v>46267</v>
      </c>
      <c r="F327" t="inlineStr">
        <is>
          <t>DALARNAS LÄN</t>
        </is>
      </c>
      <c r="G327" t="inlineStr">
        <is>
          <t>LUDVIKA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45765</v>
      </c>
      <c r="E328" s="1" t="n">
        <v>46267</v>
      </c>
      <c r="F328" t="inlineStr">
        <is>
          <t>DALARNAS LÄN</t>
        </is>
      </c>
      <c r="G328" t="inlineStr">
        <is>
          <t>LUDVIKA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46267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46267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46267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46267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46267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46267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61621-2022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44916</v>
      </c>
      <c r="E335" s="1" t="n">
        <v>46267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46267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46267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46267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46267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46267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46267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46267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46267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46267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46267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30844-2024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45497</v>
      </c>
      <c r="E346" s="1" t="n">
        <v>46267</v>
      </c>
      <c r="F346" t="inlineStr">
        <is>
          <t>DALARNAS LÄN</t>
        </is>
      </c>
      <c r="G346" t="inlineStr">
        <is>
          <t>LUDVIKA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45106</v>
      </c>
      <c r="E347" s="1" t="n">
        <v>46267</v>
      </c>
      <c r="F347" t="inlineStr">
        <is>
          <t>DALARNAS LÄN</t>
        </is>
      </c>
      <c r="G347" t="inlineStr">
        <is>
          <t>LUDVIKA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46267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16814-2024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46267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46267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45891</v>
      </c>
      <c r="E351" s="1" t="n">
        <v>46267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46267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45929</v>
      </c>
      <c r="E353" s="1" t="n">
        <v>46267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46267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46267</v>
      </c>
      <c r="F355" t="inlineStr">
        <is>
          <t>DALARNAS LÄN</t>
        </is>
      </c>
      <c r="G355" t="inlineStr">
        <is>
          <t>LUDVIKA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46267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46267</v>
      </c>
      <c r="F357" t="inlineStr">
        <is>
          <t>DALARNAS LÄN</t>
        </is>
      </c>
      <c r="G357" t="inlineStr">
        <is>
          <t>LUDVIKA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46267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46267</v>
      </c>
      <c r="F359" t="inlineStr">
        <is>
          <t>DALARNAS LÄN</t>
        </is>
      </c>
      <c r="G359" t="inlineStr">
        <is>
          <t>LUDVIKA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44730</v>
      </c>
      <c r="E360" s="1" t="n">
        <v>46267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46267</v>
      </c>
      <c r="F361" t="inlineStr">
        <is>
          <t>DALARNAS LÄN</t>
        </is>
      </c>
      <c r="G361" t="inlineStr">
        <is>
          <t>LUDVIKA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46267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46267</v>
      </c>
      <c r="F363" t="inlineStr">
        <is>
          <t>DALARNAS LÄN</t>
        </is>
      </c>
      <c r="G363" t="inlineStr">
        <is>
          <t>LUDVIKA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59346-2024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45637</v>
      </c>
      <c r="E364" s="1" t="n">
        <v>46267</v>
      </c>
      <c r="F364" t="inlineStr">
        <is>
          <t>DALARNAS LÄN</t>
        </is>
      </c>
      <c r="G364" t="inlineStr">
        <is>
          <t>LUDVIKA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46267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46267</v>
      </c>
      <c r="F366" t="inlineStr">
        <is>
          <t>DALARNAS LÄN</t>
        </is>
      </c>
      <c r="G366" t="inlineStr">
        <is>
          <t>LUDVIKA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46267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46267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61507-2023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45265</v>
      </c>
      <c r="E369" s="1" t="n">
        <v>46267</v>
      </c>
      <c r="F369" t="inlineStr">
        <is>
          <t>DALARNAS LÄN</t>
        </is>
      </c>
      <c r="G369" t="inlineStr">
        <is>
          <t>LUDVIKA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46267</v>
      </c>
      <c r="F370" t="inlineStr">
        <is>
          <t>DALARNAS LÄN</t>
        </is>
      </c>
      <c r="G370" t="inlineStr">
        <is>
          <t>LUDVIKA</t>
        </is>
      </c>
      <c r="H370" t="inlineStr">
        <is>
          <t>Naturvårdsverket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46267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46001</v>
      </c>
      <c r="E372" s="1" t="n">
        <v>46267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46267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46267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62367-2025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46267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46267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65104-2023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45288</v>
      </c>
      <c r="E377" s="1" t="n">
        <v>46267</v>
      </c>
      <c r="F377" t="inlineStr">
        <is>
          <t>DALARNAS LÄN</t>
        </is>
      </c>
      <c r="G377" t="inlineStr">
        <is>
          <t>LUDVIKA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46267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46267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46267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46267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46267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46267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46267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46267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44865</v>
      </c>
      <c r="E386" s="1" t="n">
        <v>46267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46267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62945-2025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46009</v>
      </c>
      <c r="E388" s="1" t="n">
        <v>46267</v>
      </c>
      <c r="F388" t="inlineStr">
        <is>
          <t>DALARNAS LÄN</t>
        </is>
      </c>
      <c r="G388" t="inlineStr">
        <is>
          <t>LUDVIKA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14986-2024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45399</v>
      </c>
      <c r="E389" s="1" t="n">
        <v>46267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45569</v>
      </c>
      <c r="E390" s="1" t="n">
        <v>46267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46267</v>
      </c>
      <c r="F391" t="inlineStr">
        <is>
          <t>DALARNAS LÄN</t>
        </is>
      </c>
      <c r="G391" t="inlineStr">
        <is>
          <t>LUDVIKA</t>
        </is>
      </c>
      <c r="H391" t="inlineStr">
        <is>
          <t>Övriga Aktiebolag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55633-2021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44476</v>
      </c>
      <c r="E392" s="1" t="n">
        <v>46267</v>
      </c>
      <c r="F392" t="inlineStr">
        <is>
          <t>DALARNAS LÄN</t>
        </is>
      </c>
      <c r="G392" t="inlineStr">
        <is>
          <t>LUDVIKA</t>
        </is>
      </c>
      <c r="H392" t="inlineStr">
        <is>
          <t>Övriga Aktiebolag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45258</v>
      </c>
      <c r="E393" s="1" t="n">
        <v>46267</v>
      </c>
      <c r="F393" t="inlineStr">
        <is>
          <t>DALARNAS LÄN</t>
        </is>
      </c>
      <c r="G393" t="inlineStr">
        <is>
          <t>LUDVIKA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45404</v>
      </c>
      <c r="E394" s="1" t="n">
        <v>46267</v>
      </c>
      <c r="F394" t="inlineStr">
        <is>
          <t>DALARNAS LÄN</t>
        </is>
      </c>
      <c r="G394" t="inlineStr">
        <is>
          <t>LUDVIKA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46267</v>
      </c>
      <c r="F395" t="inlineStr">
        <is>
          <t>DALARNAS LÄN</t>
        </is>
      </c>
      <c r="G395" t="inlineStr">
        <is>
          <t>LUDVIKA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70046-2021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44533</v>
      </c>
      <c r="E396" s="1" t="n">
        <v>46267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45572</v>
      </c>
      <c r="E397" s="1" t="n">
        <v>46267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46267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45488</v>
      </c>
      <c r="E399" s="1" t="n">
        <v>46267</v>
      </c>
      <c r="F399" t="inlineStr">
        <is>
          <t>DALARNAS LÄN</t>
        </is>
      </c>
      <c r="G399" t="inlineStr">
        <is>
          <t>LUDVIKA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46267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19.8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45113</v>
      </c>
      <c r="E401" s="1" t="n">
        <v>46267</v>
      </c>
      <c r="F401" t="inlineStr">
        <is>
          <t>DALARNAS LÄN</t>
        </is>
      </c>
      <c r="G401" t="inlineStr">
        <is>
          <t>LUDVIKA</t>
        </is>
      </c>
      <c r="H401" t="inlineStr">
        <is>
          <t>Kommuner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46267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46267</v>
      </c>
      <c r="F403" t="inlineStr">
        <is>
          <t>DALARNAS LÄN</t>
        </is>
      </c>
      <c r="G403" t="inlineStr">
        <is>
          <t>LUDVIKA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46267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46267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32854-2023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45112</v>
      </c>
      <c r="E406" s="1" t="n">
        <v>46267</v>
      </c>
      <c r="F406" t="inlineStr">
        <is>
          <t>DALARNAS LÄN</t>
        </is>
      </c>
      <c r="G406" t="inlineStr">
        <is>
          <t>LUDVIKA</t>
        </is>
      </c>
      <c r="H406" t="inlineStr">
        <is>
          <t>Kommuner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46267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46267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45644</v>
      </c>
      <c r="E409" s="1" t="n">
        <v>46267</v>
      </c>
      <c r="F409" t="inlineStr">
        <is>
          <t>DALARNAS LÄN</t>
        </is>
      </c>
      <c r="G409" t="inlineStr">
        <is>
          <t>LUDVIKA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46267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46267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46267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45639</v>
      </c>
      <c r="E413" s="1" t="n">
        <v>46267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45569</v>
      </c>
      <c r="E414" s="1" t="n">
        <v>46267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46267</v>
      </c>
      <c r="F415" t="inlineStr">
        <is>
          <t>DALARNAS LÄN</t>
        </is>
      </c>
      <c r="G415" t="inlineStr">
        <is>
          <t>LUDVIKA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46267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46267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46267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44520-2023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45189</v>
      </c>
      <c r="E419" s="1" t="n">
        <v>46267</v>
      </c>
      <c r="F419" t="inlineStr">
        <is>
          <t>DALARNAS LÄN</t>
        </is>
      </c>
      <c r="G419" t="inlineStr">
        <is>
          <t>LUDVIKA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50273-2021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44459</v>
      </c>
      <c r="E420" s="1" t="n">
        <v>46267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45045-2023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45191</v>
      </c>
      <c r="E421" s="1" t="n">
        <v>46267</v>
      </c>
      <c r="F421" t="inlineStr">
        <is>
          <t>DALARNAS LÄN</t>
        </is>
      </c>
      <c r="G421" t="inlineStr">
        <is>
          <t>LUDVIKA</t>
        </is>
      </c>
      <c r="H421" t="inlineStr">
        <is>
          <t>Sveaskog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46267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46267</v>
      </c>
      <c r="F423" t="inlineStr">
        <is>
          <t>DALARNAS LÄN</t>
        </is>
      </c>
      <c r="G423" t="inlineStr">
        <is>
          <t>LUDVIKA</t>
        </is>
      </c>
      <c r="H423" t="inlineStr">
        <is>
          <t>Naturvårdsverket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45198</v>
      </c>
      <c r="E424" s="1" t="n">
        <v>46267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46267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46267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32301-2024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45512</v>
      </c>
      <c r="E427" s="1" t="n">
        <v>46267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46267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46267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46267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55462-2024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46267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45622</v>
      </c>
      <c r="E432" s="1" t="n">
        <v>46267</v>
      </c>
      <c r="F432" t="inlineStr">
        <is>
          <t>DALARNAS LÄN</t>
        </is>
      </c>
      <c r="G432" t="inlineStr">
        <is>
          <t>LUDVIKA</t>
        </is>
      </c>
      <c r="H432" t="inlineStr">
        <is>
          <t>Naturvårdsverket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45099</v>
      </c>
      <c r="E433" s="1" t="n">
        <v>46267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46136</v>
      </c>
      <c r="E434" s="1" t="n">
        <v>46267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45825</v>
      </c>
      <c r="E435" s="1" t="n">
        <v>46267</v>
      </c>
      <c r="F435" t="inlineStr">
        <is>
          <t>DALARNAS LÄN</t>
        </is>
      </c>
      <c r="G435" t="inlineStr">
        <is>
          <t>LUDVIKA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45849</v>
      </c>
      <c r="E436" s="1" t="n">
        <v>46267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45687</v>
      </c>
      <c r="E437" s="1" t="n">
        <v>46267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39849-2023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46267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48589-2023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45208</v>
      </c>
      <c r="E439" s="1" t="n">
        <v>46267</v>
      </c>
      <c r="F439" t="inlineStr">
        <is>
          <t>DALARNAS LÄN</t>
        </is>
      </c>
      <c r="G439" t="inlineStr">
        <is>
          <t>LUDVIKA</t>
        </is>
      </c>
      <c r="H439" t="inlineStr">
        <is>
          <t>Naturvårdsverket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33673-2022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44789</v>
      </c>
      <c r="E440" s="1" t="n">
        <v>46267</v>
      </c>
      <c r="F440" t="inlineStr">
        <is>
          <t>DALARNAS LÄN</t>
        </is>
      </c>
      <c r="G440" t="inlineStr">
        <is>
          <t>LUDVIKA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45845</v>
      </c>
      <c r="E441" s="1" t="n">
        <v>46267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46267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46267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45827</v>
      </c>
      <c r="E444" s="1" t="n">
        <v>46267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55151-2025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45968</v>
      </c>
      <c r="E445" s="1" t="n">
        <v>46267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21741-2022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44708</v>
      </c>
      <c r="E446" s="1" t="n">
        <v>46267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52466-2023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46267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18724-2022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44687</v>
      </c>
      <c r="E448" s="1" t="n">
        <v>46267</v>
      </c>
      <c r="F448" t="inlineStr">
        <is>
          <t>DALARNAS LÄN</t>
        </is>
      </c>
      <c r="G448" t="inlineStr">
        <is>
          <t>LUDVIKA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45210</v>
      </c>
      <c r="E449" s="1" t="n">
        <v>46267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45060-2022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44841</v>
      </c>
      <c r="E450" s="1" t="n">
        <v>46267</v>
      </c>
      <c r="F450" t="inlineStr">
        <is>
          <t>DALARNAS LÄN</t>
        </is>
      </c>
      <c r="G450" t="inlineStr">
        <is>
          <t>LUDVIKA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45754</v>
      </c>
      <c r="E451" s="1" t="n">
        <v>46267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45954</v>
      </c>
      <c r="E452" s="1" t="n">
        <v>46267</v>
      </c>
      <c r="F452" t="inlineStr">
        <is>
          <t>DALARNAS LÄN</t>
        </is>
      </c>
      <c r="G452" t="inlineStr">
        <is>
          <t>LUDVIKA</t>
        </is>
      </c>
      <c r="I452" t="n">
        <v>9.800000000000001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59186-2025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45988</v>
      </c>
      <c r="E453" s="1" t="n">
        <v>46267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55323-2025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46267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45645</v>
      </c>
      <c r="E455" s="1" t="n">
        <v>46267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45835</v>
      </c>
      <c r="E456" s="1" t="n">
        <v>46267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45244</v>
      </c>
      <c r="E457" s="1" t="n">
        <v>46267</v>
      </c>
      <c r="F457" t="inlineStr">
        <is>
          <t>DALARNAS LÄN</t>
        </is>
      </c>
      <c r="G457" t="inlineStr">
        <is>
          <t>LUDVIKA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46267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37392-2023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45156</v>
      </c>
      <c r="E459" s="1" t="n">
        <v>46267</v>
      </c>
      <c r="F459" t="inlineStr">
        <is>
          <t>DALARNAS LÄN</t>
        </is>
      </c>
      <c r="G459" t="inlineStr">
        <is>
          <t>LUDVIKA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42106-2024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45562</v>
      </c>
      <c r="E460" s="1" t="n">
        <v>46267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45219</v>
      </c>
      <c r="E461" s="1" t="n">
        <v>46267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46267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59351-2023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45253</v>
      </c>
      <c r="E463" s="1" t="n">
        <v>46267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45860</v>
      </c>
      <c r="E464" s="1" t="n">
        <v>46267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41828-2025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45902</v>
      </c>
      <c r="E465" s="1" t="n">
        <v>46267</v>
      </c>
      <c r="F465" t="inlineStr">
        <is>
          <t>DALARNAS LÄN</t>
        </is>
      </c>
      <c r="G465" t="inlineStr">
        <is>
          <t>LUDVIKA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45574</v>
      </c>
      <c r="E466" s="1" t="n">
        <v>46267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46267</v>
      </c>
      <c r="F467" t="inlineStr">
        <is>
          <t>DALARNAS LÄN</t>
        </is>
      </c>
      <c r="G467" t="inlineStr">
        <is>
          <t>LUDVIKA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46267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45588</v>
      </c>
      <c r="E469" s="1" t="n">
        <v>46267</v>
      </c>
      <c r="F469" t="inlineStr">
        <is>
          <t>DALARNAS LÄN</t>
        </is>
      </c>
      <c r="G469" t="inlineStr">
        <is>
          <t>LUDVIKA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48683-2023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46267</v>
      </c>
      <c r="F470" t="inlineStr">
        <is>
          <t>DALARNAS LÄN</t>
        </is>
      </c>
      <c r="G470" t="inlineStr">
        <is>
          <t>LUDVIKA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46267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46267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45581</v>
      </c>
      <c r="E473" s="1" t="n">
        <v>46267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46267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46267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46267</v>
      </c>
      <c r="F476" t="inlineStr">
        <is>
          <t>DALARNAS LÄN</t>
        </is>
      </c>
      <c r="G476" t="inlineStr">
        <is>
          <t>LUDVIKA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46142</v>
      </c>
      <c r="E477" s="1" t="n">
        <v>46267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46267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46267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15128-2025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45744</v>
      </c>
      <c r="E480" s="1" t="n">
        <v>46267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21472-2026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46267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46267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46267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46267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44771</v>
      </c>
      <c r="E485" s="1" t="n">
        <v>46267</v>
      </c>
      <c r="F485" t="inlineStr">
        <is>
          <t>DALARNAS LÄN</t>
        </is>
      </c>
      <c r="G485" t="inlineStr">
        <is>
          <t>LUDVIKA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21462-2026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46267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61309-2022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44915</v>
      </c>
      <c r="E487" s="1" t="n">
        <v>46267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50347-2021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44459</v>
      </c>
      <c r="E488" s="1" t="n">
        <v>46267</v>
      </c>
      <c r="F488" t="inlineStr">
        <is>
          <t>DALARNAS LÄN</t>
        </is>
      </c>
      <c r="G488" t="inlineStr">
        <is>
          <t>LUDVIKA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48740-2022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44859</v>
      </c>
      <c r="E489" s="1" t="n">
        <v>46267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46267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45883</v>
      </c>
      <c r="E491" s="1" t="n">
        <v>46267</v>
      </c>
      <c r="F491" t="inlineStr">
        <is>
          <t>DALARNAS LÄN</t>
        </is>
      </c>
      <c r="G491" t="inlineStr">
        <is>
          <t>LUDVIKA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46267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8.9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46267</v>
      </c>
      <c r="F493" t="inlineStr">
        <is>
          <t>DALARNAS LÄN</t>
        </is>
      </c>
      <c r="G493" t="inlineStr">
        <is>
          <t>LUDVIKA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45679</v>
      </c>
      <c r="E494" s="1" t="n">
        <v>46267</v>
      </c>
      <c r="F494" t="inlineStr">
        <is>
          <t>DALARNAS LÄN</t>
        </is>
      </c>
      <c r="G494" t="inlineStr">
        <is>
          <t>LUDVIKA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46267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46267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22464-2026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46267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9.800000000000001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56621-2023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46267</v>
      </c>
      <c r="F498" t="inlineStr">
        <is>
          <t>DALARNAS LÄN</t>
        </is>
      </c>
      <c r="G498" t="inlineStr">
        <is>
          <t>LUDVIKA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46267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16843-2026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46267</v>
      </c>
      <c r="F500" t="inlineStr">
        <is>
          <t>DALARNAS LÄN</t>
        </is>
      </c>
      <c r="G500" t="inlineStr">
        <is>
          <t>LUDVIKA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53996-2024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46267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46267</v>
      </c>
      <c r="F502" t="inlineStr">
        <is>
          <t>DALARNAS LÄN</t>
        </is>
      </c>
      <c r="G502" t="inlineStr">
        <is>
          <t>LUDVIKA</t>
        </is>
      </c>
      <c r="H502" t="inlineStr">
        <is>
          <t>Naturvårdsverket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64171-2023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45279</v>
      </c>
      <c r="E503" s="1" t="n">
        <v>46267</v>
      </c>
      <c r="F503" t="inlineStr">
        <is>
          <t>DALARNAS LÄN</t>
        </is>
      </c>
      <c r="G503" t="inlineStr">
        <is>
          <t>LUDVIKA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923-2024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45301</v>
      </c>
      <c r="E504" s="1" t="n">
        <v>46267</v>
      </c>
      <c r="F504" t="inlineStr">
        <is>
          <t>DALARNAS LÄN</t>
        </is>
      </c>
      <c r="G504" t="inlineStr">
        <is>
          <t>LUDVIKA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46267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46267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46267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53620-2022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46267</v>
      </c>
      <c r="F508" t="inlineStr">
        <is>
          <t>DALARNAS LÄN</t>
        </is>
      </c>
      <c r="G508" t="inlineStr">
        <is>
          <t>LUDVIKA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46267</v>
      </c>
      <c r="F509" t="inlineStr">
        <is>
          <t>DALARNAS LÄN</t>
        </is>
      </c>
      <c r="G509" t="inlineStr">
        <is>
          <t>LUDVIKA</t>
        </is>
      </c>
      <c r="H509" t="inlineStr">
        <is>
          <t>Övriga Aktiebolag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46267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46267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73703-2021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44552</v>
      </c>
      <c r="E512" s="1" t="n">
        <v>46267</v>
      </c>
      <c r="F512" t="inlineStr">
        <is>
          <t>DALARNAS LÄN</t>
        </is>
      </c>
      <c r="G512" t="inlineStr">
        <is>
          <t>LUDVIKA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45833</v>
      </c>
      <c r="E513" s="1" t="n">
        <v>46267</v>
      </c>
      <c r="F513" t="inlineStr">
        <is>
          <t>DALARNAS LÄN</t>
        </is>
      </c>
      <c r="G513" t="inlineStr">
        <is>
          <t>LUDVIKA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46267</v>
      </c>
      <c r="F514" t="inlineStr">
        <is>
          <t>DALARNAS LÄN</t>
        </is>
      </c>
      <c r="G514" t="inlineStr">
        <is>
          <t>LUDVIKA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46267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46267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25299-2022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44730</v>
      </c>
      <c r="E517" s="1" t="n">
        <v>46267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44599</v>
      </c>
      <c r="E518" s="1" t="n">
        <v>46267</v>
      </c>
      <c r="F518" t="inlineStr">
        <is>
          <t>DALARNAS LÄN</t>
        </is>
      </c>
      <c r="G518" t="inlineStr">
        <is>
          <t>LUDVIKA</t>
        </is>
      </c>
      <c r="I518" t="n">
        <v>8.4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46267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46267</v>
      </c>
      <c r="F520" t="inlineStr">
        <is>
          <t>DALARNAS LÄN</t>
        </is>
      </c>
      <c r="G520" t="inlineStr">
        <is>
          <t>LUDVIKA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48642-2022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44859</v>
      </c>
      <c r="E521" s="1" t="n">
        <v>46267</v>
      </c>
      <c r="F521" t="inlineStr">
        <is>
          <t>DALARNAS LÄN</t>
        </is>
      </c>
      <c r="G521" t="inlineStr">
        <is>
          <t>LUDVIKA</t>
        </is>
      </c>
      <c r="H521" t="inlineStr">
        <is>
          <t>Naturvårdsverket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44960</v>
      </c>
      <c r="E522" s="1" t="n">
        <v>46267</v>
      </c>
      <c r="F522" t="inlineStr">
        <is>
          <t>DALARNAS LÄN</t>
        </is>
      </c>
      <c r="G522" t="inlineStr">
        <is>
          <t>LUDVIKA</t>
        </is>
      </c>
      <c r="H522" t="inlineStr">
        <is>
          <t>Naturvårdsverket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46175</v>
      </c>
      <c r="E523" s="1" t="n">
        <v>46267</v>
      </c>
      <c r="F523" t="inlineStr">
        <is>
          <t>DALARNAS LÄN</t>
        </is>
      </c>
      <c r="G523" t="inlineStr">
        <is>
          <t>LUDVIKA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46267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46074-2023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46267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45205</v>
      </c>
      <c r="E526" s="1" t="n">
        <v>46267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46267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46267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46267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23515-2026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46267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24673-2026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46267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46176</v>
      </c>
      <c r="E532" s="1" t="n">
        <v>46267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23917-2026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46267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49166-2025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45938</v>
      </c>
      <c r="E534" s="1" t="n">
        <v>46267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46136</v>
      </c>
      <c r="E535" s="1" t="n">
        <v>46267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46142</v>
      </c>
      <c r="E536" s="1" t="n">
        <v>46267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49035-2024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45594</v>
      </c>
      <c r="E537" s="1" t="n">
        <v>46267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46267</v>
      </c>
      <c r="F538" t="inlineStr">
        <is>
          <t>DALARNAS LÄN</t>
        </is>
      </c>
      <c r="G538" t="inlineStr">
        <is>
          <t>LUDVIKA</t>
        </is>
      </c>
      <c r="H538" t="inlineStr">
        <is>
          <t>Naturvårdsverket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18708-2023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45043</v>
      </c>
      <c r="E539" s="1" t="n">
        <v>46267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46267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59050-2022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44903</v>
      </c>
      <c r="E541" s="1" t="n">
        <v>46267</v>
      </c>
      <c r="F541" t="inlineStr">
        <is>
          <t>DALARNAS LÄN</t>
        </is>
      </c>
      <c r="G541" t="inlineStr">
        <is>
          <t>LUDVIKA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46267</v>
      </c>
      <c r="F542" t="inlineStr">
        <is>
          <t>DALARNAS LÄN</t>
        </is>
      </c>
      <c r="G542" t="inlineStr">
        <is>
          <t>LUDVIKA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46267</v>
      </c>
      <c r="F543" t="inlineStr">
        <is>
          <t>DALARNAS LÄN</t>
        </is>
      </c>
      <c r="G543" t="inlineStr">
        <is>
          <t>LUDVIKA</t>
        </is>
      </c>
      <c r="H543" t="inlineStr">
        <is>
          <t>Övriga Aktiebolag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31646-2026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46225</v>
      </c>
      <c r="E544" s="1" t="n">
        <v>46267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46230</v>
      </c>
      <c r="E545" s="1" t="n">
        <v>46267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46267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46267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46267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42128-2024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45562</v>
      </c>
      <c r="E549" s="1" t="n">
        <v>46267</v>
      </c>
      <c r="F549" t="inlineStr">
        <is>
          <t>DALARNAS LÄN</t>
        </is>
      </c>
      <c r="G549" t="inlineStr">
        <is>
          <t>LUDVIKA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46267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45371</v>
      </c>
      <c r="E551" s="1" t="n">
        <v>46267</v>
      </c>
      <c r="F551" t="inlineStr">
        <is>
          <t>DALARNAS LÄN</t>
        </is>
      </c>
      <c r="G551" t="inlineStr">
        <is>
          <t>LUDVIKA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56672-2023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45243</v>
      </c>
      <c r="E552" s="1" t="n">
        <v>46267</v>
      </c>
      <c r="F552" t="inlineStr">
        <is>
          <t>DALARNAS LÄN</t>
        </is>
      </c>
      <c r="G552" t="inlineStr">
        <is>
          <t>LUDVIKA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46267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45373</v>
      </c>
      <c r="E554" s="1" t="n">
        <v>46267</v>
      </c>
      <c r="F554" t="inlineStr">
        <is>
          <t>DALARNAS LÄN</t>
        </is>
      </c>
      <c r="G554" t="inlineStr">
        <is>
          <t>LUDVIKA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46267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45631</v>
      </c>
      <c r="E556" s="1" t="n">
        <v>46267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41668-2023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45176</v>
      </c>
      <c r="E557" s="1" t="n">
        <v>46267</v>
      </c>
      <c r="F557" t="inlineStr">
        <is>
          <t>DALARNAS LÄN</t>
        </is>
      </c>
      <c r="G557" t="inlineStr">
        <is>
          <t>LUDVIKA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46267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46190</v>
      </c>
      <c r="E559" s="1" t="n">
        <v>46267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27613-2026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46267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46267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45056</v>
      </c>
      <c r="E562" s="1" t="n">
        <v>46267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46267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39400-2023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46267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46267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46267</v>
      </c>
      <c r="F566" t="inlineStr">
        <is>
          <t>DALARNAS LÄN</t>
        </is>
      </c>
      <c r="G566" t="inlineStr">
        <is>
          <t>LUDVIKA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46267</v>
      </c>
      <c r="F567" t="inlineStr">
        <is>
          <t>DALARNAS LÄN</t>
        </is>
      </c>
      <c r="G567" t="inlineStr">
        <is>
          <t>LUDVIKA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45551</v>
      </c>
      <c r="E568" s="1" t="n">
        <v>46267</v>
      </c>
      <c r="F568" t="inlineStr">
        <is>
          <t>DALARNAS LÄN</t>
        </is>
      </c>
      <c r="G568" t="inlineStr">
        <is>
          <t>LUDVIKA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46267</v>
      </c>
      <c r="F569" t="inlineStr">
        <is>
          <t>DALARNAS LÄN</t>
        </is>
      </c>
      <c r="G569" t="inlineStr">
        <is>
          <t>LUDVIKA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40125-2024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45554</v>
      </c>
      <c r="E570" s="1" t="n">
        <v>46267</v>
      </c>
      <c r="F570" t="inlineStr">
        <is>
          <t>DALARNAS LÄN</t>
        </is>
      </c>
      <c r="G570" t="inlineStr">
        <is>
          <t>LUDVIKA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46267</v>
      </c>
      <c r="F571" t="inlineStr">
        <is>
          <t>DALARNAS LÄN</t>
        </is>
      </c>
      <c r="G571" t="inlineStr">
        <is>
          <t>LUDVIKA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46160</v>
      </c>
      <c r="E572" s="1" t="n">
        <v>46267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45520</v>
      </c>
      <c r="E573" s="1" t="n">
        <v>46267</v>
      </c>
      <c r="F573" t="inlineStr">
        <is>
          <t>DALARNAS LÄN</t>
        </is>
      </c>
      <c r="G573" t="inlineStr">
        <is>
          <t>LUDVIKA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46146</v>
      </c>
      <c r="E574" s="1" t="n">
        <v>46267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21034-2026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46146</v>
      </c>
      <c r="E575" s="1" t="n">
        <v>46267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46267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45481</v>
      </c>
      <c r="E577" s="1" t="n">
        <v>46267</v>
      </c>
      <c r="F577" t="inlineStr">
        <is>
          <t>DALARNAS LÄN</t>
        </is>
      </c>
      <c r="G577" t="inlineStr">
        <is>
          <t>LUDVIKA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45297</v>
      </c>
      <c r="E578" s="1" t="n">
        <v>46267</v>
      </c>
      <c r="F578" t="inlineStr">
        <is>
          <t>DALARNAS LÄN</t>
        </is>
      </c>
      <c r="G578" t="inlineStr">
        <is>
          <t>LUDVIKA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45218</v>
      </c>
      <c r="E579" s="1" t="n">
        <v>46267</v>
      </c>
      <c r="F579" t="inlineStr">
        <is>
          <t>DALARNAS LÄN</t>
        </is>
      </c>
      <c r="G579" t="inlineStr">
        <is>
          <t>LUDVIKA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22806-2026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46160</v>
      </c>
      <c r="E580" s="1" t="n">
        <v>46267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46267</v>
      </c>
      <c r="F581" t="inlineStr">
        <is>
          <t>DALARNAS LÄN</t>
        </is>
      </c>
      <c r="G581" t="inlineStr">
        <is>
          <t>LUDVIKA</t>
        </is>
      </c>
      <c r="H581" t="inlineStr">
        <is>
          <t>Naturvårdsverket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60660-2024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45644</v>
      </c>
      <c r="E582" s="1" t="n">
        <v>46267</v>
      </c>
      <c r="F582" t="inlineStr">
        <is>
          <t>DALARNAS LÄN</t>
        </is>
      </c>
      <c r="G582" t="inlineStr">
        <is>
          <t>LUDVIKA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46267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53048-2024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45611</v>
      </c>
      <c r="E584" s="1" t="n">
        <v>46267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46267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46267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46267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45602</v>
      </c>
      <c r="E588" s="1" t="n">
        <v>46267</v>
      </c>
      <c r="F588" t="inlineStr">
        <is>
          <t>DALARNAS LÄN</t>
        </is>
      </c>
      <c r="G588" t="inlineStr">
        <is>
          <t>LUDVIKA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46267</v>
      </c>
      <c r="F589" t="inlineStr">
        <is>
          <t>DALARNAS LÄN</t>
        </is>
      </c>
      <c r="G589" t="inlineStr">
        <is>
          <t>LUDVIKA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46267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46267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10.4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46267</v>
      </c>
      <c r="F592" t="inlineStr">
        <is>
          <t>DALARNAS LÄN</t>
        </is>
      </c>
      <c r="G592" t="inlineStr">
        <is>
          <t>LUDVIKA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46267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3470-2025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45680</v>
      </c>
      <c r="E594" s="1" t="n">
        <v>46267</v>
      </c>
      <c r="F594" t="inlineStr">
        <is>
          <t>DALARNAS LÄN</t>
        </is>
      </c>
      <c r="G594" t="inlineStr">
        <is>
          <t>LUDVIKA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46267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46205</v>
      </c>
      <c r="E596" s="1" t="n">
        <v>46267</v>
      </c>
      <c r="F596" t="inlineStr">
        <is>
          <t>DALARNAS LÄN</t>
        </is>
      </c>
      <c r="G596" t="inlineStr">
        <is>
          <t>LUDVIKA</t>
        </is>
      </c>
      <c r="H596" t="inlineStr">
        <is>
          <t>Naturvårdsverket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33419-2026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46267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45544-2024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46267</v>
      </c>
      <c r="F598" t="inlineStr">
        <is>
          <t>DALARNAS LÄN</t>
        </is>
      </c>
      <c r="G598" t="inlineStr">
        <is>
          <t>LUDVIKA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45579</v>
      </c>
      <c r="E599" s="1" t="n">
        <v>46267</v>
      </c>
      <c r="F599" t="inlineStr">
        <is>
          <t>DALARNAS LÄN</t>
        </is>
      </c>
      <c r="G599" t="inlineStr">
        <is>
          <t>LUDVIKA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56996-2021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44482</v>
      </c>
      <c r="E600" s="1" t="n">
        <v>46267</v>
      </c>
      <c r="F600" t="inlineStr">
        <is>
          <t>DALARNAS LÄN</t>
        </is>
      </c>
      <c r="G600" t="inlineStr">
        <is>
          <t>LUDVIKA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29734-2026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46267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46267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46247</v>
      </c>
      <c r="E603" s="1" t="n">
        <v>46267</v>
      </c>
      <c r="F603" t="inlineStr">
        <is>
          <t>DALARNAS LÄN</t>
        </is>
      </c>
      <c r="G603" t="inlineStr">
        <is>
          <t>LUDVIKA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46267</v>
      </c>
      <c r="F604" t="inlineStr">
        <is>
          <t>DALARNAS LÄN</t>
        </is>
      </c>
      <c r="G604" t="inlineStr">
        <is>
          <t>LUDVIKA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20974-2026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46267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3277-2024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45317</v>
      </c>
      <c r="E606" s="1" t="n">
        <v>46267</v>
      </c>
      <c r="F606" t="inlineStr">
        <is>
          <t>DALARNAS LÄN</t>
        </is>
      </c>
      <c r="G606" t="inlineStr">
        <is>
          <t>LUDVIKA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46267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12497-2024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45379</v>
      </c>
      <c r="E608" s="1" t="n">
        <v>46267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46267</v>
      </c>
      <c r="F609" t="inlineStr">
        <is>
          <t>DALARNAS LÄN</t>
        </is>
      </c>
      <c r="G609" t="inlineStr">
        <is>
          <t>LUDVIKA</t>
        </is>
      </c>
      <c r="H609" t="inlineStr">
        <is>
          <t>Kommuner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46267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49805-2023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45212</v>
      </c>
      <c r="E611" s="1" t="n">
        <v>46267</v>
      </c>
      <c r="F611" t="inlineStr">
        <is>
          <t>DALARNAS LÄN</t>
        </is>
      </c>
      <c r="G611" t="inlineStr">
        <is>
          <t>LUDVIKA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46267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61384-2024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45646</v>
      </c>
      <c r="E613" s="1" t="n">
        <v>46267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3280-2024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45317</v>
      </c>
      <c r="E614" s="1" t="n">
        <v>46267</v>
      </c>
      <c r="F614" t="inlineStr">
        <is>
          <t>DALARNAS LÄN</t>
        </is>
      </c>
      <c r="G614" t="inlineStr">
        <is>
          <t>LUDVIKA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45485</v>
      </c>
      <c r="E615" s="1" t="n">
        <v>46267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14881-2025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45743</v>
      </c>
      <c r="E616" s="1" t="n">
        <v>46267</v>
      </c>
      <c r="F616" t="inlineStr">
        <is>
          <t>DALARNAS LÄN</t>
        </is>
      </c>
      <c r="G616" t="inlineStr">
        <is>
          <t>LUDVIKA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46195</v>
      </c>
      <c r="E617" s="1" t="n">
        <v>46267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34147-2026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46253</v>
      </c>
      <c r="E618" s="1" t="n">
        <v>46267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21891-2025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45784</v>
      </c>
      <c r="E619" s="1" t="n">
        <v>46267</v>
      </c>
      <c r="F619" t="inlineStr">
        <is>
          <t>DALARNAS LÄN</t>
        </is>
      </c>
      <c r="G619" t="inlineStr">
        <is>
          <t>LUDVIKA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21893-2025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45784</v>
      </c>
      <c r="E620" s="1" t="n">
        <v>46267</v>
      </c>
      <c r="F620" t="inlineStr">
        <is>
          <t>DALARNAS LÄN</t>
        </is>
      </c>
      <c r="G620" t="inlineStr">
        <is>
          <t>LUDVIKA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38359-2024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45545</v>
      </c>
      <c r="E621" s="1" t="n">
        <v>46267</v>
      </c>
      <c r="F621" t="inlineStr">
        <is>
          <t>DALARNAS LÄN</t>
        </is>
      </c>
      <c r="G621" t="inlineStr">
        <is>
          <t>LUDVIKA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42421-2024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45565</v>
      </c>
      <c r="E622" s="1" t="n">
        <v>46267</v>
      </c>
      <c r="F622" t="inlineStr">
        <is>
          <t>DALARNAS LÄN</t>
        </is>
      </c>
      <c r="G622" t="inlineStr">
        <is>
          <t>LUDVIKA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45460</v>
      </c>
      <c r="E623" s="1" t="n">
        <v>46267</v>
      </c>
      <c r="F623" t="inlineStr">
        <is>
          <t>DALARNAS LÄN</t>
        </is>
      </c>
      <c r="G623" t="inlineStr">
        <is>
          <t>LUDVIKA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53602-2023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45230</v>
      </c>
      <c r="E624" s="1" t="n">
        <v>46267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46267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46267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46267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46095-2024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45581</v>
      </c>
      <c r="E628" s="1" t="n">
        <v>46267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46267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34584-2026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46267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52359-2024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45609</v>
      </c>
      <c r="E631" s="1" t="n">
        <v>46267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46093-2024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45581</v>
      </c>
      <c r="E632" s="1" t="n">
        <v>46267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34638-2026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46255</v>
      </c>
      <c r="E633" s="1" t="n">
        <v>46267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33914-2023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45134</v>
      </c>
      <c r="E634" s="1" t="n">
        <v>46267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46267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22610-2025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45789</v>
      </c>
      <c r="E636" s="1" t="n">
        <v>46267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50240-2024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45600</v>
      </c>
      <c r="E637" s="1" t="n">
        <v>46267</v>
      </c>
      <c r="F637" t="inlineStr">
        <is>
          <t>DALARNAS LÄN</t>
        </is>
      </c>
      <c r="G637" t="inlineStr">
        <is>
          <t>LUDVIKA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45533</v>
      </c>
      <c r="E638" s="1" t="n">
        <v>46267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43702-2024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45569</v>
      </c>
      <c r="E639" s="1" t="n">
        <v>46267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34631-2026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46267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28838-2026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46267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46267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45789</v>
      </c>
      <c r="E643" s="1" t="n">
        <v>46267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28132-2026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46267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22276-2026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46154</v>
      </c>
      <c r="E645" s="1" t="n">
        <v>46267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28801-2026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46267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46260</v>
      </c>
      <c r="E647" s="1" t="n">
        <v>46267</v>
      </c>
      <c r="F647" t="inlineStr">
        <is>
          <t>DALARNAS LÄN</t>
        </is>
      </c>
      <c r="G647" t="inlineStr">
        <is>
          <t>LUDVIKA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46267</v>
      </c>
      <c r="F648" t="inlineStr">
        <is>
          <t>DALARNAS LÄN</t>
        </is>
      </c>
      <c r="G648" t="inlineStr">
        <is>
          <t>LUDVIKA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45789</v>
      </c>
      <c r="E649" s="1" t="n">
        <v>46267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47233-2024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45586</v>
      </c>
      <c r="E650" s="1" t="n">
        <v>46267</v>
      </c>
      <c r="F650" t="inlineStr">
        <is>
          <t>DALARNAS LÄN</t>
        </is>
      </c>
      <c r="G650" t="inlineStr">
        <is>
          <t>LUDVIKA</t>
        </is>
      </c>
      <c r="I650" t="n">
        <v>9.5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46107-2024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45581</v>
      </c>
      <c r="E651" s="1" t="n">
        <v>46267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46258</v>
      </c>
      <c r="E652" s="1" t="n">
        <v>46267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46267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46267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46267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41539-2024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45560</v>
      </c>
      <c r="E656" s="1" t="n">
        <v>46267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46267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22686-2025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46267</v>
      </c>
      <c r="F658" t="inlineStr">
        <is>
          <t>DALARNAS LÄN</t>
        </is>
      </c>
      <c r="G658" t="inlineStr">
        <is>
          <t>LUDVIKA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35099-2026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46267</v>
      </c>
      <c r="F659" t="inlineStr">
        <is>
          <t>DALARNAS LÄN</t>
        </is>
      </c>
      <c r="G659" t="inlineStr">
        <is>
          <t>LUDVIKA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46267</v>
      </c>
      <c r="F660" t="inlineStr">
        <is>
          <t>DALARNAS LÄN</t>
        </is>
      </c>
      <c r="G660" t="inlineStr">
        <is>
          <t>LUDVIKA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35179-2026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46260</v>
      </c>
      <c r="E661" s="1" t="n">
        <v>46267</v>
      </c>
      <c r="F661" t="inlineStr">
        <is>
          <t>DALARNAS LÄN</t>
        </is>
      </c>
      <c r="G661" t="inlineStr">
        <is>
          <t>LUDVIKA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35103-2026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46260</v>
      </c>
      <c r="E662" s="1" t="n">
        <v>46267</v>
      </c>
      <c r="F662" t="inlineStr">
        <is>
          <t>DALARNAS LÄN</t>
        </is>
      </c>
      <c r="G662" t="inlineStr">
        <is>
          <t>LUDVIKA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46260</v>
      </c>
      <c r="E663" s="1" t="n">
        <v>46267</v>
      </c>
      <c r="F663" t="inlineStr">
        <is>
          <t>DALARNAS LÄN</t>
        </is>
      </c>
      <c r="G663" t="inlineStr">
        <is>
          <t>LUDVIKA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28162-2026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46195</v>
      </c>
      <c r="E664" s="1" t="n">
        <v>46267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20973-2026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46142</v>
      </c>
      <c r="E665" s="1" t="n">
        <v>46267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34796-2026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46258</v>
      </c>
      <c r="E666" s="1" t="n">
        <v>46267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46267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28116-2026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46267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46267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34280-2024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45524</v>
      </c>
      <c r="E670" s="1" t="n">
        <v>46267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45685</v>
      </c>
      <c r="E671" s="1" t="n">
        <v>46267</v>
      </c>
      <c r="F671" t="inlineStr">
        <is>
          <t>DALARNAS LÄN</t>
        </is>
      </c>
      <c r="G671" t="inlineStr">
        <is>
          <t>LUDVIKA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28045-2026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46267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23105-2025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46267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28073-2026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46267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46267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46218</v>
      </c>
      <c r="E676" s="1" t="n">
        <v>46267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23443-2024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45453</v>
      </c>
      <c r="E677" s="1" t="n">
        <v>46267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37549-2024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45541</v>
      </c>
      <c r="E678" s="1" t="n">
        <v>46267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46219</v>
      </c>
      <c r="E679" s="1" t="n">
        <v>46267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24027-2025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46267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61278-2022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44915</v>
      </c>
      <c r="E681" s="1" t="n">
        <v>46267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30977-2024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45499</v>
      </c>
      <c r="E682" s="1" t="n">
        <v>46267</v>
      </c>
      <c r="F682" t="inlineStr">
        <is>
          <t>DALARNAS LÄN</t>
        </is>
      </c>
      <c r="G682" t="inlineStr">
        <is>
          <t>LUDVIKA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35490-2026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46262</v>
      </c>
      <c r="E683" s="1" t="n">
        <v>46267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19.9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45791</v>
      </c>
      <c r="E684" s="1" t="n">
        <v>46267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20642-2025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45776</v>
      </c>
      <c r="E685" s="1" t="n">
        <v>46267</v>
      </c>
      <c r="F685" t="inlineStr">
        <is>
          <t>DALARNAS LÄN</t>
        </is>
      </c>
      <c r="G685" t="inlineStr">
        <is>
          <t>LUDVIKA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46267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46267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35652-2026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46265</v>
      </c>
      <c r="E688" s="1" t="n">
        <v>46267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45770</v>
      </c>
      <c r="E689" s="1" t="n">
        <v>46267</v>
      </c>
      <c r="F689" t="inlineStr">
        <is>
          <t>DALARNAS LÄN</t>
        </is>
      </c>
      <c r="G689" t="inlineStr">
        <is>
          <t>LUDVIKA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25235-2025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45800</v>
      </c>
      <c r="E690" s="1" t="n">
        <v>46267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35648-2026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46265</v>
      </c>
      <c r="E691" s="1" t="n">
        <v>46267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25004-2025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46267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25113-2025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45800</v>
      </c>
      <c r="E693" s="1" t="n">
        <v>46267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46230</v>
      </c>
      <c r="E694" s="1" t="n">
        <v>46267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46265</v>
      </c>
      <c r="E695" s="1" t="n">
        <v>46267</v>
      </c>
      <c r="F695" t="inlineStr">
        <is>
          <t>DALARNAS LÄN</t>
        </is>
      </c>
      <c r="G695" t="inlineStr">
        <is>
          <t>LUDVIKA</t>
        </is>
      </c>
      <c r="H695" t="inlineStr">
        <is>
          <t>Kyrkan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46220</v>
      </c>
      <c r="E696" s="1" t="n">
        <v>46267</v>
      </c>
      <c r="F696" t="inlineStr">
        <is>
          <t>DALARNAS LÄN</t>
        </is>
      </c>
      <c r="G696" t="inlineStr">
        <is>
          <t>LUDVIKA</t>
        </is>
      </c>
      <c r="H696" t="inlineStr">
        <is>
          <t>Naturvårdsverket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2837-2023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45167</v>
      </c>
      <c r="E697" s="1" t="n">
        <v>46267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1122-2023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45015</v>
      </c>
      <c r="E698" s="1" t="n">
        <v>46267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115.7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3660-2023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45216</v>
      </c>
      <c r="E699" s="1" t="n">
        <v>46267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1246-2024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45400</v>
      </c>
      <c r="E700" s="1" t="n">
        <v>46267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1096-2024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45391</v>
      </c>
      <c r="E701" s="1" t="n">
        <v>46267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26.7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4863-2022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44805</v>
      </c>
      <c r="E702" s="1" t="n">
        <v>46267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1113-2023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45015</v>
      </c>
      <c r="E703" s="1" t="n">
        <v>46267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>
      <c r="A704" t="inlineStr">
        <is>
          <t>S 1815-2026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46190</v>
      </c>
      <c r="E704" s="1" t="n">
        <v>46267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2026-09-02T02:04:37Z</dcterms:created>
  <dcterms:modified xmlns:dcterms="http://purl.org/dc/terms/" xmlns:xsi="http://www.w3.org/2001/XMLSchema-instance" xsi:type="dcterms:W3CDTF">2026-09-02T02:04:38Z</dcterms:modified>
</cp:coreProperties>
</file>
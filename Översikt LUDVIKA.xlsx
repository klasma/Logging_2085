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46309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46309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46309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46309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46309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46309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46309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46309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46309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46309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31749-2024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45509</v>
      </c>
      <c r="E22" s="1" t="n">
        <v>46309</v>
      </c>
      <c r="F22" t="inlineStr">
        <is>
          <t>DALARNAS LÄN</t>
        </is>
      </c>
      <c r="G22" t="inlineStr">
        <is>
          <t>LUDVIKA</t>
        </is>
      </c>
      <c r="I22" t="n">
        <v>6.7</v>
      </c>
      <c r="J22" t="n">
        <v>1</v>
      </c>
      <c r="K22" t="n">
        <v>5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8</v>
      </c>
      <c r="T22" t="n">
        <v>17</v>
      </c>
      <c r="U22" t="n">
        <v>17</v>
      </c>
      <c r="V22" s="2" t="inlineStr">
        <is>
          <t>Rynkskinn
Vårärt
Sotriska
Svart trolldruva
Svavelriska
Tibast
Underviol
Blåsippa</t>
        </is>
      </c>
      <c r="W22">
        <f>HYPERLINK("https://klasma.github.io/Logging_2085/artfynd/A 31749-2024 artfynd.xlsx", "A 31749-2024")</f>
        <v/>
      </c>
      <c r="X22">
        <f>HYPERLINK("https://klasma.github.io/Logging_2085/kartor/A 31749-2024 karta.png", "A 31749-2024")</f>
        <v/>
      </c>
      <c r="Y22">
        <f>HYPERLINK("https://klasma.github.io/Logging_2085/kartor_geotiff/A 31749-2024 georefererad karta.tif", "A 31749-2024")</f>
        <v/>
      </c>
      <c r="AA22">
        <f>HYPERLINK("https://klasma.github.io/Logging_2085/klagomål/A 31749-2024 FSC-klagomål.docx", "A 31749-2024")</f>
        <v/>
      </c>
      <c r="AB22">
        <f>HYPERLINK("https://klasma.github.io/Logging_2085/klagomålsmail/A 31749-2024 FSC-klagomål mail.docx", "A 31749-2024")</f>
        <v/>
      </c>
      <c r="AC22">
        <f>HYPERLINK("https://klasma.github.io/Logging_2085/tillsyn/A 31749-2024 tillsynsbegäran.docx", "A 31749-2024")</f>
        <v/>
      </c>
      <c r="AD22">
        <f>HYPERLINK("https://klasma.github.io/Logging_2085/tillsynsmail/A 31749-2024 tillsynsbegäran mail.docx", "A 31749-2024")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46309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49783-2024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45597</v>
      </c>
      <c r="E24" s="1" t="n">
        <v>46309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20.9</v>
      </c>
      <c r="J24" t="n">
        <v>3</v>
      </c>
      <c r="K24" t="n">
        <v>0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8</v>
      </c>
      <c r="T24" t="n">
        <v>28</v>
      </c>
      <c r="U24" t="n">
        <v>17</v>
      </c>
      <c r="V24" s="2" t="inlineStr">
        <is>
          <t>Garnlav
Mörk kådsvartspik
Dropptaggsvamp
Gammelgransskål
Stjärntagging
Tretåig hackspett
Järpe
Spillkråka</t>
        </is>
      </c>
      <c r="W24">
        <f>HYPERLINK("https://klasma.github.io/Logging_2085/artfynd/A 49783-2024 artfynd.xlsx", "A 49783-2024")</f>
        <v/>
      </c>
      <c r="X24">
        <f>HYPERLINK("https://klasma.github.io/Logging_2085/kartor/A 49783-2024 karta.png", "A 49783-2024")</f>
        <v/>
      </c>
      <c r="Y24">
        <f>HYPERLINK("https://klasma.github.io/Logging_2085/kartor_geotiff/A 49783-2024 georefererad karta.tif", "A 49783-2024")</f>
        <v/>
      </c>
      <c r="AA24">
        <f>HYPERLINK("https://klasma.github.io/Logging_2085/klagomål/A 49783-2024 FSC-klagomål.docx", "A 49783-2024")</f>
        <v/>
      </c>
      <c r="AB24">
        <f>HYPERLINK("https://klasma.github.io/Logging_2085/klagomålsmail/A 49783-2024 FSC-klagomål mail.docx", "A 49783-2024")</f>
        <v/>
      </c>
      <c r="AC24">
        <f>HYPERLINK("https://klasma.github.io/Logging_2085/tillsyn/A 49783-2024 tillsynsbegäran.docx", "A 49783-2024")</f>
        <v/>
      </c>
      <c r="AD24">
        <f>HYPERLINK("https://klasma.github.io/Logging_2085/tillsynsmail/A 49783-2024 tillsynsbegäran mail.docx", "A 49783-2024")</f>
        <v/>
      </c>
      <c r="AE24">
        <f>HYPERLINK("https://klasma.github.io/Logging_2085/fåglar/A 49783-2024 prioriterade fågelarter.docx", "A 49783-2024")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46309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46309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46309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46309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46309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46309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46309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46309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46309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46309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46309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46309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46309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46309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46309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37639-2024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45541</v>
      </c>
      <c r="E42" s="1" t="n">
        <v>46309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1.6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0</v>
      </c>
      <c r="V42" s="2" t="inlineStr">
        <is>
          <t>Garnlav
Lunglav
Violettgrå tagellav
Gulnål
Korallblylav</t>
        </is>
      </c>
      <c r="W42">
        <f>HYPERLINK("https://klasma.github.io/Logging_2085/artfynd/A 37639-2024 artfynd.xlsx", "A 37639-2024")</f>
        <v/>
      </c>
      <c r="X42">
        <f>HYPERLINK("https://klasma.github.io/Logging_2085/kartor/A 37639-2024 karta.png", "A 37639-2024")</f>
        <v/>
      </c>
      <c r="Y42">
        <f>HYPERLINK("https://klasma.github.io/Logging_2085/kartor_geotiff/A 37639-2024 georefererad karta.tif", "A 37639-2024")</f>
        <v/>
      </c>
      <c r="AA42">
        <f>HYPERLINK("https://klasma.github.io/Logging_2085/klagomål/A 37639-2024 FSC-klagomål.docx", "A 37639-2024")</f>
        <v/>
      </c>
      <c r="AB42">
        <f>HYPERLINK("https://klasma.github.io/Logging_2085/klagomålsmail/A 37639-2024 FSC-klagomål mail.docx", "A 37639-2024")</f>
        <v/>
      </c>
      <c r="AC42">
        <f>HYPERLINK("https://klasma.github.io/Logging_2085/tillsyn/A 37639-2024 tillsynsbegäran.docx", "A 37639-2024")</f>
        <v/>
      </c>
      <c r="AD42">
        <f>HYPERLINK("https://klasma.github.io/Logging_2085/tillsynsmail/A 37639-2024 tillsynsbegäran mail.docx", "A 37639-2024")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46309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34144-2026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46309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4.6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5</v>
      </c>
      <c r="T44" t="n">
        <v>5</v>
      </c>
      <c r="U44" t="n">
        <v>5</v>
      </c>
      <c r="V44" s="2" t="inlineStr">
        <is>
          <t>Garnlav
Dropptaggsvamp
Korallblylav
Järpe
Spillkråka</t>
        </is>
      </c>
      <c r="W44">
        <f>HYPERLINK("https://klasma.github.io/Logging_2085/artfynd/A 34144-2026 artfynd.xlsx", "A 34144-2026")</f>
        <v/>
      </c>
      <c r="X44">
        <f>HYPERLINK("https://klasma.github.io/Logging_2085/kartor/A 34144-2026 karta.png", "A 34144-2026")</f>
        <v/>
      </c>
      <c r="Y44">
        <f>HYPERLINK("https://klasma.github.io/Logging_2085/kartor_geotiff/A 34144-2026 georefererad karta.tif", "A 34144-2026")</f>
        <v/>
      </c>
      <c r="AA44">
        <f>HYPERLINK("https://klasma.github.io/Logging_2085/klagomål/A 34144-2026 FSC-klagomål.docx", "A 34144-2026")</f>
        <v/>
      </c>
      <c r="AB44">
        <f>HYPERLINK("https://klasma.github.io/Logging_2085/klagomålsmail/A 34144-2026 FSC-klagomål mail.docx", "A 34144-2026")</f>
        <v/>
      </c>
      <c r="AC44">
        <f>HYPERLINK("https://klasma.github.io/Logging_2085/tillsyn/A 34144-2026 tillsynsbegäran.docx", "A 34144-2026")</f>
        <v/>
      </c>
      <c r="AD44">
        <f>HYPERLINK("https://klasma.github.io/Logging_2085/tillsynsmail/A 34144-2026 tillsynsbegäran mail.docx", "A 34144-2026")</f>
        <v/>
      </c>
      <c r="AE44">
        <f>HYPERLINK("https://klasma.github.io/Logging_2085/fåglar/A 34144-2026 prioriterade fågelarter.docx", "A 34144-2026")</f>
        <v/>
      </c>
    </row>
    <row r="45" ht="15" customHeight="1">
      <c r="A45" t="inlineStr">
        <is>
          <t>A 23714-2026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46309</v>
      </c>
      <c r="F45" t="inlineStr">
        <is>
          <t>DALARNAS LÄN</t>
        </is>
      </c>
      <c r="G45" t="inlineStr">
        <is>
          <t>LUDVIKA</t>
        </is>
      </c>
      <c r="I45" t="n">
        <v>4.6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5</v>
      </c>
      <c r="T45" t="n">
        <v>7</v>
      </c>
      <c r="U45" t="n">
        <v>7</v>
      </c>
      <c r="V45" s="2" t="inlineStr">
        <is>
          <t>Garnlav
Rosenticka
Tretåig hackspett
Ullticka
Spillkråka</t>
        </is>
      </c>
      <c r="W45">
        <f>HYPERLINK("https://klasma.github.io/Logging_2085/artfynd/A 23714-2026 artfynd.xlsx", "A 23714-2026")</f>
        <v/>
      </c>
      <c r="X45">
        <f>HYPERLINK("https://klasma.github.io/Logging_2085/kartor/A 23714-2026 karta.png", "A 23714-2026")</f>
        <v/>
      </c>
      <c r="Y45">
        <f>HYPERLINK("https://klasma.github.io/Logging_2085/kartor_geotiff/A 23714-2026 georefererad karta.tif", "A 23714-2026")</f>
        <v/>
      </c>
      <c r="AA45">
        <f>HYPERLINK("https://klasma.github.io/Logging_2085/klagomål/A 23714-2026 FSC-klagomål.docx", "A 23714-2026")</f>
        <v/>
      </c>
      <c r="AB45">
        <f>HYPERLINK("https://klasma.github.io/Logging_2085/klagomålsmail/A 23714-2026 FSC-klagomål mail.docx", "A 23714-2026")</f>
        <v/>
      </c>
      <c r="AC45">
        <f>HYPERLINK("https://klasma.github.io/Logging_2085/tillsyn/A 23714-2026 tillsynsbegäran.docx", "A 23714-2026")</f>
        <v/>
      </c>
      <c r="AD45">
        <f>HYPERLINK("https://klasma.github.io/Logging_2085/tillsynsmail/A 23714-2026 tillsynsbegäran mail.docx", "A 23714-2026")</f>
        <v/>
      </c>
      <c r="AE45">
        <f>HYPERLINK("https://klasma.github.io/Logging_2085/fåglar/A 23714-2026 prioriterade fågelarter.docx", "A 23714-2026")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46309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46309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46309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46309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46309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46309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46309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46309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46309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47044-2025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45929</v>
      </c>
      <c r="E55" s="1" t="n">
        <v>46309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2.7</v>
      </c>
      <c r="J55" t="n">
        <v>4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4</v>
      </c>
      <c r="V55" s="2" t="inlineStr">
        <is>
          <t>Duvhök
Tretåig hackspett
Järpe
Tjäder</t>
        </is>
      </c>
      <c r="W55">
        <f>HYPERLINK("https://klasma.github.io/Logging_2085/artfynd/A 47044-2025 artfynd.xlsx", "A 47044-2025")</f>
        <v/>
      </c>
      <c r="X55">
        <f>HYPERLINK("https://klasma.github.io/Logging_2085/kartor/A 47044-2025 karta.png", "A 47044-2025")</f>
        <v/>
      </c>
      <c r="Y55">
        <f>HYPERLINK("https://klasma.github.io/Logging_2085/kartor_geotiff/A 47044-2025 georefererad karta.tif", "A 47044-2025")</f>
        <v/>
      </c>
      <c r="AA55">
        <f>HYPERLINK("https://klasma.github.io/Logging_2085/klagomål/A 47044-2025 FSC-klagomål.docx", "A 47044-2025")</f>
        <v/>
      </c>
      <c r="AB55">
        <f>HYPERLINK("https://klasma.github.io/Logging_2085/klagomålsmail/A 47044-2025 FSC-klagomål mail.docx", "A 47044-2025")</f>
        <v/>
      </c>
      <c r="AC55">
        <f>HYPERLINK("https://klasma.github.io/Logging_2085/tillsyn/A 47044-2025 tillsynsbegäran.docx", "A 47044-2025")</f>
        <v/>
      </c>
      <c r="AD55">
        <f>HYPERLINK("https://klasma.github.io/Logging_2085/tillsynsmail/A 47044-2025 tillsynsbegäran mail.docx", "A 47044-2025")</f>
        <v/>
      </c>
      <c r="AE55">
        <f>HYPERLINK("https://klasma.github.io/Logging_2085/fåglar/A 47044-2025 prioriterade fågelarter.docx", "A 47044-2025")</f>
        <v/>
      </c>
    </row>
    <row r="56" ht="15" customHeight="1">
      <c r="A56" t="inlineStr">
        <is>
          <t>A 49676-2024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45596</v>
      </c>
      <c r="E56" s="1" t="n">
        <v>46309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3.5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4</v>
      </c>
      <c r="T56" t="n">
        <v>8</v>
      </c>
      <c r="U56" t="n">
        <v>8</v>
      </c>
      <c r="V56" s="2" t="inlineStr">
        <is>
          <t>Garnlav
Dropptaggsvamp
Järpe
Spillkråka</t>
        </is>
      </c>
      <c r="W56">
        <f>HYPERLINK("https://klasma.github.io/Logging_2085/artfynd/A 49676-2024 artfynd.xlsx", "A 49676-2024")</f>
        <v/>
      </c>
      <c r="X56">
        <f>HYPERLINK("https://klasma.github.io/Logging_2085/kartor/A 49676-2024 karta.png", "A 49676-2024")</f>
        <v/>
      </c>
      <c r="Y56">
        <f>HYPERLINK("https://klasma.github.io/Logging_2085/kartor_geotiff/A 49676-2024 georefererad karta.tif", "A 49676-2024")</f>
        <v/>
      </c>
      <c r="AA56">
        <f>HYPERLINK("https://klasma.github.io/Logging_2085/klagomål/A 49676-2024 FSC-klagomål.docx", "A 49676-2024")</f>
        <v/>
      </c>
      <c r="AB56">
        <f>HYPERLINK("https://klasma.github.io/Logging_2085/klagomålsmail/A 49676-2024 FSC-klagomål mail.docx", "A 49676-2024")</f>
        <v/>
      </c>
      <c r="AC56">
        <f>HYPERLINK("https://klasma.github.io/Logging_2085/tillsyn/A 49676-2024 tillsynsbegäran.docx", "A 49676-2024")</f>
        <v/>
      </c>
      <c r="AD56">
        <f>HYPERLINK("https://klasma.github.io/Logging_2085/tillsynsmail/A 49676-2024 tillsynsbegäran mail.docx", "A 49676-2024")</f>
        <v/>
      </c>
      <c r="AE56">
        <f>HYPERLINK("https://klasma.github.io/Logging_2085/fåglar/A 49676-2024 prioriterade fågelarter.docx", "A 49676-2024")</f>
        <v/>
      </c>
    </row>
    <row r="57" ht="15" customHeight="1">
      <c r="A57" t="inlineStr">
        <is>
          <t>A 35820-2026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46309</v>
      </c>
      <c r="F57" t="inlineStr">
        <is>
          <t>DALARNAS LÄN</t>
        </is>
      </c>
      <c r="G57" t="inlineStr">
        <is>
          <t>LUDVIKA</t>
        </is>
      </c>
      <c r="H57" t="inlineStr">
        <is>
          <t>Naturvårdsverket</t>
        </is>
      </c>
      <c r="I57" t="n">
        <v>4.3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4</v>
      </c>
      <c r="T57" t="n">
        <v>4</v>
      </c>
      <c r="U57" t="n">
        <v>0</v>
      </c>
      <c r="V57" s="2" t="inlineStr">
        <is>
          <t>Garnlav
Kortskaftad ärgspik
Vedtrappmossa
Spillkråka</t>
        </is>
      </c>
      <c r="W57">
        <f>HYPERLINK("https://klasma.github.io/Logging_2085/artfynd/A 35820-2026 artfynd.xlsx", "A 35820-2026")</f>
        <v/>
      </c>
      <c r="X57">
        <f>HYPERLINK("https://klasma.github.io/Logging_2085/kartor/A 35820-2026 karta.png", "A 35820-2026")</f>
        <v/>
      </c>
      <c r="Y57">
        <f>HYPERLINK("https://klasma.github.io/Logging_2085/kartor_geotiff/A 35820-2026 georefererad karta.tif", "A 35820-2026")</f>
        <v/>
      </c>
      <c r="AA57">
        <f>HYPERLINK("https://klasma.github.io/Logging_2085/klagomål/A 35820-2026 FSC-klagomål.docx", "A 35820-2026")</f>
        <v/>
      </c>
      <c r="AB57">
        <f>HYPERLINK("https://klasma.github.io/Logging_2085/klagomålsmail/A 35820-2026 FSC-klagomål mail.docx", "A 35820-2026")</f>
        <v/>
      </c>
      <c r="AC57">
        <f>HYPERLINK("https://klasma.github.io/Logging_2085/tillsyn/A 35820-2026 tillsynsbegäran.docx", "A 35820-2026")</f>
        <v/>
      </c>
      <c r="AD57">
        <f>HYPERLINK("https://klasma.github.io/Logging_2085/tillsynsmail/A 35820-2026 tillsynsbegäran mail.docx", "A 35820-2026")</f>
        <v/>
      </c>
      <c r="AE57">
        <f>HYPERLINK("https://klasma.github.io/Logging_2085/fåglar/A 35820-2026 prioriterade fågelarter.docx", "A 35820-2026")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46309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35100-2026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46260</v>
      </c>
      <c r="E59" s="1" t="n">
        <v>46309</v>
      </c>
      <c r="F59" t="inlineStr">
        <is>
          <t>DALARNAS LÄN</t>
        </is>
      </c>
      <c r="G59" t="inlineStr">
        <is>
          <t>LUDVIKA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8</v>
      </c>
      <c r="U59" t="n">
        <v>8</v>
      </c>
      <c r="V59" s="2" t="inlineStr">
        <is>
          <t>Knärot
Trådticka
Spillkråka
Sälg</t>
        </is>
      </c>
      <c r="W59">
        <f>HYPERLINK("https://klasma.github.io/Logging_2085/artfynd/A 35100-2026 artfynd.xlsx", "A 35100-2026")</f>
        <v/>
      </c>
      <c r="X59">
        <f>HYPERLINK("https://klasma.github.io/Logging_2085/kartor/A 35100-2026 karta.png", "A 35100-2026")</f>
        <v/>
      </c>
      <c r="Y59">
        <f>HYPERLINK("https://klasma.github.io/Logging_2085/kartor_geotiff/A 35100-2026 georefererad karta.tif", "A 35100-2026")</f>
        <v/>
      </c>
      <c r="Z59">
        <f>HYPERLINK("https://klasma.github.io/Logging_2085/knärot/A 35100-2026 karta knärot.png", "A 35100-2026")</f>
        <v/>
      </c>
      <c r="AA59">
        <f>HYPERLINK("https://klasma.github.io/Logging_2085/klagomål/A 35100-2026 FSC-klagomål.docx", "A 35100-2026")</f>
        <v/>
      </c>
      <c r="AB59">
        <f>HYPERLINK("https://klasma.github.io/Logging_2085/klagomålsmail/A 35100-2026 FSC-klagomål mail.docx", "A 35100-2026")</f>
        <v/>
      </c>
      <c r="AC59">
        <f>HYPERLINK("https://klasma.github.io/Logging_2085/tillsyn/A 35100-2026 tillsynsbegäran.docx", "A 35100-2026")</f>
        <v/>
      </c>
      <c r="AD59">
        <f>HYPERLINK("https://klasma.github.io/Logging_2085/tillsynsmail/A 35100-2026 tillsynsbegäran mail.docx", "A 35100-2026")</f>
        <v/>
      </c>
      <c r="AE59">
        <f>HYPERLINK("https://klasma.github.io/Logging_2085/fåglar/A 35100-2026 prioriterade fågelarter.docx", "A 35100-2026")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46309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46309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46309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74432-2021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44560</v>
      </c>
      <c r="E63" s="1" t="n">
        <v>46309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Spillkråka
Gröngöling
Kungsfågel</t>
        </is>
      </c>
      <c r="W63">
        <f>HYPERLINK("https://klasma.github.io/Logging_2085/artfynd/A 74432-2021 artfynd.xlsx", "A 74432-2021")</f>
        <v/>
      </c>
      <c r="X63">
        <f>HYPERLINK("https://klasma.github.io/Logging_2085/kartor/A 74432-2021 karta.png", "A 74432-2021")</f>
        <v/>
      </c>
      <c r="Y63">
        <f>HYPERLINK("https://klasma.github.io/Logging_2085/kartor_geotiff/A 74432-2021 georefererad karta.tif", "A 74432-2021")</f>
        <v/>
      </c>
      <c r="AA63">
        <f>HYPERLINK("https://klasma.github.io/Logging_2085/klagomål/A 74432-2021 FSC-klagomål.docx", "A 74432-2021")</f>
        <v/>
      </c>
      <c r="AB63">
        <f>HYPERLINK("https://klasma.github.io/Logging_2085/klagomålsmail/A 74432-2021 FSC-klagomål mail.docx", "A 74432-2021")</f>
        <v/>
      </c>
      <c r="AC63">
        <f>HYPERLINK("https://klasma.github.io/Logging_2085/tillsyn/A 74432-2021 tillsynsbegäran.docx", "A 74432-2021")</f>
        <v/>
      </c>
      <c r="AD63">
        <f>HYPERLINK("https://klasma.github.io/Logging_2085/tillsynsmail/A 74432-2021 tillsynsbegäran mail.docx", "A 74432-2021")</f>
        <v/>
      </c>
      <c r="AE63">
        <f>HYPERLINK("https://klasma.github.io/Logging_2085/fåglar/A 74432-2021 prioriterade fågelarter.docx", "A 74432-2021")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46309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46309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18759-2026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46309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3.5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11</v>
      </c>
      <c r="U66" t="n">
        <v>0</v>
      </c>
      <c r="V66" s="2" t="inlineStr">
        <is>
          <t>Knärot
Dropptaggsvamp
Nattviol</t>
        </is>
      </c>
      <c r="W66">
        <f>HYPERLINK("https://klasma.github.io/Logging_2085/artfynd/A 18759-2026 artfynd.xlsx", "A 18759-2026")</f>
        <v/>
      </c>
      <c r="X66">
        <f>HYPERLINK("https://klasma.github.io/Logging_2085/kartor/A 18759-2026 karta.png", "A 18759-2026")</f>
        <v/>
      </c>
      <c r="Y66">
        <f>HYPERLINK("https://klasma.github.io/Logging_2085/kartor_geotiff/A 18759-2026 georefererad karta.tif", "A 18759-2026")</f>
        <v/>
      </c>
      <c r="Z66">
        <f>HYPERLINK("https://klasma.github.io/Logging_2085/knärot/A 18759-2026 karta knärot.png", "A 18759-2026")</f>
        <v/>
      </c>
      <c r="AA66">
        <f>HYPERLINK("https://klasma.github.io/Logging_2085/klagomål/A 18759-2026 FSC-klagomål.docx", "A 18759-2026")</f>
        <v/>
      </c>
      <c r="AB66">
        <f>HYPERLINK("https://klasma.github.io/Logging_2085/klagomålsmail/A 18759-2026 FSC-klagomål mail.docx", "A 18759-2026")</f>
        <v/>
      </c>
      <c r="AC66">
        <f>HYPERLINK("https://klasma.github.io/Logging_2085/tillsyn/A 18759-2026 tillsynsbegäran.docx", "A 18759-2026")</f>
        <v/>
      </c>
      <c r="AD66">
        <f>HYPERLINK("https://klasma.github.io/Logging_2085/tillsynsmail/A 18759-2026 tillsynsbegäran mail.docx", "A 18759-2026")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46309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46309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21369-2023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46309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0.4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Skogsalm
Tibast</t>
        </is>
      </c>
      <c r="W69">
        <f>HYPERLINK("https://klasma.github.io/Logging_2085/artfynd/A 21369-2023 artfynd.xlsx", "A 21369-2023")</f>
        <v/>
      </c>
      <c r="X69">
        <f>HYPERLINK("https://klasma.github.io/Logging_2085/kartor/A 21369-2023 karta.png", "A 21369-2023")</f>
        <v/>
      </c>
      <c r="Y69">
        <f>HYPERLINK("https://klasma.github.io/Logging_2085/kartor_geotiff/A 21369-2023 georefererad karta.tif", "A 21369-2023")</f>
        <v/>
      </c>
      <c r="AA69">
        <f>HYPERLINK("https://klasma.github.io/Logging_2085/klagomål/A 21369-2023 FSC-klagomål.docx", "A 21369-2023")</f>
        <v/>
      </c>
      <c r="AB69">
        <f>HYPERLINK("https://klasma.github.io/Logging_2085/klagomålsmail/A 21369-2023 FSC-klagomål mail.docx", "A 21369-2023")</f>
        <v/>
      </c>
      <c r="AC69">
        <f>HYPERLINK("https://klasma.github.io/Logging_2085/tillsyn/A 21369-2023 tillsynsbegäran.docx", "A 21369-2023")</f>
        <v/>
      </c>
      <c r="AD69">
        <f>HYPERLINK("https://klasma.github.io/Logging_2085/tillsynsmail/A 21369-2023 tillsynsbegäran mail.docx", "A 21369-2023")</f>
        <v/>
      </c>
    </row>
    <row r="70" ht="15" customHeight="1">
      <c r="A70" t="inlineStr">
        <is>
          <t>A 42558-2022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46309</v>
      </c>
      <c r="F70" t="inlineStr">
        <is>
          <t>DALARNAS LÄN</t>
        </is>
      </c>
      <c r="G70" t="inlineStr">
        <is>
          <t>LUDVIKA</t>
        </is>
      </c>
      <c r="H70" t="inlineStr">
        <is>
          <t>Naturvårdsverket</t>
        </is>
      </c>
      <c r="I70" t="n">
        <v>4.9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Gräddporing
Lopplummer (aggregat)</t>
        </is>
      </c>
      <c r="W70">
        <f>HYPERLINK("https://klasma.github.io/Logging_2085/artfynd/A 42558-2022 artfynd.xlsx", "A 42558-2022")</f>
        <v/>
      </c>
      <c r="X70">
        <f>HYPERLINK("https://klasma.github.io/Logging_2085/kartor/A 42558-2022 karta.png", "A 42558-2022")</f>
        <v/>
      </c>
      <c r="Y70">
        <f>HYPERLINK("https://klasma.github.io/Logging_2085/kartor_geotiff/A 42558-2022 georefererad karta.tif", "A 42558-2022")</f>
        <v/>
      </c>
      <c r="AA70">
        <f>HYPERLINK("https://klasma.github.io/Logging_2085/klagomål/A 42558-2022 FSC-klagomål.docx", "A 42558-2022")</f>
        <v/>
      </c>
      <c r="AB70">
        <f>HYPERLINK("https://klasma.github.io/Logging_2085/klagomålsmail/A 42558-2022 FSC-klagomål mail.docx", "A 42558-2022")</f>
        <v/>
      </c>
      <c r="AC70">
        <f>HYPERLINK("https://klasma.github.io/Logging_2085/tillsyn/A 42558-2022 tillsynsbegäran.docx", "A 42558-2022")</f>
        <v/>
      </c>
      <c r="AD70">
        <f>HYPERLINK("https://klasma.github.io/Logging_2085/tillsynsmail/A 42558-2022 tillsynsbegäran mail.docx", "A 42558-2022")</f>
        <v/>
      </c>
    </row>
    <row r="71" ht="15" customHeight="1">
      <c r="A71" t="inlineStr">
        <is>
          <t>A 11755-2023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46309</v>
      </c>
      <c r="F71" t="inlineStr">
        <is>
          <t>DALARNAS LÄN</t>
        </is>
      </c>
      <c r="G71" t="inlineStr">
        <is>
          <t>LUDVIKA</t>
        </is>
      </c>
      <c r="H71" t="inlineStr">
        <is>
          <t>Övriga Aktiebolag</t>
        </is>
      </c>
      <c r="I71" t="n">
        <v>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Spillkråka</t>
        </is>
      </c>
      <c r="W71">
        <f>HYPERLINK("https://klasma.github.io/Logging_2085/artfynd/A 11755-2023 artfynd.xlsx", "A 11755-2023")</f>
        <v/>
      </c>
      <c r="X71">
        <f>HYPERLINK("https://klasma.github.io/Logging_2085/kartor/A 11755-2023 karta.png", "A 11755-2023")</f>
        <v/>
      </c>
      <c r="Y71">
        <f>HYPERLINK("https://klasma.github.io/Logging_2085/kartor_geotiff/A 11755-2023 georefererad karta.tif", "A 11755-2023")</f>
        <v/>
      </c>
      <c r="AA71">
        <f>HYPERLINK("https://klasma.github.io/Logging_2085/klagomål/A 11755-2023 FSC-klagomål.docx", "A 11755-2023")</f>
        <v/>
      </c>
      <c r="AB71">
        <f>HYPERLINK("https://klasma.github.io/Logging_2085/klagomålsmail/A 11755-2023 FSC-klagomål mail.docx", "A 11755-2023")</f>
        <v/>
      </c>
      <c r="AC71">
        <f>HYPERLINK("https://klasma.github.io/Logging_2085/tillsyn/A 11755-2023 tillsynsbegäran.docx", "A 11755-2023")</f>
        <v/>
      </c>
      <c r="AD71">
        <f>HYPERLINK("https://klasma.github.io/Logging_2085/tillsynsmail/A 11755-2023 tillsynsbegäran mail.docx", "A 11755-2023")</f>
        <v/>
      </c>
      <c r="AE71">
        <f>HYPERLINK("https://klasma.github.io/Logging_2085/fåglar/A 11755-2023 prioriterade fågelarter.docx", "A 11755-2023")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46309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45791-2025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46309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Vitfläckig guldvinge
Fläcknycklar</t>
        </is>
      </c>
      <c r="W73">
        <f>HYPERLINK("https://klasma.github.io/Logging_2085/artfynd/A 45791-2025 artfynd.xlsx", "A 45791-2025")</f>
        <v/>
      </c>
      <c r="X73">
        <f>HYPERLINK("https://klasma.github.io/Logging_2085/kartor/A 45791-2025 karta.png", "A 45791-2025")</f>
        <v/>
      </c>
      <c r="Y73">
        <f>HYPERLINK("https://klasma.github.io/Logging_2085/kartor_geotiff/A 45791-2025 georefererad karta.tif", "A 45791-2025")</f>
        <v/>
      </c>
      <c r="AA73">
        <f>HYPERLINK("https://klasma.github.io/Logging_2085/klagomål/A 45791-2025 FSC-klagomål.docx", "A 45791-2025")</f>
        <v/>
      </c>
      <c r="AB73">
        <f>HYPERLINK("https://klasma.github.io/Logging_2085/klagomålsmail/A 45791-2025 FSC-klagomål mail.docx", "A 45791-2025")</f>
        <v/>
      </c>
      <c r="AC73">
        <f>HYPERLINK("https://klasma.github.io/Logging_2085/tillsyn/A 45791-2025 tillsynsbegäran.docx", "A 45791-2025")</f>
        <v/>
      </c>
      <c r="AD73">
        <f>HYPERLINK("https://klasma.github.io/Logging_2085/tillsynsmail/A 45791-2025 tillsynsbegäran mail.docx", "A 45791-2025")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46309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46309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46309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56879-2025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46309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Tjäder</t>
        </is>
      </c>
      <c r="W77">
        <f>HYPERLINK("https://klasma.github.io/Logging_2085/artfynd/A 56879-2025 artfynd.xlsx", "A 56879-2025")</f>
        <v/>
      </c>
      <c r="X77">
        <f>HYPERLINK("https://klasma.github.io/Logging_2085/kartor/A 56879-2025 karta.png", "A 56879-2025")</f>
        <v/>
      </c>
      <c r="Y77">
        <f>HYPERLINK("https://klasma.github.io/Logging_2085/kartor_geotiff/A 56879-2025 georefererad karta.tif", "A 56879-2025")</f>
        <v/>
      </c>
      <c r="AA77">
        <f>HYPERLINK("https://klasma.github.io/Logging_2085/klagomål/A 56879-2025 FSC-klagomål.docx", "A 56879-2025")</f>
        <v/>
      </c>
      <c r="AB77">
        <f>HYPERLINK("https://klasma.github.io/Logging_2085/klagomålsmail/A 56879-2025 FSC-klagomål mail.docx", "A 56879-2025")</f>
        <v/>
      </c>
      <c r="AC77">
        <f>HYPERLINK("https://klasma.github.io/Logging_2085/tillsyn/A 56879-2025 tillsynsbegäran.docx", "A 56879-2025")</f>
        <v/>
      </c>
      <c r="AD77">
        <f>HYPERLINK("https://klasma.github.io/Logging_2085/tillsynsmail/A 56879-2025 tillsynsbegäran mail.docx", "A 56879-2025")</f>
        <v/>
      </c>
      <c r="AE77">
        <f>HYPERLINK("https://klasma.github.io/Logging_2085/fåglar/A 56879-2025 prioriterade fågelarter.docx", "A 56879-2025")</f>
        <v/>
      </c>
    </row>
    <row r="78" ht="15" customHeight="1">
      <c r="A78" t="inlineStr">
        <is>
          <t>A 62275-2022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46309</v>
      </c>
      <c r="F78" t="inlineStr">
        <is>
          <t>DALARNAS LÄN</t>
        </is>
      </c>
      <c r="G78" t="inlineStr">
        <is>
          <t>LUDVIKA</t>
        </is>
      </c>
      <c r="I78" t="n">
        <v>4.6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5</v>
      </c>
      <c r="U78" t="n">
        <v>5</v>
      </c>
      <c r="V78" s="2" t="inlineStr">
        <is>
          <t>Knärot
Brunklöver</t>
        </is>
      </c>
      <c r="W78">
        <f>HYPERLINK("https://klasma.github.io/Logging_2085/artfynd/A 62275-2022 artfynd.xlsx", "A 62275-2022")</f>
        <v/>
      </c>
      <c r="X78">
        <f>HYPERLINK("https://klasma.github.io/Logging_2085/kartor/A 62275-2022 karta.png", "A 62275-2022")</f>
        <v/>
      </c>
      <c r="Y78">
        <f>HYPERLINK("https://klasma.github.io/Logging_2085/kartor_geotiff/A 62275-2022 georefererad karta.tif", "A 62275-2022")</f>
        <v/>
      </c>
      <c r="Z78">
        <f>HYPERLINK("https://klasma.github.io/Logging_2085/knärot/A 62275-2022 karta knärot.png", "A 62275-2022")</f>
        <v/>
      </c>
      <c r="AA78">
        <f>HYPERLINK("https://klasma.github.io/Logging_2085/klagomål/A 62275-2022 FSC-klagomål.docx", "A 62275-2022")</f>
        <v/>
      </c>
      <c r="AB78">
        <f>HYPERLINK("https://klasma.github.io/Logging_2085/klagomålsmail/A 62275-2022 FSC-klagomål mail.docx", "A 62275-2022")</f>
        <v/>
      </c>
      <c r="AC78">
        <f>HYPERLINK("https://klasma.github.io/Logging_2085/tillsyn/A 62275-2022 tillsynsbegäran.docx", "A 62275-2022")</f>
        <v/>
      </c>
      <c r="AD78">
        <f>HYPERLINK("https://klasma.github.io/Logging_2085/tillsynsmail/A 62275-2022 tillsynsbegäran mail.docx", "A 62275-2022")</f>
        <v/>
      </c>
    </row>
    <row r="79" ht="15" customHeight="1">
      <c r="A79" t="inlineStr">
        <is>
          <t>A 33155-2024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45518</v>
      </c>
      <c r="E79" s="1" t="n">
        <v>46309</v>
      </c>
      <c r="F79" t="inlineStr">
        <is>
          <t>DALARNAS LÄN</t>
        </is>
      </c>
      <c r="G79" t="inlineStr">
        <is>
          <t>LUDVIKA</t>
        </is>
      </c>
      <c r="I79" t="n">
        <v>2.9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Brunpudrad nållav
Tretåig hackspett</t>
        </is>
      </c>
      <c r="W79">
        <f>HYPERLINK("https://klasma.github.io/Logging_2085/artfynd/A 33155-2024 artfynd.xlsx", "A 33155-2024")</f>
        <v/>
      </c>
      <c r="X79">
        <f>HYPERLINK("https://klasma.github.io/Logging_2085/kartor/A 33155-2024 karta.png", "A 33155-2024")</f>
        <v/>
      </c>
      <c r="Y79">
        <f>HYPERLINK("https://klasma.github.io/Logging_2085/kartor_geotiff/A 33155-2024 georefererad karta.tif", "A 33155-2024")</f>
        <v/>
      </c>
      <c r="AA79">
        <f>HYPERLINK("https://klasma.github.io/Logging_2085/klagomål/A 33155-2024 FSC-klagomål.docx", "A 33155-2024")</f>
        <v/>
      </c>
      <c r="AB79">
        <f>HYPERLINK("https://klasma.github.io/Logging_2085/klagomålsmail/A 33155-2024 FSC-klagomål mail.docx", "A 33155-2024")</f>
        <v/>
      </c>
      <c r="AC79">
        <f>HYPERLINK("https://klasma.github.io/Logging_2085/tillsyn/A 33155-2024 tillsynsbegäran.docx", "A 33155-2024")</f>
        <v/>
      </c>
      <c r="AD79">
        <f>HYPERLINK("https://klasma.github.io/Logging_2085/tillsynsmail/A 33155-2024 tillsynsbegäran mail.docx", "A 33155-2024")</f>
        <v/>
      </c>
      <c r="AE79">
        <f>HYPERLINK("https://klasma.github.io/Logging_2085/fåglar/A 33155-2024 prioriterade fågelarter.docx", "A 33155-2024")</f>
        <v/>
      </c>
    </row>
    <row r="80" ht="15" customHeight="1">
      <c r="A80" t="inlineStr">
        <is>
          <t>A 21876-2026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46309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Garnlav
Tretåig hackspett</t>
        </is>
      </c>
      <c r="W80">
        <f>HYPERLINK("https://klasma.github.io/Logging_2085/artfynd/A 21876-2026 artfynd.xlsx", "A 21876-2026")</f>
        <v/>
      </c>
      <c r="X80">
        <f>HYPERLINK("https://klasma.github.io/Logging_2085/kartor/A 21876-2026 karta.png", "A 21876-2026")</f>
        <v/>
      </c>
      <c r="Y80">
        <f>HYPERLINK("https://klasma.github.io/Logging_2085/kartor_geotiff/A 21876-2026 georefererad karta.tif", "A 21876-2026")</f>
        <v/>
      </c>
      <c r="AA80">
        <f>HYPERLINK("https://klasma.github.io/Logging_2085/klagomål/A 21876-2026 FSC-klagomål.docx", "A 21876-2026")</f>
        <v/>
      </c>
      <c r="AB80">
        <f>HYPERLINK("https://klasma.github.io/Logging_2085/klagomålsmail/A 21876-2026 FSC-klagomål mail.docx", "A 21876-2026")</f>
        <v/>
      </c>
      <c r="AC80">
        <f>HYPERLINK("https://klasma.github.io/Logging_2085/tillsyn/A 21876-2026 tillsynsbegäran.docx", "A 21876-2026")</f>
        <v/>
      </c>
      <c r="AD80">
        <f>HYPERLINK("https://klasma.github.io/Logging_2085/tillsynsmail/A 21876-2026 tillsynsbegäran mail.docx", "A 21876-2026")</f>
        <v/>
      </c>
      <c r="AE80">
        <f>HYPERLINK("https://klasma.github.io/Logging_2085/fåglar/A 21876-2026 prioriterade fågelarter.docx", "A 21876-2026")</f>
        <v/>
      </c>
    </row>
    <row r="81" ht="15" customHeight="1">
      <c r="A81" t="inlineStr">
        <is>
          <t>A 49051-2024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46309</v>
      </c>
      <c r="F81" t="inlineStr">
        <is>
          <t>DALARNAS LÄN</t>
        </is>
      </c>
      <c r="G81" t="inlineStr">
        <is>
          <t>LUDVIKA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2</v>
      </c>
      <c r="O81" t="n">
        <v>0</v>
      </c>
      <c r="P81" t="n">
        <v>0</v>
      </c>
      <c r="Q81" t="n">
        <v>2</v>
      </c>
      <c r="R81" t="n">
        <v>2</v>
      </c>
      <c r="S81" t="n">
        <v>2</v>
      </c>
      <c r="T81" t="n">
        <v>2</v>
      </c>
      <c r="U81" t="n">
        <v>0</v>
      </c>
      <c r="V81" s="2" t="inlineStr">
        <is>
          <t>Ladparasitspik
Vedkastanjelav</t>
        </is>
      </c>
      <c r="W81">
        <f>HYPERLINK("https://klasma.github.io/Logging_2085/artfynd/A 49051-2024 artfynd.xlsx", "A 49051-2024")</f>
        <v/>
      </c>
      <c r="X81">
        <f>HYPERLINK("https://klasma.github.io/Logging_2085/kartor/A 49051-2024 karta.png", "A 49051-2024")</f>
        <v/>
      </c>
      <c r="Y81">
        <f>HYPERLINK("https://klasma.github.io/Logging_2085/kartor_geotiff/A 49051-2024 georefererad karta.tif", "A 49051-2024")</f>
        <v/>
      </c>
      <c r="AA81">
        <f>HYPERLINK("https://klasma.github.io/Logging_2085/klagomål/A 49051-2024 FSC-klagomål.docx", "A 49051-2024")</f>
        <v/>
      </c>
      <c r="AB81">
        <f>HYPERLINK("https://klasma.github.io/Logging_2085/klagomålsmail/A 49051-2024 FSC-klagomål mail.docx", "A 49051-2024")</f>
        <v/>
      </c>
      <c r="AC81">
        <f>HYPERLINK("https://klasma.github.io/Logging_2085/tillsyn/A 49051-2024 tillsynsbegäran.docx", "A 49051-2024")</f>
        <v/>
      </c>
      <c r="AD81">
        <f>HYPERLINK("https://klasma.github.io/Logging_2085/tillsynsmail/A 49051-2024 tillsynsbegäran mail.docx", "A 49051-2024")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46309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46309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3809-2024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46309</v>
      </c>
      <c r="F84" t="inlineStr">
        <is>
          <t>DALARNAS LÄN</t>
        </is>
      </c>
      <c r="G84" t="inlineStr">
        <is>
          <t>LUDVIKA</t>
        </is>
      </c>
      <c r="I84" t="n">
        <v>0.5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8</v>
      </c>
      <c r="U84" t="n">
        <v>8</v>
      </c>
      <c r="V84" s="2" t="inlineStr">
        <is>
          <t>Nordfladdermus
Fläcknycklar</t>
        </is>
      </c>
      <c r="W84">
        <f>HYPERLINK("https://klasma.github.io/Logging_2085/artfynd/A 3809-2024 artfynd.xlsx", "A 3809-2024")</f>
        <v/>
      </c>
      <c r="X84">
        <f>HYPERLINK("https://klasma.github.io/Logging_2085/kartor/A 3809-2024 karta.png", "A 3809-2024")</f>
        <v/>
      </c>
      <c r="Y84">
        <f>HYPERLINK("https://klasma.github.io/Logging_2085/kartor_geotiff/A 3809-2024 georefererad karta.tif", "A 3809-2024")</f>
        <v/>
      </c>
      <c r="AA84">
        <f>HYPERLINK("https://klasma.github.io/Logging_2085/klagomål/A 3809-2024 FSC-klagomål.docx", "A 3809-2024")</f>
        <v/>
      </c>
      <c r="AB84">
        <f>HYPERLINK("https://klasma.github.io/Logging_2085/klagomålsmail/A 3809-2024 FSC-klagomål mail.docx", "A 3809-2024")</f>
        <v/>
      </c>
      <c r="AC84">
        <f>HYPERLINK("https://klasma.github.io/Logging_2085/tillsyn/A 3809-2024 tillsynsbegäran.docx", "A 3809-2024")</f>
        <v/>
      </c>
      <c r="AD84">
        <f>HYPERLINK("https://klasma.github.io/Logging_2085/tillsynsmail/A 3809-2024 tillsynsbegäran mail.docx", "A 3809-2024")</f>
        <v/>
      </c>
    </row>
    <row r="85" ht="15" customHeight="1">
      <c r="A85" t="inlineStr">
        <is>
          <t>A 55399-2025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45971</v>
      </c>
      <c r="E85" s="1" t="n">
        <v>46309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11.5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HYPERLINK("https://klasma.github.io/Logging_2085/artfynd/A 55399-2025 artfynd.xlsx", "A 55399-2025")</f>
        <v/>
      </c>
      <c r="X85">
        <f>HYPERLINK("https://klasma.github.io/Logging_2085/kartor/A 55399-2025 karta.png", "A 55399-2025")</f>
        <v/>
      </c>
      <c r="Y85">
        <f>HYPERLINK("https://klasma.github.io/Logging_2085/kartor_geotiff/A 55399-2025 georefererad karta.tif", "A 55399-2025")</f>
        <v/>
      </c>
      <c r="AA85">
        <f>HYPERLINK("https://klasma.github.io/Logging_2085/klagomål/A 55399-2025 FSC-klagomål.docx", "A 55399-2025")</f>
        <v/>
      </c>
      <c r="AB85">
        <f>HYPERLINK("https://klasma.github.io/Logging_2085/klagomålsmail/A 55399-2025 FSC-klagomål mail.docx", "A 55399-2025")</f>
        <v/>
      </c>
      <c r="AC85">
        <f>HYPERLINK("https://klasma.github.io/Logging_2085/tillsyn/A 55399-2025 tillsynsbegäran.docx", "A 55399-2025")</f>
        <v/>
      </c>
      <c r="AD85">
        <f>HYPERLINK("https://klasma.github.io/Logging_2085/tillsynsmail/A 55399-2025 tillsynsbegäran mail.docx", "A 55399-2025")</f>
        <v/>
      </c>
      <c r="AE85">
        <f>HYPERLINK("https://klasma.github.io/Logging_2085/fåglar/A 55399-2025 prioriterade fågelarter.docx", "A 55399-2025")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46309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46309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46309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A 51886-2022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46309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1.8</v>
      </c>
      <c r="J89" t="n">
        <v>2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Brun gräsfjäril
Tvåblad</t>
        </is>
      </c>
      <c r="W89">
        <f>HYPERLINK("https://klasma.github.io/Logging_2085/artfynd/A 51886-2022 artfynd.xlsx", "A 51886-2022")</f>
        <v/>
      </c>
      <c r="X89">
        <f>HYPERLINK("https://klasma.github.io/Logging_2085/kartor/A 51886-2022 karta.png", "A 51886-2022")</f>
        <v/>
      </c>
      <c r="Y89">
        <f>HYPERLINK("https://klasma.github.io/Logging_2085/kartor_geotiff/A 51886-2022 georefererad karta.tif", "A 51886-2022")</f>
        <v/>
      </c>
      <c r="AA89">
        <f>HYPERLINK("https://klasma.github.io/Logging_2085/klagomål/A 51886-2022 FSC-klagomål.docx", "A 51886-2022")</f>
        <v/>
      </c>
      <c r="AB89">
        <f>HYPERLINK("https://klasma.github.io/Logging_2085/klagomålsmail/A 51886-2022 FSC-klagomål mail.docx", "A 51886-2022")</f>
        <v/>
      </c>
      <c r="AC89">
        <f>HYPERLINK("https://klasma.github.io/Logging_2085/tillsyn/A 51886-2022 tillsynsbegäran.docx", "A 51886-2022")</f>
        <v/>
      </c>
      <c r="AD89">
        <f>HYPERLINK("https://klasma.github.io/Logging_2085/tillsynsmail/A 51886-2022 tillsynsbegäran mail.docx", "A 51886-2022")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46309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46309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8202-2025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46309</v>
      </c>
      <c r="F92" t="inlineStr">
        <is>
          <t>DALARNAS LÄN</t>
        </is>
      </c>
      <c r="G92" t="inlineStr">
        <is>
          <t>LUDVIKA</t>
        </is>
      </c>
      <c r="I92" t="n">
        <v>6.4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7</v>
      </c>
      <c r="U92" t="n">
        <v>7</v>
      </c>
      <c r="V92" s="2" t="inlineStr">
        <is>
          <t>Tretåig hackspett
Spillkråka</t>
        </is>
      </c>
      <c r="W92">
        <f>HYPERLINK("https://klasma.github.io/Logging_2085/artfynd/A 8202-2025 artfynd.xlsx", "A 8202-2025")</f>
        <v/>
      </c>
      <c r="X92">
        <f>HYPERLINK("https://klasma.github.io/Logging_2085/kartor/A 8202-2025 karta.png", "A 8202-2025")</f>
        <v/>
      </c>
      <c r="Y92">
        <f>HYPERLINK("https://klasma.github.io/Logging_2085/kartor_geotiff/A 8202-2025 georefererad karta.tif", "A 8202-2025")</f>
        <v/>
      </c>
      <c r="AA92">
        <f>HYPERLINK("https://klasma.github.io/Logging_2085/klagomål/A 8202-2025 FSC-klagomål.docx", "A 8202-2025")</f>
        <v/>
      </c>
      <c r="AB92">
        <f>HYPERLINK("https://klasma.github.io/Logging_2085/klagomålsmail/A 8202-2025 FSC-klagomål mail.docx", "A 8202-2025")</f>
        <v/>
      </c>
      <c r="AC92">
        <f>HYPERLINK("https://klasma.github.io/Logging_2085/tillsyn/A 8202-2025 tillsynsbegäran.docx", "A 8202-2025")</f>
        <v/>
      </c>
      <c r="AD92">
        <f>HYPERLINK("https://klasma.github.io/Logging_2085/tillsynsmail/A 8202-2025 tillsynsbegäran mail.docx", "A 8202-2025")</f>
        <v/>
      </c>
      <c r="AE92">
        <f>HYPERLINK("https://klasma.github.io/Logging_2085/fåglar/A 8202-2025 prioriterade fågelarter.docx", "A 8202-2025")</f>
        <v/>
      </c>
    </row>
    <row r="93" ht="15" customHeight="1">
      <c r="A93" t="inlineStr">
        <is>
          <t>A 35099-2026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46260</v>
      </c>
      <c r="E93" s="1" t="n">
        <v>46309</v>
      </c>
      <c r="F93" t="inlineStr">
        <is>
          <t>DALARNAS LÄN</t>
        </is>
      </c>
      <c r="G93" t="inlineStr">
        <is>
          <t>LUDVIKA</t>
        </is>
      </c>
      <c r="I93" t="n">
        <v>3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5</v>
      </c>
      <c r="V93" s="2" t="inlineStr">
        <is>
          <t>Knärot
Sälg</t>
        </is>
      </c>
      <c r="W93">
        <f>HYPERLINK("https://klasma.github.io/Logging_2085/artfynd/A 35099-2026 artfynd.xlsx", "A 35099-2026")</f>
        <v/>
      </c>
      <c r="X93">
        <f>HYPERLINK("https://klasma.github.io/Logging_2085/kartor/A 35099-2026 karta.png", "A 35099-2026")</f>
        <v/>
      </c>
      <c r="Y93">
        <f>HYPERLINK("https://klasma.github.io/Logging_2085/kartor_geotiff/A 35099-2026 georefererad karta.tif", "A 35099-2026")</f>
        <v/>
      </c>
      <c r="Z93">
        <f>HYPERLINK("https://klasma.github.io/Logging_2085/knärot/A 35099-2026 karta knärot.png", "A 35099-2026")</f>
        <v/>
      </c>
      <c r="AA93">
        <f>HYPERLINK("https://klasma.github.io/Logging_2085/klagomål/A 35099-2026 FSC-klagomål.docx", "A 35099-2026")</f>
        <v/>
      </c>
      <c r="AB93">
        <f>HYPERLINK("https://klasma.github.io/Logging_2085/klagomålsmail/A 35099-2026 FSC-klagomål mail.docx", "A 35099-2026")</f>
        <v/>
      </c>
      <c r="AC93">
        <f>HYPERLINK("https://klasma.github.io/Logging_2085/tillsyn/A 35099-2026 tillsynsbegäran.docx", "A 35099-2026")</f>
        <v/>
      </c>
      <c r="AD93">
        <f>HYPERLINK("https://klasma.github.io/Logging_2085/tillsynsmail/A 35099-2026 tillsynsbegäran mail.docx", "A 35099-2026")</f>
        <v/>
      </c>
    </row>
    <row r="94" ht="15" customHeight="1">
      <c r="A94" t="inlineStr">
        <is>
          <t>A 35104-2026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46309</v>
      </c>
      <c r="F94" t="inlineStr">
        <is>
          <t>DALARNAS LÄN</t>
        </is>
      </c>
      <c r="G94" t="inlineStr">
        <is>
          <t>LUDVIKA</t>
        </is>
      </c>
      <c r="I94" t="n">
        <v>1.4</v>
      </c>
      <c r="J94" t="n">
        <v>1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Knärot
Rödgul trumpetsvamp</t>
        </is>
      </c>
      <c r="W94">
        <f>HYPERLINK("https://klasma.github.io/Logging_2085/artfynd/A 35104-2026 artfynd.xlsx", "A 35104-2026")</f>
        <v/>
      </c>
      <c r="X94">
        <f>HYPERLINK("https://klasma.github.io/Logging_2085/kartor/A 35104-2026 karta.png", "A 35104-2026")</f>
        <v/>
      </c>
      <c r="Y94">
        <f>HYPERLINK("https://klasma.github.io/Logging_2085/kartor_geotiff/A 35104-2026 georefererad karta.tif", "A 35104-2026")</f>
        <v/>
      </c>
      <c r="Z94">
        <f>HYPERLINK("https://klasma.github.io/Logging_2085/knärot/A 35104-2026 karta knärot.png", "A 35104-2026")</f>
        <v/>
      </c>
      <c r="AA94">
        <f>HYPERLINK("https://klasma.github.io/Logging_2085/klagomål/A 35104-2026 FSC-klagomål.docx", "A 35104-2026")</f>
        <v/>
      </c>
      <c r="AB94">
        <f>HYPERLINK("https://klasma.github.io/Logging_2085/klagomålsmail/A 35104-2026 FSC-klagomål mail.docx", "A 35104-2026")</f>
        <v/>
      </c>
      <c r="AC94">
        <f>HYPERLINK("https://klasma.github.io/Logging_2085/tillsyn/A 35104-2026 tillsynsbegäran.docx", "A 35104-2026")</f>
        <v/>
      </c>
      <c r="AD94">
        <f>HYPERLINK("https://klasma.github.io/Logging_2085/tillsynsmail/A 35104-2026 tillsynsbegäran mail.docx", "A 35104-2026")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46309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46309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46309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46309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46309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46309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25448-2024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45463</v>
      </c>
      <c r="E101" s="1" t="n">
        <v>46309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24.7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Blåsippa</t>
        </is>
      </c>
      <c r="W101">
        <f>HYPERLINK("https://klasma.github.io/Logging_2085/artfynd/A 25448-2024 artfynd.xlsx", "A 25448-2024")</f>
        <v/>
      </c>
      <c r="X101">
        <f>HYPERLINK("https://klasma.github.io/Logging_2085/kartor/A 25448-2024 karta.png", "A 25448-2024")</f>
        <v/>
      </c>
      <c r="Y101">
        <f>HYPERLINK("https://klasma.github.io/Logging_2085/kartor_geotiff/A 25448-2024 georefererad karta.tif", "A 25448-2024")</f>
        <v/>
      </c>
      <c r="AA101">
        <f>HYPERLINK("https://klasma.github.io/Logging_2085/klagomål/A 25448-2024 FSC-klagomål.docx", "A 25448-2024")</f>
        <v/>
      </c>
      <c r="AB101">
        <f>HYPERLINK("https://klasma.github.io/Logging_2085/klagomålsmail/A 25448-2024 FSC-klagomål mail.docx", "A 25448-2024")</f>
        <v/>
      </c>
      <c r="AC101">
        <f>HYPERLINK("https://klasma.github.io/Logging_2085/tillsyn/A 25448-2024 tillsynsbegäran.docx", "A 25448-2024")</f>
        <v/>
      </c>
      <c r="AD101">
        <f>HYPERLINK("https://klasma.github.io/Logging_2085/tillsynsmail/A 25448-2024 tillsynsbegäran mail.docx", "A 25448-2024")</f>
        <v/>
      </c>
    </row>
    <row r="102" ht="15" customHeight="1">
      <c r="A102" t="inlineStr">
        <is>
          <t>A 23102-2025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46309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0.8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HYPERLINK("https://klasma.github.io/Logging_2085/artfynd/A 23102-2025 artfynd.xlsx", "A 23102-2025")</f>
        <v/>
      </c>
      <c r="X102">
        <f>HYPERLINK("https://klasma.github.io/Logging_2085/kartor/A 23102-2025 karta.png", "A 23102-2025")</f>
        <v/>
      </c>
      <c r="Y102">
        <f>HYPERLINK("https://klasma.github.io/Logging_2085/kartor_geotiff/A 23102-2025 georefererad karta.tif", "A 23102-2025")</f>
        <v/>
      </c>
      <c r="AA102">
        <f>HYPERLINK("https://klasma.github.io/Logging_2085/klagomål/A 23102-2025 FSC-klagomål.docx", "A 23102-2025")</f>
        <v/>
      </c>
      <c r="AB102">
        <f>HYPERLINK("https://klasma.github.io/Logging_2085/klagomålsmail/A 23102-2025 FSC-klagomål mail.docx", "A 23102-2025")</f>
        <v/>
      </c>
      <c r="AC102">
        <f>HYPERLINK("https://klasma.github.io/Logging_2085/tillsyn/A 23102-2025 tillsynsbegäran.docx", "A 23102-2025")</f>
        <v/>
      </c>
      <c r="AD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46309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Granbarkgnagare</t>
        </is>
      </c>
      <c r="W103">
        <f>HYPERLINK("https://klasma.github.io/Logging_2085/artfynd/A 45858-2025 artfynd.xlsx", "A 45858-2025")</f>
        <v/>
      </c>
      <c r="X103">
        <f>HYPERLINK("https://klasma.github.io/Logging_2085/kartor/A 45858-2025 karta.png", "A 45858-2025")</f>
        <v/>
      </c>
      <c r="Y103">
        <f>HYPERLINK("https://klasma.github.io/Logging_2085/kartor_geotiff/A 45858-2025 georefererad karta.tif", "A 45858-2025")</f>
        <v/>
      </c>
      <c r="AA103">
        <f>HYPERLINK("https://klasma.github.io/Logging_2085/klagomål/A 45858-2025 FSC-klagomål.docx", "A 45858-2025")</f>
        <v/>
      </c>
      <c r="AB103">
        <f>HYPERLINK("https://klasma.github.io/Logging_2085/klagomålsmail/A 45858-2025 FSC-klagomål mail.docx", "A 45858-2025")</f>
        <v/>
      </c>
      <c r="AC103">
        <f>HYPERLINK("https://klasma.github.io/Logging_2085/tillsyn/A 45858-2025 tillsynsbegäran.docx", "A 45858-2025")</f>
        <v/>
      </c>
      <c r="AD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59947-2025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45993</v>
      </c>
      <c r="E104" s="1" t="n">
        <v>46309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0.5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HYPERLINK("https://klasma.github.io/Logging_2085/artfynd/A 59947-2025 artfynd.xlsx", "A 59947-2025")</f>
        <v/>
      </c>
      <c r="X104">
        <f>HYPERLINK("https://klasma.github.io/Logging_2085/kartor/A 59947-2025 karta.png", "A 59947-2025")</f>
        <v/>
      </c>
      <c r="Y104">
        <f>HYPERLINK("https://klasma.github.io/Logging_2085/kartor_geotiff/A 59947-2025 georefererad karta.tif", "A 59947-2025")</f>
        <v/>
      </c>
      <c r="AA104">
        <f>HYPERLINK("https://klasma.github.io/Logging_2085/klagomål/A 59947-2025 FSC-klagomål.docx", "A 59947-2025")</f>
        <v/>
      </c>
      <c r="AB104">
        <f>HYPERLINK("https://klasma.github.io/Logging_2085/klagomålsmail/A 59947-2025 FSC-klagomål mail.docx", "A 59947-2025")</f>
        <v/>
      </c>
      <c r="AC104">
        <f>HYPERLINK("https://klasma.github.io/Logging_2085/tillsyn/A 59947-2025 tillsynsbegäran.docx", "A 59947-2025")</f>
        <v/>
      </c>
      <c r="AD104">
        <f>HYPERLINK("https://klasma.github.io/Logging_2085/tillsynsmail/A 59947-2025 tillsynsbegäran mail.docx", "A 59947-2025")</f>
        <v/>
      </c>
      <c r="AE104">
        <f>HYPERLINK("https://klasma.github.io/Logging_2085/fåglar/A 59947-2025 prioriterade fågelarter.docx", "A 59947-2025")</f>
        <v/>
      </c>
    </row>
    <row r="105" ht="15" customHeight="1">
      <c r="A105" t="inlineStr">
        <is>
          <t>A 29733-2025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46309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10.4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Stuplav</t>
        </is>
      </c>
      <c r="W105">
        <f>HYPERLINK("https://klasma.github.io/Logging_2085/artfynd/A 29733-2025 artfynd.xlsx", "A 29733-2025")</f>
        <v/>
      </c>
      <c r="X105">
        <f>HYPERLINK("https://klasma.github.io/Logging_2085/kartor/A 29733-2025 karta.png", "A 29733-2025")</f>
        <v/>
      </c>
      <c r="Y105">
        <f>HYPERLINK("https://klasma.github.io/Logging_2085/kartor_geotiff/A 29733-2025 georefererad karta.tif", "A 29733-2025")</f>
        <v/>
      </c>
      <c r="AA105">
        <f>HYPERLINK("https://klasma.github.io/Logging_2085/klagomål/A 29733-2025 FSC-klagomål.docx", "A 29733-2025")</f>
        <v/>
      </c>
      <c r="AB105">
        <f>HYPERLINK("https://klasma.github.io/Logging_2085/klagomålsmail/A 29733-2025 FSC-klagomål mail.docx", "A 29733-2025")</f>
        <v/>
      </c>
      <c r="AC105">
        <f>HYPERLINK("https://klasma.github.io/Logging_2085/tillsyn/A 29733-2025 tillsynsbegäran.docx", "A 29733-2025")</f>
        <v/>
      </c>
      <c r="AD105">
        <f>HYPERLINK("https://klasma.github.io/Logging_2085/tillsynsmail/A 29733-2025 tillsynsbegäran mail.docx", "A 29733-2025")</f>
        <v/>
      </c>
    </row>
    <row r="106" ht="15" customHeight="1">
      <c r="A106" t="inlineStr">
        <is>
          <t>A 55550-2022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46309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Ögonpyrola</t>
        </is>
      </c>
      <c r="W106">
        <f>HYPERLINK("https://klasma.github.io/Logging_2085/artfynd/A 55550-2022 artfynd.xlsx", "A 55550-2022")</f>
        <v/>
      </c>
      <c r="X106">
        <f>HYPERLINK("https://klasma.github.io/Logging_2085/kartor/A 55550-2022 karta.png", "A 55550-2022")</f>
        <v/>
      </c>
      <c r="Y106">
        <f>HYPERLINK("https://klasma.github.io/Logging_2085/kartor_geotiff/A 55550-2022 georefererad karta.tif", "A 55550-2022")</f>
        <v/>
      </c>
      <c r="AA106">
        <f>HYPERLINK("https://klasma.github.io/Logging_2085/klagomål/A 55550-2022 FSC-klagomål.docx", "A 55550-2022")</f>
        <v/>
      </c>
      <c r="AB106">
        <f>HYPERLINK("https://klasma.github.io/Logging_2085/klagomålsmail/A 55550-2022 FSC-klagomål mail.docx", "A 55550-2022")</f>
        <v/>
      </c>
      <c r="AC106">
        <f>HYPERLINK("https://klasma.github.io/Logging_2085/tillsyn/A 55550-2022 tillsynsbegäran.docx", "A 55550-2022")</f>
        <v/>
      </c>
      <c r="AD106">
        <f>HYPERLINK("https://klasma.github.io/Logging_2085/tillsynsmail/A 55550-2022 tillsynsbegäran mail.docx", "A 55550-2022")</f>
        <v/>
      </c>
    </row>
    <row r="107" ht="15" customHeight="1">
      <c r="A107" t="inlineStr">
        <is>
          <t>A 74401-2021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46309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0.6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Gullgröppa</t>
        </is>
      </c>
      <c r="W107">
        <f>HYPERLINK("https://klasma.github.io/Logging_2085/artfynd/A 74401-2021 artfynd.xlsx", "A 74401-2021")</f>
        <v/>
      </c>
      <c r="X107">
        <f>HYPERLINK("https://klasma.github.io/Logging_2085/kartor/A 74401-2021 karta.png", "A 74401-2021")</f>
        <v/>
      </c>
      <c r="Y107">
        <f>HYPERLINK("https://klasma.github.io/Logging_2085/kartor_geotiff/A 74401-2021 georefererad karta.tif", "A 74401-2021")</f>
        <v/>
      </c>
      <c r="AA107">
        <f>HYPERLINK("https://klasma.github.io/Logging_2085/klagomål/A 74401-2021 FSC-klagomål.docx", "A 74401-2021")</f>
        <v/>
      </c>
      <c r="AB107">
        <f>HYPERLINK("https://klasma.github.io/Logging_2085/klagomålsmail/A 74401-2021 FSC-klagomål mail.docx", "A 74401-2021")</f>
        <v/>
      </c>
      <c r="AC107">
        <f>HYPERLINK("https://klasma.github.io/Logging_2085/tillsyn/A 74401-2021 tillsynsbegäran.docx", "A 74401-2021")</f>
        <v/>
      </c>
      <c r="AD107">
        <f>HYPERLINK("https://klasma.github.io/Logging_2085/tillsynsmail/A 74401-2021 tillsynsbegäran mail.docx", "A 74401-2021")</f>
        <v/>
      </c>
    </row>
    <row r="108" ht="15" customHeight="1">
      <c r="A108" t="inlineStr">
        <is>
          <t>A 36050-2025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45866</v>
      </c>
      <c r="E108" s="1" t="n">
        <v>46309</v>
      </c>
      <c r="F108" t="inlineStr">
        <is>
          <t>DALARNAS LÄN</t>
        </is>
      </c>
      <c r="G108" t="inlineStr">
        <is>
          <t>LUDVIKA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hackspett</t>
        </is>
      </c>
      <c r="W108">
        <f>HYPERLINK("https://klasma.github.io/Logging_2085/artfynd/A 36050-2025 artfynd.xlsx", "A 36050-2025")</f>
        <v/>
      </c>
      <c r="X108">
        <f>HYPERLINK("https://klasma.github.io/Logging_2085/kartor/A 36050-2025 karta.png", "A 36050-2025")</f>
        <v/>
      </c>
      <c r="Y108">
        <f>HYPERLINK("https://klasma.github.io/Logging_2085/kartor_geotiff/A 36050-2025 georefererad karta.tif", "A 36050-2025")</f>
        <v/>
      </c>
      <c r="AA108">
        <f>HYPERLINK("https://klasma.github.io/Logging_2085/klagomål/A 36050-2025 FSC-klagomål.docx", "A 36050-2025")</f>
        <v/>
      </c>
      <c r="AB108">
        <f>HYPERLINK("https://klasma.github.io/Logging_2085/klagomålsmail/A 36050-2025 FSC-klagomål mail.docx", "A 36050-2025")</f>
        <v/>
      </c>
      <c r="AC108">
        <f>HYPERLINK("https://klasma.github.io/Logging_2085/tillsyn/A 36050-2025 tillsynsbegäran.docx", "A 36050-2025")</f>
        <v/>
      </c>
      <c r="AD108">
        <f>HYPERLINK("https://klasma.github.io/Logging_2085/tillsynsmail/A 36050-2025 tillsynsbegäran mail.docx", "A 36050-2025")</f>
        <v/>
      </c>
      <c r="AE108">
        <f>HYPERLINK("https://klasma.github.io/Logging_2085/fåglar/A 36050-2025 prioriterade fågelarter.docx", "A 36050-2025")</f>
        <v/>
      </c>
    </row>
    <row r="109" ht="15" customHeight="1">
      <c r="A109" t="inlineStr">
        <is>
          <t>A 26850-2023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46309</v>
      </c>
      <c r="F109" t="inlineStr">
        <is>
          <t>DALARNAS LÄN</t>
        </is>
      </c>
      <c r="G109" t="inlineStr">
        <is>
          <t>LUDVIKA</t>
        </is>
      </c>
      <c r="H109" t="inlineStr">
        <is>
          <t>Naturvårdsverket</t>
        </is>
      </c>
      <c r="I109" t="n">
        <v>2.7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HYPERLINK("https://klasma.github.io/Logging_2085/artfynd/A 26850-2023 artfynd.xlsx", "A 26850-2023")</f>
        <v/>
      </c>
      <c r="X109">
        <f>HYPERLINK("https://klasma.github.io/Logging_2085/kartor/A 26850-2023 karta.png", "A 26850-2023")</f>
        <v/>
      </c>
      <c r="Y109">
        <f>HYPERLINK("https://klasma.github.io/Logging_2085/kartor_geotiff/A 26850-2023 georefererad karta.tif", "A 26850-2023")</f>
        <v/>
      </c>
      <c r="AA109">
        <f>HYPERLINK("https://klasma.github.io/Logging_2085/klagomål/A 26850-2023 FSC-klagomål.docx", "A 26850-2023")</f>
        <v/>
      </c>
      <c r="AB109">
        <f>HYPERLINK("https://klasma.github.io/Logging_2085/klagomålsmail/A 26850-2023 FSC-klagomål mail.docx", "A 26850-2023")</f>
        <v/>
      </c>
      <c r="AC109">
        <f>HYPERLINK("https://klasma.github.io/Logging_2085/tillsyn/A 26850-2023 tillsynsbegäran.docx", "A 26850-2023")</f>
        <v/>
      </c>
      <c r="AD109">
        <f>HYPERLINK("https://klasma.github.io/Logging_2085/tillsynsmail/A 26850-2023 tillsynsbegäran mail.docx", "A 26850-2023")</f>
        <v/>
      </c>
    </row>
    <row r="110" ht="15" customHeight="1">
      <c r="A110" t="inlineStr">
        <is>
          <t>A 400-2023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44929</v>
      </c>
      <c r="E110" s="1" t="n">
        <v>46309</v>
      </c>
      <c r="F110" t="inlineStr">
        <is>
          <t>DALARNAS LÄN</t>
        </is>
      </c>
      <c r="G110" t="inlineStr">
        <is>
          <t>LUDVIKA</t>
        </is>
      </c>
      <c r="I110" t="n">
        <v>3.6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400-2023 artfynd.xlsx", "A 400-2023")</f>
        <v/>
      </c>
      <c r="X110">
        <f>HYPERLINK("https://klasma.github.io/Logging_2085/kartor/A 400-2023 karta.png", "A 400-2023")</f>
        <v/>
      </c>
      <c r="Y110">
        <f>HYPERLINK("https://klasma.github.io/Logging_2085/kartor_geotiff/A 400-2023 georefererad karta.tif", "A 400-2023")</f>
        <v/>
      </c>
      <c r="AA110">
        <f>HYPERLINK("https://klasma.github.io/Logging_2085/klagomål/A 400-2023 FSC-klagomål.docx", "A 400-2023")</f>
        <v/>
      </c>
      <c r="AB110">
        <f>HYPERLINK("https://klasma.github.io/Logging_2085/klagomålsmail/A 400-2023 FSC-klagomål mail.docx", "A 400-2023")</f>
        <v/>
      </c>
      <c r="AC110">
        <f>HYPERLINK("https://klasma.github.io/Logging_2085/tillsyn/A 400-2023 tillsynsbegäran.docx", "A 400-2023")</f>
        <v/>
      </c>
      <c r="AD110">
        <f>HYPERLINK("https://klasma.github.io/Logging_2085/tillsynsmail/A 400-2023 tillsynsbegäran mail.docx", "A 400-2023")</f>
        <v/>
      </c>
    </row>
    <row r="111" ht="15" customHeight="1">
      <c r="A111" t="inlineStr">
        <is>
          <t>A 31478-2023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45114</v>
      </c>
      <c r="E111" s="1" t="n">
        <v>46309</v>
      </c>
      <c r="F111" t="inlineStr">
        <is>
          <t>DALARNAS LÄN</t>
        </is>
      </c>
      <c r="G111" t="inlineStr">
        <is>
          <t>LUDVIKA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HYPERLINK("https://klasma.github.io/Logging_2085/artfynd/A 31478-2023 artfynd.xlsx", "A 31478-2023")</f>
        <v/>
      </c>
      <c r="X111">
        <f>HYPERLINK("https://klasma.github.io/Logging_2085/kartor/A 31478-2023 karta.png", "A 31478-2023")</f>
        <v/>
      </c>
      <c r="Y111">
        <f>HYPERLINK("https://klasma.github.io/Logging_2085/kartor_geotiff/A 31478-2023 georefererad karta.tif", "A 31478-2023")</f>
        <v/>
      </c>
      <c r="AA111">
        <f>HYPERLINK("https://klasma.github.io/Logging_2085/klagomål/A 31478-2023 FSC-klagomål.docx", "A 31478-2023")</f>
        <v/>
      </c>
      <c r="AB111">
        <f>HYPERLINK("https://klasma.github.io/Logging_2085/klagomålsmail/A 31478-2023 FSC-klagomål mail.docx", "A 31478-2023")</f>
        <v/>
      </c>
      <c r="AC111">
        <f>HYPERLINK("https://klasma.github.io/Logging_2085/tillsyn/A 31478-2023 tillsynsbegäran.docx", "A 31478-2023")</f>
        <v/>
      </c>
      <c r="AD111">
        <f>HYPERLINK("https://klasma.github.io/Logging_2085/tillsynsmail/A 31478-2023 tillsynsbegäran mail.docx", "A 31478-2023")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46309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6579-2023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44960</v>
      </c>
      <c r="E113" s="1" t="n">
        <v>46309</v>
      </c>
      <c r="F113" t="inlineStr">
        <is>
          <t>DALARNAS LÄN</t>
        </is>
      </c>
      <c r="G113" t="inlineStr">
        <is>
          <t>LUDVIKA</t>
        </is>
      </c>
      <c r="I113" t="n">
        <v>3.4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HYPERLINK("https://klasma.github.io/Logging_2085/artfynd/A 6579-2023 artfynd.xlsx", "A 6579-2023")</f>
        <v/>
      </c>
      <c r="X113">
        <f>HYPERLINK("https://klasma.github.io/Logging_2085/kartor/A 6579-2023 karta.png", "A 6579-2023")</f>
        <v/>
      </c>
      <c r="Y113">
        <f>HYPERLINK("https://klasma.github.io/Logging_2085/kartor_geotiff/A 6579-2023 georefererad karta.tif", "A 6579-2023")</f>
        <v/>
      </c>
      <c r="AA113">
        <f>HYPERLINK("https://klasma.github.io/Logging_2085/klagomål/A 6579-2023 FSC-klagomål.docx", "A 6579-2023")</f>
        <v/>
      </c>
      <c r="AB113">
        <f>HYPERLINK("https://klasma.github.io/Logging_2085/klagomålsmail/A 6579-2023 FSC-klagomål mail.docx", "A 6579-2023")</f>
        <v/>
      </c>
      <c r="AC113">
        <f>HYPERLINK("https://klasma.github.io/Logging_2085/tillsyn/A 6579-2023 tillsynsbegäran.docx", "A 6579-2023")</f>
        <v/>
      </c>
      <c r="AD113">
        <f>HYPERLINK("https://klasma.github.io/Logging_2085/tillsynsmail/A 6579-2023 tillsynsbegäran mail.docx", "A 6579-2023")</f>
        <v/>
      </c>
    </row>
    <row r="114" ht="15" customHeight="1">
      <c r="A114" t="inlineStr">
        <is>
          <t>A 62676-2025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46309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HYPERLINK("https://klasma.github.io/Logging_2085/artfynd/A 62676-2025 artfynd.xlsx", "A 62676-2025")</f>
        <v/>
      </c>
      <c r="X114">
        <f>HYPERLINK("https://klasma.github.io/Logging_2085/kartor/A 62676-2025 karta.png", "A 62676-2025")</f>
        <v/>
      </c>
      <c r="Y114">
        <f>HYPERLINK("https://klasma.github.io/Logging_2085/kartor_geotiff/A 62676-2025 georefererad karta.tif", "A 62676-2025")</f>
        <v/>
      </c>
      <c r="AA114">
        <f>HYPERLINK("https://klasma.github.io/Logging_2085/klagomål/A 62676-2025 FSC-klagomål.docx", "A 62676-2025")</f>
        <v/>
      </c>
      <c r="AB114">
        <f>HYPERLINK("https://klasma.github.io/Logging_2085/klagomålsmail/A 62676-2025 FSC-klagomål mail.docx", "A 62676-2025")</f>
        <v/>
      </c>
      <c r="AC114">
        <f>HYPERLINK("https://klasma.github.io/Logging_2085/tillsyn/A 62676-2025 tillsynsbegäran.docx", "A 62676-2025")</f>
        <v/>
      </c>
      <c r="AD114">
        <f>HYPERLINK("https://klasma.github.io/Logging_2085/tillsynsmail/A 62676-2025 tillsynsbegäran mail.docx", "A 62676-2025")</f>
        <v/>
      </c>
    </row>
    <row r="115" ht="15" customHeight="1">
      <c r="A115" t="inlineStr">
        <is>
          <t>A 44578-2023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46309</v>
      </c>
      <c r="F115" t="inlineStr">
        <is>
          <t>DALARNAS LÄN</t>
        </is>
      </c>
      <c r="G115" t="inlineStr">
        <is>
          <t>LUDVIKA</t>
        </is>
      </c>
      <c r="H115" t="inlineStr">
        <is>
          <t>Övriga Aktiebolag</t>
        </is>
      </c>
      <c r="I115" t="n">
        <v>12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Dofttaggsvamp</t>
        </is>
      </c>
      <c r="W115">
        <f>HYPERLINK("https://klasma.github.io/Logging_2085/artfynd/A 44578-2023 artfynd.xlsx", "A 44578-2023")</f>
        <v/>
      </c>
      <c r="X115">
        <f>HYPERLINK("https://klasma.github.io/Logging_2085/kartor/A 44578-2023 karta.png", "A 44578-2023")</f>
        <v/>
      </c>
      <c r="Y115">
        <f>HYPERLINK("https://klasma.github.io/Logging_2085/kartor_geotiff/A 44578-2023 georefererad karta.tif", "A 44578-2023")</f>
        <v/>
      </c>
      <c r="AA115">
        <f>HYPERLINK("https://klasma.github.io/Logging_2085/klagomål/A 44578-2023 FSC-klagomål.docx", "A 44578-2023")</f>
        <v/>
      </c>
      <c r="AB115">
        <f>HYPERLINK("https://klasma.github.io/Logging_2085/klagomålsmail/A 44578-2023 FSC-klagomål mail.docx", "A 44578-2023")</f>
        <v/>
      </c>
      <c r="AC115">
        <f>HYPERLINK("https://klasma.github.io/Logging_2085/tillsyn/A 44578-2023 tillsynsbegäran.docx", "A 44578-2023")</f>
        <v/>
      </c>
      <c r="AD115">
        <f>HYPERLINK("https://klasma.github.io/Logging_2085/tillsynsmail/A 44578-2023 tillsynsbegäran mail.docx", "A 44578-2023")</f>
        <v/>
      </c>
    </row>
    <row r="116" ht="15" customHeight="1">
      <c r="A116" t="inlineStr">
        <is>
          <t>A 17987-2025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46309</v>
      </c>
      <c r="F116" t="inlineStr">
        <is>
          <t>DALARNAS LÄN</t>
        </is>
      </c>
      <c r="G116" t="inlineStr">
        <is>
          <t>LUDVIKA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HYPERLINK("https://klasma.github.io/Logging_2085/artfynd/A 17987-2025 artfynd.xlsx", "A 17987-2025")</f>
        <v/>
      </c>
      <c r="X116">
        <f>HYPERLINK("https://klasma.github.io/Logging_2085/kartor/A 17987-2025 karta.png", "A 17987-2025")</f>
        <v/>
      </c>
      <c r="Y116">
        <f>HYPERLINK("https://klasma.github.io/Logging_2085/kartor_geotiff/A 17987-2025 georefererad karta.tif", "A 17987-2025")</f>
        <v/>
      </c>
      <c r="AA116">
        <f>HYPERLINK("https://klasma.github.io/Logging_2085/klagomål/A 17987-2025 FSC-klagomål.docx", "A 17987-2025")</f>
        <v/>
      </c>
      <c r="AB116">
        <f>HYPERLINK("https://klasma.github.io/Logging_2085/klagomålsmail/A 17987-2025 FSC-klagomål mail.docx", "A 17987-2025")</f>
        <v/>
      </c>
      <c r="AC116">
        <f>HYPERLINK("https://klasma.github.io/Logging_2085/tillsyn/A 17987-2025 tillsynsbegäran.docx", "A 17987-2025")</f>
        <v/>
      </c>
      <c r="AD116">
        <f>HYPERLINK("https://klasma.github.io/Logging_2085/tillsynsmail/A 17987-2025 tillsynsbegäran mail.docx", "A 17987-2025")</f>
        <v/>
      </c>
      <c r="AE116">
        <f>HYPERLINK("https://klasma.github.io/Logging_2085/fåglar/A 17987-2025 prioriterade fågelarter.docx", "A 17987-2025")</f>
        <v/>
      </c>
    </row>
    <row r="117" ht="15" customHeight="1">
      <c r="A117" t="inlineStr">
        <is>
          <t>A 25588-2023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45089</v>
      </c>
      <c r="E117" s="1" t="n">
        <v>46309</v>
      </c>
      <c r="F117" t="inlineStr">
        <is>
          <t>DALARNAS LÄN</t>
        </is>
      </c>
      <c r="G117" t="inlineStr">
        <is>
          <t>LUDVIKA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Garnlav</t>
        </is>
      </c>
      <c r="W117">
        <f>HYPERLINK("https://klasma.github.io/Logging_2085/artfynd/A 25588-2023 artfynd.xlsx", "A 25588-2023")</f>
        <v/>
      </c>
      <c r="X117">
        <f>HYPERLINK("https://klasma.github.io/Logging_2085/kartor/A 25588-2023 karta.png", "A 25588-2023")</f>
        <v/>
      </c>
      <c r="Y117">
        <f>HYPERLINK("https://klasma.github.io/Logging_2085/kartor_geotiff/A 25588-2023 georefererad karta.tif", "A 25588-2023")</f>
        <v/>
      </c>
      <c r="AA117">
        <f>HYPERLINK("https://klasma.github.io/Logging_2085/klagomål/A 25588-2023 FSC-klagomål.docx", "A 25588-2023")</f>
        <v/>
      </c>
      <c r="AB117">
        <f>HYPERLINK("https://klasma.github.io/Logging_2085/klagomålsmail/A 25588-2023 FSC-klagomål mail.docx", "A 25588-2023")</f>
        <v/>
      </c>
      <c r="AC117">
        <f>HYPERLINK("https://klasma.github.io/Logging_2085/tillsyn/A 25588-2023 tillsynsbegäran.docx", "A 25588-2023")</f>
        <v/>
      </c>
      <c r="AD117">
        <f>HYPERLINK("https://klasma.github.io/Logging_2085/tillsynsmail/A 25588-2023 tillsynsbegäran mail.docx", "A 25588-2023")</f>
        <v/>
      </c>
    </row>
    <row r="118" ht="15" customHeight="1">
      <c r="A118" t="inlineStr">
        <is>
          <t>A 12093-2023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46309</v>
      </c>
      <c r="F118" t="inlineStr">
        <is>
          <t>DALARNAS LÄN</t>
        </is>
      </c>
      <c r="G118" t="inlineStr">
        <is>
          <t>LUDVIKA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Bitter taggsvamp</t>
        </is>
      </c>
      <c r="W118">
        <f>HYPERLINK("https://klasma.github.io/Logging_2085/artfynd/A 12093-2023 artfynd.xlsx", "A 12093-2023")</f>
        <v/>
      </c>
      <c r="X118">
        <f>HYPERLINK("https://klasma.github.io/Logging_2085/kartor/A 12093-2023 karta.png", "A 12093-2023")</f>
        <v/>
      </c>
      <c r="Y118">
        <f>HYPERLINK("https://klasma.github.io/Logging_2085/kartor_geotiff/A 12093-2023 georefererad karta.tif", "A 12093-2023")</f>
        <v/>
      </c>
      <c r="AA118">
        <f>HYPERLINK("https://klasma.github.io/Logging_2085/klagomål/A 12093-2023 FSC-klagomål.docx", "A 12093-2023")</f>
        <v/>
      </c>
      <c r="AB118">
        <f>HYPERLINK("https://klasma.github.io/Logging_2085/klagomålsmail/A 12093-2023 FSC-klagomål mail.docx", "A 12093-2023")</f>
        <v/>
      </c>
      <c r="AC118">
        <f>HYPERLINK("https://klasma.github.io/Logging_2085/tillsyn/A 12093-2023 tillsynsbegäran.docx", "A 12093-2023")</f>
        <v/>
      </c>
      <c r="AD118">
        <f>HYPERLINK("https://klasma.github.io/Logging_2085/tillsynsmail/A 12093-2023 tillsynsbegäran mail.docx", "A 12093-2023")</f>
        <v/>
      </c>
    </row>
    <row r="119" ht="15" customHeight="1">
      <c r="A119" t="inlineStr">
        <is>
          <t>A 33560-2023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45131</v>
      </c>
      <c r="E119" s="1" t="n">
        <v>46309</v>
      </c>
      <c r="F119" t="inlineStr">
        <is>
          <t>DALARNAS LÄN</t>
        </is>
      </c>
      <c r="G119" t="inlineStr">
        <is>
          <t>LUDVIKA</t>
        </is>
      </c>
      <c r="I119" t="n">
        <v>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vattensalamander</t>
        </is>
      </c>
      <c r="W119">
        <f>HYPERLINK("https://klasma.github.io/Logging_2085/artfynd/A 33560-2023 artfynd.xlsx", "A 33560-2023")</f>
        <v/>
      </c>
      <c r="X119">
        <f>HYPERLINK("https://klasma.github.io/Logging_2085/kartor/A 33560-2023 karta.png", "A 33560-2023")</f>
        <v/>
      </c>
      <c r="Y119">
        <f>HYPERLINK("https://klasma.github.io/Logging_2085/kartor_geotiff/A 33560-2023 georefererad karta.tif", "A 33560-2023")</f>
        <v/>
      </c>
      <c r="AA119">
        <f>HYPERLINK("https://klasma.github.io/Logging_2085/klagomål/A 33560-2023 FSC-klagomål.docx", "A 33560-2023")</f>
        <v/>
      </c>
      <c r="AB119">
        <f>HYPERLINK("https://klasma.github.io/Logging_2085/klagomålsmail/A 33560-2023 FSC-klagomål mail.docx", "A 33560-2023")</f>
        <v/>
      </c>
      <c r="AC119">
        <f>HYPERLINK("https://klasma.github.io/Logging_2085/tillsyn/A 33560-2023 tillsynsbegäran.docx", "A 33560-2023")</f>
        <v/>
      </c>
      <c r="AD119">
        <f>HYPERLINK("https://klasma.github.io/Logging_2085/tillsynsmail/A 33560-2023 tillsynsbegäran mail.docx", "A 33560-2023")</f>
        <v/>
      </c>
    </row>
    <row r="120" ht="15" customHeight="1">
      <c r="A120" t="inlineStr">
        <is>
          <t>A 3687-2024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46309</v>
      </c>
      <c r="F120" t="inlineStr">
        <is>
          <t>DALARNAS LÄN</t>
        </is>
      </c>
      <c r="G120" t="inlineStr">
        <is>
          <t>LUDVIKA</t>
        </is>
      </c>
      <c r="I120" t="n">
        <v>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HYPERLINK("https://klasma.github.io/Logging_2085/artfynd/A 3687-2024 artfynd.xlsx", "A 3687-2024")</f>
        <v/>
      </c>
      <c r="X120">
        <f>HYPERLINK("https://klasma.github.io/Logging_2085/kartor/A 3687-2024 karta.png", "A 3687-2024")</f>
        <v/>
      </c>
      <c r="Y120">
        <f>HYPERLINK("https://klasma.github.io/Logging_2085/kartor_geotiff/A 3687-2024 georefererad karta.tif", "A 3687-2024")</f>
        <v/>
      </c>
      <c r="AA120">
        <f>HYPERLINK("https://klasma.github.io/Logging_2085/klagomål/A 3687-2024 FSC-klagomål.docx", "A 3687-2024")</f>
        <v/>
      </c>
      <c r="AB120">
        <f>HYPERLINK("https://klasma.github.io/Logging_2085/klagomålsmail/A 3687-2024 FSC-klagomål mail.docx", "A 3687-2024")</f>
        <v/>
      </c>
      <c r="AC120">
        <f>HYPERLINK("https://klasma.github.io/Logging_2085/tillsyn/A 3687-2024 tillsynsbegäran.docx", "A 3687-2024")</f>
        <v/>
      </c>
      <c r="AD120">
        <f>HYPERLINK("https://klasma.github.io/Logging_2085/tillsynsmail/A 3687-2024 tillsynsbegäran mail.docx", "A 3687-2024")</f>
        <v/>
      </c>
    </row>
    <row r="121" ht="15" customHeight="1">
      <c r="A121" t="inlineStr">
        <is>
          <t>A 23720-2026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46309</v>
      </c>
      <c r="F121" t="inlineStr">
        <is>
          <t>DALARNAS LÄN</t>
        </is>
      </c>
      <c r="G121" t="inlineStr">
        <is>
          <t>LUDVIKA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Tretåig hackspett</t>
        </is>
      </c>
      <c r="W121">
        <f>HYPERLINK("https://klasma.github.io/Logging_2085/artfynd/A 23720-2026 artfynd.xlsx", "A 23720-2026")</f>
        <v/>
      </c>
      <c r="X121">
        <f>HYPERLINK("https://klasma.github.io/Logging_2085/kartor/A 23720-2026 karta.png", "A 23720-2026")</f>
        <v/>
      </c>
      <c r="Y121">
        <f>HYPERLINK("https://klasma.github.io/Logging_2085/kartor_geotiff/A 23720-2026 georefererad karta.tif", "A 23720-2026")</f>
        <v/>
      </c>
      <c r="AA121">
        <f>HYPERLINK("https://klasma.github.io/Logging_2085/klagomål/A 23720-2026 FSC-klagomål.docx", "A 23720-2026")</f>
        <v/>
      </c>
      <c r="AB121">
        <f>HYPERLINK("https://klasma.github.io/Logging_2085/klagomålsmail/A 23720-2026 FSC-klagomål mail.docx", "A 23720-2026")</f>
        <v/>
      </c>
      <c r="AC121">
        <f>HYPERLINK("https://klasma.github.io/Logging_2085/tillsyn/A 23720-2026 tillsynsbegäran.docx", "A 23720-2026")</f>
        <v/>
      </c>
      <c r="AD121">
        <f>HYPERLINK("https://klasma.github.io/Logging_2085/tillsynsmail/A 23720-2026 tillsynsbegäran mail.docx", "A 23720-2026")</f>
        <v/>
      </c>
      <c r="AE121">
        <f>HYPERLINK("https://klasma.github.io/Logging_2085/fåglar/A 23720-2026 prioriterade fågelarter.docx", "A 23720-2026")</f>
        <v/>
      </c>
    </row>
    <row r="122" ht="15" customHeight="1">
      <c r="A122" t="inlineStr">
        <is>
          <t>A 23778-2026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46164</v>
      </c>
      <c r="E122" s="1" t="n">
        <v>46309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23778-2026 artfynd.xlsx", "A 23778-2026")</f>
        <v/>
      </c>
      <c r="X122">
        <f>HYPERLINK("https://klasma.github.io/Logging_2085/kartor/A 23778-2026 karta.png", "A 23778-2026")</f>
        <v/>
      </c>
      <c r="Y122">
        <f>HYPERLINK("https://klasma.github.io/Logging_2085/kartor_geotiff/A 23778-2026 georefererad karta.tif", "A 23778-2026")</f>
        <v/>
      </c>
      <c r="AA122">
        <f>HYPERLINK("https://klasma.github.io/Logging_2085/klagomål/A 23778-2026 FSC-klagomål.docx", "A 23778-2026")</f>
        <v/>
      </c>
      <c r="AB122">
        <f>HYPERLINK("https://klasma.github.io/Logging_2085/klagomålsmail/A 23778-2026 FSC-klagomål mail.docx", "A 23778-2026")</f>
        <v/>
      </c>
      <c r="AC122">
        <f>HYPERLINK("https://klasma.github.io/Logging_2085/tillsyn/A 23778-2026 tillsynsbegäran.docx", "A 23778-2026")</f>
        <v/>
      </c>
      <c r="AD122">
        <f>HYPERLINK("https://klasma.github.io/Logging_2085/tillsynsmail/A 23778-2026 tillsynsbegäran mail.docx", "A 23778-2026")</f>
        <v/>
      </c>
      <c r="AE122">
        <f>HYPERLINK("https://klasma.github.io/Logging_2085/fåglar/A 23778-2026 prioriterade fågelarter.docx", "A 23778-2026")</f>
        <v/>
      </c>
    </row>
    <row r="123" ht="15" customHeight="1">
      <c r="A123" t="inlineStr">
        <is>
          <t>A 63005-2025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46309</v>
      </c>
      <c r="F123" t="inlineStr">
        <is>
          <t>DALARNAS LÄN</t>
        </is>
      </c>
      <c r="G123" t="inlineStr">
        <is>
          <t>LUDVIKA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63005-2025 artfynd.xlsx", "A 63005-2025")</f>
        <v/>
      </c>
      <c r="X123">
        <f>HYPERLINK("https://klasma.github.io/Logging_2085/kartor/A 63005-2025 karta.png", "A 63005-2025")</f>
        <v/>
      </c>
      <c r="Y123">
        <f>HYPERLINK("https://klasma.github.io/Logging_2085/kartor_geotiff/A 63005-2025 georefererad karta.tif", "A 63005-2025")</f>
        <v/>
      </c>
      <c r="AA123">
        <f>HYPERLINK("https://klasma.github.io/Logging_2085/klagomål/A 63005-2025 FSC-klagomål.docx", "A 63005-2025")</f>
        <v/>
      </c>
      <c r="AB123">
        <f>HYPERLINK("https://klasma.github.io/Logging_2085/klagomålsmail/A 63005-2025 FSC-klagomål mail.docx", "A 63005-2025")</f>
        <v/>
      </c>
      <c r="AC123">
        <f>HYPERLINK("https://klasma.github.io/Logging_2085/tillsyn/A 63005-2025 tillsynsbegäran.docx", "A 63005-2025")</f>
        <v/>
      </c>
      <c r="AD123">
        <f>HYPERLINK("https://klasma.github.io/Logging_2085/tillsynsmail/A 63005-2025 tillsynsbegäran mail.docx", "A 63005-2025")</f>
        <v/>
      </c>
      <c r="AE123">
        <f>HYPERLINK("https://klasma.github.io/Logging_2085/fåglar/A 63005-2025 prioriterade fågelarter.docx", "A 63005-2025")</f>
        <v/>
      </c>
    </row>
    <row r="124" ht="15" customHeight="1">
      <c r="A124" t="inlineStr">
        <is>
          <t>A 21499-2022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46309</v>
      </c>
      <c r="F124" t="inlineStr">
        <is>
          <t>DALARNAS LÄN</t>
        </is>
      </c>
      <c r="G124" t="inlineStr">
        <is>
          <t>LUDVIKA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Strimspindling</t>
        </is>
      </c>
      <c r="W124">
        <f>HYPERLINK("https://klasma.github.io/Logging_2085/artfynd/A 21499-2022 artfynd.xlsx", "A 21499-2022")</f>
        <v/>
      </c>
      <c r="X124">
        <f>HYPERLINK("https://klasma.github.io/Logging_2085/kartor/A 21499-2022 karta.png", "A 21499-2022")</f>
        <v/>
      </c>
      <c r="Y124">
        <f>HYPERLINK("https://klasma.github.io/Logging_2085/kartor_geotiff/A 21499-2022 georefererad karta.tif", "A 21499-2022")</f>
        <v/>
      </c>
      <c r="AA124">
        <f>HYPERLINK("https://klasma.github.io/Logging_2085/klagomål/A 21499-2022 FSC-klagomål.docx", "A 21499-2022")</f>
        <v/>
      </c>
      <c r="AB124">
        <f>HYPERLINK("https://klasma.github.io/Logging_2085/klagomålsmail/A 21499-2022 FSC-klagomål mail.docx", "A 21499-2022")</f>
        <v/>
      </c>
      <c r="AC124">
        <f>HYPERLINK("https://klasma.github.io/Logging_2085/tillsyn/A 21499-2022 tillsynsbegäran.docx", "A 21499-2022")</f>
        <v/>
      </c>
      <c r="AD124">
        <f>HYPERLINK("https://klasma.github.io/Logging_2085/tillsynsmail/A 21499-2022 tillsynsbegäran mail.docx", "A 21499-2022")</f>
        <v/>
      </c>
    </row>
    <row r="125" ht="15" customHeight="1">
      <c r="A125" t="inlineStr">
        <is>
          <t>A 25159-2026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46175</v>
      </c>
      <c r="E125" s="1" t="n">
        <v>46309</v>
      </c>
      <c r="F125" t="inlineStr">
        <is>
          <t>DALARNAS LÄN</t>
        </is>
      </c>
      <c r="G125" t="inlineStr">
        <is>
          <t>LUDVIKA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HYPERLINK("https://klasma.github.io/Logging_2085/artfynd/A 25159-2026 artfynd.xlsx", "A 25159-2026")</f>
        <v/>
      </c>
      <c r="X125">
        <f>HYPERLINK("https://klasma.github.io/Logging_2085/kartor/A 25159-2026 karta.png", "A 25159-2026")</f>
        <v/>
      </c>
      <c r="Y125">
        <f>HYPERLINK("https://klasma.github.io/Logging_2085/kartor_geotiff/A 25159-2026 georefererad karta.tif", "A 25159-2026")</f>
        <v/>
      </c>
      <c r="AA125">
        <f>HYPERLINK("https://klasma.github.io/Logging_2085/klagomål/A 25159-2026 FSC-klagomål.docx", "A 25159-2026")</f>
        <v/>
      </c>
      <c r="AB125">
        <f>HYPERLINK("https://klasma.github.io/Logging_2085/klagomålsmail/A 25159-2026 FSC-klagomål mail.docx", "A 25159-2026")</f>
        <v/>
      </c>
      <c r="AC125">
        <f>HYPERLINK("https://klasma.github.io/Logging_2085/tillsyn/A 25159-2026 tillsynsbegäran.docx", "A 25159-2026")</f>
        <v/>
      </c>
      <c r="AD125">
        <f>HYPERLINK("https://klasma.github.io/Logging_2085/tillsynsmail/A 25159-2026 tillsynsbegäran mail.docx", "A 25159-2026")</f>
        <v/>
      </c>
    </row>
    <row r="126" ht="15" customHeight="1">
      <c r="A126" t="inlineStr">
        <is>
          <t>A 18189-2025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45761</v>
      </c>
      <c r="E126" s="1" t="n">
        <v>46309</v>
      </c>
      <c r="F126" t="inlineStr">
        <is>
          <t>DALARNAS LÄN</t>
        </is>
      </c>
      <c r="G126" t="inlineStr">
        <is>
          <t>LUDVIKA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Fläcknycklar</t>
        </is>
      </c>
      <c r="W126">
        <f>HYPERLINK("https://klasma.github.io/Logging_2085/artfynd/A 18189-2025 artfynd.xlsx", "A 18189-2025")</f>
        <v/>
      </c>
      <c r="X126">
        <f>HYPERLINK("https://klasma.github.io/Logging_2085/kartor/A 18189-2025 karta.png", "A 18189-2025")</f>
        <v/>
      </c>
      <c r="Y126">
        <f>HYPERLINK("https://klasma.github.io/Logging_2085/kartor_geotiff/A 18189-2025 georefererad karta.tif", "A 18189-2025")</f>
        <v/>
      </c>
      <c r="AA126">
        <f>HYPERLINK("https://klasma.github.io/Logging_2085/klagomål/A 18189-2025 FSC-klagomål.docx", "A 18189-2025")</f>
        <v/>
      </c>
      <c r="AB126">
        <f>HYPERLINK("https://klasma.github.io/Logging_2085/klagomålsmail/A 18189-2025 FSC-klagomål mail.docx", "A 18189-2025")</f>
        <v/>
      </c>
      <c r="AC126">
        <f>HYPERLINK("https://klasma.github.io/Logging_2085/tillsyn/A 18189-2025 tillsynsbegäran.docx", "A 18189-2025")</f>
        <v/>
      </c>
      <c r="AD126">
        <f>HYPERLINK("https://klasma.github.io/Logging_2085/tillsynsmail/A 18189-2025 tillsynsbegäran mail.docx", "A 18189-2025")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46309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37560-2026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46276</v>
      </c>
      <c r="E128" s="1" t="n">
        <v>46309</v>
      </c>
      <c r="F128" t="inlineStr">
        <is>
          <t>DALARNAS LÄN</t>
        </is>
      </c>
      <c r="G128" t="inlineStr">
        <is>
          <t>LUDVIKA</t>
        </is>
      </c>
      <c r="H128" t="inlineStr">
        <is>
          <t>Naturvårdsverket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HYPERLINK("https://klasma.github.io/Logging_2085/artfynd/A 37560-2026 artfynd.xlsx", "A 37560-2026")</f>
        <v/>
      </c>
      <c r="X128">
        <f>HYPERLINK("https://klasma.github.io/Logging_2085/kartor/A 37560-2026 karta.png", "A 37560-2026")</f>
        <v/>
      </c>
      <c r="Y128">
        <f>HYPERLINK("https://klasma.github.io/Logging_2085/kartor_geotiff/A 37560-2026 georefererad karta.tif", "A 37560-2026")</f>
        <v/>
      </c>
      <c r="AA128">
        <f>HYPERLINK("https://klasma.github.io/Logging_2085/klagomål/A 37560-2026 FSC-klagomål.docx", "A 37560-2026")</f>
        <v/>
      </c>
      <c r="AB128">
        <f>HYPERLINK("https://klasma.github.io/Logging_2085/klagomålsmail/A 37560-2026 FSC-klagomål mail.docx", "A 37560-2026")</f>
        <v/>
      </c>
      <c r="AC128">
        <f>HYPERLINK("https://klasma.github.io/Logging_2085/tillsyn/A 37560-2026 tillsynsbegäran.docx", "A 37560-2026")</f>
        <v/>
      </c>
      <c r="AD128">
        <f>HYPERLINK("https://klasma.github.io/Logging_2085/tillsynsmail/A 37560-2026 tillsynsbegäran mail.docx", "A 37560-2026")</f>
        <v/>
      </c>
    </row>
    <row r="129" ht="15" customHeight="1">
      <c r="A129" t="inlineStr">
        <is>
          <t>A 1047-2023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44929</v>
      </c>
      <c r="E129" s="1" t="n">
        <v>46309</v>
      </c>
      <c r="F129" t="inlineStr">
        <is>
          <t>DALARNAS LÄN</t>
        </is>
      </c>
      <c r="G129" t="inlineStr">
        <is>
          <t>LUDVIKA</t>
        </is>
      </c>
      <c r="H129" t="inlineStr">
        <is>
          <t>Kommuner</t>
        </is>
      </c>
      <c r="I129" t="n">
        <v>3.2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Ullticka</t>
        </is>
      </c>
      <c r="W129">
        <f>HYPERLINK("https://klasma.github.io/Logging_2085/artfynd/A 1047-2023 artfynd.xlsx", "A 1047-2023")</f>
        <v/>
      </c>
      <c r="X129">
        <f>HYPERLINK("https://klasma.github.io/Logging_2085/kartor/A 1047-2023 karta.png", "A 1047-2023")</f>
        <v/>
      </c>
      <c r="Y129">
        <f>HYPERLINK("https://klasma.github.io/Logging_2085/kartor_geotiff/A 1047-2023 georefererad karta.tif", "A 1047-2023")</f>
        <v/>
      </c>
      <c r="AA129">
        <f>HYPERLINK("https://klasma.github.io/Logging_2085/klagomål/A 1047-2023 FSC-klagomål.docx", "A 1047-2023")</f>
        <v/>
      </c>
      <c r="AB129">
        <f>HYPERLINK("https://klasma.github.io/Logging_2085/klagomålsmail/A 1047-2023 FSC-klagomål mail.docx", "A 1047-2023")</f>
        <v/>
      </c>
      <c r="AC129">
        <f>HYPERLINK("https://klasma.github.io/Logging_2085/tillsyn/A 1047-2023 tillsynsbegäran.docx", "A 1047-2023")</f>
        <v/>
      </c>
      <c r="AD129">
        <f>HYPERLINK("https://klasma.github.io/Logging_2085/tillsynsmail/A 1047-2023 tillsynsbegäran mail.docx", "A 1047-2023")</f>
        <v/>
      </c>
    </row>
    <row r="130" ht="15" customHeight="1">
      <c r="A130" t="inlineStr">
        <is>
          <t>A 33399-2026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46247</v>
      </c>
      <c r="E130" s="1" t="n">
        <v>46309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Järpe</t>
        </is>
      </c>
      <c r="W130">
        <f>HYPERLINK("https://klasma.github.io/Logging_2085/artfynd/A 33399-2026 artfynd.xlsx", "A 33399-2026")</f>
        <v/>
      </c>
      <c r="X130">
        <f>HYPERLINK("https://klasma.github.io/Logging_2085/kartor/A 33399-2026 karta.png", "A 33399-2026")</f>
        <v/>
      </c>
      <c r="Y130">
        <f>HYPERLINK("https://klasma.github.io/Logging_2085/kartor_geotiff/A 33399-2026 georefererad karta.tif", "A 33399-2026")</f>
        <v/>
      </c>
      <c r="AA130">
        <f>HYPERLINK("https://klasma.github.io/Logging_2085/klagomål/A 33399-2026 FSC-klagomål.docx", "A 33399-2026")</f>
        <v/>
      </c>
      <c r="AB130">
        <f>HYPERLINK("https://klasma.github.io/Logging_2085/klagomålsmail/A 33399-2026 FSC-klagomål mail.docx", "A 33399-2026")</f>
        <v/>
      </c>
      <c r="AC130">
        <f>HYPERLINK("https://klasma.github.io/Logging_2085/tillsyn/A 33399-2026 tillsynsbegäran.docx", "A 33399-2026")</f>
        <v/>
      </c>
      <c r="AD130">
        <f>HYPERLINK("https://klasma.github.io/Logging_2085/tillsynsmail/A 33399-2026 tillsynsbegäran mail.docx", "A 33399-2026")</f>
        <v/>
      </c>
      <c r="AE130">
        <f>HYPERLINK("https://klasma.github.io/Logging_2085/fåglar/A 33399-2026 prioriterade fågelarter.docx", "A 33399-2026")</f>
        <v/>
      </c>
    </row>
    <row r="131" ht="15" customHeight="1">
      <c r="A131" t="inlineStr">
        <is>
          <t>A 29882-2024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45486</v>
      </c>
      <c r="E131" s="1" t="n">
        <v>46309</v>
      </c>
      <c r="F131" t="inlineStr">
        <is>
          <t>DALARNAS LÄN</t>
        </is>
      </c>
      <c r="G131" t="inlineStr">
        <is>
          <t>LUDVIKA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29882-2024 artfynd.xlsx", "A 29882-2024")</f>
        <v/>
      </c>
      <c r="X131">
        <f>HYPERLINK("https://klasma.github.io/Logging_2085/kartor/A 29882-2024 karta.png", "A 29882-2024")</f>
        <v/>
      </c>
      <c r="Y131">
        <f>HYPERLINK("https://klasma.github.io/Logging_2085/kartor_geotiff/A 29882-2024 georefererad karta.tif", "A 29882-2024")</f>
        <v/>
      </c>
      <c r="AA131">
        <f>HYPERLINK("https://klasma.github.io/Logging_2085/klagomål/A 29882-2024 FSC-klagomål.docx", "A 29882-2024")</f>
        <v/>
      </c>
      <c r="AB131">
        <f>HYPERLINK("https://klasma.github.io/Logging_2085/klagomålsmail/A 29882-2024 FSC-klagomål mail.docx", "A 29882-2024")</f>
        <v/>
      </c>
      <c r="AC131">
        <f>HYPERLINK("https://klasma.github.io/Logging_2085/tillsyn/A 29882-2024 tillsynsbegäran.docx", "A 29882-2024")</f>
        <v/>
      </c>
      <c r="AD131">
        <f>HYPERLINK("https://klasma.github.io/Logging_2085/tillsynsmail/A 29882-2024 tillsynsbegäran mail.docx", "A 29882-2024")</f>
        <v/>
      </c>
      <c r="AE131">
        <f>HYPERLINK("https://klasma.github.io/Logging_2085/fåglar/A 29882-2024 prioriterade fågelarter.docx", "A 29882-2024")</f>
        <v/>
      </c>
    </row>
    <row r="132" ht="15" customHeight="1">
      <c r="A132" t="inlineStr">
        <is>
          <t>A 36478-2026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46309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Skogsalm</t>
        </is>
      </c>
      <c r="W132">
        <f>HYPERLINK("https://klasma.github.io/Logging_2085/artfynd/A 36478-2026 artfynd.xlsx", "A 36478-2026")</f>
        <v/>
      </c>
      <c r="X132">
        <f>HYPERLINK("https://klasma.github.io/Logging_2085/kartor/A 36478-2026 karta.png", "A 36478-2026")</f>
        <v/>
      </c>
      <c r="Y132">
        <f>HYPERLINK("https://klasma.github.io/Logging_2085/kartor_geotiff/A 36478-2026 georefererad karta.tif", "A 36478-2026")</f>
        <v/>
      </c>
      <c r="AA132">
        <f>HYPERLINK("https://klasma.github.io/Logging_2085/klagomål/A 36478-2026 FSC-klagomål.docx", "A 36478-2026")</f>
        <v/>
      </c>
      <c r="AB132">
        <f>HYPERLINK("https://klasma.github.io/Logging_2085/klagomålsmail/A 36478-2026 FSC-klagomål mail.docx", "A 36478-2026")</f>
        <v/>
      </c>
      <c r="AC132">
        <f>HYPERLINK("https://klasma.github.io/Logging_2085/tillsyn/A 36478-2026 tillsynsbegäran.docx", "A 36478-2026")</f>
        <v/>
      </c>
      <c r="AD132">
        <f>HYPERLINK("https://klasma.github.io/Logging_2085/tillsynsmail/A 36478-2026 tillsynsbegäran mail.docx", "A 36478-2026")</f>
        <v/>
      </c>
    </row>
    <row r="133" ht="15" customHeight="1">
      <c r="A133" t="inlineStr">
        <is>
          <t>A 60787-2024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45644</v>
      </c>
      <c r="E133" s="1" t="n">
        <v>46309</v>
      </c>
      <c r="F133" t="inlineStr">
        <is>
          <t>DALARNAS LÄN</t>
        </is>
      </c>
      <c r="G133" t="inlineStr">
        <is>
          <t>LUDVIKA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Järpe</t>
        </is>
      </c>
      <c r="W133">
        <f>HYPERLINK("https://klasma.github.io/Logging_2085/artfynd/A 60787-2024 artfynd.xlsx", "A 60787-2024")</f>
        <v/>
      </c>
      <c r="X133">
        <f>HYPERLINK("https://klasma.github.io/Logging_2085/kartor/A 60787-2024 karta.png", "A 60787-2024")</f>
        <v/>
      </c>
      <c r="Y133">
        <f>HYPERLINK("https://klasma.github.io/Logging_2085/kartor_geotiff/A 60787-2024 georefererad karta.tif", "A 60787-2024")</f>
        <v/>
      </c>
      <c r="AA133">
        <f>HYPERLINK("https://klasma.github.io/Logging_2085/klagomål/A 60787-2024 FSC-klagomål.docx", "A 60787-2024")</f>
        <v/>
      </c>
      <c r="AB133">
        <f>HYPERLINK("https://klasma.github.io/Logging_2085/klagomålsmail/A 60787-2024 FSC-klagomål mail.docx", "A 60787-2024")</f>
        <v/>
      </c>
      <c r="AC133">
        <f>HYPERLINK("https://klasma.github.io/Logging_2085/tillsyn/A 60787-2024 tillsynsbegäran.docx", "A 60787-2024")</f>
        <v/>
      </c>
      <c r="AD133">
        <f>HYPERLINK("https://klasma.github.io/Logging_2085/tillsynsmail/A 60787-2024 tillsynsbegäran mail.docx", "A 60787-2024")</f>
        <v/>
      </c>
      <c r="AE133">
        <f>HYPERLINK("https://klasma.github.io/Logging_2085/fåglar/A 60787-2024 prioriterade fågelarter.docx", "A 60787-2024")</f>
        <v/>
      </c>
    </row>
    <row r="134" ht="15" customHeight="1">
      <c r="A134" t="inlineStr">
        <is>
          <t>A 35652-2026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46309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Garnlav</t>
        </is>
      </c>
      <c r="W134">
        <f>HYPERLINK("https://klasma.github.io/Logging_2085/artfynd/A 35652-2026 artfynd.xlsx", "A 35652-2026")</f>
        <v/>
      </c>
      <c r="X134">
        <f>HYPERLINK("https://klasma.github.io/Logging_2085/kartor/A 35652-2026 karta.png", "A 35652-2026")</f>
        <v/>
      </c>
      <c r="Y134">
        <f>HYPERLINK("https://klasma.github.io/Logging_2085/kartor_geotiff/A 35652-2026 georefererad karta.tif", "A 35652-2026")</f>
        <v/>
      </c>
      <c r="AA134">
        <f>HYPERLINK("https://klasma.github.io/Logging_2085/klagomål/A 35652-2026 FSC-klagomål.docx", "A 35652-2026")</f>
        <v/>
      </c>
      <c r="AB134">
        <f>HYPERLINK("https://klasma.github.io/Logging_2085/klagomålsmail/A 35652-2026 FSC-klagomål mail.docx", "A 35652-2026")</f>
        <v/>
      </c>
      <c r="AC134">
        <f>HYPERLINK("https://klasma.github.io/Logging_2085/tillsyn/A 35652-2026 tillsynsbegäran.docx", "A 35652-2026")</f>
        <v/>
      </c>
      <c r="AD134">
        <f>HYPERLINK("https://klasma.github.io/Logging_2085/tillsynsmail/A 35652-2026 tillsynsbegäran mail.docx", "A 35652-2026")</f>
        <v/>
      </c>
    </row>
    <row r="135" ht="15" customHeight="1">
      <c r="A135" t="inlineStr">
        <is>
          <t>A 49660-2024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45596</v>
      </c>
      <c r="E135" s="1" t="n">
        <v>46309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0.9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Mörk husmossa</t>
        </is>
      </c>
      <c r="W135">
        <f>HYPERLINK("https://klasma.github.io/Logging_2085/artfynd/A 49660-2024 artfynd.xlsx", "A 49660-2024")</f>
        <v/>
      </c>
      <c r="X135">
        <f>HYPERLINK("https://klasma.github.io/Logging_2085/kartor/A 49660-2024 karta.png", "A 49660-2024")</f>
        <v/>
      </c>
      <c r="Y135">
        <f>HYPERLINK("https://klasma.github.io/Logging_2085/kartor_geotiff/A 49660-2024 georefererad karta.tif", "A 49660-2024")</f>
        <v/>
      </c>
      <c r="AA135">
        <f>HYPERLINK("https://klasma.github.io/Logging_2085/klagomål/A 49660-2024 FSC-klagomål.docx", "A 49660-2024")</f>
        <v/>
      </c>
      <c r="AB135">
        <f>HYPERLINK("https://klasma.github.io/Logging_2085/klagomålsmail/A 49660-2024 FSC-klagomål mail.docx", "A 49660-2024")</f>
        <v/>
      </c>
      <c r="AC135">
        <f>HYPERLINK("https://klasma.github.io/Logging_2085/tillsyn/A 49660-2024 tillsynsbegäran.docx", "A 49660-2024")</f>
        <v/>
      </c>
      <c r="AD135">
        <f>HYPERLINK("https://klasma.github.io/Logging_2085/tillsynsmail/A 49660-2024 tillsynsbegäran mail.docx", "A 49660-2024")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46309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46309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46309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46309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46309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46309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46309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46309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46309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46309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46309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46309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46309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46309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46309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46309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46309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46309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44508</v>
      </c>
      <c r="E154" s="1" t="n">
        <v>46309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46309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39761-2022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44819</v>
      </c>
      <c r="E156" s="1" t="n">
        <v>46309</v>
      </c>
      <c r="F156" t="inlineStr">
        <is>
          <t>DALARNAS LÄN</t>
        </is>
      </c>
      <c r="G156" t="inlineStr">
        <is>
          <t>LUDVIKA</t>
        </is>
      </c>
      <c r="H156" t="inlineStr">
        <is>
          <t>Naturvårdsverket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45335</v>
      </c>
      <c r="E157" s="1" t="n">
        <v>46309</v>
      </c>
      <c r="F157" t="inlineStr">
        <is>
          <t>DALARNAS LÄN</t>
        </is>
      </c>
      <c r="G157" t="inlineStr">
        <is>
          <t>LUDVIKA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46309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46309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46309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34845-2024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45526</v>
      </c>
      <c r="E161" s="1" t="n">
        <v>46309</v>
      </c>
      <c r="F161" t="inlineStr">
        <is>
          <t>DALARNAS LÄN</t>
        </is>
      </c>
      <c r="G161" t="inlineStr">
        <is>
          <t>LUDVIKA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44826</v>
      </c>
      <c r="E162" s="1" t="n">
        <v>46309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46309</v>
      </c>
      <c r="F163" t="inlineStr">
        <is>
          <t>DALARNAS LÄN</t>
        </is>
      </c>
      <c r="G163" t="inlineStr">
        <is>
          <t>LUDVIKA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44859</v>
      </c>
      <c r="E164" s="1" t="n">
        <v>46309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11436-2024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45372</v>
      </c>
      <c r="E165" s="1" t="n">
        <v>46309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46309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46309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45450</v>
      </c>
      <c r="E168" s="1" t="n">
        <v>46309</v>
      </c>
      <c r="F168" t="inlineStr">
        <is>
          <t>DALARNAS LÄN</t>
        </is>
      </c>
      <c r="G168" t="inlineStr">
        <is>
          <t>LUDVIKA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31702-2023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45105</v>
      </c>
      <c r="E169" s="1" t="n">
        <v>46309</v>
      </c>
      <c r="F169" t="inlineStr">
        <is>
          <t>DALARNAS LÄN</t>
        </is>
      </c>
      <c r="G169" t="inlineStr">
        <is>
          <t>LUDVIKA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46309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47496-2022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44853</v>
      </c>
      <c r="E171" s="1" t="n">
        <v>46309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46309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46309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46309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45786</v>
      </c>
      <c r="E175" s="1" t="n">
        <v>46309</v>
      </c>
      <c r="F175" t="inlineStr">
        <is>
          <t>DALARNAS LÄN</t>
        </is>
      </c>
      <c r="G175" t="inlineStr">
        <is>
          <t>LUDVIKA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45524</v>
      </c>
      <c r="E176" s="1" t="n">
        <v>46309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46309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46309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45796</v>
      </c>
      <c r="E179" s="1" t="n">
        <v>46309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44883</v>
      </c>
      <c r="E180" s="1" t="n">
        <v>46309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46309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46309</v>
      </c>
      <c r="F182" t="inlineStr">
        <is>
          <t>DALARNAS LÄN</t>
        </is>
      </c>
      <c r="G182" t="inlineStr">
        <is>
          <t>LUDVIKA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30977-2024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45499</v>
      </c>
      <c r="E183" s="1" t="n">
        <v>46309</v>
      </c>
      <c r="F183" t="inlineStr">
        <is>
          <t>DALARNAS LÄN</t>
        </is>
      </c>
      <c r="G183" t="inlineStr">
        <is>
          <t>LUDVIKA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46309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46309</v>
      </c>
      <c r="F185" t="inlineStr">
        <is>
          <t>DALARNAS LÄN</t>
        </is>
      </c>
      <c r="G185" t="inlineStr">
        <is>
          <t>LUDVIKA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46309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46309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46309</v>
      </c>
      <c r="F188" t="inlineStr">
        <is>
          <t>DALARNAS LÄN</t>
        </is>
      </c>
      <c r="G188" t="inlineStr">
        <is>
          <t>LUDVIKA</t>
        </is>
      </c>
      <c r="H188" t="inlineStr">
        <is>
          <t>Övriga Aktiebolag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45770</v>
      </c>
      <c r="E189" s="1" t="n">
        <v>46309</v>
      </c>
      <c r="F189" t="inlineStr">
        <is>
          <t>DALARNAS LÄN</t>
        </is>
      </c>
      <c r="G189" t="inlineStr">
        <is>
          <t>LUDVIKA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46309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25235-2025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45800</v>
      </c>
      <c r="E191" s="1" t="n">
        <v>46309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46309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45799</v>
      </c>
      <c r="E193" s="1" t="n">
        <v>46309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46309</v>
      </c>
      <c r="F194" t="inlineStr">
        <is>
          <t>DALARNAS LÄN</t>
        </is>
      </c>
      <c r="G194" t="inlineStr">
        <is>
          <t>LUDVIKA</t>
        </is>
      </c>
      <c r="H194" t="inlineStr">
        <is>
          <t>Övriga Aktiebolag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46309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46309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46309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46309</v>
      </c>
      <c r="F198" t="inlineStr">
        <is>
          <t>DALARNAS LÄN</t>
        </is>
      </c>
      <c r="G198" t="inlineStr">
        <is>
          <t>LUDVIKA</t>
        </is>
      </c>
      <c r="H198" t="inlineStr">
        <is>
          <t>Naturvårdsverket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46309</v>
      </c>
      <c r="F199" t="inlineStr">
        <is>
          <t>DALARNAS LÄN</t>
        </is>
      </c>
      <c r="G199" t="inlineStr">
        <is>
          <t>LUDVIKA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46309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46309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46309</v>
      </c>
      <c r="F202" t="inlineStr">
        <is>
          <t>DALARNAS LÄN</t>
        </is>
      </c>
      <c r="G202" t="inlineStr">
        <is>
          <t>LUDVIKA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46309</v>
      </c>
      <c r="F203" t="inlineStr">
        <is>
          <t>DALARNAS LÄN</t>
        </is>
      </c>
      <c r="G203" t="inlineStr">
        <is>
          <t>LUDVIKA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46309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46309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26698-2025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45810</v>
      </c>
      <c r="E206" s="1" t="n">
        <v>46309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41269-2025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46309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26628-2025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45810</v>
      </c>
      <c r="E208" s="1" t="n">
        <v>46309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46309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26794-2025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45810</v>
      </c>
      <c r="E210" s="1" t="n">
        <v>46309</v>
      </c>
      <c r="F210" t="inlineStr">
        <is>
          <t>DALARNAS LÄN</t>
        </is>
      </c>
      <c r="G210" t="inlineStr">
        <is>
          <t>LUDVIKA</t>
        </is>
      </c>
      <c r="H210" t="inlineStr">
        <is>
          <t>Kommuner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46309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45512</v>
      </c>
      <c r="E212" s="1" t="n">
        <v>46309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8703-2023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44978</v>
      </c>
      <c r="E213" s="1" t="n">
        <v>46309</v>
      </c>
      <c r="F213" t="inlineStr">
        <is>
          <t>DALARNAS LÄN</t>
        </is>
      </c>
      <c r="G213" t="inlineStr">
        <is>
          <t>LUDVIKA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46309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46309</v>
      </c>
      <c r="F215" t="inlineStr">
        <is>
          <t>DALARNAS LÄN</t>
        </is>
      </c>
      <c r="G215" t="inlineStr">
        <is>
          <t>LUDVIKA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45569</v>
      </c>
      <c r="E216" s="1" t="n">
        <v>46309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46309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46309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46309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45813</v>
      </c>
      <c r="E220" s="1" t="n">
        <v>46309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45813</v>
      </c>
      <c r="E221" s="1" t="n">
        <v>46309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45813</v>
      </c>
      <c r="E222" s="1" t="n">
        <v>46309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46309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46309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36338-2025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45868</v>
      </c>
      <c r="E225" s="1" t="n">
        <v>46309</v>
      </c>
      <c r="F225" t="inlineStr">
        <is>
          <t>DALARNAS LÄN</t>
        </is>
      </c>
      <c r="G225" t="inlineStr">
        <is>
          <t>LUDVIKA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45909</v>
      </c>
      <c r="E226" s="1" t="n">
        <v>46309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46309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46309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46309</v>
      </c>
      <c r="F229" t="inlineStr">
        <is>
          <t>DALARNAS LÄN</t>
        </is>
      </c>
      <c r="G229" t="inlineStr">
        <is>
          <t>LUDVIKA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46309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46309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46309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46309</v>
      </c>
      <c r="F233" t="inlineStr">
        <is>
          <t>DALARNAS LÄN</t>
        </is>
      </c>
      <c r="G233" t="inlineStr">
        <is>
          <t>LUDVIKA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46309</v>
      </c>
      <c r="F234" t="inlineStr">
        <is>
          <t>DALARNAS LÄN</t>
        </is>
      </c>
      <c r="G234" t="inlineStr">
        <is>
          <t>LUDVIKA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46309</v>
      </c>
      <c r="F235" t="inlineStr">
        <is>
          <t>DALARNAS LÄN</t>
        </is>
      </c>
      <c r="G235" t="inlineStr">
        <is>
          <t>LUDVIKA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45519</v>
      </c>
      <c r="E236" s="1" t="n">
        <v>46309</v>
      </c>
      <c r="F236" t="inlineStr">
        <is>
          <t>DALARNAS LÄN</t>
        </is>
      </c>
      <c r="G236" t="inlineStr">
        <is>
          <t>LUDVIKA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45826</v>
      </c>
      <c r="E237" s="1" t="n">
        <v>46309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46309</v>
      </c>
      <c r="F238" t="inlineStr">
        <is>
          <t>DALARNAS LÄN</t>
        </is>
      </c>
      <c r="G238" t="inlineStr">
        <is>
          <t>LUDVIKA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46309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46309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45912</v>
      </c>
      <c r="E241" s="1" t="n">
        <v>46309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44893</v>
      </c>
      <c r="E242" s="1" t="n">
        <v>46309</v>
      </c>
      <c r="F242" t="inlineStr">
        <is>
          <t>DALARNAS LÄN</t>
        </is>
      </c>
      <c r="G242" t="inlineStr">
        <is>
          <t>LUDVIKA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46309</v>
      </c>
      <c r="F243" t="inlineStr">
        <is>
          <t>DALARNAS LÄN</t>
        </is>
      </c>
      <c r="G243" t="inlineStr">
        <is>
          <t>LUDVIKA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46309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46309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46309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45832</v>
      </c>
      <c r="E247" s="1" t="n">
        <v>46309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46309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46309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30760-2025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46309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46309</v>
      </c>
      <c r="F251" t="inlineStr">
        <is>
          <t>DALARNAS LÄN</t>
        </is>
      </c>
      <c r="G251" t="inlineStr">
        <is>
          <t>LUDVIKA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46309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46309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46309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46309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33244-2025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46309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46309</v>
      </c>
      <c r="F257" t="inlineStr">
        <is>
          <t>DALARNAS LÄN</t>
        </is>
      </c>
      <c r="G257" t="inlineStr">
        <is>
          <t>LUDVIKA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51029-2024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46309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34067-2025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45845</v>
      </c>
      <c r="E259" s="1" t="n">
        <v>46309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45502</v>
      </c>
      <c r="E260" s="1" t="n">
        <v>46309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45849</v>
      </c>
      <c r="E261" s="1" t="n">
        <v>46309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46309</v>
      </c>
      <c r="F262" t="inlineStr">
        <is>
          <t>DALARNAS LÄN</t>
        </is>
      </c>
      <c r="G262" t="inlineStr">
        <is>
          <t>LUDVIKA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45525</v>
      </c>
      <c r="E263" s="1" t="n">
        <v>46309</v>
      </c>
      <c r="F263" t="inlineStr">
        <is>
          <t>DALARNAS LÄN</t>
        </is>
      </c>
      <c r="G263" t="inlineStr">
        <is>
          <t>LUDVIKA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46309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46309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45940</v>
      </c>
      <c r="E266" s="1" t="n">
        <v>46309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45560</v>
      </c>
      <c r="E267" s="1" t="n">
        <v>46309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45825</v>
      </c>
      <c r="E268" s="1" t="n">
        <v>46309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46002</v>
      </c>
      <c r="E269" s="1" t="n">
        <v>46309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45944</v>
      </c>
      <c r="E270" s="1" t="n">
        <v>46309</v>
      </c>
      <c r="F270" t="inlineStr">
        <is>
          <t>DALARNAS LÄN</t>
        </is>
      </c>
      <c r="G270" t="inlineStr">
        <is>
          <t>LUDVIKA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46309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46309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46309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46309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45832</v>
      </c>
      <c r="E275" s="1" t="n">
        <v>46309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46309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46309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46309</v>
      </c>
      <c r="F278" t="inlineStr">
        <is>
          <t>DALARNAS LÄN</t>
        </is>
      </c>
      <c r="G278" t="inlineStr">
        <is>
          <t>LUDVIKA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45062</v>
      </c>
      <c r="E279" s="1" t="n">
        <v>46309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46309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17677-2022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44680</v>
      </c>
      <c r="E281" s="1" t="n">
        <v>46309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52552-2025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45954</v>
      </c>
      <c r="E282" s="1" t="n">
        <v>46309</v>
      </c>
      <c r="F282" t="inlineStr">
        <is>
          <t>DALARNAS LÄN</t>
        </is>
      </c>
      <c r="G282" t="inlineStr">
        <is>
          <t>LUDVIKA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52484-2025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46309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45869</v>
      </c>
      <c r="E284" s="1" t="n">
        <v>46309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52504-2025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46309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9.300000000000001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52459-2025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45954</v>
      </c>
      <c r="E286" s="1" t="n">
        <v>46309</v>
      </c>
      <c r="F286" t="inlineStr">
        <is>
          <t>DALARNAS LÄN</t>
        </is>
      </c>
      <c r="G286" t="inlineStr">
        <is>
          <t>LUDVIKA</t>
        </is>
      </c>
      <c r="H286" t="inlineStr">
        <is>
          <t>Övriga Aktiebolag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46309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46309</v>
      </c>
      <c r="F288" t="inlineStr">
        <is>
          <t>DALARNAS LÄN</t>
        </is>
      </c>
      <c r="G288" t="inlineStr">
        <is>
          <t>LUDVIKA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46309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45337</v>
      </c>
      <c r="E290" s="1" t="n">
        <v>46309</v>
      </c>
      <c r="F290" t="inlineStr">
        <is>
          <t>DALARNAS LÄN</t>
        </is>
      </c>
      <c r="G290" t="inlineStr">
        <is>
          <t>LUDVIKA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52427-2025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45954</v>
      </c>
      <c r="E291" s="1" t="n">
        <v>46309</v>
      </c>
      <c r="F291" t="inlineStr">
        <is>
          <t>DALARNAS LÄN</t>
        </is>
      </c>
      <c r="G291" t="inlineStr">
        <is>
          <t>LUDVIKA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46309</v>
      </c>
      <c r="F292" t="inlineStr">
        <is>
          <t>DALARNAS LÄN</t>
        </is>
      </c>
      <c r="G292" t="inlineStr">
        <is>
          <t>LUDVIKA</t>
        </is>
      </c>
      <c r="H292" t="inlineStr">
        <is>
          <t>Naturvårdsverket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46309</v>
      </c>
      <c r="F293" t="inlineStr">
        <is>
          <t>DALARNAS LÄN</t>
        </is>
      </c>
      <c r="G293" t="inlineStr">
        <is>
          <t>LUDVIKA</t>
        </is>
      </c>
      <c r="H293" t="inlineStr">
        <is>
          <t>Naturvårdsverket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52724-2025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46309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52556-2025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46309</v>
      </c>
      <c r="F295" t="inlineStr">
        <is>
          <t>DALARNAS LÄN</t>
        </is>
      </c>
      <c r="G295" t="inlineStr">
        <is>
          <t>LUDVIKA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46309</v>
      </c>
      <c r="F296" t="inlineStr">
        <is>
          <t>DALARNAS LÄN</t>
        </is>
      </c>
      <c r="G296" t="inlineStr">
        <is>
          <t>LUDVIKA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46309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45875</v>
      </c>
      <c r="E298" s="1" t="n">
        <v>46309</v>
      </c>
      <c r="F298" t="inlineStr">
        <is>
          <t>DALARNAS LÄN</t>
        </is>
      </c>
      <c r="G298" t="inlineStr">
        <is>
          <t>LUDVIKA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45891</v>
      </c>
      <c r="E299" s="1" t="n">
        <v>46309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46309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45963</v>
      </c>
      <c r="E301" s="1" t="n">
        <v>46309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46309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45579</v>
      </c>
      <c r="E303" s="1" t="n">
        <v>46309</v>
      </c>
      <c r="F303" t="inlineStr">
        <is>
          <t>DALARNAS LÄN</t>
        </is>
      </c>
      <c r="G303" t="inlineStr">
        <is>
          <t>LUDVIKA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46309</v>
      </c>
      <c r="F304" t="inlineStr">
        <is>
          <t>DALARNAS LÄN</t>
        </is>
      </c>
      <c r="G304" t="inlineStr">
        <is>
          <t>LUDVIKA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54673-2025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45966</v>
      </c>
      <c r="E305" s="1" t="n">
        <v>46309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46309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45965</v>
      </c>
      <c r="E307" s="1" t="n">
        <v>46309</v>
      </c>
      <c r="F307" t="inlineStr">
        <is>
          <t>DALARNAS LÄN</t>
        </is>
      </c>
      <c r="G307" t="inlineStr">
        <is>
          <t>LUDVIKA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55211-2025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45968</v>
      </c>
      <c r="E308" s="1" t="n">
        <v>46309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55646-2025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46309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46309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46309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46309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46309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45974</v>
      </c>
      <c r="E314" s="1" t="n">
        <v>46309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46309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56002-2025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46309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46309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46309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56030-2025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46309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46309</v>
      </c>
      <c r="F320" t="inlineStr">
        <is>
          <t>DALARNAS LÄN</t>
        </is>
      </c>
      <c r="G320" t="inlineStr">
        <is>
          <t>LUDVIKA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46309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46309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43839-2023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45187</v>
      </c>
      <c r="E323" s="1" t="n">
        <v>46309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46309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45975</v>
      </c>
      <c r="E325" s="1" t="n">
        <v>46309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45623</v>
      </c>
      <c r="E326" s="1" t="n">
        <v>46309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44970</v>
      </c>
      <c r="E327" s="1" t="n">
        <v>46309</v>
      </c>
      <c r="F327" t="inlineStr">
        <is>
          <t>DALARNAS LÄN</t>
        </is>
      </c>
      <c r="G327" t="inlineStr">
        <is>
          <t>LUDVIKA</t>
        </is>
      </c>
      <c r="H327" t="inlineStr">
        <is>
          <t>Övriga Aktiebolag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46309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22000-2022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44711</v>
      </c>
      <c r="E329" s="1" t="n">
        <v>46309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46309</v>
      </c>
      <c r="F330" t="inlineStr">
        <is>
          <t>DALARNAS LÄN</t>
        </is>
      </c>
      <c r="G330" t="inlineStr">
        <is>
          <t>LUDVIKA</t>
        </is>
      </c>
      <c r="H330" t="inlineStr">
        <is>
          <t>Naturvårdsverket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47086-2025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45929</v>
      </c>
      <c r="E331" s="1" t="n">
        <v>46309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45929</v>
      </c>
      <c r="E332" s="1" t="n">
        <v>46309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46309</v>
      </c>
      <c r="F333" t="inlineStr">
        <is>
          <t>DALARNAS LÄN</t>
        </is>
      </c>
      <c r="G333" t="inlineStr">
        <is>
          <t>LUDVIKA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59171-2025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46309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46309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46309</v>
      </c>
      <c r="F336" t="inlineStr">
        <is>
          <t>DALARNAS LÄN</t>
        </is>
      </c>
      <c r="G336" t="inlineStr">
        <is>
          <t>LUDVIKA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51043-2024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46309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59435-2025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45989</v>
      </c>
      <c r="E338" s="1" t="n">
        <v>46309</v>
      </c>
      <c r="F338" t="inlineStr">
        <is>
          <t>DALARNAS LÄN</t>
        </is>
      </c>
      <c r="G338" t="inlineStr">
        <is>
          <t>LUDVIKA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46309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45989</v>
      </c>
      <c r="E340" s="1" t="n">
        <v>46309</v>
      </c>
      <c r="F340" t="inlineStr">
        <is>
          <t>DALARNAS LÄN</t>
        </is>
      </c>
      <c r="G340" t="inlineStr">
        <is>
          <t>LUDVIKA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46309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45989</v>
      </c>
      <c r="E342" s="1" t="n">
        <v>46309</v>
      </c>
      <c r="F342" t="inlineStr">
        <is>
          <t>DALARNAS LÄN</t>
        </is>
      </c>
      <c r="G342" t="inlineStr">
        <is>
          <t>LUDVIKA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56445-2024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45625</v>
      </c>
      <c r="E343" s="1" t="n">
        <v>46309</v>
      </c>
      <c r="F343" t="inlineStr">
        <is>
          <t>DALARNAS LÄN</t>
        </is>
      </c>
      <c r="G343" t="inlineStr">
        <is>
          <t>LUDVIKA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46309</v>
      </c>
      <c r="F344" t="inlineStr">
        <is>
          <t>DALARNAS LÄN</t>
        </is>
      </c>
      <c r="G344" t="inlineStr">
        <is>
          <t>LUDVIKA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45224</v>
      </c>
      <c r="E345" s="1" t="n">
        <v>46309</v>
      </c>
      <c r="F345" t="inlineStr">
        <is>
          <t>DALARNAS LÄN</t>
        </is>
      </c>
      <c r="G345" t="inlineStr">
        <is>
          <t>LUDVIKA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45301</v>
      </c>
      <c r="E346" s="1" t="n">
        <v>46309</v>
      </c>
      <c r="F346" t="inlineStr">
        <is>
          <t>DALARNAS LÄN</t>
        </is>
      </c>
      <c r="G346" t="inlineStr">
        <is>
          <t>LUDVIKA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46309</v>
      </c>
      <c r="F347" t="inlineStr">
        <is>
          <t>DALARNAS LÄN</t>
        </is>
      </c>
      <c r="G347" t="inlineStr">
        <is>
          <t>LUDVIKA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46309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60455-2025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45995</v>
      </c>
      <c r="E349" s="1" t="n">
        <v>46309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62368-2025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46007</v>
      </c>
      <c r="E350" s="1" t="n">
        <v>46309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33345-2024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45519</v>
      </c>
      <c r="E351" s="1" t="n">
        <v>46309</v>
      </c>
      <c r="F351" t="inlineStr">
        <is>
          <t>DALARNAS LÄN</t>
        </is>
      </c>
      <c r="G351" t="inlineStr">
        <is>
          <t>LUDVIKA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45593</v>
      </c>
      <c r="E352" s="1" t="n">
        <v>46309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61502-2025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46309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46309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45062</v>
      </c>
      <c r="E355" s="1" t="n">
        <v>46309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46309</v>
      </c>
      <c r="F356" t="inlineStr">
        <is>
          <t>DALARNAS LÄN</t>
        </is>
      </c>
      <c r="G356" t="inlineStr">
        <is>
          <t>LUDVIKA</t>
        </is>
      </c>
      <c r="H356" t="inlineStr">
        <is>
          <t>Naturvårdsverket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46007</v>
      </c>
      <c r="E357" s="1" t="n">
        <v>46309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46309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62367-2025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46309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62842-2025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46309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62824-2025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46309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46309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62838-2025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46309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62688-2025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46008</v>
      </c>
      <c r="E364" s="1" t="n">
        <v>46309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62706-2025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46008</v>
      </c>
      <c r="E365" s="1" t="n">
        <v>46309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62845-2025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46309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59347-2024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46309</v>
      </c>
      <c r="F367" t="inlineStr">
        <is>
          <t>DALARNAS LÄN</t>
        </is>
      </c>
      <c r="G367" t="inlineStr">
        <is>
          <t>LUDVIKA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60843-2024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45644</v>
      </c>
      <c r="E368" s="1" t="n">
        <v>46309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46010</v>
      </c>
      <c r="E369" s="1" t="n">
        <v>46309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63215-2025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46010</v>
      </c>
      <c r="E370" s="1" t="n">
        <v>46309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46309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46309</v>
      </c>
      <c r="F372" t="inlineStr">
        <is>
          <t>DALARNAS LÄN</t>
        </is>
      </c>
      <c r="G372" t="inlineStr">
        <is>
          <t>LUDVIKA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62945-2025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46009</v>
      </c>
      <c r="E373" s="1" t="n">
        <v>46309</v>
      </c>
      <c r="F373" t="inlineStr">
        <is>
          <t>DALARNAS LÄN</t>
        </is>
      </c>
      <c r="G373" t="inlineStr">
        <is>
          <t>LUDVIKA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25273-2022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44729</v>
      </c>
      <c r="E374" s="1" t="n">
        <v>46309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2838-2022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44581</v>
      </c>
      <c r="E375" s="1" t="n">
        <v>46309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40142-2022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44820</v>
      </c>
      <c r="E376" s="1" t="n">
        <v>46309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44820</v>
      </c>
      <c r="E377" s="1" t="n">
        <v>46309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45687</v>
      </c>
      <c r="E378" s="1" t="n">
        <v>46309</v>
      </c>
      <c r="F378" t="inlineStr">
        <is>
          <t>DALARNAS LÄN</t>
        </is>
      </c>
      <c r="G378" t="inlineStr">
        <is>
          <t>LUDVIKA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46309</v>
      </c>
      <c r="F379" t="inlineStr">
        <is>
          <t>DALARNAS LÄN</t>
        </is>
      </c>
      <c r="G379" t="inlineStr">
        <is>
          <t>LUDVIKA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19071-2025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45765</v>
      </c>
      <c r="E380" s="1" t="n">
        <v>46309</v>
      </c>
      <c r="F380" t="inlineStr">
        <is>
          <t>DALARNAS LÄN</t>
        </is>
      </c>
      <c r="G380" t="inlineStr">
        <is>
          <t>LUDVIKA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61621-2022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44916</v>
      </c>
      <c r="E381" s="1" t="n">
        <v>46309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46114</v>
      </c>
      <c r="E382" s="1" t="n">
        <v>46309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46309</v>
      </c>
      <c r="F383" t="inlineStr">
        <is>
          <t>DALARNAS LÄN</t>
        </is>
      </c>
      <c r="G383" t="inlineStr">
        <is>
          <t>LUDVIKA</t>
        </is>
      </c>
      <c r="H383" t="inlineStr">
        <is>
          <t>Naturvårdsverket</t>
        </is>
      </c>
      <c r="I383" t="n">
        <v>19.8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30844-2024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45497</v>
      </c>
      <c r="E384" s="1" t="n">
        <v>46309</v>
      </c>
      <c r="F384" t="inlineStr">
        <is>
          <t>DALARNAS LÄN</t>
        </is>
      </c>
      <c r="G384" t="inlineStr">
        <is>
          <t>LUDVIKA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29535-2023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46309</v>
      </c>
      <c r="F385" t="inlineStr">
        <is>
          <t>DALARNAS LÄN</t>
        </is>
      </c>
      <c r="G385" t="inlineStr">
        <is>
          <t>LUDVIKA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46122</v>
      </c>
      <c r="E386" s="1" t="n">
        <v>46309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46309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46122</v>
      </c>
      <c r="E388" s="1" t="n">
        <v>46309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46309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46309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18362-2026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46309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45411</v>
      </c>
      <c r="E392" s="1" t="n">
        <v>46309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46309</v>
      </c>
      <c r="F393" t="inlineStr">
        <is>
          <t>DALARNAS LÄN</t>
        </is>
      </c>
      <c r="G393" t="inlineStr">
        <is>
          <t>LUDVIKA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46309</v>
      </c>
      <c r="F394" t="inlineStr">
        <is>
          <t>DALARNAS LÄN</t>
        </is>
      </c>
      <c r="G394" t="inlineStr">
        <is>
          <t>LUDVIKA</t>
        </is>
      </c>
      <c r="I394" t="n">
        <v>13.1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51080-2024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46309</v>
      </c>
      <c r="F395" t="inlineStr">
        <is>
          <t>DALARNAS LÄN</t>
        </is>
      </c>
      <c r="G395" t="inlineStr">
        <is>
          <t>LUDVIKA</t>
        </is>
      </c>
      <c r="H395" t="inlineStr">
        <is>
          <t>Naturvårdsverket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44730</v>
      </c>
      <c r="E396" s="1" t="n">
        <v>46309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46309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59346-2024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45637</v>
      </c>
      <c r="E398" s="1" t="n">
        <v>46309</v>
      </c>
      <c r="F398" t="inlineStr">
        <is>
          <t>DALARNAS LÄN</t>
        </is>
      </c>
      <c r="G398" t="inlineStr">
        <is>
          <t>LUDVIKA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45099</v>
      </c>
      <c r="E399" s="1" t="n">
        <v>46309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61507-2023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45265</v>
      </c>
      <c r="E400" s="1" t="n">
        <v>46309</v>
      </c>
      <c r="F400" t="inlineStr">
        <is>
          <t>DALARNAS LÄN</t>
        </is>
      </c>
      <c r="G400" t="inlineStr">
        <is>
          <t>LUDVIKA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34868-2025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45849</v>
      </c>
      <c r="E401" s="1" t="n">
        <v>46309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46309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46309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45825</v>
      </c>
      <c r="E404" s="1" t="n">
        <v>46309</v>
      </c>
      <c r="F404" t="inlineStr">
        <is>
          <t>DALARNAS LÄN</t>
        </is>
      </c>
      <c r="G404" t="inlineStr">
        <is>
          <t>LUDVIKA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45849</v>
      </c>
      <c r="E405" s="1" t="n">
        <v>46309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65104-2023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45288</v>
      </c>
      <c r="E406" s="1" t="n">
        <v>46309</v>
      </c>
      <c r="F406" t="inlineStr">
        <is>
          <t>DALARNAS LÄN</t>
        </is>
      </c>
      <c r="G406" t="inlineStr">
        <is>
          <t>LUDVIKA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34070-2025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46309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8728-2026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46309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45827</v>
      </c>
      <c r="E409" s="1" t="n">
        <v>46309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55151-2025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46309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44865</v>
      </c>
      <c r="E411" s="1" t="n">
        <v>46309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52466-2023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45225</v>
      </c>
      <c r="E412" s="1" t="n">
        <v>46309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14986-2024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45399</v>
      </c>
      <c r="E413" s="1" t="n">
        <v>46309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52912-2025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45954</v>
      </c>
      <c r="E414" s="1" t="n">
        <v>46309</v>
      </c>
      <c r="F414" t="inlineStr">
        <is>
          <t>DALARNAS LÄN</t>
        </is>
      </c>
      <c r="G414" t="inlineStr">
        <is>
          <t>LUDVIKA</t>
        </is>
      </c>
      <c r="I414" t="n">
        <v>9.800000000000001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46309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46309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25.7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32224-2025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45835</v>
      </c>
      <c r="E417" s="1" t="n">
        <v>46309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45569</v>
      </c>
      <c r="E418" s="1" t="n">
        <v>46309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45531</v>
      </c>
      <c r="E419" s="1" t="n">
        <v>46309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46309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45860</v>
      </c>
      <c r="E421" s="1" t="n">
        <v>46309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45902</v>
      </c>
      <c r="E422" s="1" t="n">
        <v>46309</v>
      </c>
      <c r="F422" t="inlineStr">
        <is>
          <t>DALARNAS LÄN</t>
        </is>
      </c>
      <c r="G422" t="inlineStr">
        <is>
          <t>LUDVIKA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46309</v>
      </c>
      <c r="F423" t="inlineStr">
        <is>
          <t>DALARNAS LÄN</t>
        </is>
      </c>
      <c r="G423" t="inlineStr">
        <is>
          <t>LUDVIKA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45404</v>
      </c>
      <c r="E424" s="1" t="n">
        <v>46309</v>
      </c>
      <c r="F424" t="inlineStr">
        <is>
          <t>DALARNAS LÄN</t>
        </is>
      </c>
      <c r="G424" t="inlineStr">
        <is>
          <t>LUDVIKA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46309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45110</v>
      </c>
      <c r="E426" s="1" t="n">
        <v>46309</v>
      </c>
      <c r="F426" t="inlineStr">
        <is>
          <t>DALARNAS LÄN</t>
        </is>
      </c>
      <c r="G426" t="inlineStr">
        <is>
          <t>LUDVIKA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46037</v>
      </c>
      <c r="E427" s="1" t="n">
        <v>46309</v>
      </c>
      <c r="F427" t="inlineStr">
        <is>
          <t>DALARNAS LÄN</t>
        </is>
      </c>
      <c r="G427" t="inlineStr">
        <is>
          <t>LUDVIKA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70046-2021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44533</v>
      </c>
      <c r="E428" s="1" t="n">
        <v>46309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47671-2024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45588</v>
      </c>
      <c r="E429" s="1" t="n">
        <v>46309</v>
      </c>
      <c r="F429" t="inlineStr">
        <is>
          <t>DALARNAS LÄN</t>
        </is>
      </c>
      <c r="G429" t="inlineStr">
        <is>
          <t>LUDVIKA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46141</v>
      </c>
      <c r="E430" s="1" t="n">
        <v>46309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20778-2026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46309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45581</v>
      </c>
      <c r="E432" s="1" t="n">
        <v>46309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46309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46142</v>
      </c>
      <c r="E434" s="1" t="n">
        <v>46309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46309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45572</v>
      </c>
      <c r="E436" s="1" t="n">
        <v>46309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46309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45488</v>
      </c>
      <c r="E438" s="1" t="n">
        <v>46309</v>
      </c>
      <c r="F438" t="inlineStr">
        <is>
          <t>DALARNAS LÄN</t>
        </is>
      </c>
      <c r="G438" t="inlineStr">
        <is>
          <t>LUDVIKA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46309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46309</v>
      </c>
      <c r="F440" t="inlineStr">
        <is>
          <t>DALARNAS LÄN</t>
        </is>
      </c>
      <c r="G440" t="inlineStr">
        <is>
          <t>LUDVIKA</t>
        </is>
      </c>
      <c r="H440" t="inlineStr">
        <is>
          <t>Kommuner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45602</v>
      </c>
      <c r="E441" s="1" t="n">
        <v>46309</v>
      </c>
      <c r="F441" t="inlineStr">
        <is>
          <t>DALARNAS LÄN</t>
        </is>
      </c>
      <c r="G441" t="inlineStr">
        <is>
          <t>LUDVIKA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32854-2023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45112</v>
      </c>
      <c r="E442" s="1" t="n">
        <v>46309</v>
      </c>
      <c r="F442" t="inlineStr">
        <is>
          <t>DALARNAS LÄN</t>
        </is>
      </c>
      <c r="G442" t="inlineStr">
        <is>
          <t>LUDVIKA</t>
        </is>
      </c>
      <c r="H442" t="inlineStr">
        <is>
          <t>Kommuner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46150</v>
      </c>
      <c r="E443" s="1" t="n">
        <v>46309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60788-2024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45644</v>
      </c>
      <c r="E444" s="1" t="n">
        <v>46309</v>
      </c>
      <c r="F444" t="inlineStr">
        <is>
          <t>DALARNAS LÄN</t>
        </is>
      </c>
      <c r="G444" t="inlineStr">
        <is>
          <t>LUDVIKA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46309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46148</v>
      </c>
      <c r="E446" s="1" t="n">
        <v>46309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45639</v>
      </c>
      <c r="E447" s="1" t="n">
        <v>46309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43704-2024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45569</v>
      </c>
      <c r="E448" s="1" t="n">
        <v>46309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55972-2025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46309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38446-2025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45883</v>
      </c>
      <c r="E450" s="1" t="n">
        <v>46309</v>
      </c>
      <c r="F450" t="inlineStr">
        <is>
          <t>DALARNAS LÄN</t>
        </is>
      </c>
      <c r="G450" t="inlineStr">
        <is>
          <t>LUDVIKA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37586-2024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45541</v>
      </c>
      <c r="E451" s="1" t="n">
        <v>46309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46309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8.9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45622</v>
      </c>
      <c r="E453" s="1" t="n">
        <v>46309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22580-2026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46155</v>
      </c>
      <c r="E454" s="1" t="n">
        <v>46309</v>
      </c>
      <c r="F454" t="inlineStr">
        <is>
          <t>DALARNAS LÄN</t>
        </is>
      </c>
      <c r="G454" t="inlineStr">
        <is>
          <t>LUDVIKA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45679</v>
      </c>
      <c r="E455" s="1" t="n">
        <v>46309</v>
      </c>
      <c r="F455" t="inlineStr">
        <is>
          <t>DALARNAS LÄN</t>
        </is>
      </c>
      <c r="G455" t="inlineStr">
        <is>
          <t>LUDVIKA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44520-2023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45189</v>
      </c>
      <c r="E456" s="1" t="n">
        <v>46309</v>
      </c>
      <c r="F456" t="inlineStr">
        <is>
          <t>DALARNAS LÄN</t>
        </is>
      </c>
      <c r="G456" t="inlineStr">
        <is>
          <t>LUDVIKA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46309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45045-2023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45191</v>
      </c>
      <c r="E458" s="1" t="n">
        <v>46309</v>
      </c>
      <c r="F458" t="inlineStr">
        <is>
          <t>DALARNAS LÄN</t>
        </is>
      </c>
      <c r="G458" t="inlineStr">
        <is>
          <t>LUDVIKA</t>
        </is>
      </c>
      <c r="H458" t="inlineStr">
        <is>
          <t>Sveaskog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46309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9.800000000000001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46309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46309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16843-2026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46309</v>
      </c>
      <c r="F462" t="inlineStr">
        <is>
          <t>DALARNAS LÄN</t>
        </is>
      </c>
      <c r="G462" t="inlineStr">
        <is>
          <t>LUDVIKA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45594</v>
      </c>
      <c r="E463" s="1" t="n">
        <v>46309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46620-2023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45198</v>
      </c>
      <c r="E464" s="1" t="n">
        <v>46309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46309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46160</v>
      </c>
      <c r="E466" s="1" t="n">
        <v>46309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46309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45512</v>
      </c>
      <c r="E468" s="1" t="n">
        <v>46309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55462-2024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46309</v>
      </c>
      <c r="F469" t="inlineStr">
        <is>
          <t>DALARNAS LÄN</t>
        </is>
      </c>
      <c r="G469" t="inlineStr">
        <is>
          <t>LUDVIKA</t>
        </is>
      </c>
      <c r="H469" t="inlineStr">
        <is>
          <t>Naturvårdsverket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46309</v>
      </c>
      <c r="F470" t="inlineStr">
        <is>
          <t>DALARNAS LÄN</t>
        </is>
      </c>
      <c r="G470" t="inlineStr">
        <is>
          <t>LUDVIKA</t>
        </is>
      </c>
      <c r="H470" t="inlineStr">
        <is>
          <t>Naturvårdsverket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28134-2023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46309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45687</v>
      </c>
      <c r="E472" s="1" t="n">
        <v>46309</v>
      </c>
      <c r="F472" t="inlineStr">
        <is>
          <t>DALARNAS LÄN</t>
        </is>
      </c>
      <c r="G472" t="inlineStr">
        <is>
          <t>LUDVIKA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39849-2023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46309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45208</v>
      </c>
      <c r="E474" s="1" t="n">
        <v>46309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33673-2022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44789</v>
      </c>
      <c r="E475" s="1" t="n">
        <v>46309</v>
      </c>
      <c r="F475" t="inlineStr">
        <is>
          <t>DALARNAS LÄN</t>
        </is>
      </c>
      <c r="G475" t="inlineStr">
        <is>
          <t>LUDVIKA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45166</v>
      </c>
      <c r="E476" s="1" t="n">
        <v>46309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23097-2025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45791</v>
      </c>
      <c r="E477" s="1" t="n">
        <v>46309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46309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46309</v>
      </c>
      <c r="F479" t="inlineStr">
        <is>
          <t>DALARNAS LÄN</t>
        </is>
      </c>
      <c r="G479" t="inlineStr">
        <is>
          <t>LUDVIKA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21741-2022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44708</v>
      </c>
      <c r="E480" s="1" t="n">
        <v>46309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45834</v>
      </c>
      <c r="E481" s="1" t="n">
        <v>46309</v>
      </c>
      <c r="F481" t="inlineStr">
        <is>
          <t>DALARNAS LÄN</t>
        </is>
      </c>
      <c r="G481" t="inlineStr">
        <is>
          <t>LUDVIKA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18724-2022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44687</v>
      </c>
      <c r="E482" s="1" t="n">
        <v>46309</v>
      </c>
      <c r="F482" t="inlineStr">
        <is>
          <t>DALARNAS LÄN</t>
        </is>
      </c>
      <c r="G482" t="inlineStr">
        <is>
          <t>LUDVIKA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49114-2023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46309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46038</v>
      </c>
      <c r="E484" s="1" t="n">
        <v>46309</v>
      </c>
      <c r="F484" t="inlineStr">
        <is>
          <t>DALARNAS LÄN</t>
        </is>
      </c>
      <c r="G484" t="inlineStr">
        <is>
          <t>LUDVIKA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45060-2022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44841</v>
      </c>
      <c r="E485" s="1" t="n">
        <v>46309</v>
      </c>
      <c r="F485" t="inlineStr">
        <is>
          <t>DALARNAS LÄN</t>
        </is>
      </c>
      <c r="G485" t="inlineStr">
        <is>
          <t>LUDVIKA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46309</v>
      </c>
      <c r="F486" t="inlineStr">
        <is>
          <t>DALARNAS LÄN</t>
        </is>
      </c>
      <c r="G486" t="inlineStr">
        <is>
          <t>LUDVIKA</t>
        </is>
      </c>
      <c r="H486" t="inlineStr">
        <is>
          <t>Naturvårdsverket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45754</v>
      </c>
      <c r="E487" s="1" t="n">
        <v>46309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46171</v>
      </c>
      <c r="E488" s="1" t="n">
        <v>46309</v>
      </c>
      <c r="F488" t="inlineStr">
        <is>
          <t>DALARNAS LÄN</t>
        </is>
      </c>
      <c r="G488" t="inlineStr">
        <is>
          <t>LUDVIKA</t>
        </is>
      </c>
      <c r="H488" t="inlineStr">
        <is>
          <t>Naturvårdsverket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61054-2024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46309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46171</v>
      </c>
      <c r="E490" s="1" t="n">
        <v>46309</v>
      </c>
      <c r="F490" t="inlineStr">
        <is>
          <t>DALARNAS LÄN</t>
        </is>
      </c>
      <c r="G490" t="inlineStr">
        <is>
          <t>LUDVIKA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46309</v>
      </c>
      <c r="F491" t="inlineStr">
        <is>
          <t>DALARNAS LÄN</t>
        </is>
      </c>
      <c r="G491" t="inlineStr">
        <is>
          <t>LUDVIKA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46309</v>
      </c>
      <c r="F492" t="inlineStr">
        <is>
          <t>DALARNAS LÄN</t>
        </is>
      </c>
      <c r="G492" t="inlineStr">
        <is>
          <t>LUDVIKA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37392-2023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45156</v>
      </c>
      <c r="E493" s="1" t="n">
        <v>46309</v>
      </c>
      <c r="F493" t="inlineStr">
        <is>
          <t>DALARNAS LÄN</t>
        </is>
      </c>
      <c r="G493" t="inlineStr">
        <is>
          <t>LUDVIKA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51208-2023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45219</v>
      </c>
      <c r="E494" s="1" t="n">
        <v>46309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45253</v>
      </c>
      <c r="E495" s="1" t="n">
        <v>46309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46309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59351-2023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45253</v>
      </c>
      <c r="E497" s="1" t="n">
        <v>46309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24687-2026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46171</v>
      </c>
      <c r="E498" s="1" t="n">
        <v>46309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46171</v>
      </c>
      <c r="E499" s="1" t="n">
        <v>46309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46309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46309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46171</v>
      </c>
      <c r="E502" s="1" t="n">
        <v>46309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46309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8.1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23917-2026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46309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49166-2025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45938</v>
      </c>
      <c r="E505" s="1" t="n">
        <v>46309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46656-2023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45198</v>
      </c>
      <c r="E506" s="1" t="n">
        <v>46309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48683-2023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45208</v>
      </c>
      <c r="E507" s="1" t="n">
        <v>46309</v>
      </c>
      <c r="F507" t="inlineStr">
        <is>
          <t>DALARNAS LÄN</t>
        </is>
      </c>
      <c r="G507" t="inlineStr">
        <is>
          <t>LUDVIKA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20969-2026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46309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46183</v>
      </c>
      <c r="E509" s="1" t="n">
        <v>46309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46309</v>
      </c>
      <c r="F510" t="inlineStr">
        <is>
          <t>DALARNAS LÄN</t>
        </is>
      </c>
      <c r="G510" t="inlineStr">
        <is>
          <t>LUDVIKA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57557-2023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46309</v>
      </c>
      <c r="F511" t="inlineStr">
        <is>
          <t>DALARNAS LÄN</t>
        </is>
      </c>
      <c r="G511" t="inlineStr">
        <is>
          <t>LUDVIKA</t>
        </is>
      </c>
      <c r="I511" t="n">
        <v>12.7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16807-2025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45754</v>
      </c>
      <c r="E512" s="1" t="n">
        <v>46309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45744</v>
      </c>
      <c r="E513" s="1" t="n">
        <v>46309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46309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26902-2026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46309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46309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46309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46309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46309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46309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31270-2022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44771</v>
      </c>
      <c r="E521" s="1" t="n">
        <v>46309</v>
      </c>
      <c r="F521" t="inlineStr">
        <is>
          <t>DALARNAS LÄN</t>
        </is>
      </c>
      <c r="G521" t="inlineStr">
        <is>
          <t>LUDVIKA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27853-2026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46191</v>
      </c>
      <c r="E522" s="1" t="n">
        <v>46309</v>
      </c>
      <c r="F522" t="inlineStr">
        <is>
          <t>DALARNAS LÄN</t>
        </is>
      </c>
      <c r="G522" t="inlineStr">
        <is>
          <t>LUDVIKA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61309-2022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44915</v>
      </c>
      <c r="E523" s="1" t="n">
        <v>46309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48740-2022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44859</v>
      </c>
      <c r="E524" s="1" t="n">
        <v>46309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46030</v>
      </c>
      <c r="E525" s="1" t="n">
        <v>46309</v>
      </c>
      <c r="F525" t="inlineStr">
        <is>
          <t>DALARNAS LÄN</t>
        </is>
      </c>
      <c r="G525" t="inlineStr">
        <is>
          <t>LUDVIKA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46309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46309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21034-2026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46309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46160</v>
      </c>
      <c r="E529" s="1" t="n">
        <v>46309</v>
      </c>
      <c r="F529" t="inlineStr">
        <is>
          <t>DALARNAS LÄN</t>
        </is>
      </c>
      <c r="G529" t="inlineStr">
        <is>
          <t>LUDVIKA</t>
        </is>
      </c>
      <c r="H529" t="inlineStr">
        <is>
          <t>Naturvårdsverket</t>
        </is>
      </c>
      <c r="I529" t="n">
        <v>9.9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22806-2026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46160</v>
      </c>
      <c r="E530" s="1" t="n">
        <v>46309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46160</v>
      </c>
      <c r="E531" s="1" t="n">
        <v>46309</v>
      </c>
      <c r="F531" t="inlineStr">
        <is>
          <t>DALARNAS LÄN</t>
        </is>
      </c>
      <c r="G531" t="inlineStr">
        <is>
          <t>LUDVIKA</t>
        </is>
      </c>
      <c r="H531" t="inlineStr">
        <is>
          <t>Naturvårdsverket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28714-2026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46309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56621-2023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45243</v>
      </c>
      <c r="E533" s="1" t="n">
        <v>46309</v>
      </c>
      <c r="F533" t="inlineStr">
        <is>
          <t>DALARNAS LÄN</t>
        </is>
      </c>
      <c r="G533" t="inlineStr">
        <is>
          <t>LUDVIKA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53996-2024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46309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45279</v>
      </c>
      <c r="E535" s="1" t="n">
        <v>46309</v>
      </c>
      <c r="F535" t="inlineStr">
        <is>
          <t>DALARNAS LÄN</t>
        </is>
      </c>
      <c r="G535" t="inlineStr">
        <is>
          <t>LUDVIKA</t>
        </is>
      </c>
      <c r="I535" t="n">
        <v>8.6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46171</v>
      </c>
      <c r="E536" s="1" t="n">
        <v>46309</v>
      </c>
      <c r="F536" t="inlineStr">
        <is>
          <t>DALARNAS LÄN</t>
        </is>
      </c>
      <c r="G536" t="inlineStr">
        <is>
          <t>LUDVIKA</t>
        </is>
      </c>
      <c r="H536" t="inlineStr">
        <is>
          <t>Naturvårdsverket</t>
        </is>
      </c>
      <c r="I536" t="n">
        <v>10.4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923-2024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45301</v>
      </c>
      <c r="E537" s="1" t="n">
        <v>46309</v>
      </c>
      <c r="F537" t="inlineStr">
        <is>
          <t>DALARNAS LÄN</t>
        </is>
      </c>
      <c r="G537" t="inlineStr">
        <is>
          <t>LUDVIKA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20427-2025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46309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46309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53620-2022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44879</v>
      </c>
      <c r="E540" s="1" t="n">
        <v>46309</v>
      </c>
      <c r="F540" t="inlineStr">
        <is>
          <t>DALARNAS LÄN</t>
        </is>
      </c>
      <c r="G540" t="inlineStr">
        <is>
          <t>LUDVIKA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46309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46309</v>
      </c>
      <c r="F542" t="inlineStr">
        <is>
          <t>DALARNAS LÄN</t>
        </is>
      </c>
      <c r="G542" t="inlineStr">
        <is>
          <t>LUDVIKA</t>
        </is>
      </c>
      <c r="H542" t="inlineStr">
        <is>
          <t>Naturvårdsverket</t>
        </is>
      </c>
      <c r="I542" t="n">
        <v>8.300000000000001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46309</v>
      </c>
      <c r="F543" t="inlineStr">
        <is>
          <t>DALARNAS LÄN</t>
        </is>
      </c>
      <c r="G543" t="inlineStr">
        <is>
          <t>LUDVIKA</t>
        </is>
      </c>
      <c r="H543" t="inlineStr">
        <is>
          <t>Övriga Aktiebolag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46142</v>
      </c>
      <c r="E544" s="1" t="n">
        <v>46309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73703-2021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44552</v>
      </c>
      <c r="E545" s="1" t="n">
        <v>46309</v>
      </c>
      <c r="F545" t="inlineStr">
        <is>
          <t>DALARNAS LÄN</t>
        </is>
      </c>
      <c r="G545" t="inlineStr">
        <is>
          <t>LUDVIKA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46167</v>
      </c>
      <c r="E546" s="1" t="n">
        <v>46309</v>
      </c>
      <c r="F546" t="inlineStr">
        <is>
          <t>DALARNAS LÄN</t>
        </is>
      </c>
      <c r="G546" t="inlineStr">
        <is>
          <t>LUDVIKA</t>
        </is>
      </c>
      <c r="H546" t="inlineStr">
        <is>
          <t>Kommuner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46309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46206</v>
      </c>
      <c r="E548" s="1" t="n">
        <v>46309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25299-2022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44730</v>
      </c>
      <c r="E549" s="1" t="n">
        <v>46309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44599</v>
      </c>
      <c r="E550" s="1" t="n">
        <v>46309</v>
      </c>
      <c r="F550" t="inlineStr">
        <is>
          <t>DALARNAS LÄN</t>
        </is>
      </c>
      <c r="G550" t="inlineStr">
        <is>
          <t>LUDVIKA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28062-2026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46195</v>
      </c>
      <c r="E551" s="1" t="n">
        <v>46309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48642-2022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44859</v>
      </c>
      <c r="E552" s="1" t="n">
        <v>46309</v>
      </c>
      <c r="F552" t="inlineStr">
        <is>
          <t>DALARNAS LÄN</t>
        </is>
      </c>
      <c r="G552" t="inlineStr">
        <is>
          <t>LUDVIKA</t>
        </is>
      </c>
      <c r="H552" t="inlineStr">
        <is>
          <t>Naturvårdsverket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44960</v>
      </c>
      <c r="E553" s="1" t="n">
        <v>46309</v>
      </c>
      <c r="F553" t="inlineStr">
        <is>
          <t>DALARNAS LÄN</t>
        </is>
      </c>
      <c r="G553" t="inlineStr">
        <is>
          <t>LUDVIKA</t>
        </is>
      </c>
      <c r="H553" t="inlineStr">
        <is>
          <t>Naturvårdsverket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46309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28792-2026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46309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46309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22276-2026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46154</v>
      </c>
      <c r="E557" s="1" t="n">
        <v>46309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46309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46309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46309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46309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28162-2026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46309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46142</v>
      </c>
      <c r="E563" s="1" t="n">
        <v>46309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28067-2026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46309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28116-2026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46309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28158-2026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46309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46074-2023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45196</v>
      </c>
      <c r="E567" s="1" t="n">
        <v>46309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45685</v>
      </c>
      <c r="E568" s="1" t="n">
        <v>46309</v>
      </c>
      <c r="F568" t="inlineStr">
        <is>
          <t>DALARNAS LÄN</t>
        </is>
      </c>
      <c r="G568" t="inlineStr">
        <is>
          <t>LUDVIKA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46309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46309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46217</v>
      </c>
      <c r="E571" s="1" t="n">
        <v>46309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31299-2026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46218</v>
      </c>
      <c r="E572" s="1" t="n">
        <v>46309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48288-2023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45205</v>
      </c>
      <c r="E573" s="1" t="n">
        <v>46309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31350-2026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46219</v>
      </c>
      <c r="E574" s="1" t="n">
        <v>46309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46225</v>
      </c>
      <c r="E575" s="1" t="n">
        <v>46309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46309</v>
      </c>
      <c r="F576" t="inlineStr">
        <is>
          <t>DALARNAS LÄN</t>
        </is>
      </c>
      <c r="G576" t="inlineStr">
        <is>
          <t>LUDVIKA</t>
        </is>
      </c>
      <c r="I576" t="n">
        <v>8.5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49035-2024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45594</v>
      </c>
      <c r="E577" s="1" t="n">
        <v>46309</v>
      </c>
      <c r="F577" t="inlineStr">
        <is>
          <t>DALARNAS LÄN</t>
        </is>
      </c>
      <c r="G577" t="inlineStr">
        <is>
          <t>LUDVIKA</t>
        </is>
      </c>
      <c r="H577" t="inlineStr">
        <is>
          <t>Naturvårdsverket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49043-2024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45594</v>
      </c>
      <c r="E578" s="1" t="n">
        <v>46309</v>
      </c>
      <c r="F578" t="inlineStr">
        <is>
          <t>DALARNAS LÄN</t>
        </is>
      </c>
      <c r="G578" t="inlineStr">
        <is>
          <t>LUDVIKA</t>
        </is>
      </c>
      <c r="H578" t="inlineStr">
        <is>
          <t>Naturvårdsverket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45043</v>
      </c>
      <c r="E579" s="1" t="n">
        <v>46309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59050-2022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44903</v>
      </c>
      <c r="E580" s="1" t="n">
        <v>46309</v>
      </c>
      <c r="F580" t="inlineStr">
        <is>
          <t>DALARNAS LÄN</t>
        </is>
      </c>
      <c r="G580" t="inlineStr">
        <is>
          <t>LUDVIKA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44970</v>
      </c>
      <c r="E581" s="1" t="n">
        <v>46309</v>
      </c>
      <c r="F581" t="inlineStr">
        <is>
          <t>DALARNAS LÄN</t>
        </is>
      </c>
      <c r="G581" t="inlineStr">
        <is>
          <t>LUDVIKA</t>
        </is>
      </c>
      <c r="H581" t="inlineStr">
        <is>
          <t>Övriga Aktiebolag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46309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36820-2026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46272</v>
      </c>
      <c r="E583" s="1" t="n">
        <v>46309</v>
      </c>
      <c r="F583" t="inlineStr">
        <is>
          <t>DALARNAS LÄN</t>
        </is>
      </c>
      <c r="G583" t="inlineStr">
        <is>
          <t>LUDVIKA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46309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37052-2026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46273</v>
      </c>
      <c r="E585" s="1" t="n">
        <v>46309</v>
      </c>
      <c r="F585" t="inlineStr">
        <is>
          <t>DALARNAS LÄN</t>
        </is>
      </c>
      <c r="G585" t="inlineStr">
        <is>
          <t>LUDVIKA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46230</v>
      </c>
      <c r="E586" s="1" t="n">
        <v>46309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38170-2023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45161</v>
      </c>
      <c r="E587" s="1" t="n">
        <v>46309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46273</v>
      </c>
      <c r="E588" s="1" t="n">
        <v>46309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42128-2024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45562</v>
      </c>
      <c r="E589" s="1" t="n">
        <v>46309</v>
      </c>
      <c r="F589" t="inlineStr">
        <is>
          <t>DALARNAS LÄN</t>
        </is>
      </c>
      <c r="G589" t="inlineStr">
        <is>
          <t>LUDVIKA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37033-2026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46273</v>
      </c>
      <c r="E590" s="1" t="n">
        <v>46309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37000-2026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46273</v>
      </c>
      <c r="E591" s="1" t="n">
        <v>46309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56346-2022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44890</v>
      </c>
      <c r="E592" s="1" t="n">
        <v>46309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36126-2026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46267</v>
      </c>
      <c r="E593" s="1" t="n">
        <v>46309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46267</v>
      </c>
      <c r="E594" s="1" t="n">
        <v>46309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37359-2026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46275</v>
      </c>
      <c r="E595" s="1" t="n">
        <v>46309</v>
      </c>
      <c r="F595" t="inlineStr">
        <is>
          <t>DALARNAS LÄN</t>
        </is>
      </c>
      <c r="G595" t="inlineStr">
        <is>
          <t>LUDVIKA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11237-2024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45371</v>
      </c>
      <c r="E596" s="1" t="n">
        <v>46309</v>
      </c>
      <c r="F596" t="inlineStr">
        <is>
          <t>DALARNAS LÄN</t>
        </is>
      </c>
      <c r="G596" t="inlineStr">
        <is>
          <t>LUDVIKA</t>
        </is>
      </c>
      <c r="I596" t="n">
        <v>20.8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56672-2023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46309</v>
      </c>
      <c r="F597" t="inlineStr">
        <is>
          <t>DALARNAS LÄN</t>
        </is>
      </c>
      <c r="G597" t="inlineStr">
        <is>
          <t>LUDVIKA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37626-2026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46276</v>
      </c>
      <c r="E598" s="1" t="n">
        <v>46309</v>
      </c>
      <c r="F598" t="inlineStr">
        <is>
          <t>DALARNAS LÄN</t>
        </is>
      </c>
      <c r="G598" t="inlineStr">
        <is>
          <t>LUDVIKA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45373</v>
      </c>
      <c r="E599" s="1" t="n">
        <v>46309</v>
      </c>
      <c r="F599" t="inlineStr">
        <is>
          <t>DALARNAS LÄN</t>
        </is>
      </c>
      <c r="G599" t="inlineStr">
        <is>
          <t>LUDVIKA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46309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37706-2026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46279</v>
      </c>
      <c r="E601" s="1" t="n">
        <v>46309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46279</v>
      </c>
      <c r="E602" s="1" t="n">
        <v>46309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57969-2024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45631</v>
      </c>
      <c r="E603" s="1" t="n">
        <v>46309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41668-2023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45176</v>
      </c>
      <c r="E604" s="1" t="n">
        <v>46309</v>
      </c>
      <c r="F604" t="inlineStr">
        <is>
          <t>DALARNAS LÄN</t>
        </is>
      </c>
      <c r="G604" t="inlineStr">
        <is>
          <t>LUDVIKA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46309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20411-2023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45056</v>
      </c>
      <c r="E606" s="1" t="n">
        <v>46309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39400-2023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45166</v>
      </c>
      <c r="E607" s="1" t="n">
        <v>46309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37955-2026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46280</v>
      </c>
      <c r="E608" s="1" t="n">
        <v>46309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7.7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37702-2026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46279</v>
      </c>
      <c r="E609" s="1" t="n">
        <v>46309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30113-2023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45110</v>
      </c>
      <c r="E610" s="1" t="n">
        <v>46309</v>
      </c>
      <c r="F610" t="inlineStr">
        <is>
          <t>DALARNAS LÄN</t>
        </is>
      </c>
      <c r="G610" t="inlineStr">
        <is>
          <t>LUDVIKA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38160-2026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46281</v>
      </c>
      <c r="E611" s="1" t="n">
        <v>46309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39519-2024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45551</v>
      </c>
      <c r="E612" s="1" t="n">
        <v>46309</v>
      </c>
      <c r="F612" t="inlineStr">
        <is>
          <t>DALARNAS LÄN</t>
        </is>
      </c>
      <c r="G612" t="inlineStr">
        <is>
          <t>LUDVIKA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38357-2026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46282</v>
      </c>
      <c r="E613" s="1" t="n">
        <v>46309</v>
      </c>
      <c r="F613" t="inlineStr">
        <is>
          <t>DALARNAS LÄN</t>
        </is>
      </c>
      <c r="G613" t="inlineStr">
        <is>
          <t>LUDVIKA</t>
        </is>
      </c>
      <c r="H613" t="inlineStr">
        <is>
          <t>Naturvårdsverket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6975-2023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44967</v>
      </c>
      <c r="E614" s="1" t="n">
        <v>46309</v>
      </c>
      <c r="F614" t="inlineStr">
        <is>
          <t>DALARNAS LÄN</t>
        </is>
      </c>
      <c r="G614" t="inlineStr">
        <is>
          <t>LUDVIKA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40125-2024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45554</v>
      </c>
      <c r="E615" s="1" t="n">
        <v>46309</v>
      </c>
      <c r="F615" t="inlineStr">
        <is>
          <t>DALARNAS LÄN</t>
        </is>
      </c>
      <c r="G615" t="inlineStr">
        <is>
          <t>LUDVIKA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33839-2024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45520</v>
      </c>
      <c r="E616" s="1" t="n">
        <v>46309</v>
      </c>
      <c r="F616" t="inlineStr">
        <is>
          <t>DALARNAS LÄN</t>
        </is>
      </c>
      <c r="G616" t="inlineStr">
        <is>
          <t>LUDVIKA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45481</v>
      </c>
      <c r="E617" s="1" t="n">
        <v>46309</v>
      </c>
      <c r="F617" t="inlineStr">
        <is>
          <t>DALARNAS LÄN</t>
        </is>
      </c>
      <c r="G617" t="inlineStr">
        <is>
          <t>LUDVIKA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45297</v>
      </c>
      <c r="E618" s="1" t="n">
        <v>46309</v>
      </c>
      <c r="F618" t="inlineStr">
        <is>
          <t>DALARNAS LÄN</t>
        </is>
      </c>
      <c r="G618" t="inlineStr">
        <is>
          <t>LUDVIKA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51015-2023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45218</v>
      </c>
      <c r="E619" s="1" t="n">
        <v>46309</v>
      </c>
      <c r="F619" t="inlineStr">
        <is>
          <t>DALARNAS LÄN</t>
        </is>
      </c>
      <c r="G619" t="inlineStr">
        <is>
          <t>LUDVIKA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32752-2026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46241</v>
      </c>
      <c r="E620" s="1" t="n">
        <v>46309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46241</v>
      </c>
      <c r="E621" s="1" t="n">
        <v>46309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60660-2024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45644</v>
      </c>
      <c r="E622" s="1" t="n">
        <v>46309</v>
      </c>
      <c r="F622" t="inlineStr">
        <is>
          <t>DALARNAS LÄN</t>
        </is>
      </c>
      <c r="G622" t="inlineStr">
        <is>
          <t>LUDVIKA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32749-2026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46241</v>
      </c>
      <c r="E623" s="1" t="n">
        <v>46309</v>
      </c>
      <c r="F623" t="inlineStr">
        <is>
          <t>DALARNAS LÄN</t>
        </is>
      </c>
      <c r="G623" t="inlineStr">
        <is>
          <t>LUDVIKA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38638-2026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46283</v>
      </c>
      <c r="E624" s="1" t="n">
        <v>46309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46283</v>
      </c>
      <c r="E625" s="1" t="n">
        <v>46309</v>
      </c>
      <c r="F625" t="inlineStr">
        <is>
          <t>DALARNAS LÄN</t>
        </is>
      </c>
      <c r="G625" t="inlineStr">
        <is>
          <t>LUDVIKA</t>
        </is>
      </c>
      <c r="H625" t="inlineStr">
        <is>
          <t>Naturvårdsverket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46241</v>
      </c>
      <c r="E626" s="1" t="n">
        <v>46309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46309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53048-2024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45611</v>
      </c>
      <c r="E628" s="1" t="n">
        <v>46309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38656-2026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46283</v>
      </c>
      <c r="E629" s="1" t="n">
        <v>46309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46309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39093-2026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46287</v>
      </c>
      <c r="E631" s="1" t="n">
        <v>46309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46287</v>
      </c>
      <c r="E632" s="1" t="n">
        <v>46309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50777-2024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46309</v>
      </c>
      <c r="F633" t="inlineStr">
        <is>
          <t>DALARNAS LÄN</t>
        </is>
      </c>
      <c r="G633" t="inlineStr">
        <is>
          <t>LUDVIKA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28507-2023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46309</v>
      </c>
      <c r="F634" t="inlineStr">
        <is>
          <t>DALARNAS LÄN</t>
        </is>
      </c>
      <c r="G634" t="inlineStr">
        <is>
          <t>LUDVIKA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39435-2026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46288</v>
      </c>
      <c r="E635" s="1" t="n">
        <v>46309</v>
      </c>
      <c r="F635" t="inlineStr">
        <is>
          <t>DALARNAS LÄN</t>
        </is>
      </c>
      <c r="G635" t="inlineStr">
        <is>
          <t>LUDVIKA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3470-2025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45680</v>
      </c>
      <c r="E636" s="1" t="n">
        <v>46309</v>
      </c>
      <c r="F636" t="inlineStr">
        <is>
          <t>DALARNAS LÄN</t>
        </is>
      </c>
      <c r="G636" t="inlineStr">
        <is>
          <t>LUDVIKA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33419-2026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46247</v>
      </c>
      <c r="E637" s="1" t="n">
        <v>46309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39855-2026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46290</v>
      </c>
      <c r="E638" s="1" t="n">
        <v>46309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33373-2026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46247</v>
      </c>
      <c r="E639" s="1" t="n">
        <v>46309</v>
      </c>
      <c r="F639" t="inlineStr">
        <is>
          <t>DALARNAS LÄN</t>
        </is>
      </c>
      <c r="G639" t="inlineStr">
        <is>
          <t>LUDVIKA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38869-2026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46286</v>
      </c>
      <c r="E640" s="1" t="n">
        <v>46309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39789-2026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46290</v>
      </c>
      <c r="E641" s="1" t="n">
        <v>46309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45544-2024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45579</v>
      </c>
      <c r="E642" s="1" t="n">
        <v>46309</v>
      </c>
      <c r="F642" t="inlineStr">
        <is>
          <t>DALARNAS LÄN</t>
        </is>
      </c>
      <c r="G642" t="inlineStr">
        <is>
          <t>LUDVIKA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45547-2024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45579</v>
      </c>
      <c r="E643" s="1" t="n">
        <v>46309</v>
      </c>
      <c r="F643" t="inlineStr">
        <is>
          <t>DALARNAS LÄN</t>
        </is>
      </c>
      <c r="G643" t="inlineStr">
        <is>
          <t>LUDVIKA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39777-2026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46290</v>
      </c>
      <c r="E644" s="1" t="n">
        <v>46309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39854-2026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46309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38831-2026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46286</v>
      </c>
      <c r="E646" s="1" t="n">
        <v>46309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39879-2026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46290</v>
      </c>
      <c r="E647" s="1" t="n">
        <v>46309</v>
      </c>
      <c r="F647" t="inlineStr">
        <is>
          <t>DALARNAS LÄN</t>
        </is>
      </c>
      <c r="G647" t="inlineStr">
        <is>
          <t>LUDVIKA</t>
        </is>
      </c>
      <c r="H647" t="inlineStr">
        <is>
          <t>Naturvårdsverket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39878-2026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46290</v>
      </c>
      <c r="E648" s="1" t="n">
        <v>46309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40431-2026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46294</v>
      </c>
      <c r="E649" s="1" t="n">
        <v>46309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6.7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33689-2026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46248</v>
      </c>
      <c r="E650" s="1" t="n">
        <v>46309</v>
      </c>
      <c r="F650" t="inlineStr">
        <is>
          <t>DALARNAS LÄN</t>
        </is>
      </c>
      <c r="G650" t="inlineStr">
        <is>
          <t>LUDVIKA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3277-2024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45317</v>
      </c>
      <c r="E651" s="1" t="n">
        <v>46309</v>
      </c>
      <c r="F651" t="inlineStr">
        <is>
          <t>DALARNAS LÄN</t>
        </is>
      </c>
      <c r="G651" t="inlineStr">
        <is>
          <t>LUDVIKA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12497-2024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45379</v>
      </c>
      <c r="E652" s="1" t="n">
        <v>46309</v>
      </c>
      <c r="F652" t="inlineStr">
        <is>
          <t>DALARNAS LÄN</t>
        </is>
      </c>
      <c r="G652" t="inlineStr">
        <is>
          <t>LUDVIKA</t>
        </is>
      </c>
      <c r="H652" t="inlineStr">
        <is>
          <t>Naturvårdsverket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40438-2026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46294</v>
      </c>
      <c r="E653" s="1" t="n">
        <v>46309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40445-2026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46294</v>
      </c>
      <c r="E654" s="1" t="n">
        <v>46309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40392-2026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46294</v>
      </c>
      <c r="E655" s="1" t="n">
        <v>46309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40384-2026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46294</v>
      </c>
      <c r="E656" s="1" t="n">
        <v>46309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49805-2023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45212</v>
      </c>
      <c r="E657" s="1" t="n">
        <v>46309</v>
      </c>
      <c r="F657" t="inlineStr">
        <is>
          <t>DALARNAS LÄN</t>
        </is>
      </c>
      <c r="G657" t="inlineStr">
        <is>
          <t>LUDVIKA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61384-2024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45646</v>
      </c>
      <c r="E658" s="1" t="n">
        <v>46309</v>
      </c>
      <c r="F658" t="inlineStr">
        <is>
          <t>DALARNAS LÄN</t>
        </is>
      </c>
      <c r="G658" t="inlineStr">
        <is>
          <t>LUDVIKA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3280-2024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45317</v>
      </c>
      <c r="E659" s="1" t="n">
        <v>46309</v>
      </c>
      <c r="F659" t="inlineStr">
        <is>
          <t>DALARNAS LÄN</t>
        </is>
      </c>
      <c r="G659" t="inlineStr">
        <is>
          <t>LUDVIKA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29780-2024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45485</v>
      </c>
      <c r="E660" s="1" t="n">
        <v>46309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14881-2025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45743</v>
      </c>
      <c r="E661" s="1" t="n">
        <v>46309</v>
      </c>
      <c r="F661" t="inlineStr">
        <is>
          <t>DALARNAS LÄN</t>
        </is>
      </c>
      <c r="G661" t="inlineStr">
        <is>
          <t>LUDVIKA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21891-2025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45784</v>
      </c>
      <c r="E662" s="1" t="n">
        <v>46309</v>
      </c>
      <c r="F662" t="inlineStr">
        <is>
          <t>DALARNAS LÄN</t>
        </is>
      </c>
      <c r="G662" t="inlineStr">
        <is>
          <t>LUDVIKA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21893-2025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45784</v>
      </c>
      <c r="E663" s="1" t="n">
        <v>46309</v>
      </c>
      <c r="F663" t="inlineStr">
        <is>
          <t>DALARNAS LÄN</t>
        </is>
      </c>
      <c r="G663" t="inlineStr">
        <is>
          <t>LUDVIKA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38359-2024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45545</v>
      </c>
      <c r="E664" s="1" t="n">
        <v>46309</v>
      </c>
      <c r="F664" t="inlineStr">
        <is>
          <t>DALARNAS LÄN</t>
        </is>
      </c>
      <c r="G664" t="inlineStr">
        <is>
          <t>LUDVIKA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34584-2026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46255</v>
      </c>
      <c r="E665" s="1" t="n">
        <v>46309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34638-2026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46309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42421-2024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45565</v>
      </c>
      <c r="E667" s="1" t="n">
        <v>46309</v>
      </c>
      <c r="F667" t="inlineStr">
        <is>
          <t>DALARNAS LÄN</t>
        </is>
      </c>
      <c r="G667" t="inlineStr">
        <is>
          <t>LUDVIKA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24712-2024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45460</v>
      </c>
      <c r="E668" s="1" t="n">
        <v>46309</v>
      </c>
      <c r="F668" t="inlineStr">
        <is>
          <t>DALARNAS LÄN</t>
        </is>
      </c>
      <c r="G668" t="inlineStr">
        <is>
          <t>LUDVIKA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53602-2023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45230</v>
      </c>
      <c r="E669" s="1" t="n">
        <v>46309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34631-2026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46309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46095-2024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45581</v>
      </c>
      <c r="E671" s="1" t="n">
        <v>46309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46309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52359-2024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45609</v>
      </c>
      <c r="E673" s="1" t="n">
        <v>46309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46093-2024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46309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17913-2026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46309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33914-2023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45134</v>
      </c>
      <c r="E676" s="1" t="n">
        <v>46309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22606-2025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45789</v>
      </c>
      <c r="E677" s="1" t="n">
        <v>46309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22610-2025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45789</v>
      </c>
      <c r="E678" s="1" t="n">
        <v>46309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50240-2024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45600</v>
      </c>
      <c r="E679" s="1" t="n">
        <v>46309</v>
      </c>
      <c r="F679" t="inlineStr">
        <is>
          <t>DALARNAS LÄN</t>
        </is>
      </c>
      <c r="G679" t="inlineStr">
        <is>
          <t>LUDVIKA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36066-2024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45533</v>
      </c>
      <c r="E680" s="1" t="n">
        <v>46309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43702-2024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45569</v>
      </c>
      <c r="E681" s="1" t="n">
        <v>46309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22599-2025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45789</v>
      </c>
      <c r="E682" s="1" t="n">
        <v>46309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46309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22594-2025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45789</v>
      </c>
      <c r="E684" s="1" t="n">
        <v>46309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47233-2024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45586</v>
      </c>
      <c r="E685" s="1" t="n">
        <v>46309</v>
      </c>
      <c r="F685" t="inlineStr">
        <is>
          <t>DALARNAS LÄN</t>
        </is>
      </c>
      <c r="G685" t="inlineStr">
        <is>
          <t>LUDVIKA</t>
        </is>
      </c>
      <c r="I685" t="n">
        <v>9.5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46107-2024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45581</v>
      </c>
      <c r="E686" s="1" t="n">
        <v>46309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41539-2024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45560</v>
      </c>
      <c r="E687" s="1" t="n">
        <v>46309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34599-2026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46255</v>
      </c>
      <c r="E688" s="1" t="n">
        <v>46309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34632-2026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46309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41443-2026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46301</v>
      </c>
      <c r="E690" s="1" t="n">
        <v>46309</v>
      </c>
      <c r="F690" t="inlineStr">
        <is>
          <t>DALARNAS LÄN</t>
        </is>
      </c>
      <c r="G690" t="inlineStr">
        <is>
          <t>LUDVIKA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34796-2026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46258</v>
      </c>
      <c r="E691" s="1" t="n">
        <v>46309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34147-2026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46253</v>
      </c>
      <c r="E692" s="1" t="n">
        <v>46309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46258</v>
      </c>
      <c r="E693" s="1" t="n">
        <v>46309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33397-2026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46247</v>
      </c>
      <c r="E694" s="1" t="n">
        <v>46309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29734-2026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46204</v>
      </c>
      <c r="E695" s="1" t="n">
        <v>46309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35179-2026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46260</v>
      </c>
      <c r="E696" s="1" t="n">
        <v>46309</v>
      </c>
      <c r="F696" t="inlineStr">
        <is>
          <t>DALARNAS LÄN</t>
        </is>
      </c>
      <c r="G696" t="inlineStr">
        <is>
          <t>LUDVIKA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35105-2026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46260</v>
      </c>
      <c r="E697" s="1" t="n">
        <v>46309</v>
      </c>
      <c r="F697" t="inlineStr">
        <is>
          <t>DALARNAS LÄN</t>
        </is>
      </c>
      <c r="G697" t="inlineStr">
        <is>
          <t>LUDVIKA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31393-2026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46220</v>
      </c>
      <c r="E698" s="1" t="n">
        <v>46309</v>
      </c>
      <c r="F698" t="inlineStr">
        <is>
          <t>DALARNAS LÄN</t>
        </is>
      </c>
      <c r="G698" t="inlineStr">
        <is>
          <t>LUDVIKA</t>
        </is>
      </c>
      <c r="H698" t="inlineStr">
        <is>
          <t>Naturvårdsverket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38921-2025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45887</v>
      </c>
      <c r="E699" s="1" t="n">
        <v>46309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35103-2026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46260</v>
      </c>
      <c r="E700" s="1" t="n">
        <v>46309</v>
      </c>
      <c r="F700" t="inlineStr">
        <is>
          <t>DALARNAS LÄN</t>
        </is>
      </c>
      <c r="G700" t="inlineStr">
        <is>
          <t>LUDVIKA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35648-2026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46265</v>
      </c>
      <c r="E701" s="1" t="n">
        <v>46309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42335-2026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46307</v>
      </c>
      <c r="E702" s="1" t="n">
        <v>46309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9.699999999999999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38868-2026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46286</v>
      </c>
      <c r="E703" s="1" t="n">
        <v>46309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56615-2025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45975</v>
      </c>
      <c r="E704" s="1" t="n">
        <v>46309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49669-2024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45596</v>
      </c>
      <c r="E705" s="1" t="n">
        <v>46309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46265</v>
      </c>
      <c r="E706" s="1" t="n">
        <v>46309</v>
      </c>
      <c r="F706" t="inlineStr">
        <is>
          <t>DALARNAS LÄN</t>
        </is>
      </c>
      <c r="G706" t="inlineStr">
        <is>
          <t>LUDVIKA</t>
        </is>
      </c>
      <c r="H706" t="inlineStr">
        <is>
          <t>Kyrkan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35490-2026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46262</v>
      </c>
      <c r="E707" s="1" t="n">
        <v>46309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42345-2026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46307</v>
      </c>
      <c r="E708" s="1" t="n">
        <v>46309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2837-2023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45167</v>
      </c>
      <c r="E709" s="1" t="n">
        <v>46309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1122-2023</t>
        </is>
      </c>
      <c r="B710" t="inlineStr">
        <is>
          <t>samrådsanmälan</t>
        </is>
      </c>
      <c r="C710" t="inlineStr">
        <is>
          <t>Skogsgödsling</t>
        </is>
      </c>
      <c r="D710" s="1" t="n">
        <v>45015</v>
      </c>
      <c r="E710" s="1" t="n">
        <v>46309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115.7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3660-2023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45216</v>
      </c>
      <c r="E711" s="1" t="n">
        <v>46309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1246-2024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45400</v>
      </c>
      <c r="E712" s="1" t="n">
        <v>46309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1096-2024</t>
        </is>
      </c>
      <c r="B713" t="inlineStr">
        <is>
          <t>samrådsanmälan</t>
        </is>
      </c>
      <c r="C713" t="inlineStr">
        <is>
          <t>Skogsgödsling</t>
        </is>
      </c>
      <c r="D713" s="1" t="n">
        <v>45391</v>
      </c>
      <c r="E713" s="1" t="n">
        <v>46309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26.7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4863-2022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44805</v>
      </c>
      <c r="E714" s="1" t="n">
        <v>46309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1113-2023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45015</v>
      </c>
      <c r="E715" s="1" t="n">
        <v>46309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37.9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1815-2026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46190</v>
      </c>
      <c r="E716" s="1" t="n">
        <v>46309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2026-10-14T02:02:14Z</dcterms:created>
  <dcterms:modified xmlns:dcterms="http://purl.org/dc/terms/" xmlns:xsi="http://www.w3.org/2001/XMLSchema-instance" xsi:type="dcterms:W3CDTF">2026-10-14T02:02:14Z</dcterms:modified>
</cp:coreProperties>
</file>
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45349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45349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45349</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45349</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45349</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45349</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45349</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45349</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45349</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45349</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45349</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45349</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45349</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45349</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45349</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45349</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45349</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45349</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45349</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45349</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45349</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45349</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45349</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45349</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45349</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45349</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45349</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45349</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45349</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45349</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64068-2020</t>
        </is>
      </c>
      <c r="B32" s="1" t="n">
        <v>44167</v>
      </c>
      <c r="C32" s="1" t="n">
        <v>45349</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45349</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45349</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45349</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45349</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45349</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45349</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45349</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45349</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45349</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45349</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45349</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45349</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45349</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45349</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45349</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45349</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45349</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45349</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33055-2023</t>
        </is>
      </c>
      <c r="B51" s="1" t="n">
        <v>45126</v>
      </c>
      <c r="C51" s="1" t="n">
        <v>45349</v>
      </c>
      <c r="D51" t="inlineStr">
        <is>
          <t>DALARNAS LÄN</t>
        </is>
      </c>
      <c r="E51" t="inlineStr">
        <is>
          <t>LUDVIKA</t>
        </is>
      </c>
      <c r="F51" t="inlineStr">
        <is>
          <t>Bergvik skog väst AB</t>
        </is>
      </c>
      <c r="G51" t="n">
        <v>6</v>
      </c>
      <c r="H51" t="n">
        <v>0</v>
      </c>
      <c r="I51" t="n">
        <v>1</v>
      </c>
      <c r="J51" t="n">
        <v>0</v>
      </c>
      <c r="K51" t="n">
        <v>0</v>
      </c>
      <c r="L51" t="n">
        <v>0</v>
      </c>
      <c r="M51" t="n">
        <v>0</v>
      </c>
      <c r="N51" t="n">
        <v>0</v>
      </c>
      <c r="O51" t="n">
        <v>0</v>
      </c>
      <c r="P51" t="n">
        <v>0</v>
      </c>
      <c r="Q51" t="n">
        <v>1</v>
      </c>
      <c r="R51" s="2" t="inlineStr">
        <is>
          <t>Vedticka</t>
        </is>
      </c>
      <c r="S51">
        <f>HYPERLINK("https://klasma.github.io/Logging_2085/artfynd/A 33055-2023 artfynd.xlsx", "A 33055-2023")</f>
        <v/>
      </c>
      <c r="T51">
        <f>HYPERLINK("https://klasma.github.io/Logging_2085/kartor/A 33055-2023 karta.png", "A 33055-2023")</f>
        <v/>
      </c>
      <c r="V51">
        <f>HYPERLINK("https://klasma.github.io/Logging_2085/klagomål/A 33055-2023 FSC-klagomål.docx", "A 33055-2023")</f>
        <v/>
      </c>
      <c r="W51">
        <f>HYPERLINK("https://klasma.github.io/Logging_2085/klagomålsmail/A 33055-2023 FSC-klagomål mail.docx", "A 33055-2023")</f>
        <v/>
      </c>
      <c r="X51">
        <f>HYPERLINK("https://klasma.github.io/Logging_2085/tillsyn/A 33055-2023 tillsynsbegäran.docx", "A 33055-2023")</f>
        <v/>
      </c>
      <c r="Y51">
        <f>HYPERLINK("https://klasma.github.io/Logging_2085/tillsynsmail/A 33055-2023 tillsynsbegäran mail.docx", "A 33055-2023")</f>
        <v/>
      </c>
    </row>
    <row r="52" ht="15" customHeight="1">
      <c r="A52" t="inlineStr">
        <is>
          <t>A 34539-2023</t>
        </is>
      </c>
      <c r="B52" s="1" t="n">
        <v>45140</v>
      </c>
      <c r="C52" s="1" t="n">
        <v>45349</v>
      </c>
      <c r="D52" t="inlineStr">
        <is>
          <t>DALARNAS LÄN</t>
        </is>
      </c>
      <c r="E52" t="inlineStr">
        <is>
          <t>LUDVIKA</t>
        </is>
      </c>
      <c r="F52" t="inlineStr">
        <is>
          <t>Bergvik skog väst AB</t>
        </is>
      </c>
      <c r="G52" t="n">
        <v>6.1</v>
      </c>
      <c r="H52" t="n">
        <v>1</v>
      </c>
      <c r="I52" t="n">
        <v>0</v>
      </c>
      <c r="J52" t="n">
        <v>0</v>
      </c>
      <c r="K52" t="n">
        <v>0</v>
      </c>
      <c r="L52" t="n">
        <v>0</v>
      </c>
      <c r="M52" t="n">
        <v>0</v>
      </c>
      <c r="N52" t="n">
        <v>0</v>
      </c>
      <c r="O52" t="n">
        <v>0</v>
      </c>
      <c r="P52" t="n">
        <v>0</v>
      </c>
      <c r="Q52" t="n">
        <v>1</v>
      </c>
      <c r="R52" s="2" t="inlineStr">
        <is>
          <t>Gullviva</t>
        </is>
      </c>
      <c r="S52">
        <f>HYPERLINK("https://klasma.github.io/Logging_2085/artfynd/A 34539-2023 artfynd.xlsx", "A 34539-2023")</f>
        <v/>
      </c>
      <c r="T52">
        <f>HYPERLINK("https://klasma.github.io/Logging_2085/kartor/A 34539-2023 karta.png", "A 34539-2023")</f>
        <v/>
      </c>
      <c r="V52">
        <f>HYPERLINK("https://klasma.github.io/Logging_2085/klagomål/A 34539-2023 FSC-klagomål.docx", "A 34539-2023")</f>
        <v/>
      </c>
      <c r="W52">
        <f>HYPERLINK("https://klasma.github.io/Logging_2085/klagomålsmail/A 34539-2023 FSC-klagomål mail.docx", "A 34539-2023")</f>
        <v/>
      </c>
      <c r="X52">
        <f>HYPERLINK("https://klasma.github.io/Logging_2085/tillsyn/A 34539-2023 tillsynsbegäran.docx", "A 34539-2023")</f>
        <v/>
      </c>
      <c r="Y52">
        <f>HYPERLINK("https://klasma.github.io/Logging_2085/tillsynsmail/A 34539-2023 tillsynsbegäran mail.docx", "A 34539-2023")</f>
        <v/>
      </c>
    </row>
    <row r="53" ht="15" customHeight="1">
      <c r="A53" t="inlineStr">
        <is>
          <t>A 36559-2023</t>
        </is>
      </c>
      <c r="B53" s="1" t="n">
        <v>45153</v>
      </c>
      <c r="C53" s="1" t="n">
        <v>45349</v>
      </c>
      <c r="D53" t="inlineStr">
        <is>
          <t>DALARNAS LÄN</t>
        </is>
      </c>
      <c r="E53" t="inlineStr">
        <is>
          <t>LUDVIKA</t>
        </is>
      </c>
      <c r="F53" t="inlineStr">
        <is>
          <t>Bergvik skog väst AB</t>
        </is>
      </c>
      <c r="G53" t="n">
        <v>34.7</v>
      </c>
      <c r="H53" t="n">
        <v>0</v>
      </c>
      <c r="I53" t="n">
        <v>0</v>
      </c>
      <c r="J53" t="n">
        <v>1</v>
      </c>
      <c r="K53" t="n">
        <v>0</v>
      </c>
      <c r="L53" t="n">
        <v>0</v>
      </c>
      <c r="M53" t="n">
        <v>0</v>
      </c>
      <c r="N53" t="n">
        <v>0</v>
      </c>
      <c r="O53" t="n">
        <v>1</v>
      </c>
      <c r="P53" t="n">
        <v>0</v>
      </c>
      <c r="Q53" t="n">
        <v>1</v>
      </c>
      <c r="R53" s="2" t="inlineStr">
        <is>
          <t>Garnlav</t>
        </is>
      </c>
      <c r="S53">
        <f>HYPERLINK("https://klasma.github.io/Logging_2085/artfynd/A 36559-2023 artfynd.xlsx", "A 36559-2023")</f>
        <v/>
      </c>
      <c r="T53">
        <f>HYPERLINK("https://klasma.github.io/Logging_2085/kartor/A 36559-2023 karta.png", "A 36559-2023")</f>
        <v/>
      </c>
      <c r="V53">
        <f>HYPERLINK("https://klasma.github.io/Logging_2085/klagomål/A 36559-2023 FSC-klagomål.docx", "A 36559-2023")</f>
        <v/>
      </c>
      <c r="W53">
        <f>HYPERLINK("https://klasma.github.io/Logging_2085/klagomålsmail/A 36559-2023 FSC-klagomål mail.docx", "A 36559-2023")</f>
        <v/>
      </c>
      <c r="X53">
        <f>HYPERLINK("https://klasma.github.io/Logging_2085/tillsyn/A 36559-2023 tillsynsbegäran.docx", "A 36559-2023")</f>
        <v/>
      </c>
      <c r="Y53">
        <f>HYPERLINK("https://klasma.github.io/Logging_2085/tillsynsmail/A 36559-2023 tillsynsbegäran mail.docx", "A 36559-2023")</f>
        <v/>
      </c>
    </row>
    <row r="54" ht="15" customHeight="1">
      <c r="A54" t="inlineStr">
        <is>
          <t>A 44578-2023</t>
        </is>
      </c>
      <c r="B54" s="1" t="n">
        <v>45189</v>
      </c>
      <c r="C54" s="1" t="n">
        <v>45349</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45349</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45349</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42791-2018</t>
        </is>
      </c>
      <c r="B57" s="1" t="n">
        <v>43355</v>
      </c>
      <c r="C57" s="1" t="n">
        <v>45349</v>
      </c>
      <c r="D57" t="inlineStr">
        <is>
          <t>DALARNAS LÄN</t>
        </is>
      </c>
      <c r="E57" t="inlineStr">
        <is>
          <t>LUDVIKA</t>
        </is>
      </c>
      <c r="G57" t="n">
        <v>0.6</v>
      </c>
      <c r="H57" t="n">
        <v>0</v>
      </c>
      <c r="I57" t="n">
        <v>0</v>
      </c>
      <c r="J57" t="n">
        <v>0</v>
      </c>
      <c r="K57" t="n">
        <v>0</v>
      </c>
      <c r="L57" t="n">
        <v>0</v>
      </c>
      <c r="M57" t="n">
        <v>0</v>
      </c>
      <c r="N57" t="n">
        <v>0</v>
      </c>
      <c r="O57" t="n">
        <v>0</v>
      </c>
      <c r="P57" t="n">
        <v>0</v>
      </c>
      <c r="Q57" t="n">
        <v>0</v>
      </c>
      <c r="R57" s="2" t="inlineStr"/>
    </row>
    <row r="58" ht="15" customHeight="1">
      <c r="A58" t="inlineStr">
        <is>
          <t>A 45612-2018</t>
        </is>
      </c>
      <c r="B58" s="1" t="n">
        <v>43363</v>
      </c>
      <c r="C58" s="1" t="n">
        <v>45349</v>
      </c>
      <c r="D58" t="inlineStr">
        <is>
          <t>DALARNAS LÄN</t>
        </is>
      </c>
      <c r="E58" t="inlineStr">
        <is>
          <t>LUDVIKA</t>
        </is>
      </c>
      <c r="G58" t="n">
        <v>1.5</v>
      </c>
      <c r="H58" t="n">
        <v>0</v>
      </c>
      <c r="I58" t="n">
        <v>0</v>
      </c>
      <c r="J58" t="n">
        <v>0</v>
      </c>
      <c r="K58" t="n">
        <v>0</v>
      </c>
      <c r="L58" t="n">
        <v>0</v>
      </c>
      <c r="M58" t="n">
        <v>0</v>
      </c>
      <c r="N58" t="n">
        <v>0</v>
      </c>
      <c r="O58" t="n">
        <v>0</v>
      </c>
      <c r="P58" t="n">
        <v>0</v>
      </c>
      <c r="Q58" t="n">
        <v>0</v>
      </c>
      <c r="R58" s="2" t="inlineStr"/>
    </row>
    <row r="59" ht="15" customHeight="1">
      <c r="A59" t="inlineStr">
        <is>
          <t>A 61742-2018</t>
        </is>
      </c>
      <c r="B59" s="1" t="n">
        <v>43384</v>
      </c>
      <c r="C59" s="1" t="n">
        <v>45349</v>
      </c>
      <c r="D59" t="inlineStr">
        <is>
          <t>DALARNAS LÄN</t>
        </is>
      </c>
      <c r="E59" t="inlineStr">
        <is>
          <t>LUDVIKA</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63876-2018</t>
        </is>
      </c>
      <c r="B60" s="1" t="n">
        <v>43385</v>
      </c>
      <c r="C60" s="1" t="n">
        <v>45349</v>
      </c>
      <c r="D60" t="inlineStr">
        <is>
          <t>DALARNAS LÄN</t>
        </is>
      </c>
      <c r="E60" t="inlineStr">
        <is>
          <t>LUDVIKA</t>
        </is>
      </c>
      <c r="F60" t="inlineStr">
        <is>
          <t>Bergvik skog väst AB</t>
        </is>
      </c>
      <c r="G60" t="n">
        <v>2.8</v>
      </c>
      <c r="H60" t="n">
        <v>0</v>
      </c>
      <c r="I60" t="n">
        <v>0</v>
      </c>
      <c r="J60" t="n">
        <v>0</v>
      </c>
      <c r="K60" t="n">
        <v>0</v>
      </c>
      <c r="L60" t="n">
        <v>0</v>
      </c>
      <c r="M60" t="n">
        <v>0</v>
      </c>
      <c r="N60" t="n">
        <v>0</v>
      </c>
      <c r="O60" t="n">
        <v>0</v>
      </c>
      <c r="P60" t="n">
        <v>0</v>
      </c>
      <c r="Q60" t="n">
        <v>0</v>
      </c>
      <c r="R60" s="2" t="inlineStr"/>
    </row>
    <row r="61" ht="15" customHeight="1">
      <c r="A61" t="inlineStr">
        <is>
          <t>A 62183-2018</t>
        </is>
      </c>
      <c r="B61" s="1" t="n">
        <v>43385</v>
      </c>
      <c r="C61" s="1" t="n">
        <v>45349</v>
      </c>
      <c r="D61" t="inlineStr">
        <is>
          <t>DALARNAS LÄN</t>
        </is>
      </c>
      <c r="E61" t="inlineStr">
        <is>
          <t>LUDVIKA</t>
        </is>
      </c>
      <c r="F61" t="inlineStr">
        <is>
          <t>Bergvik skog väst AB</t>
        </is>
      </c>
      <c r="G61" t="n">
        <v>2.4</v>
      </c>
      <c r="H61" t="n">
        <v>0</v>
      </c>
      <c r="I61" t="n">
        <v>0</v>
      </c>
      <c r="J61" t="n">
        <v>0</v>
      </c>
      <c r="K61" t="n">
        <v>0</v>
      </c>
      <c r="L61" t="n">
        <v>0</v>
      </c>
      <c r="M61" t="n">
        <v>0</v>
      </c>
      <c r="N61" t="n">
        <v>0</v>
      </c>
      <c r="O61" t="n">
        <v>0</v>
      </c>
      <c r="P61" t="n">
        <v>0</v>
      </c>
      <c r="Q61" t="n">
        <v>0</v>
      </c>
      <c r="R61" s="2" t="inlineStr"/>
    </row>
    <row r="62" ht="15" customHeight="1">
      <c r="A62" t="inlineStr">
        <is>
          <t>A 62147-2018</t>
        </is>
      </c>
      <c r="B62" s="1" t="n">
        <v>43385</v>
      </c>
      <c r="C62" s="1" t="n">
        <v>45349</v>
      </c>
      <c r="D62" t="inlineStr">
        <is>
          <t>DALARNAS LÄN</t>
        </is>
      </c>
      <c r="E62" t="inlineStr">
        <is>
          <t>LUDVIKA</t>
        </is>
      </c>
      <c r="F62" t="inlineStr">
        <is>
          <t>Bergvik skog väst AB</t>
        </is>
      </c>
      <c r="G62" t="n">
        <v>5.6</v>
      </c>
      <c r="H62" t="n">
        <v>0</v>
      </c>
      <c r="I62" t="n">
        <v>0</v>
      </c>
      <c r="J62" t="n">
        <v>0</v>
      </c>
      <c r="K62" t="n">
        <v>0</v>
      </c>
      <c r="L62" t="n">
        <v>0</v>
      </c>
      <c r="M62" t="n">
        <v>0</v>
      </c>
      <c r="N62" t="n">
        <v>0</v>
      </c>
      <c r="O62" t="n">
        <v>0</v>
      </c>
      <c r="P62" t="n">
        <v>0</v>
      </c>
      <c r="Q62" t="n">
        <v>0</v>
      </c>
      <c r="R62" s="2" t="inlineStr"/>
    </row>
    <row r="63" ht="15" customHeight="1">
      <c r="A63" t="inlineStr">
        <is>
          <t>A 72671-2018</t>
        </is>
      </c>
      <c r="B63" s="1" t="n">
        <v>43389</v>
      </c>
      <c r="C63" s="1" t="n">
        <v>45349</v>
      </c>
      <c r="D63" t="inlineStr">
        <is>
          <t>DALARNAS LÄN</t>
        </is>
      </c>
      <c r="E63" t="inlineStr">
        <is>
          <t>LUDVIKA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72673-2018</t>
        </is>
      </c>
      <c r="B64" s="1" t="n">
        <v>43389</v>
      </c>
      <c r="C64" s="1" t="n">
        <v>45349</v>
      </c>
      <c r="D64" t="inlineStr">
        <is>
          <t>DALARNAS LÄN</t>
        </is>
      </c>
      <c r="E64" t="inlineStr">
        <is>
          <t>LUDVIKA</t>
        </is>
      </c>
      <c r="F64" t="inlineStr">
        <is>
          <t>Bergvik skog väst AB</t>
        </is>
      </c>
      <c r="G64" t="n">
        <v>5.6</v>
      </c>
      <c r="H64" t="n">
        <v>0</v>
      </c>
      <c r="I64" t="n">
        <v>0</v>
      </c>
      <c r="J64" t="n">
        <v>0</v>
      </c>
      <c r="K64" t="n">
        <v>0</v>
      </c>
      <c r="L64" t="n">
        <v>0</v>
      </c>
      <c r="M64" t="n">
        <v>0</v>
      </c>
      <c r="N64" t="n">
        <v>0</v>
      </c>
      <c r="O64" t="n">
        <v>0</v>
      </c>
      <c r="P64" t="n">
        <v>0</v>
      </c>
      <c r="Q64" t="n">
        <v>0</v>
      </c>
      <c r="R64" s="2" t="inlineStr"/>
    </row>
    <row r="65" ht="15" customHeight="1">
      <c r="A65" t="inlineStr">
        <is>
          <t>A 57057-2018</t>
        </is>
      </c>
      <c r="B65" s="1" t="n">
        <v>43403</v>
      </c>
      <c r="C65" s="1" t="n">
        <v>45349</v>
      </c>
      <c r="D65" t="inlineStr">
        <is>
          <t>DALARNAS LÄN</t>
        </is>
      </c>
      <c r="E65" t="inlineStr">
        <is>
          <t>LUDVIKA</t>
        </is>
      </c>
      <c r="F65" t="inlineStr">
        <is>
          <t>Bergvik skog väst AB</t>
        </is>
      </c>
      <c r="G65" t="n">
        <v>7.6</v>
      </c>
      <c r="H65" t="n">
        <v>0</v>
      </c>
      <c r="I65" t="n">
        <v>0</v>
      </c>
      <c r="J65" t="n">
        <v>0</v>
      </c>
      <c r="K65" t="n">
        <v>0</v>
      </c>
      <c r="L65" t="n">
        <v>0</v>
      </c>
      <c r="M65" t="n">
        <v>0</v>
      </c>
      <c r="N65" t="n">
        <v>0</v>
      </c>
      <c r="O65" t="n">
        <v>0</v>
      </c>
      <c r="P65" t="n">
        <v>0</v>
      </c>
      <c r="Q65" t="n">
        <v>0</v>
      </c>
      <c r="R65" s="2" t="inlineStr"/>
    </row>
    <row r="66" ht="15" customHeight="1">
      <c r="A66" t="inlineStr">
        <is>
          <t>A 57495-2018</t>
        </is>
      </c>
      <c r="B66" s="1" t="n">
        <v>43404</v>
      </c>
      <c r="C66" s="1" t="n">
        <v>45349</v>
      </c>
      <c r="D66" t="inlineStr">
        <is>
          <t>DALARNAS LÄN</t>
        </is>
      </c>
      <c r="E66" t="inlineStr">
        <is>
          <t>LUDVIKA</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57527-2018</t>
        </is>
      </c>
      <c r="B67" s="1" t="n">
        <v>43404</v>
      </c>
      <c r="C67" s="1" t="n">
        <v>45349</v>
      </c>
      <c r="D67" t="inlineStr">
        <is>
          <t>DALARNAS LÄN</t>
        </is>
      </c>
      <c r="E67" t="inlineStr">
        <is>
          <t>LUDVIKA</t>
        </is>
      </c>
      <c r="G67" t="n">
        <v>2</v>
      </c>
      <c r="H67" t="n">
        <v>0</v>
      </c>
      <c r="I67" t="n">
        <v>0</v>
      </c>
      <c r="J67" t="n">
        <v>0</v>
      </c>
      <c r="K67" t="n">
        <v>0</v>
      </c>
      <c r="L67" t="n">
        <v>0</v>
      </c>
      <c r="M67" t="n">
        <v>0</v>
      </c>
      <c r="N67" t="n">
        <v>0</v>
      </c>
      <c r="O67" t="n">
        <v>0</v>
      </c>
      <c r="P67" t="n">
        <v>0</v>
      </c>
      <c r="Q67" t="n">
        <v>0</v>
      </c>
      <c r="R67" s="2" t="inlineStr"/>
    </row>
    <row r="68" ht="15" customHeight="1">
      <c r="A68" t="inlineStr">
        <is>
          <t>A 57519-2018</t>
        </is>
      </c>
      <c r="B68" s="1" t="n">
        <v>43404</v>
      </c>
      <c r="C68" s="1" t="n">
        <v>45349</v>
      </c>
      <c r="D68" t="inlineStr">
        <is>
          <t>DALARNAS LÄN</t>
        </is>
      </c>
      <c r="E68" t="inlineStr">
        <is>
          <t>LUDVIKA</t>
        </is>
      </c>
      <c r="G68" t="n">
        <v>3.8</v>
      </c>
      <c r="H68" t="n">
        <v>0</v>
      </c>
      <c r="I68" t="n">
        <v>0</v>
      </c>
      <c r="J68" t="n">
        <v>0</v>
      </c>
      <c r="K68" t="n">
        <v>0</v>
      </c>
      <c r="L68" t="n">
        <v>0</v>
      </c>
      <c r="M68" t="n">
        <v>0</v>
      </c>
      <c r="N68" t="n">
        <v>0</v>
      </c>
      <c r="O68" t="n">
        <v>0</v>
      </c>
      <c r="P68" t="n">
        <v>0</v>
      </c>
      <c r="Q68" t="n">
        <v>0</v>
      </c>
      <c r="R68" s="2" t="inlineStr"/>
    </row>
    <row r="69" ht="15" customHeight="1">
      <c r="A69" t="inlineStr">
        <is>
          <t>A 59781-2018</t>
        </is>
      </c>
      <c r="B69" s="1" t="n">
        <v>43411</v>
      </c>
      <c r="C69" s="1" t="n">
        <v>45349</v>
      </c>
      <c r="D69" t="inlineStr">
        <is>
          <t>DALARNAS LÄN</t>
        </is>
      </c>
      <c r="E69" t="inlineStr">
        <is>
          <t>LUDVIKA</t>
        </is>
      </c>
      <c r="G69" t="n">
        <v>0.9</v>
      </c>
      <c r="H69" t="n">
        <v>0</v>
      </c>
      <c r="I69" t="n">
        <v>0</v>
      </c>
      <c r="J69" t="n">
        <v>0</v>
      </c>
      <c r="K69" t="n">
        <v>0</v>
      </c>
      <c r="L69" t="n">
        <v>0</v>
      </c>
      <c r="M69" t="n">
        <v>0</v>
      </c>
      <c r="N69" t="n">
        <v>0</v>
      </c>
      <c r="O69" t="n">
        <v>0</v>
      </c>
      <c r="P69" t="n">
        <v>0</v>
      </c>
      <c r="Q69" t="n">
        <v>0</v>
      </c>
      <c r="R69" s="2" t="inlineStr"/>
    </row>
    <row r="70" ht="15" customHeight="1">
      <c r="A70" t="inlineStr">
        <is>
          <t>A 59786-2018</t>
        </is>
      </c>
      <c r="B70" s="1" t="n">
        <v>43411</v>
      </c>
      <c r="C70" s="1" t="n">
        <v>45349</v>
      </c>
      <c r="D70" t="inlineStr">
        <is>
          <t>DALARNAS LÄN</t>
        </is>
      </c>
      <c r="E70" t="inlineStr">
        <is>
          <t>LUDVIKA</t>
        </is>
      </c>
      <c r="G70" t="n">
        <v>2.1</v>
      </c>
      <c r="H70" t="n">
        <v>0</v>
      </c>
      <c r="I70" t="n">
        <v>0</v>
      </c>
      <c r="J70" t="n">
        <v>0</v>
      </c>
      <c r="K70" t="n">
        <v>0</v>
      </c>
      <c r="L70" t="n">
        <v>0</v>
      </c>
      <c r="M70" t="n">
        <v>0</v>
      </c>
      <c r="N70" t="n">
        <v>0</v>
      </c>
      <c r="O70" t="n">
        <v>0</v>
      </c>
      <c r="P70" t="n">
        <v>0</v>
      </c>
      <c r="Q70" t="n">
        <v>0</v>
      </c>
      <c r="R70" s="2" t="inlineStr"/>
    </row>
    <row r="71" ht="15" customHeight="1">
      <c r="A71" t="inlineStr">
        <is>
          <t>A 60285-2018</t>
        </is>
      </c>
      <c r="B71" s="1" t="n">
        <v>43413</v>
      </c>
      <c r="C71" s="1" t="n">
        <v>45349</v>
      </c>
      <c r="D71" t="inlineStr">
        <is>
          <t>DALARNAS LÄN</t>
        </is>
      </c>
      <c r="E71" t="inlineStr">
        <is>
          <t>LUDVIKA</t>
        </is>
      </c>
      <c r="F71" t="inlineStr">
        <is>
          <t>Kommuner</t>
        </is>
      </c>
      <c r="G71" t="n">
        <v>3.4</v>
      </c>
      <c r="H71" t="n">
        <v>0</v>
      </c>
      <c r="I71" t="n">
        <v>0</v>
      </c>
      <c r="J71" t="n">
        <v>0</v>
      </c>
      <c r="K71" t="n">
        <v>0</v>
      </c>
      <c r="L71" t="n">
        <v>0</v>
      </c>
      <c r="M71" t="n">
        <v>0</v>
      </c>
      <c r="N71" t="n">
        <v>0</v>
      </c>
      <c r="O71" t="n">
        <v>0</v>
      </c>
      <c r="P71" t="n">
        <v>0</v>
      </c>
      <c r="Q71" t="n">
        <v>0</v>
      </c>
      <c r="R71" s="2" t="inlineStr"/>
    </row>
    <row r="72" ht="15" customHeight="1">
      <c r="A72" t="inlineStr">
        <is>
          <t>A 62333-2018</t>
        </is>
      </c>
      <c r="B72" s="1" t="n">
        <v>43416</v>
      </c>
      <c r="C72" s="1" t="n">
        <v>45349</v>
      </c>
      <c r="D72" t="inlineStr">
        <is>
          <t>DALARNAS LÄN</t>
        </is>
      </c>
      <c r="E72" t="inlineStr">
        <is>
          <t>LUDVIKA</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61671-2018</t>
        </is>
      </c>
      <c r="B73" s="1" t="n">
        <v>43425</v>
      </c>
      <c r="C73" s="1" t="n">
        <v>45349</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63488-2018</t>
        </is>
      </c>
      <c r="B74" s="1" t="n">
        <v>43427</v>
      </c>
      <c r="C74" s="1" t="n">
        <v>45349</v>
      </c>
      <c r="D74" t="inlineStr">
        <is>
          <t>DALARNAS LÄN</t>
        </is>
      </c>
      <c r="E74" t="inlineStr">
        <is>
          <t>LUDVIKA</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66359-2018</t>
        </is>
      </c>
      <c r="B75" s="1" t="n">
        <v>43436</v>
      </c>
      <c r="C75" s="1" t="n">
        <v>45349</v>
      </c>
      <c r="D75" t="inlineStr">
        <is>
          <t>DALARNAS LÄN</t>
        </is>
      </c>
      <c r="E75" t="inlineStr">
        <is>
          <t>LUDVIKA</t>
        </is>
      </c>
      <c r="G75" t="n">
        <v>4.4</v>
      </c>
      <c r="H75" t="n">
        <v>0</v>
      </c>
      <c r="I75" t="n">
        <v>0</v>
      </c>
      <c r="J75" t="n">
        <v>0</v>
      </c>
      <c r="K75" t="n">
        <v>0</v>
      </c>
      <c r="L75" t="n">
        <v>0</v>
      </c>
      <c r="M75" t="n">
        <v>0</v>
      </c>
      <c r="N75" t="n">
        <v>0</v>
      </c>
      <c r="O75" t="n">
        <v>0</v>
      </c>
      <c r="P75" t="n">
        <v>0</v>
      </c>
      <c r="Q75" t="n">
        <v>0</v>
      </c>
      <c r="R75" s="2" t="inlineStr"/>
    </row>
    <row r="76" ht="15" customHeight="1">
      <c r="A76" t="inlineStr">
        <is>
          <t>A 69878-2018</t>
        </is>
      </c>
      <c r="B76" s="1" t="n">
        <v>43447</v>
      </c>
      <c r="C76" s="1" t="n">
        <v>45349</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70717-2018</t>
        </is>
      </c>
      <c r="B77" s="1" t="n">
        <v>43451</v>
      </c>
      <c r="C77" s="1" t="n">
        <v>45349</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71008-2018</t>
        </is>
      </c>
      <c r="B78" s="1" t="n">
        <v>43452</v>
      </c>
      <c r="C78" s="1" t="n">
        <v>45349</v>
      </c>
      <c r="D78" t="inlineStr">
        <is>
          <t>DALARNAS LÄN</t>
        </is>
      </c>
      <c r="E78" t="inlineStr">
        <is>
          <t>LUDVIKA</t>
        </is>
      </c>
      <c r="F78" t="inlineStr">
        <is>
          <t>Bergvik skog väst AB</t>
        </is>
      </c>
      <c r="G78" t="n">
        <v>5.1</v>
      </c>
      <c r="H78" t="n">
        <v>0</v>
      </c>
      <c r="I78" t="n">
        <v>0</v>
      </c>
      <c r="J78" t="n">
        <v>0</v>
      </c>
      <c r="K78" t="n">
        <v>0</v>
      </c>
      <c r="L78" t="n">
        <v>0</v>
      </c>
      <c r="M78" t="n">
        <v>0</v>
      </c>
      <c r="N78" t="n">
        <v>0</v>
      </c>
      <c r="O78" t="n">
        <v>0</v>
      </c>
      <c r="P78" t="n">
        <v>0</v>
      </c>
      <c r="Q78" t="n">
        <v>0</v>
      </c>
      <c r="R78" s="2" t="inlineStr"/>
    </row>
    <row r="79" ht="15" customHeight="1">
      <c r="A79" t="inlineStr">
        <is>
          <t>A 947-2019</t>
        </is>
      </c>
      <c r="B79" s="1" t="n">
        <v>43472</v>
      </c>
      <c r="C79" s="1" t="n">
        <v>45349</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954-2019</t>
        </is>
      </c>
      <c r="B80" s="1" t="n">
        <v>43472</v>
      </c>
      <c r="C80" s="1" t="n">
        <v>45349</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950-2019</t>
        </is>
      </c>
      <c r="B81" s="1" t="n">
        <v>43472</v>
      </c>
      <c r="C81" s="1" t="n">
        <v>45349</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1474-2019</t>
        </is>
      </c>
      <c r="B82" s="1" t="n">
        <v>43473</v>
      </c>
      <c r="C82" s="1" t="n">
        <v>45349</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1745-2019</t>
        </is>
      </c>
      <c r="B83" s="1" t="n">
        <v>43474</v>
      </c>
      <c r="C83" s="1" t="n">
        <v>45349</v>
      </c>
      <c r="D83" t="inlineStr">
        <is>
          <t>DALARNAS LÄN</t>
        </is>
      </c>
      <c r="E83" t="inlineStr">
        <is>
          <t>LUDVIKA</t>
        </is>
      </c>
      <c r="F83" t="inlineStr">
        <is>
          <t>Naturvårdsverket</t>
        </is>
      </c>
      <c r="G83" t="n">
        <v>8.199999999999999</v>
      </c>
      <c r="H83" t="n">
        <v>0</v>
      </c>
      <c r="I83" t="n">
        <v>0</v>
      </c>
      <c r="J83" t="n">
        <v>0</v>
      </c>
      <c r="K83" t="n">
        <v>0</v>
      </c>
      <c r="L83" t="n">
        <v>0</v>
      </c>
      <c r="M83" t="n">
        <v>0</v>
      </c>
      <c r="N83" t="n">
        <v>0</v>
      </c>
      <c r="O83" t="n">
        <v>0</v>
      </c>
      <c r="P83" t="n">
        <v>0</v>
      </c>
      <c r="Q83" t="n">
        <v>0</v>
      </c>
      <c r="R83" s="2" t="inlineStr"/>
    </row>
    <row r="84" ht="15" customHeight="1">
      <c r="A84" t="inlineStr">
        <is>
          <t>A 3336-2019</t>
        </is>
      </c>
      <c r="B84" s="1" t="n">
        <v>43474</v>
      </c>
      <c r="C84" s="1" t="n">
        <v>45349</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3319-2019</t>
        </is>
      </c>
      <c r="B85" s="1" t="n">
        <v>43474</v>
      </c>
      <c r="C85" s="1" t="n">
        <v>45349</v>
      </c>
      <c r="D85" t="inlineStr">
        <is>
          <t>DALARNAS LÄN</t>
        </is>
      </c>
      <c r="E85" t="inlineStr">
        <is>
          <t>LUDVIKA</t>
        </is>
      </c>
      <c r="G85" t="n">
        <v>1.5</v>
      </c>
      <c r="H85" t="n">
        <v>0</v>
      </c>
      <c r="I85" t="n">
        <v>0</v>
      </c>
      <c r="J85" t="n">
        <v>0</v>
      </c>
      <c r="K85" t="n">
        <v>0</v>
      </c>
      <c r="L85" t="n">
        <v>0</v>
      </c>
      <c r="M85" t="n">
        <v>0</v>
      </c>
      <c r="N85" t="n">
        <v>0</v>
      </c>
      <c r="O85" t="n">
        <v>0</v>
      </c>
      <c r="P85" t="n">
        <v>0</v>
      </c>
      <c r="Q85" t="n">
        <v>0</v>
      </c>
      <c r="R85" s="2" t="inlineStr"/>
    </row>
    <row r="86" ht="15" customHeight="1">
      <c r="A86" t="inlineStr">
        <is>
          <t>A 6450-2019</t>
        </is>
      </c>
      <c r="B86" s="1" t="n">
        <v>43494</v>
      </c>
      <c r="C86" s="1" t="n">
        <v>45349</v>
      </c>
      <c r="D86" t="inlineStr">
        <is>
          <t>DALARNAS LÄN</t>
        </is>
      </c>
      <c r="E86" t="inlineStr">
        <is>
          <t>LUDVIKA</t>
        </is>
      </c>
      <c r="F86" t="inlineStr">
        <is>
          <t>Bergvik skog väst AB</t>
        </is>
      </c>
      <c r="G86" t="n">
        <v>26.8</v>
      </c>
      <c r="H86" t="n">
        <v>0</v>
      </c>
      <c r="I86" t="n">
        <v>0</v>
      </c>
      <c r="J86" t="n">
        <v>0</v>
      </c>
      <c r="K86" t="n">
        <v>0</v>
      </c>
      <c r="L86" t="n">
        <v>0</v>
      </c>
      <c r="M86" t="n">
        <v>0</v>
      </c>
      <c r="N86" t="n">
        <v>0</v>
      </c>
      <c r="O86" t="n">
        <v>0</v>
      </c>
      <c r="P86" t="n">
        <v>0</v>
      </c>
      <c r="Q86" t="n">
        <v>0</v>
      </c>
      <c r="R86" s="2" t="inlineStr"/>
    </row>
    <row r="87" ht="15" customHeight="1">
      <c r="A87" t="inlineStr">
        <is>
          <t>A 7510-2019</t>
        </is>
      </c>
      <c r="B87" s="1" t="n">
        <v>43497</v>
      </c>
      <c r="C87" s="1" t="n">
        <v>45349</v>
      </c>
      <c r="D87" t="inlineStr">
        <is>
          <t>DALARNAS LÄN</t>
        </is>
      </c>
      <c r="E87" t="inlineStr">
        <is>
          <t>LUDVIKA</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8436-2019</t>
        </is>
      </c>
      <c r="B88" s="1" t="n">
        <v>43500</v>
      </c>
      <c r="C88" s="1" t="n">
        <v>45349</v>
      </c>
      <c r="D88" t="inlineStr">
        <is>
          <t>DALARNAS LÄN</t>
        </is>
      </c>
      <c r="E88" t="inlineStr">
        <is>
          <t>LUDVIKA</t>
        </is>
      </c>
      <c r="G88" t="n">
        <v>2.4</v>
      </c>
      <c r="H88" t="n">
        <v>0</v>
      </c>
      <c r="I88" t="n">
        <v>0</v>
      </c>
      <c r="J88" t="n">
        <v>0</v>
      </c>
      <c r="K88" t="n">
        <v>0</v>
      </c>
      <c r="L88" t="n">
        <v>0</v>
      </c>
      <c r="M88" t="n">
        <v>0</v>
      </c>
      <c r="N88" t="n">
        <v>0</v>
      </c>
      <c r="O88" t="n">
        <v>0</v>
      </c>
      <c r="P88" t="n">
        <v>0</v>
      </c>
      <c r="Q88" t="n">
        <v>0</v>
      </c>
      <c r="R88" s="2" t="inlineStr"/>
    </row>
    <row r="89" ht="15" customHeight="1">
      <c r="A89" t="inlineStr">
        <is>
          <t>A 8637-2019</t>
        </is>
      </c>
      <c r="B89" s="1" t="n">
        <v>43501</v>
      </c>
      <c r="C89" s="1" t="n">
        <v>45349</v>
      </c>
      <c r="D89" t="inlineStr">
        <is>
          <t>DALARNAS LÄN</t>
        </is>
      </c>
      <c r="E89" t="inlineStr">
        <is>
          <t>LUDVIKA</t>
        </is>
      </c>
      <c r="F89" t="inlineStr">
        <is>
          <t>Bergvik skog väst AB</t>
        </is>
      </c>
      <c r="G89" t="n">
        <v>12.3</v>
      </c>
      <c r="H89" t="n">
        <v>0</v>
      </c>
      <c r="I89" t="n">
        <v>0</v>
      </c>
      <c r="J89" t="n">
        <v>0</v>
      </c>
      <c r="K89" t="n">
        <v>0</v>
      </c>
      <c r="L89" t="n">
        <v>0</v>
      </c>
      <c r="M89" t="n">
        <v>0</v>
      </c>
      <c r="N89" t="n">
        <v>0</v>
      </c>
      <c r="O89" t="n">
        <v>0</v>
      </c>
      <c r="P89" t="n">
        <v>0</v>
      </c>
      <c r="Q89" t="n">
        <v>0</v>
      </c>
      <c r="R89" s="2" t="inlineStr"/>
    </row>
    <row r="90" ht="15" customHeight="1">
      <c r="A90" t="inlineStr">
        <is>
          <t>A 8288-2019</t>
        </is>
      </c>
      <c r="B90" s="1" t="n">
        <v>43502</v>
      </c>
      <c r="C90" s="1" t="n">
        <v>45349</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13808-2019</t>
        </is>
      </c>
      <c r="B91" s="1" t="n">
        <v>43531</v>
      </c>
      <c r="C91" s="1" t="n">
        <v>45349</v>
      </c>
      <c r="D91" t="inlineStr">
        <is>
          <t>DALARNAS LÄN</t>
        </is>
      </c>
      <c r="E91" t="inlineStr">
        <is>
          <t>LUDVIKA</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13951-2019</t>
        </is>
      </c>
      <c r="B92" s="1" t="n">
        <v>43532</v>
      </c>
      <c r="C92" s="1" t="n">
        <v>45349</v>
      </c>
      <c r="D92" t="inlineStr">
        <is>
          <t>DALARNAS LÄN</t>
        </is>
      </c>
      <c r="E92" t="inlineStr">
        <is>
          <t>LUDVIKA</t>
        </is>
      </c>
      <c r="G92" t="n">
        <v>4.7</v>
      </c>
      <c r="H92" t="n">
        <v>0</v>
      </c>
      <c r="I92" t="n">
        <v>0</v>
      </c>
      <c r="J92" t="n">
        <v>0</v>
      </c>
      <c r="K92" t="n">
        <v>0</v>
      </c>
      <c r="L92" t="n">
        <v>0</v>
      </c>
      <c r="M92" t="n">
        <v>0</v>
      </c>
      <c r="N92" t="n">
        <v>0</v>
      </c>
      <c r="O92" t="n">
        <v>0</v>
      </c>
      <c r="P92" t="n">
        <v>0</v>
      </c>
      <c r="Q92" t="n">
        <v>0</v>
      </c>
      <c r="R92" s="2" t="inlineStr"/>
    </row>
    <row r="93" ht="15" customHeight="1">
      <c r="A93" t="inlineStr">
        <is>
          <t>A 16514-2019</t>
        </is>
      </c>
      <c r="B93" s="1" t="n">
        <v>43546</v>
      </c>
      <c r="C93" s="1" t="n">
        <v>45349</v>
      </c>
      <c r="D93" t="inlineStr">
        <is>
          <t>DALARNAS LÄN</t>
        </is>
      </c>
      <c r="E93" t="inlineStr">
        <is>
          <t>LUDVIKA</t>
        </is>
      </c>
      <c r="G93" t="n">
        <v>4.6</v>
      </c>
      <c r="H93" t="n">
        <v>0</v>
      </c>
      <c r="I93" t="n">
        <v>0</v>
      </c>
      <c r="J93" t="n">
        <v>0</v>
      </c>
      <c r="K93" t="n">
        <v>0</v>
      </c>
      <c r="L93" t="n">
        <v>0</v>
      </c>
      <c r="M93" t="n">
        <v>0</v>
      </c>
      <c r="N93" t="n">
        <v>0</v>
      </c>
      <c r="O93" t="n">
        <v>0</v>
      </c>
      <c r="P93" t="n">
        <v>0</v>
      </c>
      <c r="Q93" t="n">
        <v>0</v>
      </c>
      <c r="R93" s="2" t="inlineStr"/>
    </row>
    <row r="94" ht="15" customHeight="1">
      <c r="A94" t="inlineStr">
        <is>
          <t>A 17105-2019</t>
        </is>
      </c>
      <c r="B94" s="1" t="n">
        <v>43551</v>
      </c>
      <c r="C94" s="1" t="n">
        <v>45349</v>
      </c>
      <c r="D94" t="inlineStr">
        <is>
          <t>DALARNAS LÄN</t>
        </is>
      </c>
      <c r="E94" t="inlineStr">
        <is>
          <t>LUDVIKA</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17077-2019</t>
        </is>
      </c>
      <c r="B95" s="1" t="n">
        <v>43551</v>
      </c>
      <c r="C95" s="1" t="n">
        <v>45349</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17947-2019</t>
        </is>
      </c>
      <c r="B96" s="1" t="n">
        <v>43557</v>
      </c>
      <c r="C96" s="1" t="n">
        <v>45349</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45349</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45349</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45349</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45349</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45349</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45349</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45349</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45349</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45349</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45349</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45349</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45349</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45349</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45349</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45349</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45349</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45349</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45349</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45349</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45349</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45349</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45349</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45349</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45349</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45349</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45349</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45349</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45349</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45349</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45349</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45349</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45349</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45349</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45349</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45349</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45349</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45349</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45349</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45349</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45349</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45349</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45349</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45349</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45349</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45349</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45349</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45349</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45349</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45349</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45349</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45349</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45349</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45349</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45349</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45349</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45349</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45349</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45349</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45349</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45349</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45349</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45349</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45349</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45349</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45349</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45349</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45349</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45349</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45349</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45349</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45349</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45349</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45349</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45349</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45349</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45349</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45349</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45349</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45349</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45349</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45349</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45349</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45349</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45349</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45349</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45349</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45349</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45349</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45349</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45349</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45349</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27562-2020</t>
        </is>
      </c>
      <c r="B188" s="1" t="n">
        <v>43993</v>
      </c>
      <c r="C188" s="1" t="n">
        <v>45349</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28524-2020</t>
        </is>
      </c>
      <c r="B189" s="1" t="n">
        <v>43999</v>
      </c>
      <c r="C189" s="1" t="n">
        <v>45349</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28802-2020</t>
        </is>
      </c>
      <c r="B190" s="1" t="n">
        <v>44000</v>
      </c>
      <c r="C190" s="1" t="n">
        <v>45349</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28798-2020</t>
        </is>
      </c>
      <c r="B191" s="1" t="n">
        <v>44000</v>
      </c>
      <c r="C191" s="1" t="n">
        <v>45349</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29869-2020</t>
        </is>
      </c>
      <c r="B192" s="1" t="n">
        <v>44006</v>
      </c>
      <c r="C192" s="1" t="n">
        <v>45349</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31257-2020</t>
        </is>
      </c>
      <c r="B193" s="1" t="n">
        <v>44012</v>
      </c>
      <c r="C193" s="1" t="n">
        <v>45349</v>
      </c>
      <c r="D193" t="inlineStr">
        <is>
          <t>DALARNAS LÄN</t>
        </is>
      </c>
      <c r="E193" t="inlineStr">
        <is>
          <t>LUDVIKA</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32994-2020</t>
        </is>
      </c>
      <c r="B194" s="1" t="n">
        <v>44020</v>
      </c>
      <c r="C194" s="1" t="n">
        <v>45349</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33357-2020</t>
        </is>
      </c>
      <c r="B195" s="1" t="n">
        <v>44022</v>
      </c>
      <c r="C195" s="1" t="n">
        <v>45349</v>
      </c>
      <c r="D195" t="inlineStr">
        <is>
          <t>DALARNAS LÄN</t>
        </is>
      </c>
      <c r="E195" t="inlineStr">
        <is>
          <t>LUDVIKA</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34915-2020</t>
        </is>
      </c>
      <c r="B196" s="1" t="n">
        <v>44036</v>
      </c>
      <c r="C196" s="1" t="n">
        <v>45349</v>
      </c>
      <c r="D196" t="inlineStr">
        <is>
          <t>DALARNAS LÄN</t>
        </is>
      </c>
      <c r="E196" t="inlineStr">
        <is>
          <t>LUDVIKA</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39915-2020</t>
        </is>
      </c>
      <c r="B197" s="1" t="n">
        <v>44067</v>
      </c>
      <c r="C197" s="1" t="n">
        <v>45349</v>
      </c>
      <c r="D197" t="inlineStr">
        <is>
          <t>DALARNAS LÄN</t>
        </is>
      </c>
      <c r="E197" t="inlineStr">
        <is>
          <t>LUDVIKA</t>
        </is>
      </c>
      <c r="F197" t="inlineStr">
        <is>
          <t>Naturvårdsverket</t>
        </is>
      </c>
      <c r="G197" t="n">
        <v>17.7</v>
      </c>
      <c r="H197" t="n">
        <v>0</v>
      </c>
      <c r="I197" t="n">
        <v>0</v>
      </c>
      <c r="J197" t="n">
        <v>0</v>
      </c>
      <c r="K197" t="n">
        <v>0</v>
      </c>
      <c r="L197" t="n">
        <v>0</v>
      </c>
      <c r="M197" t="n">
        <v>0</v>
      </c>
      <c r="N197" t="n">
        <v>0</v>
      </c>
      <c r="O197" t="n">
        <v>0</v>
      </c>
      <c r="P197" t="n">
        <v>0</v>
      </c>
      <c r="Q197" t="n">
        <v>0</v>
      </c>
      <c r="R197" s="2" t="inlineStr"/>
    </row>
    <row r="198" ht="15" customHeight="1">
      <c r="A198" t="inlineStr">
        <is>
          <t>A 40472-2020</t>
        </is>
      </c>
      <c r="B198" s="1" t="n">
        <v>44069</v>
      </c>
      <c r="C198" s="1" t="n">
        <v>45349</v>
      </c>
      <c r="D198" t="inlineStr">
        <is>
          <t>DALARNAS LÄN</t>
        </is>
      </c>
      <c r="E198" t="inlineStr">
        <is>
          <t>LUDVIKA</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40504-2020</t>
        </is>
      </c>
      <c r="B199" s="1" t="n">
        <v>44069</v>
      </c>
      <c r="C199" s="1" t="n">
        <v>45349</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40978-2020</t>
        </is>
      </c>
      <c r="B200" s="1" t="n">
        <v>44070</v>
      </c>
      <c r="C200" s="1" t="n">
        <v>45349</v>
      </c>
      <c r="D200" t="inlineStr">
        <is>
          <t>DALARNAS LÄN</t>
        </is>
      </c>
      <c r="E200" t="inlineStr">
        <is>
          <t>LUDVIKA</t>
        </is>
      </c>
      <c r="F200" t="inlineStr">
        <is>
          <t>Bergvik skog väst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43162-2020</t>
        </is>
      </c>
      <c r="B201" s="1" t="n">
        <v>44081</v>
      </c>
      <c r="C201" s="1" t="n">
        <v>45349</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44747-2020</t>
        </is>
      </c>
      <c r="B202" s="1" t="n">
        <v>44085</v>
      </c>
      <c r="C202" s="1" t="n">
        <v>45349</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44746-2020</t>
        </is>
      </c>
      <c r="B203" s="1" t="n">
        <v>44085</v>
      </c>
      <c r="C203" s="1" t="n">
        <v>45349</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45390-2020</t>
        </is>
      </c>
      <c r="B204" s="1" t="n">
        <v>44085</v>
      </c>
      <c r="C204" s="1" t="n">
        <v>45349</v>
      </c>
      <c r="D204" t="inlineStr">
        <is>
          <t>DALARNAS LÄN</t>
        </is>
      </c>
      <c r="E204" t="inlineStr">
        <is>
          <t>LUDVIKA</t>
        </is>
      </c>
      <c r="G204" t="n">
        <v>4.4</v>
      </c>
      <c r="H204" t="n">
        <v>0</v>
      </c>
      <c r="I204" t="n">
        <v>0</v>
      </c>
      <c r="J204" t="n">
        <v>0</v>
      </c>
      <c r="K204" t="n">
        <v>0</v>
      </c>
      <c r="L204" t="n">
        <v>0</v>
      </c>
      <c r="M204" t="n">
        <v>0</v>
      </c>
      <c r="N204" t="n">
        <v>0</v>
      </c>
      <c r="O204" t="n">
        <v>0</v>
      </c>
      <c r="P204" t="n">
        <v>0</v>
      </c>
      <c r="Q204" t="n">
        <v>0</v>
      </c>
      <c r="R204" s="2" t="inlineStr"/>
    </row>
    <row r="205" ht="15" customHeight="1">
      <c r="A205" t="inlineStr">
        <is>
          <t>A 44745-2020</t>
        </is>
      </c>
      <c r="B205" s="1" t="n">
        <v>44085</v>
      </c>
      <c r="C205" s="1" t="n">
        <v>45349</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45309-2020</t>
        </is>
      </c>
      <c r="B206" s="1" t="n">
        <v>44089</v>
      </c>
      <c r="C206" s="1" t="n">
        <v>45349</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45613-2020</t>
        </is>
      </c>
      <c r="B207" s="1" t="n">
        <v>44090</v>
      </c>
      <c r="C207" s="1" t="n">
        <v>45349</v>
      </c>
      <c r="D207" t="inlineStr">
        <is>
          <t>DALARNAS LÄN</t>
        </is>
      </c>
      <c r="E207" t="inlineStr">
        <is>
          <t>LUDVIKA</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46252-2020</t>
        </is>
      </c>
      <c r="B208" s="1" t="n">
        <v>44092</v>
      </c>
      <c r="C208" s="1" t="n">
        <v>45349</v>
      </c>
      <c r="D208" t="inlineStr">
        <is>
          <t>DALARNAS LÄN</t>
        </is>
      </c>
      <c r="E208" t="inlineStr">
        <is>
          <t>LUDVIKA</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46268-2020</t>
        </is>
      </c>
      <c r="B209" s="1" t="n">
        <v>44092</v>
      </c>
      <c r="C209" s="1" t="n">
        <v>45349</v>
      </c>
      <c r="D209" t="inlineStr">
        <is>
          <t>DALARNAS LÄN</t>
        </is>
      </c>
      <c r="E209" t="inlineStr">
        <is>
          <t>LUDVIKA</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46329-2020</t>
        </is>
      </c>
      <c r="B210" s="1" t="n">
        <v>44092</v>
      </c>
      <c r="C210" s="1" t="n">
        <v>45349</v>
      </c>
      <c r="D210" t="inlineStr">
        <is>
          <t>DALARNAS LÄN</t>
        </is>
      </c>
      <c r="E210" t="inlineStr">
        <is>
          <t>LUDVIKA</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46147-2020</t>
        </is>
      </c>
      <c r="B211" s="1" t="n">
        <v>44092</v>
      </c>
      <c r="C211" s="1" t="n">
        <v>45349</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46146-2020</t>
        </is>
      </c>
      <c r="B212" s="1" t="n">
        <v>44092</v>
      </c>
      <c r="C212" s="1" t="n">
        <v>45349</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46275-2020</t>
        </is>
      </c>
      <c r="B213" s="1" t="n">
        <v>44092</v>
      </c>
      <c r="C213" s="1" t="n">
        <v>45349</v>
      </c>
      <c r="D213" t="inlineStr">
        <is>
          <t>DALARNAS LÄN</t>
        </is>
      </c>
      <c r="E213" t="inlineStr">
        <is>
          <t>LUDVIKA</t>
        </is>
      </c>
      <c r="F213" t="inlineStr">
        <is>
          <t>Sveaskog</t>
        </is>
      </c>
      <c r="G213" t="n">
        <v>6.1</v>
      </c>
      <c r="H213" t="n">
        <v>0</v>
      </c>
      <c r="I213" t="n">
        <v>0</v>
      </c>
      <c r="J213" t="n">
        <v>0</v>
      </c>
      <c r="K213" t="n">
        <v>0</v>
      </c>
      <c r="L213" t="n">
        <v>0</v>
      </c>
      <c r="M213" t="n">
        <v>0</v>
      </c>
      <c r="N213" t="n">
        <v>0</v>
      </c>
      <c r="O213" t="n">
        <v>0</v>
      </c>
      <c r="P213" t="n">
        <v>0</v>
      </c>
      <c r="Q213" t="n">
        <v>0</v>
      </c>
      <c r="R213" s="2" t="inlineStr"/>
    </row>
    <row r="214" ht="15" customHeight="1">
      <c r="A214" t="inlineStr">
        <is>
          <t>A 46284-2020</t>
        </is>
      </c>
      <c r="B214" s="1" t="n">
        <v>44092</v>
      </c>
      <c r="C214" s="1" t="n">
        <v>45349</v>
      </c>
      <c r="D214" t="inlineStr">
        <is>
          <t>DALARNAS LÄN</t>
        </is>
      </c>
      <c r="E214" t="inlineStr">
        <is>
          <t>LUDVIKA</t>
        </is>
      </c>
      <c r="F214" t="inlineStr">
        <is>
          <t>Sveaskog</t>
        </is>
      </c>
      <c r="G214" t="n">
        <v>4.4</v>
      </c>
      <c r="H214" t="n">
        <v>0</v>
      </c>
      <c r="I214" t="n">
        <v>0</v>
      </c>
      <c r="J214" t="n">
        <v>0</v>
      </c>
      <c r="K214" t="n">
        <v>0</v>
      </c>
      <c r="L214" t="n">
        <v>0</v>
      </c>
      <c r="M214" t="n">
        <v>0</v>
      </c>
      <c r="N214" t="n">
        <v>0</v>
      </c>
      <c r="O214" t="n">
        <v>0</v>
      </c>
      <c r="P214" t="n">
        <v>0</v>
      </c>
      <c r="Q214" t="n">
        <v>0</v>
      </c>
      <c r="R214" s="2" t="inlineStr"/>
    </row>
    <row r="215" ht="15" customHeight="1">
      <c r="A215" t="inlineStr">
        <is>
          <t>A 46369-2020</t>
        </is>
      </c>
      <c r="B215" s="1" t="n">
        <v>44093</v>
      </c>
      <c r="C215" s="1" t="n">
        <v>45349</v>
      </c>
      <c r="D215" t="inlineStr">
        <is>
          <t>DALARNAS LÄN</t>
        </is>
      </c>
      <c r="E215" t="inlineStr">
        <is>
          <t>LUDVIKA</t>
        </is>
      </c>
      <c r="G215" t="n">
        <v>3.8</v>
      </c>
      <c r="H215" t="n">
        <v>0</v>
      </c>
      <c r="I215" t="n">
        <v>0</v>
      </c>
      <c r="J215" t="n">
        <v>0</v>
      </c>
      <c r="K215" t="n">
        <v>0</v>
      </c>
      <c r="L215" t="n">
        <v>0</v>
      </c>
      <c r="M215" t="n">
        <v>0</v>
      </c>
      <c r="N215" t="n">
        <v>0</v>
      </c>
      <c r="O215" t="n">
        <v>0</v>
      </c>
      <c r="P215" t="n">
        <v>0</v>
      </c>
      <c r="Q215" t="n">
        <v>0</v>
      </c>
      <c r="R215" s="2" t="inlineStr"/>
    </row>
    <row r="216" ht="15" customHeight="1">
      <c r="A216" t="inlineStr">
        <is>
          <t>A 47194-2020</t>
        </is>
      </c>
      <c r="B216" s="1" t="n">
        <v>44097</v>
      </c>
      <c r="C216" s="1" t="n">
        <v>45349</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47471-2020</t>
        </is>
      </c>
      <c r="B217" s="1" t="n">
        <v>44097</v>
      </c>
      <c r="C217" s="1" t="n">
        <v>45349</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48557-2020</t>
        </is>
      </c>
      <c r="B218" s="1" t="n">
        <v>44103</v>
      </c>
      <c r="C218" s="1" t="n">
        <v>45349</v>
      </c>
      <c r="D218" t="inlineStr">
        <is>
          <t>DALARNAS LÄN</t>
        </is>
      </c>
      <c r="E218" t="inlineStr">
        <is>
          <t>LUDVIKA</t>
        </is>
      </c>
      <c r="G218" t="n">
        <v>1</v>
      </c>
      <c r="H218" t="n">
        <v>0</v>
      </c>
      <c r="I218" t="n">
        <v>0</v>
      </c>
      <c r="J218" t="n">
        <v>0</v>
      </c>
      <c r="K218" t="n">
        <v>0</v>
      </c>
      <c r="L218" t="n">
        <v>0</v>
      </c>
      <c r="M218" t="n">
        <v>0</v>
      </c>
      <c r="N218" t="n">
        <v>0</v>
      </c>
      <c r="O218" t="n">
        <v>0</v>
      </c>
      <c r="P218" t="n">
        <v>0</v>
      </c>
      <c r="Q218" t="n">
        <v>0</v>
      </c>
      <c r="R218" s="2" t="inlineStr"/>
    </row>
    <row r="219" ht="15" customHeight="1">
      <c r="A219" t="inlineStr">
        <is>
          <t>A 48482-2020</t>
        </is>
      </c>
      <c r="B219" s="1" t="n">
        <v>44103</v>
      </c>
      <c r="C219" s="1" t="n">
        <v>45349</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50146-2020</t>
        </is>
      </c>
      <c r="B220" s="1" t="n">
        <v>44104</v>
      </c>
      <c r="C220" s="1" t="n">
        <v>45349</v>
      </c>
      <c r="D220" t="inlineStr">
        <is>
          <t>DALARNAS LÄN</t>
        </is>
      </c>
      <c r="E220" t="inlineStr">
        <is>
          <t>LUDVIKA</t>
        </is>
      </c>
      <c r="G220" t="n">
        <v>4.7</v>
      </c>
      <c r="H220" t="n">
        <v>0</v>
      </c>
      <c r="I220" t="n">
        <v>0</v>
      </c>
      <c r="J220" t="n">
        <v>0</v>
      </c>
      <c r="K220" t="n">
        <v>0</v>
      </c>
      <c r="L220" t="n">
        <v>0</v>
      </c>
      <c r="M220" t="n">
        <v>0</v>
      </c>
      <c r="N220" t="n">
        <v>0</v>
      </c>
      <c r="O220" t="n">
        <v>0</v>
      </c>
      <c r="P220" t="n">
        <v>0</v>
      </c>
      <c r="Q220" t="n">
        <v>0</v>
      </c>
      <c r="R220" s="2" t="inlineStr"/>
    </row>
    <row r="221" ht="15" customHeight="1">
      <c r="A221" t="inlineStr">
        <is>
          <t>A 51439-2020</t>
        </is>
      </c>
      <c r="B221" s="1" t="n">
        <v>44113</v>
      </c>
      <c r="C221" s="1" t="n">
        <v>45349</v>
      </c>
      <c r="D221" t="inlineStr">
        <is>
          <t>DALARNAS LÄN</t>
        </is>
      </c>
      <c r="E221" t="inlineStr">
        <is>
          <t>LUDVIKA</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51777-2020</t>
        </is>
      </c>
      <c r="B222" s="1" t="n">
        <v>44116</v>
      </c>
      <c r="C222" s="1" t="n">
        <v>45349</v>
      </c>
      <c r="D222" t="inlineStr">
        <is>
          <t>DALARNAS LÄN</t>
        </is>
      </c>
      <c r="E222" t="inlineStr">
        <is>
          <t>LUDVIKA</t>
        </is>
      </c>
      <c r="G222" t="n">
        <v>11.2</v>
      </c>
      <c r="H222" t="n">
        <v>0</v>
      </c>
      <c r="I222" t="n">
        <v>0</v>
      </c>
      <c r="J222" t="n">
        <v>0</v>
      </c>
      <c r="K222" t="n">
        <v>0</v>
      </c>
      <c r="L222" t="n">
        <v>0</v>
      </c>
      <c r="M222" t="n">
        <v>0</v>
      </c>
      <c r="N222" t="n">
        <v>0</v>
      </c>
      <c r="O222" t="n">
        <v>0</v>
      </c>
      <c r="P222" t="n">
        <v>0</v>
      </c>
      <c r="Q222" t="n">
        <v>0</v>
      </c>
      <c r="R222" s="2" t="inlineStr"/>
    </row>
    <row r="223" ht="15" customHeight="1">
      <c r="A223" t="inlineStr">
        <is>
          <t>A 51895-2020</t>
        </is>
      </c>
      <c r="B223" s="1" t="n">
        <v>44116</v>
      </c>
      <c r="C223" s="1" t="n">
        <v>45349</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52425-2020</t>
        </is>
      </c>
      <c r="B224" s="1" t="n">
        <v>44118</v>
      </c>
      <c r="C224" s="1" t="n">
        <v>45349</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52748-2020</t>
        </is>
      </c>
      <c r="B225" s="1" t="n">
        <v>44119</v>
      </c>
      <c r="C225" s="1" t="n">
        <v>45349</v>
      </c>
      <c r="D225" t="inlineStr">
        <is>
          <t>DALARNAS LÄN</t>
        </is>
      </c>
      <c r="E225" t="inlineStr">
        <is>
          <t>LUDVIKA</t>
        </is>
      </c>
      <c r="G225" t="n">
        <v>1</v>
      </c>
      <c r="H225" t="n">
        <v>0</v>
      </c>
      <c r="I225" t="n">
        <v>0</v>
      </c>
      <c r="J225" t="n">
        <v>0</v>
      </c>
      <c r="K225" t="n">
        <v>0</v>
      </c>
      <c r="L225" t="n">
        <v>0</v>
      </c>
      <c r="M225" t="n">
        <v>0</v>
      </c>
      <c r="N225" t="n">
        <v>0</v>
      </c>
      <c r="O225" t="n">
        <v>0</v>
      </c>
      <c r="P225" t="n">
        <v>0</v>
      </c>
      <c r="Q225" t="n">
        <v>0</v>
      </c>
      <c r="R225" s="2" t="inlineStr"/>
    </row>
    <row r="226" ht="15" customHeight="1">
      <c r="A226" t="inlineStr">
        <is>
          <t>A 52853-2020</t>
        </is>
      </c>
      <c r="B226" s="1" t="n">
        <v>44119</v>
      </c>
      <c r="C226" s="1" t="n">
        <v>45349</v>
      </c>
      <c r="D226" t="inlineStr">
        <is>
          <t>DALARNAS LÄN</t>
        </is>
      </c>
      <c r="E226" t="inlineStr">
        <is>
          <t>LUDVIKA</t>
        </is>
      </c>
      <c r="G226" t="n">
        <v>28</v>
      </c>
      <c r="H226" t="n">
        <v>0</v>
      </c>
      <c r="I226" t="n">
        <v>0</v>
      </c>
      <c r="J226" t="n">
        <v>0</v>
      </c>
      <c r="K226" t="n">
        <v>0</v>
      </c>
      <c r="L226" t="n">
        <v>0</v>
      </c>
      <c r="M226" t="n">
        <v>0</v>
      </c>
      <c r="N226" t="n">
        <v>0</v>
      </c>
      <c r="O226" t="n">
        <v>0</v>
      </c>
      <c r="P226" t="n">
        <v>0</v>
      </c>
      <c r="Q226" t="n">
        <v>0</v>
      </c>
      <c r="R226" s="2" t="inlineStr"/>
    </row>
    <row r="227" ht="15" customHeight="1">
      <c r="A227" t="inlineStr">
        <is>
          <t>A 52929-2020</t>
        </is>
      </c>
      <c r="B227" s="1" t="n">
        <v>44120</v>
      </c>
      <c r="C227" s="1" t="n">
        <v>45349</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53960-2020</t>
        </is>
      </c>
      <c r="B228" s="1" t="n">
        <v>44123</v>
      </c>
      <c r="C228" s="1" t="n">
        <v>45349</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53756-2020</t>
        </is>
      </c>
      <c r="B229" s="1" t="n">
        <v>44124</v>
      </c>
      <c r="C229" s="1" t="n">
        <v>45349</v>
      </c>
      <c r="D229" t="inlineStr">
        <is>
          <t>DALARNAS LÄN</t>
        </is>
      </c>
      <c r="E229" t="inlineStr">
        <is>
          <t>LUDVIKA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54639-2020</t>
        </is>
      </c>
      <c r="B230" s="1" t="n">
        <v>44127</v>
      </c>
      <c r="C230" s="1" t="n">
        <v>45349</v>
      </c>
      <c r="D230" t="inlineStr">
        <is>
          <t>DALARNAS LÄN</t>
        </is>
      </c>
      <c r="E230" t="inlineStr">
        <is>
          <t>LUDVIKA</t>
        </is>
      </c>
      <c r="F230" t="inlineStr">
        <is>
          <t>Övriga Aktiebolag</t>
        </is>
      </c>
      <c r="G230" t="n">
        <v>25.9</v>
      </c>
      <c r="H230" t="n">
        <v>0</v>
      </c>
      <c r="I230" t="n">
        <v>0</v>
      </c>
      <c r="J230" t="n">
        <v>0</v>
      </c>
      <c r="K230" t="n">
        <v>0</v>
      </c>
      <c r="L230" t="n">
        <v>0</v>
      </c>
      <c r="M230" t="n">
        <v>0</v>
      </c>
      <c r="N230" t="n">
        <v>0</v>
      </c>
      <c r="O230" t="n">
        <v>0</v>
      </c>
      <c r="P230" t="n">
        <v>0</v>
      </c>
      <c r="Q230" t="n">
        <v>0</v>
      </c>
      <c r="R230" s="2" t="inlineStr"/>
    </row>
    <row r="231" ht="15" customHeight="1">
      <c r="A231" t="inlineStr">
        <is>
          <t>A 54641-2020</t>
        </is>
      </c>
      <c r="B231" s="1" t="n">
        <v>44127</v>
      </c>
      <c r="C231" s="1" t="n">
        <v>45349</v>
      </c>
      <c r="D231" t="inlineStr">
        <is>
          <t>DALARNAS LÄN</t>
        </is>
      </c>
      <c r="E231" t="inlineStr">
        <is>
          <t>LUDVIKA</t>
        </is>
      </c>
      <c r="F231" t="inlineStr">
        <is>
          <t>Övriga Aktiebolag</t>
        </is>
      </c>
      <c r="G231" t="n">
        <v>38.7</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45349</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45349</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45349</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45349</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45349</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45349</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45349</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45349</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45349</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45349</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45349</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45349</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45349</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45349</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45349</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45349</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45349</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45349</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45349</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45349</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45349</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45349</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45349</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45349</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45349</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45349</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45349</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45349</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45349</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45349</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45349</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45349</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45349</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45349</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45349</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45349</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45349</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45349</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45349</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45349</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45349</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45349</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45349</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45349</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45349</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45349</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45349</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45349</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45349</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45349</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45349</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45349</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45349</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45349</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45349</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45349</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45349</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45349</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45349</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45349</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45349</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45349</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45349</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45349</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45349</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45349</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45349</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45349</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45349</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45349</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45349</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45349</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45349</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45349</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45349</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45349</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45349</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45349</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45349</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45995-2021</t>
        </is>
      </c>
      <c r="B311" s="1" t="n">
        <v>44441</v>
      </c>
      <c r="C311" s="1" t="n">
        <v>45349</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45349</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45349</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45349</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45349</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45349</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45349</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45349</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45349</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45349</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45349</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45349</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45349</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45349</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45349</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45349</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45349</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45349</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45349</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45349</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45349</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45349</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45349</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45349</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45349</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45349</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45349</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45349</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45349</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45349</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45349</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45349</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45349</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45349</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45349</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45349</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45349</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45349</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45349</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45349</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45349</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45349</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45349</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45349</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45349</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45349</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45349</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45349</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45349</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45349</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45349</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45349</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45349</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45349</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45349</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45349</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45349</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45349</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45349</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45349</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45349</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45349</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45349</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45349</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45349</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45349</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45349</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45349</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45349</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45349</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45349</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45349</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45349</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45349</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45349</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45349</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45349</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45349</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45349</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45349</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45349</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45349</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45349</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45349</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45349</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45349</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45349</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45349</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45349</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45349</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45349</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45349</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45349</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45349</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45349</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45349</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45349</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45349</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45349</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45349</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45349</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45349</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45349</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45349</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45349</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45349</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45349</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45349</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45349</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45349</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45349</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45349</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45349</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45349</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45349</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45349</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45349</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45349</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45349</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45349</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45268-2022</t>
        </is>
      </c>
      <c r="B431" s="1" t="n">
        <v>44844</v>
      </c>
      <c r="C431" s="1" t="n">
        <v>45349</v>
      </c>
      <c r="D431" t="inlineStr">
        <is>
          <t>DALARNAS LÄN</t>
        </is>
      </c>
      <c r="E431" t="inlineStr">
        <is>
          <t>LUDVIKA</t>
        </is>
      </c>
      <c r="F431" t="inlineStr">
        <is>
          <t>Naturvårdsverket</t>
        </is>
      </c>
      <c r="G431" t="n">
        <v>2.3</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45349</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45349</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45349</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45349</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45349</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45349</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45349</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45349</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45349</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45349</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45349</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45349</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45349</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45349</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45349</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45349</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45349</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45349</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45349</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45349</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45349</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45349</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45349</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45349</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45349</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45349</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45349</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45349</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45349</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45349</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45349</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45349</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45349</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45349</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45349</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45349</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45349</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45349</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45349</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45349</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45349</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45349</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45349</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45349</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45349</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45349</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45349</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45349</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45349</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45349</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45349</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45349</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45349</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45349</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45349</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381-2023</t>
        </is>
      </c>
      <c r="B487" s="1" t="n">
        <v>44929</v>
      </c>
      <c r="C487" s="1" t="n">
        <v>45349</v>
      </c>
      <c r="D487" t="inlineStr">
        <is>
          <t>DALARNAS LÄN</t>
        </is>
      </c>
      <c r="E487" t="inlineStr">
        <is>
          <t>LUDVIKA</t>
        </is>
      </c>
      <c r="G487" t="n">
        <v>7.9</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45349</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45349</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45349</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45349</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45349</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45349</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45349</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45349</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45349</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45349</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45349</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45349</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45349</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45349</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45349</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45349</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45349</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45349</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45349</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45349</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45349</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45349</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45349</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45349</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45349</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45349</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45349</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45349</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45349</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45349</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45349</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45349</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45349</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45349</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45349</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45349</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45349</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45349</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45349</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45349</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45349</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45349</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45349</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45349</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45349</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45349</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45349</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45349</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45349</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45349</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45349</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45349</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45349</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45349</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45349</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45349</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45349</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45349</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45349</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45349</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45349</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45349</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45349</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45349</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45349</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45349</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45349</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45349</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45349</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45349</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45349</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45349</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45349</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45349</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45349</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45349</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45349</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45349</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45349</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45349</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45349</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45349</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45349</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45349</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45349</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45349</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45349</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45349</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45349</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45349</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45349</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45349</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45349</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45349</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45349</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45349</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45349</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45349</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45349</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45349</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45349</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45349</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45349</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45349</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45349</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45349</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45349</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45349</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45349</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45349</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45349</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30053-2023</t>
        </is>
      </c>
      <c r="B599" s="1" t="n">
        <v>45110</v>
      </c>
      <c r="C599" s="1" t="n">
        <v>45349</v>
      </c>
      <c r="D599" t="inlineStr">
        <is>
          <t>DALARNAS LÄN</t>
        </is>
      </c>
      <c r="E599" t="inlineStr">
        <is>
          <t>LUDVIKA</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45349</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45349</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45349</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45349</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45349</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45349</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45349</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45349</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45349</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45349</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45349</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45349</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45349</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45349</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45349</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45349</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45349</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45349</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45349</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45349</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45349</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45349</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45349</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45349</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45349</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45349</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45349</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45349</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45349</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45349</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45349</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45349</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45349</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45349</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45349</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45349</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45349</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45349</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45349</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45349</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45349</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45349</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45349</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45349</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45349</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45349</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45349</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45349</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45349</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45349</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45349</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45349</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45349</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45349</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45349</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45349</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45349</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45349</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45349</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45349</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45349</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45349</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45349</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45349</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45349</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45349</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45349</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45349</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45349</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45349</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45349</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45349</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45349</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45349</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45349</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45349</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45349</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45349</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45349</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45349</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45349</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45349</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45349</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45349</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45349</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45349</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45349</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45349</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45349</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45349</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45349</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45349</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45349</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45349</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45349</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42089-2023</t>
        </is>
      </c>
      <c r="B695" s="1" t="n">
        <v>45177</v>
      </c>
      <c r="C695" s="1" t="n">
        <v>45349</v>
      </c>
      <c r="D695" t="inlineStr">
        <is>
          <t>DALARNAS LÄN</t>
        </is>
      </c>
      <c r="E695" t="inlineStr">
        <is>
          <t>LUDVIKA</t>
        </is>
      </c>
      <c r="F695" t="inlineStr">
        <is>
          <t>Bergvik skog väst AB</t>
        </is>
      </c>
      <c r="G695" t="n">
        <v>2.5</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45349</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45349</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45349</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45349</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45349</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45349</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45349</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45349</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45349</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45349</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45349</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45349</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45349</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45349</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45349</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45349</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45349</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45349</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45349</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45349</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45349</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45349</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45349</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45349</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45349</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45349</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45349</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45349</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45349</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45349</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45349</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45349</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45349</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45349</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45349</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45349</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45349</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45349</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45349</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45349</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45349</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45349</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45349</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45349</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45349</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45349</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45349</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45349</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45349</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45349</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45349</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45349</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45349</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45349</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45349</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45349</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45349</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45349</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45349</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45349</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45349</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45349</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45349</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45349</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45349</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45349</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45349</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45349</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45349</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45349</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45349</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45349</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45349</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45349</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45349</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45349</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45349</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45349</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45349</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45349</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45349</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45349</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45349</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45349</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45349</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45349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45349</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45349</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45349</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45349</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45349</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45349</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45349</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45349</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45349</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45349</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45349</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45349</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45349</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45349</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45349</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45349</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45349</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45349</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45349</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45349</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45349</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45349</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45349</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45349</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45349</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45349</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45349</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45349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45349</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45349</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45349</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45349</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45349</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45349</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45349</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45349</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45349</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45349</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45349</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45349</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45349</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45349</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45349</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45349</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45349</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45349</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45349</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45349</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45349</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45349</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3809-2024</t>
        </is>
      </c>
      <c r="B832" s="1" t="n">
        <v>45321</v>
      </c>
      <c r="C832" s="1" t="n">
        <v>45349</v>
      </c>
      <c r="D832" t="inlineStr">
        <is>
          <t>DALARNAS LÄN</t>
        </is>
      </c>
      <c r="E832" t="inlineStr">
        <is>
          <t>LUDVIKA</t>
        </is>
      </c>
      <c r="G832" t="n">
        <v>0.5</v>
      </c>
      <c r="H832" t="n">
        <v>0</v>
      </c>
      <c r="I832" t="n">
        <v>0</v>
      </c>
      <c r="J832" t="n">
        <v>0</v>
      </c>
      <c r="K832" t="n">
        <v>0</v>
      </c>
      <c r="L832" t="n">
        <v>0</v>
      </c>
      <c r="M832" t="n">
        <v>0</v>
      </c>
      <c r="N832" t="n">
        <v>0</v>
      </c>
      <c r="O832" t="n">
        <v>0</v>
      </c>
      <c r="P832" t="n">
        <v>0</v>
      </c>
      <c r="Q832" t="n">
        <v>0</v>
      </c>
      <c r="R832" s="2" t="inlineStr"/>
    </row>
    <row r="833" ht="15" customHeight="1">
      <c r="A833" t="inlineStr">
        <is>
          <t>A 3687-2024</t>
        </is>
      </c>
      <c r="B833" s="1" t="n">
        <v>45321</v>
      </c>
      <c r="C833" s="1" t="n">
        <v>45349</v>
      </c>
      <c r="D833" t="inlineStr">
        <is>
          <t>DALARNAS LÄN</t>
        </is>
      </c>
      <c r="E833" t="inlineStr">
        <is>
          <t>LUDVIKA</t>
        </is>
      </c>
      <c r="G833" t="n">
        <v>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45349</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45349</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45349</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45349</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c r="A838" t="inlineStr">
        <is>
          <t>A 7317-2024</t>
        </is>
      </c>
      <c r="B838" s="1" t="n">
        <v>45345</v>
      </c>
      <c r="C838" s="1" t="n">
        <v>45349</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2024-02-27T13:06:11Z</dcterms:created>
  <dcterms:modified xmlns:dcterms="http://purl.org/dc/terms/" xmlns:xsi="http://www.w3.org/2001/XMLSchema-instance" xsi:type="dcterms:W3CDTF">2024-02-27T13:06:12Z</dcterms:modified>
</cp:coreProperties>
</file>
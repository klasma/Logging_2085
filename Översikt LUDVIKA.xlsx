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23094-2025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45791</v>
      </c>
      <c r="E2" s="1" t="n">
        <v>46311</v>
      </c>
      <c r="F2" t="inlineStr">
        <is>
          <t>DALARNAS LÄN</t>
        </is>
      </c>
      <c r="G2" t="inlineStr">
        <is>
          <t>LUDVIKA</t>
        </is>
      </c>
      <c r="H2" t="inlineStr">
        <is>
          <t>Bergvik skog väst AB</t>
        </is>
      </c>
      <c r="I2" t="n">
        <v>2.9</v>
      </c>
      <c r="J2" t="n">
        <v>3</v>
      </c>
      <c r="K2" t="n">
        <v>5</v>
      </c>
      <c r="L2" t="n">
        <v>7</v>
      </c>
      <c r="M2" t="n">
        <v>0</v>
      </c>
      <c r="N2" t="n">
        <v>0</v>
      </c>
      <c r="O2" t="n">
        <v>1</v>
      </c>
      <c r="P2" t="n">
        <v>0</v>
      </c>
      <c r="Q2" t="n">
        <v>8</v>
      </c>
      <c r="R2" t="n">
        <v>1</v>
      </c>
      <c r="S2" t="n">
        <v>18</v>
      </c>
      <c r="T2" t="n">
        <v>31</v>
      </c>
      <c r="U2" t="n">
        <v>22</v>
      </c>
      <c r="V2" s="2" t="inlineStr">
        <is>
          <t>Hårklockmossa
Dropptaggsvamp
Fjällig taggsvamp s.str.
Motaggsvamp
Orange taggsvamp
Skarp dropptaggsvamp
Trubbklockmossa
Ullticka
Fällmossa
Platt fjädermossa
Svart trolldruva
Svavelriska
Trädporella
Blåsippa
Hårklomossa
Kattfot
Svart taggsvamp agg.
Vanlig padda</t>
        </is>
      </c>
      <c r="W2">
        <f>HYPERLINK("https://klasma.github.io/Logging_2085/artfynd/A 23094-2025 artfynd.xlsx", "A 23094-2025")</f>
        <v/>
      </c>
      <c r="X2">
        <f>HYPERLINK("https://klasma.github.io/Logging_2085/kartor/A 23094-2025 karta.png", "A 23094-2025")</f>
        <v/>
      </c>
      <c r="Y2">
        <f>HYPERLINK("https://klasma.github.io/Logging_2085/kartor_geotiff/A 23094-2025 georefererad karta.tif", "A 23094-2025")</f>
        <v/>
      </c>
      <c r="AA2">
        <f>HYPERLINK("https://klasma.github.io/Logging_2085/klagomål/A 23094-2025 FSC-klagomål.docx", "A 23094-2025")</f>
        <v/>
      </c>
      <c r="AB2">
        <f>HYPERLINK("https://klasma.github.io/Logging_2085/klagomålsmail/A 23094-2025 FSC-klagomål mail.docx", "A 23094-2025")</f>
        <v/>
      </c>
      <c r="AC2">
        <f>HYPERLINK("https://klasma.github.io/Logging_2085/tillsyn/A 23094-2025 tillsynsbegäran.docx", "A 23094-2025")</f>
        <v/>
      </c>
      <c r="AD2">
        <f>HYPERLINK("https://klasma.github.io/Logging_2085/tillsynsmail/A 23094-2025 tillsynsbegäran mail.docx", "A 23094-2025")</f>
        <v/>
      </c>
    </row>
    <row r="3" ht="15" customHeight="1">
      <c r="A3" t="inlineStr">
        <is>
          <t>S 4522-2023</t>
        </is>
      </c>
      <c r="B3" t="inlineStr">
        <is>
          <t>samrådsanmälan</t>
        </is>
      </c>
      <c r="C3" t="inlineStr">
        <is>
          <t>Skogsgödsling</t>
        </is>
      </c>
      <c r="D3" s="1" t="n">
        <v>45275</v>
      </c>
      <c r="E3" s="1" t="n">
        <v>46311</v>
      </c>
      <c r="F3" t="inlineStr">
        <is>
          <t>DALARNAS LÄN</t>
        </is>
      </c>
      <c r="G3" t="inlineStr">
        <is>
          <t>LUDVIKA</t>
        </is>
      </c>
      <c r="H3" t="inlineStr">
        <is>
          <t>Bergvik skog väst AB</t>
        </is>
      </c>
      <c r="I3" t="n">
        <v>597.4</v>
      </c>
      <c r="J3" t="n">
        <v>5</v>
      </c>
      <c r="K3" t="n">
        <v>6</v>
      </c>
      <c r="L3" t="n">
        <v>5</v>
      </c>
      <c r="M3" t="n">
        <v>2</v>
      </c>
      <c r="N3" t="n">
        <v>2</v>
      </c>
      <c r="O3" t="n">
        <v>0</v>
      </c>
      <c r="P3" t="n">
        <v>0</v>
      </c>
      <c r="Q3" t="n">
        <v>9</v>
      </c>
      <c r="R3" t="n">
        <v>4</v>
      </c>
      <c r="S3" t="n">
        <v>18</v>
      </c>
      <c r="T3" t="n">
        <v>23</v>
      </c>
      <c r="U3" t="n">
        <v>9</v>
      </c>
      <c r="V3" s="2" t="inlineStr">
        <is>
          <t>Bitter taggsvamp
Mosippa
Knärot
Stor odörspindling
Barrfagerspindling
Barrmusseron
Dofttaggsvamp
Motaggsvamp
Vaddporing
Gulnål
Kamjordstjärna
Strimspindling
Strutbräken
Stubbspretmossa
Vedticka
Blåsippa
Fläcknycklar
Lopplummer (aggregat)</t>
        </is>
      </c>
      <c r="W3">
        <f>HYPERLINK("https://klasma.github.io/Logging_2085/artfynd/S 4522-2023 artfynd.xlsx", "S 4522-2023")</f>
        <v/>
      </c>
      <c r="X3">
        <f>HYPERLINK("https://klasma.github.io/Logging_2085/kartor/S 4522-2023 karta.png", "S 4522-2023")</f>
        <v/>
      </c>
      <c r="Y3">
        <f>HYPERLINK("https://klasma.github.io/Logging_2085/kartor_geotiff/S 4522-2023 georefererad karta.tif", "S 4522-2023")</f>
        <v/>
      </c>
      <c r="Z3">
        <f>HYPERLINK("https://klasma.github.io/Logging_2085/knärot/S 4522-2023 karta knärot.png", "S 4522-2023")</f>
        <v/>
      </c>
      <c r="AA3">
        <f>HYPERLINK("https://klasma.github.io/Logging_2085/klagomål/S 4522-2023 FSC-klagomål.docx", "S 4522-2023")</f>
        <v/>
      </c>
      <c r="AB3">
        <f>HYPERLINK("https://klasma.github.io/Logging_2085/klagomålsmail/S 4522-2023 FSC-klagomål mail.docx", "S 4522-2023")</f>
        <v/>
      </c>
      <c r="AC3">
        <f>HYPERLINK("https://klasma.github.io/Logging_2085/tillsyn/S 4522-2023 tillsynsbegäran.docx", "S 4522-2023")</f>
        <v/>
      </c>
      <c r="AD3">
        <f>HYPERLINK("https://klasma.github.io/Logging_2085/tillsynsmail/S 4522-2023 tillsynsbegäran mail.docx", "S 4522-2023")</f>
        <v/>
      </c>
    </row>
    <row r="4" ht="15" customHeight="1">
      <c r="A4" t="inlineStr">
        <is>
          <t>A 32085-2025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45835</v>
      </c>
      <c r="E4" s="1" t="n">
        <v>46311</v>
      </c>
      <c r="F4" t="inlineStr">
        <is>
          <t>DALARNAS LÄN</t>
        </is>
      </c>
      <c r="G4" t="inlineStr">
        <is>
          <t>LUDVIKA</t>
        </is>
      </c>
      <c r="H4" t="inlineStr">
        <is>
          <t>Bergvik skog väst AB</t>
        </is>
      </c>
      <c r="I4" t="n">
        <v>2.1</v>
      </c>
      <c r="J4" t="n">
        <v>4</v>
      </c>
      <c r="K4" t="n">
        <v>5</v>
      </c>
      <c r="L4" t="n">
        <v>8</v>
      </c>
      <c r="M4" t="n">
        <v>1</v>
      </c>
      <c r="N4" t="n">
        <v>0</v>
      </c>
      <c r="O4" t="n">
        <v>0</v>
      </c>
      <c r="P4" t="n">
        <v>0</v>
      </c>
      <c r="Q4" t="n">
        <v>9</v>
      </c>
      <c r="R4" t="n">
        <v>1</v>
      </c>
      <c r="S4" t="n">
        <v>17</v>
      </c>
      <c r="T4" t="n">
        <v>59</v>
      </c>
      <c r="U4" t="n">
        <v>59</v>
      </c>
      <c r="V4" s="2" t="inlineStr">
        <is>
          <t>Knärot
Blanksvart spiklav
Brunpudrad nållav
Tallticka
Ullticka
Vedflikmossa
Vedskivlav
Vedtrappmossa
Violettgrå tagellav
Bollvitmossa
Gulnål
Mindre märgborre
Thomsons trägnagare
Vedticka
Tjäder
Fläcknycklar
Revlummer</t>
        </is>
      </c>
      <c r="W4">
        <f>HYPERLINK("https://klasma.github.io/Logging_2085/artfynd/A 32085-2025 artfynd.xlsx", "A 32085-2025")</f>
        <v/>
      </c>
      <c r="X4">
        <f>HYPERLINK("https://klasma.github.io/Logging_2085/kartor/A 32085-2025 karta.png", "A 32085-2025")</f>
        <v/>
      </c>
      <c r="Y4">
        <f>HYPERLINK("https://klasma.github.io/Logging_2085/kartor_geotiff/A 32085-2025 georefererad karta.tif", "A 32085-2025")</f>
        <v/>
      </c>
      <c r="Z4">
        <f>HYPERLINK("https://klasma.github.io/Logging_2085/knärot/A 32085-2025 karta knärot.png", "A 32085-2025")</f>
        <v/>
      </c>
      <c r="AA4">
        <f>HYPERLINK("https://klasma.github.io/Logging_2085/klagomål/A 32085-2025 FSC-klagomål.docx", "A 32085-2025")</f>
        <v/>
      </c>
      <c r="AB4">
        <f>HYPERLINK("https://klasma.github.io/Logging_2085/klagomålsmail/A 32085-2025 FSC-klagomål mail.docx", "A 32085-2025")</f>
        <v/>
      </c>
      <c r="AC4">
        <f>HYPERLINK("https://klasma.github.io/Logging_2085/tillsyn/A 32085-2025 tillsynsbegäran.docx", "A 32085-2025")</f>
        <v/>
      </c>
      <c r="AD4">
        <f>HYPERLINK("https://klasma.github.io/Logging_2085/tillsynsmail/A 32085-2025 tillsynsbegäran mail.docx", "A 32085-2025")</f>
        <v/>
      </c>
      <c r="AE4">
        <f>HYPERLINK("https://klasma.github.io/Logging_2085/fåglar/A 32085-2025 prioriterade fågelarter.docx", "A 32085-2025")</f>
        <v/>
      </c>
    </row>
    <row r="5" ht="15" customHeight="1">
      <c r="A5" t="inlineStr">
        <is>
          <t>A 49804-2025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45940</v>
      </c>
      <c r="E5" s="1" t="n">
        <v>46311</v>
      </c>
      <c r="F5" t="inlineStr">
        <is>
          <t>DALARNAS LÄN</t>
        </is>
      </c>
      <c r="G5" t="inlineStr">
        <is>
          <t>LUDVIKA</t>
        </is>
      </c>
      <c r="H5" t="inlineStr">
        <is>
          <t>Bergvik skog väst AB</t>
        </is>
      </c>
      <c r="I5" t="n">
        <v>61.7</v>
      </c>
      <c r="J5" t="n">
        <v>2</v>
      </c>
      <c r="K5" t="n">
        <v>2</v>
      </c>
      <c r="L5" t="n">
        <v>11</v>
      </c>
      <c r="M5" t="n">
        <v>1</v>
      </c>
      <c r="N5" t="n">
        <v>1</v>
      </c>
      <c r="O5" t="n">
        <v>0</v>
      </c>
      <c r="P5" t="n">
        <v>0</v>
      </c>
      <c r="Q5" t="n">
        <v>13</v>
      </c>
      <c r="R5" t="n">
        <v>2</v>
      </c>
      <c r="S5" t="n">
        <v>16</v>
      </c>
      <c r="T5" t="n">
        <v>119</v>
      </c>
      <c r="U5" t="n">
        <v>66</v>
      </c>
      <c r="V5" s="2" t="inlineStr">
        <is>
          <t>Broktagel
Garnlav
Dropptaggsvamp
Dvärgbägarlav
Kolflarnlav
Kortskaftad ärgspik
Mörk kolflarnlav
Skuggblåslav
Tretåig hackspett
Vedskivlav
Vedtrappmossa
Violettgrå tagellav
Vitgrynig nållav
Rävticka
Vedticka
Spillkråka</t>
        </is>
      </c>
      <c r="W5">
        <f>HYPERLINK("https://klasma.github.io/Logging_2085/artfynd/A 49804-2025 artfynd.xlsx", "A 49804-2025")</f>
        <v/>
      </c>
      <c r="X5">
        <f>HYPERLINK("https://klasma.github.io/Logging_2085/kartor/A 49804-2025 karta.png", "A 49804-2025")</f>
        <v/>
      </c>
      <c r="Y5">
        <f>HYPERLINK("https://klasma.github.io/Logging_2085/kartor_geotiff/A 49804-2025 georefererad karta.tif", "A 49804-2025")</f>
        <v/>
      </c>
      <c r="AA5">
        <f>HYPERLINK("https://klasma.github.io/Logging_2085/klagomål/A 49804-2025 FSC-klagomål.docx", "A 49804-2025")</f>
        <v/>
      </c>
      <c r="AB5">
        <f>HYPERLINK("https://klasma.github.io/Logging_2085/klagomålsmail/A 49804-2025 FSC-klagomål mail.docx", "A 49804-2025")</f>
        <v/>
      </c>
      <c r="AC5">
        <f>HYPERLINK("https://klasma.github.io/Logging_2085/tillsyn/A 49804-2025 tillsynsbegäran.docx", "A 49804-2025")</f>
        <v/>
      </c>
      <c r="AD5">
        <f>HYPERLINK("https://klasma.github.io/Logging_2085/tillsynsmail/A 49804-2025 tillsynsbegäran mail.docx", "A 49804-2025")</f>
        <v/>
      </c>
      <c r="AE5">
        <f>HYPERLINK("https://klasma.github.io/Logging_2085/fåglar/A 49804-2025 prioriterade fågelarter.docx", "A 49804-2025")</f>
        <v/>
      </c>
    </row>
    <row r="6" ht="15" customHeight="1">
      <c r="A6" t="inlineStr">
        <is>
          <t>A 53931-2025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45961</v>
      </c>
      <c r="E6" s="1" t="n">
        <v>46311</v>
      </c>
      <c r="F6" t="inlineStr">
        <is>
          <t>DALARNAS LÄN</t>
        </is>
      </c>
      <c r="G6" t="inlineStr">
        <is>
          <t>LUDVIKA</t>
        </is>
      </c>
      <c r="H6" t="inlineStr">
        <is>
          <t>Bergvik skog väst AB</t>
        </is>
      </c>
      <c r="I6" t="n">
        <v>22.8</v>
      </c>
      <c r="J6" t="n">
        <v>2</v>
      </c>
      <c r="K6" t="n">
        <v>2</v>
      </c>
      <c r="L6" t="n">
        <v>10</v>
      </c>
      <c r="M6" t="n">
        <v>1</v>
      </c>
      <c r="N6" t="n">
        <v>0</v>
      </c>
      <c r="O6" t="n">
        <v>0</v>
      </c>
      <c r="P6" t="n">
        <v>0</v>
      </c>
      <c r="Q6" t="n">
        <v>11</v>
      </c>
      <c r="R6" t="n">
        <v>1</v>
      </c>
      <c r="S6" t="n">
        <v>14</v>
      </c>
      <c r="T6" t="n">
        <v>85</v>
      </c>
      <c r="U6" t="n">
        <v>70</v>
      </c>
      <c r="V6" s="2" t="inlineStr">
        <is>
          <t>Garnlav
Doftskinn
Dropptaggsvamp
Dvärgbägarlav
Fjällig taggsvamp s.str.
Kolflarnlav
Kortskaftad ärgspik
Svart taggsvamp
Tretåig hackspett
Ullticka
Vedskivlav
Nästlav
Vedticka
Spillkråka</t>
        </is>
      </c>
      <c r="W6">
        <f>HYPERLINK("https://klasma.github.io/Logging_2085/artfynd/A 53931-2025 artfynd.xlsx", "A 53931-2025")</f>
        <v/>
      </c>
      <c r="X6">
        <f>HYPERLINK("https://klasma.github.io/Logging_2085/kartor/A 53931-2025 karta.png", "A 53931-2025")</f>
        <v/>
      </c>
      <c r="Y6">
        <f>HYPERLINK("https://klasma.github.io/Logging_2085/kartor_geotiff/A 53931-2025 georefererad karta.tif", "A 53931-2025")</f>
        <v/>
      </c>
      <c r="AA6">
        <f>HYPERLINK("https://klasma.github.io/Logging_2085/klagomål/A 53931-2025 FSC-klagomål.docx", "A 53931-2025")</f>
        <v/>
      </c>
      <c r="AB6">
        <f>HYPERLINK("https://klasma.github.io/Logging_2085/klagomålsmail/A 53931-2025 FSC-klagomål mail.docx", "A 53931-2025")</f>
        <v/>
      </c>
      <c r="AC6">
        <f>HYPERLINK("https://klasma.github.io/Logging_2085/tillsyn/A 53931-2025 tillsynsbegäran.docx", "A 53931-2025")</f>
        <v/>
      </c>
      <c r="AD6">
        <f>HYPERLINK("https://klasma.github.io/Logging_2085/tillsynsmail/A 53931-2025 tillsynsbegäran mail.docx", "A 53931-2025")</f>
        <v/>
      </c>
      <c r="AE6">
        <f>HYPERLINK("https://klasma.github.io/Logging_2085/fåglar/A 53931-2025 prioriterade fågelarter.docx", "A 53931-2025")</f>
        <v/>
      </c>
    </row>
    <row r="7" ht="15" customHeight="1">
      <c r="A7" t="inlineStr">
        <is>
          <t>A 59950-2025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45993</v>
      </c>
      <c r="E7" s="1" t="n">
        <v>46311</v>
      </c>
      <c r="F7" t="inlineStr">
        <is>
          <t>DALARNAS LÄN</t>
        </is>
      </c>
      <c r="G7" t="inlineStr">
        <is>
          <t>LUDVIKA</t>
        </is>
      </c>
      <c r="I7" t="n">
        <v>9.6</v>
      </c>
      <c r="J7" t="n">
        <v>4</v>
      </c>
      <c r="K7" t="n">
        <v>5</v>
      </c>
      <c r="L7" t="n">
        <v>4</v>
      </c>
      <c r="M7" t="n">
        <v>2</v>
      </c>
      <c r="N7" t="n">
        <v>0</v>
      </c>
      <c r="O7" t="n">
        <v>0</v>
      </c>
      <c r="P7" t="n">
        <v>0</v>
      </c>
      <c r="Q7" t="n">
        <v>6</v>
      </c>
      <c r="R7" t="n">
        <v>2</v>
      </c>
      <c r="S7" t="n">
        <v>13</v>
      </c>
      <c r="T7" t="n">
        <v>28</v>
      </c>
      <c r="U7" t="n">
        <v>27</v>
      </c>
      <c r="V7" s="2" t="inlineStr">
        <is>
          <t>Garnlav
Knärot
Dropptaggsvamp
Lunglav
Skogshare
Tretåig hackspett
Korallblylav
Mindre märgborre
Norrlandslav
Rävticka
Skinnlav
Järpe
Spillkråka</t>
        </is>
      </c>
      <c r="W7">
        <f>HYPERLINK("https://klasma.github.io/Logging_2085/artfynd/A 59950-2025 artfynd.xlsx", "A 59950-2025")</f>
        <v/>
      </c>
      <c r="X7">
        <f>HYPERLINK("https://klasma.github.io/Logging_2085/kartor/A 59950-2025 karta.png", "A 59950-2025")</f>
        <v/>
      </c>
      <c r="Y7">
        <f>HYPERLINK("https://klasma.github.io/Logging_2085/kartor_geotiff/A 59950-2025 georefererad karta.tif", "A 59950-2025")</f>
        <v/>
      </c>
      <c r="Z7">
        <f>HYPERLINK("https://klasma.github.io/Logging_2085/knärot/A 59950-2025 karta knärot.png", "A 59950-2025")</f>
        <v/>
      </c>
      <c r="AA7">
        <f>HYPERLINK("https://klasma.github.io/Logging_2085/klagomål/A 59950-2025 FSC-klagomål.docx", "A 59950-2025")</f>
        <v/>
      </c>
      <c r="AB7">
        <f>HYPERLINK("https://klasma.github.io/Logging_2085/klagomålsmail/A 59950-2025 FSC-klagomål mail.docx", "A 59950-2025")</f>
        <v/>
      </c>
      <c r="AC7">
        <f>HYPERLINK("https://klasma.github.io/Logging_2085/tillsyn/A 59950-2025 tillsynsbegäran.docx", "A 59950-2025")</f>
        <v/>
      </c>
      <c r="AD7">
        <f>HYPERLINK("https://klasma.github.io/Logging_2085/tillsynsmail/A 59950-2025 tillsynsbegäran mail.docx", "A 59950-2025")</f>
        <v/>
      </c>
      <c r="AE7">
        <f>HYPERLINK("https://klasma.github.io/Logging_2085/fåglar/A 59950-2025 prioriterade fågelarter.docx", "A 59950-2025")</f>
        <v/>
      </c>
    </row>
    <row r="8" ht="15" customHeight="1">
      <c r="A8" t="inlineStr">
        <is>
          <t>A 7204-2026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46058</v>
      </c>
      <c r="E8" s="1" t="n">
        <v>46311</v>
      </c>
      <c r="F8" t="inlineStr">
        <is>
          <t>DALARNAS LÄN</t>
        </is>
      </c>
      <c r="G8" t="inlineStr">
        <is>
          <t>LUDVIKA</t>
        </is>
      </c>
      <c r="I8" t="n">
        <v>4.7</v>
      </c>
      <c r="J8" t="n">
        <v>5</v>
      </c>
      <c r="K8" t="n">
        <v>3</v>
      </c>
      <c r="L8" t="n">
        <v>5</v>
      </c>
      <c r="M8" t="n">
        <v>3</v>
      </c>
      <c r="N8" t="n">
        <v>0</v>
      </c>
      <c r="O8" t="n">
        <v>0</v>
      </c>
      <c r="P8" t="n">
        <v>0</v>
      </c>
      <c r="Q8" t="n">
        <v>8</v>
      </c>
      <c r="R8" t="n">
        <v>3</v>
      </c>
      <c r="S8" t="n">
        <v>13</v>
      </c>
      <c r="T8" t="n">
        <v>34</v>
      </c>
      <c r="U8" t="n">
        <v>34</v>
      </c>
      <c r="V8" s="2" t="inlineStr">
        <is>
          <t>Garnlav
Knärot
Lappuggla
Kortskaftad ärgspik
Rynkskinn
Tretåig hackspett
Vedskivlav
Vedtrappmossa
Bronshjon
Mindre märgborre
Thomsons trägnagare
Spillkråka
Tjäder</t>
        </is>
      </c>
      <c r="W8">
        <f>HYPERLINK("https://klasma.github.io/Logging_2085/artfynd/A 7204-2026 artfynd.xlsx", "A 7204-2026")</f>
        <v/>
      </c>
      <c r="X8">
        <f>HYPERLINK("https://klasma.github.io/Logging_2085/kartor/A 7204-2026 karta.png", "A 7204-2026")</f>
        <v/>
      </c>
      <c r="Y8">
        <f>HYPERLINK("https://klasma.github.io/Logging_2085/kartor_geotiff/A 7204-2026 georefererad karta.tif", "A 7204-2026")</f>
        <v/>
      </c>
      <c r="Z8">
        <f>HYPERLINK("https://klasma.github.io/Logging_2085/knärot/A 7204-2026 karta knärot.png", "A 7204-2026")</f>
        <v/>
      </c>
      <c r="AA8">
        <f>HYPERLINK("https://klasma.github.io/Logging_2085/klagomål/A 7204-2026 FSC-klagomål.docx", "A 7204-2026")</f>
        <v/>
      </c>
      <c r="AB8">
        <f>HYPERLINK("https://klasma.github.io/Logging_2085/klagomålsmail/A 7204-2026 FSC-klagomål mail.docx", "A 7204-2026")</f>
        <v/>
      </c>
      <c r="AC8">
        <f>HYPERLINK("https://klasma.github.io/Logging_2085/tillsyn/A 7204-2026 tillsynsbegäran.docx", "A 7204-2026")</f>
        <v/>
      </c>
      <c r="AD8">
        <f>HYPERLINK("https://klasma.github.io/Logging_2085/tillsynsmail/A 7204-2026 tillsynsbegäran mail.docx", "A 7204-2026")</f>
        <v/>
      </c>
      <c r="AE8">
        <f>HYPERLINK("https://klasma.github.io/Logging_2085/fåglar/A 7204-2026 prioriterade fågelarter.docx", "A 7204-2026")</f>
        <v/>
      </c>
    </row>
    <row r="9" ht="15" customHeight="1">
      <c r="A9" t="inlineStr">
        <is>
          <t>S 1407-2022</t>
        </is>
      </c>
      <c r="B9" t="inlineStr">
        <is>
          <t>samrådsanmälan</t>
        </is>
      </c>
      <c r="C9" t="inlineStr">
        <is>
          <t>Annan skogsbruksåtgärd</t>
        </is>
      </c>
      <c r="D9" s="1" t="n">
        <v>44631</v>
      </c>
      <c r="E9" s="1" t="n">
        <v>46311</v>
      </c>
      <c r="F9" t="inlineStr">
        <is>
          <t>DALARNAS LÄN</t>
        </is>
      </c>
      <c r="G9" t="inlineStr">
        <is>
          <t>LUDVIKA</t>
        </is>
      </c>
      <c r="H9" t="inlineStr">
        <is>
          <t>Kommuner</t>
        </is>
      </c>
      <c r="I9" t="n">
        <v>19.9</v>
      </c>
      <c r="J9" t="n">
        <v>0</v>
      </c>
      <c r="K9" t="n">
        <v>6</v>
      </c>
      <c r="L9" t="n">
        <v>6</v>
      </c>
      <c r="M9" t="n">
        <v>1</v>
      </c>
      <c r="N9" t="n">
        <v>0</v>
      </c>
      <c r="O9" t="n">
        <v>0</v>
      </c>
      <c r="P9" t="n">
        <v>0</v>
      </c>
      <c r="Q9" t="n">
        <v>7</v>
      </c>
      <c r="R9" t="n">
        <v>1</v>
      </c>
      <c r="S9" t="n">
        <v>13</v>
      </c>
      <c r="T9" t="n">
        <v>21</v>
      </c>
      <c r="U9" t="n">
        <v>10</v>
      </c>
      <c r="V9" s="2" t="inlineStr">
        <is>
          <t>Mjölig dropplav
Dropptaggsvamp
Fjällig taggsvamp s.str.
Gammelgransskål
Kådvaxskinn
Mindre träfjäril
Rynkskinn
Aspvedborre
Barkticka
Kamjordstjärna
Mörk husmossa
Svavelriska
Vedticka</t>
        </is>
      </c>
      <c r="W9">
        <f>HYPERLINK("https://klasma.github.io/Logging_2085/artfynd/S 1407-2022 artfynd.xlsx", "S 1407-2022")</f>
        <v/>
      </c>
      <c r="X9">
        <f>HYPERLINK("https://klasma.github.io/Logging_2085/kartor/S 1407-2022 karta.png", "S 1407-2022")</f>
        <v/>
      </c>
      <c r="Y9">
        <f>HYPERLINK("https://klasma.github.io/Logging_2085/kartor_geotiff/S 1407-2022 georefererad karta.tif", "S 1407-2022")</f>
        <v/>
      </c>
      <c r="AA9">
        <f>HYPERLINK("https://klasma.github.io/Logging_2085/klagomål/S 1407-2022 FSC-klagomål.docx", "S 1407-2022")</f>
        <v/>
      </c>
      <c r="AB9">
        <f>HYPERLINK("https://klasma.github.io/Logging_2085/klagomålsmail/S 1407-2022 FSC-klagomål mail.docx", "S 1407-2022")</f>
        <v/>
      </c>
      <c r="AC9">
        <f>HYPERLINK("https://klasma.github.io/Logging_2085/tillsyn/S 1407-2022 tillsynsbegäran.docx", "S 1407-2022")</f>
        <v/>
      </c>
      <c r="AD9">
        <f>HYPERLINK("https://klasma.github.io/Logging_2085/tillsynsmail/S 1407-2022 tillsynsbegäran mail.docx", "S 1407-2022")</f>
        <v/>
      </c>
    </row>
    <row r="10" ht="15" customHeight="1">
      <c r="A10" t="inlineStr">
        <is>
          <t>A 1912-2023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44937</v>
      </c>
      <c r="E10" s="1" t="n">
        <v>46311</v>
      </c>
      <c r="F10" t="inlineStr">
        <is>
          <t>DALARNAS LÄN</t>
        </is>
      </c>
      <c r="G10" t="inlineStr">
        <is>
          <t>LUDVIKA</t>
        </is>
      </c>
      <c r="H10" t="inlineStr">
        <is>
          <t>Kommuner</t>
        </is>
      </c>
      <c r="I10" t="n">
        <v>8.800000000000001</v>
      </c>
      <c r="J10" t="n">
        <v>0</v>
      </c>
      <c r="K10" t="n">
        <v>6</v>
      </c>
      <c r="L10" t="n">
        <v>5</v>
      </c>
      <c r="M10" t="n">
        <v>1</v>
      </c>
      <c r="N10" t="n">
        <v>0</v>
      </c>
      <c r="O10" t="n">
        <v>0</v>
      </c>
      <c r="P10" t="n">
        <v>0</v>
      </c>
      <c r="Q10" t="n">
        <v>6</v>
      </c>
      <c r="R10" t="n">
        <v>1</v>
      </c>
      <c r="S10" t="n">
        <v>12</v>
      </c>
      <c r="T10" t="n">
        <v>19</v>
      </c>
      <c r="U10" t="n">
        <v>8</v>
      </c>
      <c r="V10" s="2" t="inlineStr">
        <is>
          <t>Mjölig dropplav
Fjällig taggsvamp s.str.
Gammelgransskål
Kådvaxskinn
Mindre träfjäril
Rynkskinn
Aspvedborre
Barkticka
Kamjordstjärna
Mörk husmossa
Svavelriska
Vedticka</t>
        </is>
      </c>
      <c r="W10">
        <f>HYPERLINK("https://klasma.github.io/Logging_2085/artfynd/A 1912-2023 artfynd.xlsx", "A 1912-2023")</f>
        <v/>
      </c>
      <c r="X10">
        <f>HYPERLINK("https://klasma.github.io/Logging_2085/kartor/A 1912-2023 karta.png", "A 1912-2023")</f>
        <v/>
      </c>
      <c r="Y10">
        <f>HYPERLINK("https://klasma.github.io/Logging_2085/kartor_geotiff/A 1912-2023 georefererad karta.tif", "A 1912-2023")</f>
        <v/>
      </c>
      <c r="AA10">
        <f>HYPERLINK("https://klasma.github.io/Logging_2085/klagomål/A 1912-2023 FSC-klagomål.docx", "A 1912-2023")</f>
        <v/>
      </c>
      <c r="AB10">
        <f>HYPERLINK("https://klasma.github.io/Logging_2085/klagomålsmail/A 1912-2023 FSC-klagomål mail.docx", "A 1912-2023")</f>
        <v/>
      </c>
      <c r="AC10">
        <f>HYPERLINK("https://klasma.github.io/Logging_2085/tillsyn/A 1912-2023 tillsynsbegäran.docx", "A 1912-2023")</f>
        <v/>
      </c>
      <c r="AD10">
        <f>HYPERLINK("https://klasma.github.io/Logging_2085/tillsynsmail/A 1912-2023 tillsynsbegäran mail.docx", "A 1912-2023")</f>
        <v/>
      </c>
    </row>
    <row r="11" ht="15" customHeight="1">
      <c r="A11" t="inlineStr">
        <is>
          <t>S 2084-2022</t>
        </is>
      </c>
      <c r="B11" t="inlineStr">
        <is>
          <t>samrådsanmälan</t>
        </is>
      </c>
      <c r="C11" t="inlineStr">
        <is>
          <t>Annan skogsbruksåtgärd</t>
        </is>
      </c>
      <c r="D11" s="1" t="n">
        <v>44673</v>
      </c>
      <c r="E11" s="1" t="n">
        <v>46311</v>
      </c>
      <c r="F11" t="inlineStr">
        <is>
          <t>DALARNAS LÄN</t>
        </is>
      </c>
      <c r="G11" t="inlineStr">
        <is>
          <t>LUDVIKA</t>
        </is>
      </c>
      <c r="H11" t="inlineStr">
        <is>
          <t>Kommuner</t>
        </is>
      </c>
      <c r="I11" t="n">
        <v>14.2</v>
      </c>
      <c r="J11" t="n">
        <v>0</v>
      </c>
      <c r="K11" t="n">
        <v>6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n">
        <v>0</v>
      </c>
      <c r="S11" t="n">
        <v>12</v>
      </c>
      <c r="T11" t="n">
        <v>15</v>
      </c>
      <c r="U11" t="n">
        <v>9</v>
      </c>
      <c r="V11" s="2" t="inlineStr">
        <is>
          <t>Kötticka
Rynkskinn
Tallticka
Ullticka
Violettgrå tagellav
Vågticka
Bronshjon
Mindre märgborre
Sotriska
Trådticka
Vanlig flatbagge
Vågbandad barkbock</t>
        </is>
      </c>
      <c r="W11">
        <f>HYPERLINK("https://klasma.github.io/Logging_2085/artfynd/S 2084-2022 artfynd.xlsx", "S 2084-2022")</f>
        <v/>
      </c>
      <c r="X11">
        <f>HYPERLINK("https://klasma.github.io/Logging_2085/kartor/S 2084-2022 karta.png", "S 2084-2022")</f>
        <v/>
      </c>
      <c r="Y11">
        <f>HYPERLINK("https://klasma.github.io/Logging_2085/kartor_geotiff/S 2084-2022 georefererad karta.tif", "S 2084-2022")</f>
        <v/>
      </c>
      <c r="AA11">
        <f>HYPERLINK("https://klasma.github.io/Logging_2085/klagomål/S 2084-2022 FSC-klagomål.docx", "S 2084-2022")</f>
        <v/>
      </c>
      <c r="AB11">
        <f>HYPERLINK("https://klasma.github.io/Logging_2085/klagomålsmail/S 2084-2022 FSC-klagomål mail.docx", "S 2084-2022")</f>
        <v/>
      </c>
      <c r="AC11">
        <f>HYPERLINK("https://klasma.github.io/Logging_2085/tillsyn/S 2084-2022 tillsynsbegäran.docx", "S 2084-2022")</f>
        <v/>
      </c>
      <c r="AD11">
        <f>HYPERLINK("https://klasma.github.io/Logging_2085/tillsynsmail/S 2084-2022 tillsynsbegäran mail.docx", "S 2084-2022")</f>
        <v/>
      </c>
    </row>
    <row r="12" ht="15" customHeight="1">
      <c r="A12" t="inlineStr">
        <is>
          <t>A 57277-2024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45629</v>
      </c>
      <c r="E12" s="1" t="n">
        <v>46311</v>
      </c>
      <c r="F12" t="inlineStr">
        <is>
          <t>DALARNAS LÄN</t>
        </is>
      </c>
      <c r="G12" t="inlineStr">
        <is>
          <t>LUDVIKA</t>
        </is>
      </c>
      <c r="H12" t="inlineStr">
        <is>
          <t>Naturvårdsverket</t>
        </is>
      </c>
      <c r="I12" t="n">
        <v>3.9</v>
      </c>
      <c r="J12" t="n">
        <v>1</v>
      </c>
      <c r="K12" t="n">
        <v>3</v>
      </c>
      <c r="L12" t="n">
        <v>5</v>
      </c>
      <c r="M12" t="n">
        <v>3</v>
      </c>
      <c r="N12" t="n">
        <v>0</v>
      </c>
      <c r="O12" t="n">
        <v>0</v>
      </c>
      <c r="P12" t="n">
        <v>0</v>
      </c>
      <c r="Q12" t="n">
        <v>8</v>
      </c>
      <c r="R12" t="n">
        <v>3</v>
      </c>
      <c r="S12" t="n">
        <v>11</v>
      </c>
      <c r="T12" t="n">
        <v>14</v>
      </c>
      <c r="U12" t="n">
        <v>0</v>
      </c>
      <c r="V12" s="2" t="inlineStr">
        <is>
          <t>Garnlav
Knärot
Skrovlig taggsvamp
Dropptaggsvamp
Dvärgbägarlav
Orange taggsvamp
Skarp dropptaggsvamp
Ullticka
Björksplintborre
Bollvitmossa
Mindre märgborre</t>
        </is>
      </c>
      <c r="W12">
        <f>HYPERLINK("https://klasma.github.io/Logging_2085/artfynd/A 57277-2024 artfynd.xlsx", "A 57277-2024")</f>
        <v/>
      </c>
      <c r="X12">
        <f>HYPERLINK("https://klasma.github.io/Logging_2085/kartor/A 57277-2024 karta.png", "A 57277-2024")</f>
        <v/>
      </c>
      <c r="Y12">
        <f>HYPERLINK("https://klasma.github.io/Logging_2085/kartor_geotiff/A 57277-2024 georefererad karta.tif", "A 57277-2024")</f>
        <v/>
      </c>
      <c r="Z12">
        <f>HYPERLINK("https://klasma.github.io/Logging_2085/knärot/A 57277-2024 karta knärot.png", "A 57277-2024")</f>
        <v/>
      </c>
      <c r="AA12">
        <f>HYPERLINK("https://klasma.github.io/Logging_2085/klagomål/A 57277-2024 FSC-klagomål.docx", "A 57277-2024")</f>
        <v/>
      </c>
      <c r="AB12">
        <f>HYPERLINK("https://klasma.github.io/Logging_2085/klagomålsmail/A 57277-2024 FSC-klagomål mail.docx", "A 57277-2024")</f>
        <v/>
      </c>
      <c r="AC12">
        <f>HYPERLINK("https://klasma.github.io/Logging_2085/tillsyn/A 57277-2024 tillsynsbegäran.docx", "A 57277-2024")</f>
        <v/>
      </c>
      <c r="AD12">
        <f>HYPERLINK("https://klasma.github.io/Logging_2085/tillsynsmail/A 57277-2024 tillsynsbegäran mail.docx", "A 57277-2024")</f>
        <v/>
      </c>
    </row>
    <row r="13" ht="15" customHeight="1">
      <c r="A13" t="inlineStr">
        <is>
          <t>S 2144-2025</t>
        </is>
      </c>
      <c r="B13" t="inlineStr">
        <is>
          <t>samrådsanmälan</t>
        </is>
      </c>
      <c r="C13" t="inlineStr">
        <is>
          <t>Annan skogsbruksåtgärd</t>
        </is>
      </c>
      <c r="D13" s="1" t="n">
        <v>45847</v>
      </c>
      <c r="E13" s="1" t="n">
        <v>46311</v>
      </c>
      <c r="F13" t="inlineStr">
        <is>
          <t>DALARNAS LÄN</t>
        </is>
      </c>
      <c r="G13" t="inlineStr">
        <is>
          <t>LUDVIKA</t>
        </is>
      </c>
      <c r="H13" t="inlineStr">
        <is>
          <t>Bergvik skog väst AB</t>
        </is>
      </c>
      <c r="I13" t="n">
        <v>1.5</v>
      </c>
      <c r="J13" t="n">
        <v>0</v>
      </c>
      <c r="K13" t="n">
        <v>5</v>
      </c>
      <c r="L13" t="n">
        <v>3</v>
      </c>
      <c r="M13" t="n">
        <v>3</v>
      </c>
      <c r="N13" t="n">
        <v>0</v>
      </c>
      <c r="O13" t="n">
        <v>0</v>
      </c>
      <c r="P13" t="n">
        <v>0</v>
      </c>
      <c r="Q13" t="n">
        <v>6</v>
      </c>
      <c r="R13" t="n">
        <v>3</v>
      </c>
      <c r="S13" t="n">
        <v>11</v>
      </c>
      <c r="T13" t="n">
        <v>11</v>
      </c>
      <c r="U13" t="n">
        <v>1</v>
      </c>
      <c r="V13" s="2" t="inlineStr">
        <is>
          <t>Aspgelélav
Gränsticka
Honungsticka
Kandelabersvamp
Lunglav
Veckticka
Bårdlav
Dvärgtufs
Korallblylav
Skinnlav
Stuplav</t>
        </is>
      </c>
      <c r="W13">
        <f>HYPERLINK("https://klasma.github.io/Logging_2085/artfynd/S 2144-2025 artfynd.xlsx", "S 2144-2025")</f>
        <v/>
      </c>
      <c r="X13">
        <f>HYPERLINK("https://klasma.github.io/Logging_2085/kartor/S 2144-2025 karta.png", "S 2144-2025")</f>
        <v/>
      </c>
      <c r="Y13">
        <f>HYPERLINK("https://klasma.github.io/Logging_2085/kartor_geotiff/S 2144-2025 georefererad karta.tif", "S 2144-2025")</f>
        <v/>
      </c>
      <c r="AA13">
        <f>HYPERLINK("https://klasma.github.io/Logging_2085/klagomål/S 2144-2025 FSC-klagomål.docx", "S 2144-2025")</f>
        <v/>
      </c>
      <c r="AB13">
        <f>HYPERLINK("https://klasma.github.io/Logging_2085/klagomålsmail/S 2144-2025 FSC-klagomål mail.docx", "S 2144-2025")</f>
        <v/>
      </c>
      <c r="AC13">
        <f>HYPERLINK("https://klasma.github.io/Logging_2085/tillsyn/S 2144-2025 tillsynsbegäran.docx", "S 2144-2025")</f>
        <v/>
      </c>
      <c r="AD13">
        <f>HYPERLINK("https://klasma.github.io/Logging_2085/tillsynsmail/S 2144-2025 tillsynsbegäran mail.docx", "S 2144-2025")</f>
        <v/>
      </c>
    </row>
    <row r="14" ht="15" customHeight="1">
      <c r="A14" t="inlineStr">
        <is>
          <t>A 37350-2026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46275</v>
      </c>
      <c r="E14" s="1" t="n">
        <v>46311</v>
      </c>
      <c r="F14" t="inlineStr">
        <is>
          <t>DALARNAS LÄN</t>
        </is>
      </c>
      <c r="G14" t="inlineStr">
        <is>
          <t>LUDVIKA</t>
        </is>
      </c>
      <c r="I14" t="n">
        <v>2.9</v>
      </c>
      <c r="J14" t="n">
        <v>5</v>
      </c>
      <c r="K14" t="n">
        <v>2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n">
        <v>10</v>
      </c>
      <c r="T14" t="n">
        <v>12</v>
      </c>
      <c r="U14" t="n">
        <v>12</v>
      </c>
      <c r="V14" s="2" t="inlineStr">
        <is>
          <t>Gul pysslinglav
Talltita
Ullticka
Gulnål
Vedticka
Gråspett
Järpe
Linnea
Spillkråka
Tofsmes</t>
        </is>
      </c>
      <c r="W14">
        <f>HYPERLINK("https://klasma.github.io/Logging_2085/artfynd/A 37350-2026 artfynd.xlsx", "A 37350-2026")</f>
        <v/>
      </c>
      <c r="X14">
        <f>HYPERLINK("https://klasma.github.io/Logging_2085/kartor/A 37350-2026 karta.png", "A 37350-2026")</f>
        <v/>
      </c>
      <c r="Y14">
        <f>HYPERLINK("https://klasma.github.io/Logging_2085/kartor_geotiff/A 37350-2026 georefererad karta.tif", "A 37350-2026")</f>
        <v/>
      </c>
      <c r="AA14">
        <f>HYPERLINK("https://klasma.github.io/Logging_2085/klagomål/A 37350-2026 FSC-klagomål.docx", "A 37350-2026")</f>
        <v/>
      </c>
      <c r="AB14">
        <f>HYPERLINK("https://klasma.github.io/Logging_2085/klagomålsmail/A 37350-2026 FSC-klagomål mail.docx", "A 37350-2026")</f>
        <v/>
      </c>
      <c r="AC14">
        <f>HYPERLINK("https://klasma.github.io/Logging_2085/tillsyn/A 37350-2026 tillsynsbegäran.docx", "A 37350-2026")</f>
        <v/>
      </c>
      <c r="AD14">
        <f>HYPERLINK("https://klasma.github.io/Logging_2085/tillsynsmail/A 37350-2026 tillsynsbegäran mail.docx", "A 37350-2026")</f>
        <v/>
      </c>
      <c r="AE14">
        <f>HYPERLINK("https://klasma.github.io/Logging_2085/fåglar/A 37350-2026 prioriterade fågelarter.docx", "A 37350-2026")</f>
        <v/>
      </c>
    </row>
    <row r="15" ht="15" customHeight="1">
      <c r="A15" t="inlineStr">
        <is>
          <t>A 57804-2025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45981</v>
      </c>
      <c r="E15" s="1" t="n">
        <v>46311</v>
      </c>
      <c r="F15" t="inlineStr">
        <is>
          <t>DALARNAS LÄN</t>
        </is>
      </c>
      <c r="G15" t="inlineStr">
        <is>
          <t>LUDVIKA</t>
        </is>
      </c>
      <c r="H15" t="inlineStr">
        <is>
          <t>Bergvik skog väst AB</t>
        </is>
      </c>
      <c r="I15" t="n">
        <v>4.5</v>
      </c>
      <c r="J15" t="n">
        <v>3</v>
      </c>
      <c r="K15" t="n">
        <v>1</v>
      </c>
      <c r="L15" t="n">
        <v>7</v>
      </c>
      <c r="M15" t="n">
        <v>1</v>
      </c>
      <c r="N15" t="n">
        <v>0</v>
      </c>
      <c r="O15" t="n">
        <v>0</v>
      </c>
      <c r="P15" t="n">
        <v>0</v>
      </c>
      <c r="Q15" t="n">
        <v>8</v>
      </c>
      <c r="R15" t="n">
        <v>1</v>
      </c>
      <c r="S15" t="n">
        <v>10</v>
      </c>
      <c r="T15" t="n">
        <v>61</v>
      </c>
      <c r="U15" t="n">
        <v>61</v>
      </c>
      <c r="V15" s="2" t="inlineStr">
        <is>
          <t>Knärot
Dropptaggsvamp
Kortskaftad ärgspik
Rosenticka
Rynkskinn
Tretåig hackspett
Ullticka
Vedtrappmossa
Mindre märgborre
Spillkråka</t>
        </is>
      </c>
      <c r="W15">
        <f>HYPERLINK("https://klasma.github.io/Logging_2085/artfynd/A 57804-2025 artfynd.xlsx", "A 57804-2025")</f>
        <v/>
      </c>
      <c r="X15">
        <f>HYPERLINK("https://klasma.github.io/Logging_2085/kartor/A 57804-2025 karta.png", "A 57804-2025")</f>
        <v/>
      </c>
      <c r="Y15">
        <f>HYPERLINK("https://klasma.github.io/Logging_2085/kartor_geotiff/A 57804-2025 georefererad karta.tif", "A 57804-2025")</f>
        <v/>
      </c>
      <c r="Z15">
        <f>HYPERLINK("https://klasma.github.io/Logging_2085/knärot/A 57804-2025 karta knärot.png", "A 57804-2025")</f>
        <v/>
      </c>
      <c r="AA15">
        <f>HYPERLINK("https://klasma.github.io/Logging_2085/klagomål/A 57804-2025 FSC-klagomål.docx", "A 57804-2025")</f>
        <v/>
      </c>
      <c r="AB15">
        <f>HYPERLINK("https://klasma.github.io/Logging_2085/klagomålsmail/A 57804-2025 FSC-klagomål mail.docx", "A 57804-2025")</f>
        <v/>
      </c>
      <c r="AC15">
        <f>HYPERLINK("https://klasma.github.io/Logging_2085/tillsyn/A 57804-2025 tillsynsbegäran.docx", "A 57804-2025")</f>
        <v/>
      </c>
      <c r="AD15">
        <f>HYPERLINK("https://klasma.github.io/Logging_2085/tillsynsmail/A 57804-2025 tillsynsbegäran mail.docx", "A 57804-2025")</f>
        <v/>
      </c>
      <c r="AE15">
        <f>HYPERLINK("https://klasma.github.io/Logging_2085/fåglar/A 57804-2025 prioriterade fågelarter.docx", "A 57804-2025")</f>
        <v/>
      </c>
    </row>
    <row r="16" ht="15" customHeight="1">
      <c r="A16" t="inlineStr">
        <is>
          <t>A 34913-2025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45849</v>
      </c>
      <c r="E16" s="1" t="n">
        <v>46311</v>
      </c>
      <c r="F16" t="inlineStr">
        <is>
          <t>DALARNAS LÄN</t>
        </is>
      </c>
      <c r="G16" t="inlineStr">
        <is>
          <t>LUDVIKA</t>
        </is>
      </c>
      <c r="I16" t="n">
        <v>6</v>
      </c>
      <c r="J16" t="n">
        <v>2</v>
      </c>
      <c r="K16" t="n">
        <v>3</v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4</v>
      </c>
      <c r="R16" t="n">
        <v>2</v>
      </c>
      <c r="S16" t="n">
        <v>9</v>
      </c>
      <c r="T16" t="n">
        <v>20</v>
      </c>
      <c r="U16" t="n">
        <v>0</v>
      </c>
      <c r="V16" s="2" t="inlineStr">
        <is>
          <t>Aspgelélav
Ängsklint
Barrpraktbagge
Lunglav
Barkticka
Bårdlav
Korallblylav
Blåsippa
Huggorm</t>
        </is>
      </c>
      <c r="W16">
        <f>HYPERLINK("https://klasma.github.io/Logging_2085/artfynd/A 34913-2025 artfynd.xlsx", "A 34913-2025")</f>
        <v/>
      </c>
      <c r="X16">
        <f>HYPERLINK("https://klasma.github.io/Logging_2085/kartor/A 34913-2025 karta.png", "A 34913-2025")</f>
        <v/>
      </c>
      <c r="Y16">
        <f>HYPERLINK("https://klasma.github.io/Logging_2085/kartor_geotiff/A 34913-2025 georefererad karta.tif", "A 34913-2025")</f>
        <v/>
      </c>
      <c r="AA16">
        <f>HYPERLINK("https://klasma.github.io/Logging_2085/klagomål/A 34913-2025 FSC-klagomål.docx", "A 34913-2025")</f>
        <v/>
      </c>
      <c r="AB16">
        <f>HYPERLINK("https://klasma.github.io/Logging_2085/klagomålsmail/A 34913-2025 FSC-klagomål mail.docx", "A 34913-2025")</f>
        <v/>
      </c>
      <c r="AC16">
        <f>HYPERLINK("https://klasma.github.io/Logging_2085/tillsyn/A 34913-2025 tillsynsbegäran.docx", "A 34913-2025")</f>
        <v/>
      </c>
      <c r="AD16">
        <f>HYPERLINK("https://klasma.github.io/Logging_2085/tillsynsmail/A 34913-2025 tillsynsbegäran mail.docx", "A 34913-2025")</f>
        <v/>
      </c>
    </row>
    <row r="17" ht="15" customHeight="1">
      <c r="A17" t="inlineStr">
        <is>
          <t>A 23503-2026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46163</v>
      </c>
      <c r="E17" s="1" t="n">
        <v>46311</v>
      </c>
      <c r="F17" t="inlineStr">
        <is>
          <t>DALARNAS LÄN</t>
        </is>
      </c>
      <c r="G17" t="inlineStr">
        <is>
          <t>LUDVIKA</t>
        </is>
      </c>
      <c r="H17" t="inlineStr">
        <is>
          <t>Bergvik skog väst AB</t>
        </is>
      </c>
      <c r="I17" t="n">
        <v>5.2</v>
      </c>
      <c r="J17" t="n">
        <v>6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9</v>
      </c>
      <c r="T17" t="n">
        <v>20</v>
      </c>
      <c r="U17" t="n">
        <v>16</v>
      </c>
      <c r="V17" s="2" t="inlineStr">
        <is>
          <t>Garnlav
Tretåig hackspett
Korallrot
Mindre märgborre
Järpe
Ormbär
Spillkråka
Tjäder
Fläcknycklar</t>
        </is>
      </c>
      <c r="W17">
        <f>HYPERLINK("https://klasma.github.io/Logging_2085/artfynd/A 23503-2026 artfynd.xlsx", "A 23503-2026")</f>
        <v/>
      </c>
      <c r="X17">
        <f>HYPERLINK("https://klasma.github.io/Logging_2085/kartor/A 23503-2026 karta.png", "A 23503-2026")</f>
        <v/>
      </c>
      <c r="Y17">
        <f>HYPERLINK("https://klasma.github.io/Logging_2085/kartor_geotiff/A 23503-2026 georefererad karta.tif", "A 23503-2026")</f>
        <v/>
      </c>
      <c r="AA17">
        <f>HYPERLINK("https://klasma.github.io/Logging_2085/klagomål/A 23503-2026 FSC-klagomål.docx", "A 23503-2026")</f>
        <v/>
      </c>
      <c r="AB17">
        <f>HYPERLINK("https://klasma.github.io/Logging_2085/klagomålsmail/A 23503-2026 FSC-klagomål mail.docx", "A 23503-2026")</f>
        <v/>
      </c>
      <c r="AC17">
        <f>HYPERLINK("https://klasma.github.io/Logging_2085/tillsyn/A 23503-2026 tillsynsbegäran.docx", "A 23503-2026")</f>
        <v/>
      </c>
      <c r="AD17">
        <f>HYPERLINK("https://klasma.github.io/Logging_2085/tillsynsmail/A 23503-2026 tillsynsbegäran mail.docx", "A 23503-2026")</f>
        <v/>
      </c>
      <c r="AE17">
        <f>HYPERLINK("https://klasma.github.io/Logging_2085/fåglar/A 23503-2026 prioriterade fågelarter.docx", "A 23503-2026")</f>
        <v/>
      </c>
    </row>
    <row r="18" ht="15" customHeight="1">
      <c r="A18" t="inlineStr">
        <is>
          <t>A 7214-2026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46058</v>
      </c>
      <c r="E18" s="1" t="n">
        <v>46311</v>
      </c>
      <c r="F18" t="inlineStr">
        <is>
          <t>DALARNAS LÄN</t>
        </is>
      </c>
      <c r="G18" t="inlineStr">
        <is>
          <t>LUDVIKA</t>
        </is>
      </c>
      <c r="I18" t="n">
        <v>4.2</v>
      </c>
      <c r="J18" t="n">
        <v>4</v>
      </c>
      <c r="K18" t="n">
        <v>2</v>
      </c>
      <c r="L18" t="n">
        <v>5</v>
      </c>
      <c r="M18" t="n">
        <v>1</v>
      </c>
      <c r="N18" t="n">
        <v>0</v>
      </c>
      <c r="O18" t="n">
        <v>0</v>
      </c>
      <c r="P18" t="n">
        <v>0</v>
      </c>
      <c r="Q18" t="n">
        <v>6</v>
      </c>
      <c r="R18" t="n">
        <v>1</v>
      </c>
      <c r="S18" t="n">
        <v>9</v>
      </c>
      <c r="T18" t="n">
        <v>23</v>
      </c>
      <c r="U18" t="n">
        <v>23</v>
      </c>
      <c r="V18" s="2" t="inlineStr">
        <is>
          <t>Knärot
Dropptaggsvamp
Rynkskinn
Talltita
Tretåig hackspett
Vedtrappmossa
Jättesvampmal
Thomsons trägnagare
Spillkråka</t>
        </is>
      </c>
      <c r="W18">
        <f>HYPERLINK("https://klasma.github.io/Logging_2085/artfynd/A 7214-2026 artfynd.xlsx", "A 7214-2026")</f>
        <v/>
      </c>
      <c r="X18">
        <f>HYPERLINK("https://klasma.github.io/Logging_2085/kartor/A 7214-2026 karta.png", "A 7214-2026")</f>
        <v/>
      </c>
      <c r="Y18">
        <f>HYPERLINK("https://klasma.github.io/Logging_2085/kartor_geotiff/A 7214-2026 georefererad karta.tif", "A 7214-2026")</f>
        <v/>
      </c>
      <c r="Z18">
        <f>HYPERLINK("https://klasma.github.io/Logging_2085/knärot/A 7214-2026 karta knärot.png", "A 7214-2026")</f>
        <v/>
      </c>
      <c r="AA18">
        <f>HYPERLINK("https://klasma.github.io/Logging_2085/klagomål/A 7214-2026 FSC-klagomål.docx", "A 7214-2026")</f>
        <v/>
      </c>
      <c r="AB18">
        <f>HYPERLINK("https://klasma.github.io/Logging_2085/klagomålsmail/A 7214-2026 FSC-klagomål mail.docx", "A 7214-2026")</f>
        <v/>
      </c>
      <c r="AC18">
        <f>HYPERLINK("https://klasma.github.io/Logging_2085/tillsyn/A 7214-2026 tillsynsbegäran.docx", "A 7214-2026")</f>
        <v/>
      </c>
      <c r="AD18">
        <f>HYPERLINK("https://klasma.github.io/Logging_2085/tillsynsmail/A 7214-2026 tillsynsbegäran mail.docx", "A 7214-2026")</f>
        <v/>
      </c>
      <c r="AE18">
        <f>HYPERLINK("https://klasma.github.io/Logging_2085/fåglar/A 7214-2026 prioriterade fågelarter.docx", "A 7214-2026")</f>
        <v/>
      </c>
    </row>
    <row r="19" ht="15" customHeight="1">
      <c r="A19" t="inlineStr">
        <is>
          <t>A 22685-2025</t>
        </is>
      </c>
      <c r="B19" t="inlineStr">
        <is>
          <t>avverkningsanmälan</t>
        </is>
      </c>
      <c r="C19" t="inlineStr">
        <is>
          <t>Avverkning för att bevara och utveckla /försöksver</t>
        </is>
      </c>
      <c r="D19" s="1" t="n">
        <v>45786</v>
      </c>
      <c r="E19" s="1" t="n">
        <v>46311</v>
      </c>
      <c r="F19" t="inlineStr">
        <is>
          <t>DALARNAS LÄN</t>
        </is>
      </c>
      <c r="G19" t="inlineStr">
        <is>
          <t>LUDVIKA</t>
        </is>
      </c>
      <c r="I19" t="n">
        <v>2.9</v>
      </c>
      <c r="J19" t="n">
        <v>8</v>
      </c>
      <c r="K19" t="n">
        <v>0</v>
      </c>
      <c r="L19" t="n">
        <v>5</v>
      </c>
      <c r="M19" t="n">
        <v>1</v>
      </c>
      <c r="N19" t="n">
        <v>0</v>
      </c>
      <c r="O19" t="n">
        <v>0</v>
      </c>
      <c r="P19" t="n">
        <v>0</v>
      </c>
      <c r="Q19" t="n">
        <v>6</v>
      </c>
      <c r="R19" t="n">
        <v>1</v>
      </c>
      <c r="S19" t="n">
        <v>9</v>
      </c>
      <c r="T19" t="n">
        <v>9</v>
      </c>
      <c r="U19" t="n">
        <v>7</v>
      </c>
      <c r="V19" s="2" t="inlineStr">
        <is>
          <t>Tornseglare
Brunlångöra
Entita
Nordfladdermus
Skorpgelélav
Talltita
Spillkråka
Gråskimlig fladdermus
Vattenfladdermus</t>
        </is>
      </c>
      <c r="W19">
        <f>HYPERLINK("https://klasma.github.io/Logging_2085/artfynd/A 22685-2025 artfynd.xlsx", "A 22685-2025")</f>
        <v/>
      </c>
      <c r="X19">
        <f>HYPERLINK("https://klasma.github.io/Logging_2085/kartor/A 22685-2025 karta.png", "A 22685-2025")</f>
        <v/>
      </c>
      <c r="Y19">
        <f>HYPERLINK("https://klasma.github.io/Logging_2085/kartor_geotiff/A 22685-2025 georefererad karta.tif", "A 22685-2025")</f>
        <v/>
      </c>
      <c r="AA19">
        <f>HYPERLINK("https://klasma.github.io/Logging_2085/klagomål/A 22685-2025 FSC-klagomål.docx", "A 22685-2025")</f>
        <v/>
      </c>
      <c r="AB19">
        <f>HYPERLINK("https://klasma.github.io/Logging_2085/klagomålsmail/A 22685-2025 FSC-klagomål mail.docx", "A 22685-2025")</f>
        <v/>
      </c>
      <c r="AC19">
        <f>HYPERLINK("https://klasma.github.io/Logging_2085/tillsyn/A 22685-2025 tillsynsbegäran.docx", "A 22685-2025")</f>
        <v/>
      </c>
      <c r="AD19">
        <f>HYPERLINK("https://klasma.github.io/Logging_2085/tillsynsmail/A 22685-2025 tillsynsbegäran mail.docx", "A 22685-2025")</f>
        <v/>
      </c>
      <c r="AE19">
        <f>HYPERLINK("https://klasma.github.io/Logging_2085/fåglar/A 22685-2025 prioriterade fågelarter.docx", "A 22685-2025")</f>
        <v/>
      </c>
    </row>
    <row r="20" ht="15" customHeight="1">
      <c r="A20" t="inlineStr">
        <is>
          <t>A 50453-2025</t>
        </is>
      </c>
      <c r="B20" t="inlineStr">
        <is>
          <t>avverkningsanmälan</t>
        </is>
      </c>
      <c r="C20" t="inlineStr">
        <is>
          <t>Avverkning för att bevara och utveckla /försöksver</t>
        </is>
      </c>
      <c r="D20" s="1" t="n">
        <v>45945</v>
      </c>
      <c r="E20" s="1" t="n">
        <v>46311</v>
      </c>
      <c r="F20" t="inlineStr">
        <is>
          <t>DALARNAS LÄN</t>
        </is>
      </c>
      <c r="G20" t="inlineStr">
        <is>
          <t>LUDVIKA</t>
        </is>
      </c>
      <c r="H20" t="inlineStr">
        <is>
          <t>Bergvik skog väst AB</t>
        </is>
      </c>
      <c r="I20" t="n">
        <v>5.6</v>
      </c>
      <c r="J20" t="n">
        <v>0</v>
      </c>
      <c r="K20" t="n">
        <v>6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8</v>
      </c>
      <c r="T20" t="n">
        <v>12</v>
      </c>
      <c r="U20" t="n">
        <v>0</v>
      </c>
      <c r="V20" s="2" t="inlineStr">
        <is>
          <t>Aspgelélav
Gränsticka
Bårdlav
Dvärgtufs
Luddlav
Skinnlav
Sotlav
Vedticka</t>
        </is>
      </c>
      <c r="W20">
        <f>HYPERLINK("https://klasma.github.io/Logging_2085/artfynd/A 50453-2025 artfynd.xlsx", "A 50453-2025")</f>
        <v/>
      </c>
      <c r="X20">
        <f>HYPERLINK("https://klasma.github.io/Logging_2085/kartor/A 50453-2025 karta.png", "A 50453-2025")</f>
        <v/>
      </c>
      <c r="Y20">
        <f>HYPERLINK("https://klasma.github.io/Logging_2085/kartor_geotiff/A 50453-2025 georefererad karta.tif", "A 50453-2025")</f>
        <v/>
      </c>
      <c r="AA20">
        <f>HYPERLINK("https://klasma.github.io/Logging_2085/klagomål/A 50453-2025 FSC-klagomål.docx", "A 50453-2025")</f>
        <v/>
      </c>
      <c r="AB20">
        <f>HYPERLINK("https://klasma.github.io/Logging_2085/klagomålsmail/A 50453-2025 FSC-klagomål mail.docx", "A 50453-2025")</f>
        <v/>
      </c>
      <c r="AC20">
        <f>HYPERLINK("https://klasma.github.io/Logging_2085/tillsyn/A 50453-2025 tillsynsbegäran.docx", "A 50453-2025")</f>
        <v/>
      </c>
      <c r="AD20">
        <f>HYPERLINK("https://klasma.github.io/Logging_2085/tillsynsmail/A 50453-2025 tillsynsbegäran mail.docx", "A 50453-2025")</f>
        <v/>
      </c>
    </row>
    <row r="21" ht="15" customHeight="1">
      <c r="A21" t="inlineStr">
        <is>
          <t>A 31749-2024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45509</v>
      </c>
      <c r="E21" s="1" t="n">
        <v>46311</v>
      </c>
      <c r="F21" t="inlineStr">
        <is>
          <t>DALARNAS LÄN</t>
        </is>
      </c>
      <c r="G21" t="inlineStr">
        <is>
          <t>LUDVIKA</t>
        </is>
      </c>
      <c r="I21" t="n">
        <v>6.7</v>
      </c>
      <c r="J21" t="n">
        <v>1</v>
      </c>
      <c r="K21" t="n">
        <v>5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17</v>
      </c>
      <c r="U21" t="n">
        <v>17</v>
      </c>
      <c r="V21" s="2" t="inlineStr">
        <is>
          <t>Rynkskinn
Vårärt
Sotriska
Svart trolldruva
Svavelriska
Tibast
Underviol
Blåsippa</t>
        </is>
      </c>
      <c r="W21">
        <f>HYPERLINK("https://klasma.github.io/Logging_2085/artfynd/A 31749-2024 artfynd.xlsx", "A 31749-2024")</f>
        <v/>
      </c>
      <c r="X21">
        <f>HYPERLINK("https://klasma.github.io/Logging_2085/kartor/A 31749-2024 karta.png", "A 31749-2024")</f>
        <v/>
      </c>
      <c r="Y21">
        <f>HYPERLINK("https://klasma.github.io/Logging_2085/kartor_geotiff/A 31749-2024 georefererad karta.tif", "A 31749-2024")</f>
        <v/>
      </c>
      <c r="AA21">
        <f>HYPERLINK("https://klasma.github.io/Logging_2085/klagomål/A 31749-2024 FSC-klagomål.docx", "A 31749-2024")</f>
        <v/>
      </c>
      <c r="AB21">
        <f>HYPERLINK("https://klasma.github.io/Logging_2085/klagomålsmail/A 31749-2024 FSC-klagomål mail.docx", "A 31749-2024")</f>
        <v/>
      </c>
      <c r="AC21">
        <f>HYPERLINK("https://klasma.github.io/Logging_2085/tillsyn/A 31749-2024 tillsynsbegäran.docx", "A 31749-2024")</f>
        <v/>
      </c>
      <c r="AD21">
        <f>HYPERLINK("https://klasma.github.io/Logging_2085/tillsynsmail/A 31749-2024 tillsynsbegäran mail.docx", "A 31749-2024")</f>
        <v/>
      </c>
    </row>
    <row r="22" ht="15" customHeight="1">
      <c r="A22" t="inlineStr">
        <is>
          <t>A 57701-2025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45981</v>
      </c>
      <c r="E22" s="1" t="n">
        <v>46311</v>
      </c>
      <c r="F22" t="inlineStr">
        <is>
          <t>DALARNAS LÄN</t>
        </is>
      </c>
      <c r="G22" t="inlineStr">
        <is>
          <t>LUDVIKA</t>
        </is>
      </c>
      <c r="H22" t="inlineStr">
        <is>
          <t>Bergvik skog väst AB</t>
        </is>
      </c>
      <c r="I22" t="n">
        <v>5.5</v>
      </c>
      <c r="J22" t="n">
        <v>6</v>
      </c>
      <c r="K22" t="n">
        <v>1</v>
      </c>
      <c r="L22" t="n">
        <v>3</v>
      </c>
      <c r="M22" t="n">
        <v>1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8</v>
      </c>
      <c r="T22" t="n">
        <v>25</v>
      </c>
      <c r="U22" t="n">
        <v>24</v>
      </c>
      <c r="V22" s="2" t="inlineStr">
        <is>
          <t>Knärot
Kortskaftad ärgspik
Sparvuggla
Tretåig hackspett
Vedticka
Järpe
Spillkråka
Utter</t>
        </is>
      </c>
      <c r="W22">
        <f>HYPERLINK("https://klasma.github.io/Logging_2085/artfynd/A 57701-2025 artfynd.xlsx", "A 57701-2025")</f>
        <v/>
      </c>
      <c r="X22">
        <f>HYPERLINK("https://klasma.github.io/Logging_2085/kartor/A 57701-2025 karta.png", "A 57701-2025")</f>
        <v/>
      </c>
      <c r="Y22">
        <f>HYPERLINK("https://klasma.github.io/Logging_2085/kartor_geotiff/A 57701-2025 georefererad karta.tif", "A 57701-2025")</f>
        <v/>
      </c>
      <c r="Z22">
        <f>HYPERLINK("https://klasma.github.io/Logging_2085/knärot/A 57701-2025 karta knärot.png", "A 57701-2025")</f>
        <v/>
      </c>
      <c r="AA22">
        <f>HYPERLINK("https://klasma.github.io/Logging_2085/klagomål/A 57701-2025 FSC-klagomål.docx", "A 57701-2025")</f>
        <v/>
      </c>
      <c r="AB22">
        <f>HYPERLINK("https://klasma.github.io/Logging_2085/klagomålsmail/A 57701-2025 FSC-klagomål mail.docx", "A 57701-2025")</f>
        <v/>
      </c>
      <c r="AC22">
        <f>HYPERLINK("https://klasma.github.io/Logging_2085/tillsyn/A 57701-2025 tillsynsbegäran.docx", "A 57701-2025")</f>
        <v/>
      </c>
      <c r="AD22">
        <f>HYPERLINK("https://klasma.github.io/Logging_2085/tillsynsmail/A 57701-2025 tillsynsbegäran mail.docx", "A 57701-2025")</f>
        <v/>
      </c>
      <c r="AE22">
        <f>HYPERLINK("https://klasma.github.io/Logging_2085/fåglar/A 57701-2025 prioriterade fågelarter.docx", "A 57701-2025")</f>
        <v/>
      </c>
    </row>
    <row r="23" ht="15" customHeight="1">
      <c r="A23" t="inlineStr">
        <is>
          <t>A 49783-2024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45597</v>
      </c>
      <c r="E23" s="1" t="n">
        <v>46311</v>
      </c>
      <c r="F23" t="inlineStr">
        <is>
          <t>DALARNAS LÄN</t>
        </is>
      </c>
      <c r="G23" t="inlineStr">
        <is>
          <t>LUDVIKA</t>
        </is>
      </c>
      <c r="H23" t="inlineStr">
        <is>
          <t>Bergvik skog väst AB</t>
        </is>
      </c>
      <c r="I23" t="n">
        <v>20.9</v>
      </c>
      <c r="J23" t="n">
        <v>3</v>
      </c>
      <c r="K23" t="n">
        <v>0</v>
      </c>
      <c r="L23" t="n">
        <v>4</v>
      </c>
      <c r="M23" t="n">
        <v>2</v>
      </c>
      <c r="N23" t="n">
        <v>0</v>
      </c>
      <c r="O23" t="n">
        <v>0</v>
      </c>
      <c r="P23" t="n">
        <v>0</v>
      </c>
      <c r="Q23" t="n">
        <v>6</v>
      </c>
      <c r="R23" t="n">
        <v>2</v>
      </c>
      <c r="S23" t="n">
        <v>8</v>
      </c>
      <c r="T23" t="n">
        <v>28</v>
      </c>
      <c r="U23" t="n">
        <v>17</v>
      </c>
      <c r="V23" s="2" t="inlineStr">
        <is>
          <t>Garnlav
Mörk kådsvartspik
Dropptaggsvamp
Gammelgransskål
Stjärntagging
Tretåig hackspett
Järpe
Spillkråka</t>
        </is>
      </c>
      <c r="W23">
        <f>HYPERLINK("https://klasma.github.io/Logging_2085/artfynd/A 49783-2024 artfynd.xlsx", "A 49783-2024")</f>
        <v/>
      </c>
      <c r="X23">
        <f>HYPERLINK("https://klasma.github.io/Logging_2085/kartor/A 49783-2024 karta.png", "A 49783-2024")</f>
        <v/>
      </c>
      <c r="Y23">
        <f>HYPERLINK("https://klasma.github.io/Logging_2085/kartor_geotiff/A 49783-2024 georefererad karta.tif", "A 49783-2024")</f>
        <v/>
      </c>
      <c r="AA23">
        <f>HYPERLINK("https://klasma.github.io/Logging_2085/klagomål/A 49783-2024 FSC-klagomål.docx", "A 49783-2024")</f>
        <v/>
      </c>
      <c r="AB23">
        <f>HYPERLINK("https://klasma.github.io/Logging_2085/klagomålsmail/A 49783-2024 FSC-klagomål mail.docx", "A 49783-2024")</f>
        <v/>
      </c>
      <c r="AC23">
        <f>HYPERLINK("https://klasma.github.io/Logging_2085/tillsyn/A 49783-2024 tillsynsbegäran.docx", "A 49783-2024")</f>
        <v/>
      </c>
      <c r="AD23">
        <f>HYPERLINK("https://klasma.github.io/Logging_2085/tillsynsmail/A 49783-2024 tillsynsbegäran mail.docx", "A 49783-2024")</f>
        <v/>
      </c>
      <c r="AE23">
        <f>HYPERLINK("https://klasma.github.io/Logging_2085/fåglar/A 49783-2024 prioriterade fågelarter.docx", "A 49783-2024")</f>
        <v/>
      </c>
    </row>
    <row r="24" ht="15" customHeight="1">
      <c r="A24" t="inlineStr">
        <is>
          <t>A 23658-2025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45786</v>
      </c>
      <c r="E24" s="1" t="n">
        <v>46311</v>
      </c>
      <c r="F24" t="inlineStr">
        <is>
          <t>DALARNAS LÄN</t>
        </is>
      </c>
      <c r="G24" t="inlineStr">
        <is>
          <t>LUDVIKA</t>
        </is>
      </c>
      <c r="I24" t="n">
        <v>7.1</v>
      </c>
      <c r="J24" t="n">
        <v>7</v>
      </c>
      <c r="K24" t="n">
        <v>0</v>
      </c>
      <c r="L24" t="n">
        <v>5</v>
      </c>
      <c r="M24" t="n">
        <v>1</v>
      </c>
      <c r="N24" t="n">
        <v>0</v>
      </c>
      <c r="O24" t="n">
        <v>0</v>
      </c>
      <c r="P24" t="n">
        <v>0</v>
      </c>
      <c r="Q24" t="n">
        <v>6</v>
      </c>
      <c r="R24" t="n">
        <v>1</v>
      </c>
      <c r="S24" t="n">
        <v>8</v>
      </c>
      <c r="T24" t="n">
        <v>15</v>
      </c>
      <c r="U24" t="n">
        <v>14</v>
      </c>
      <c r="V24" s="2" t="inlineStr">
        <is>
          <t>Tornseglare
Entita
Fjällig taggsvamp s.str.
Grönsångare
Nordfladdermus
Talltita
Tjäder
Vattenfladdermus</t>
        </is>
      </c>
      <c r="W24">
        <f>HYPERLINK("https://klasma.github.io/Logging_2085/artfynd/A 23658-2025 artfynd.xlsx", "A 23658-2025")</f>
        <v/>
      </c>
      <c r="X24">
        <f>HYPERLINK("https://klasma.github.io/Logging_2085/kartor/A 23658-2025 karta.png", "A 23658-2025")</f>
        <v/>
      </c>
      <c r="Y24">
        <f>HYPERLINK("https://klasma.github.io/Logging_2085/kartor_geotiff/A 23658-2025 georefererad karta.tif", "A 23658-2025")</f>
        <v/>
      </c>
      <c r="AA24">
        <f>HYPERLINK("https://klasma.github.io/Logging_2085/klagomål/A 23658-2025 FSC-klagomål.docx", "A 23658-2025")</f>
        <v/>
      </c>
      <c r="AB24">
        <f>HYPERLINK("https://klasma.github.io/Logging_2085/klagomålsmail/A 23658-2025 FSC-klagomål mail.docx", "A 23658-2025")</f>
        <v/>
      </c>
      <c r="AC24">
        <f>HYPERLINK("https://klasma.github.io/Logging_2085/tillsyn/A 23658-2025 tillsynsbegäran.docx", "A 23658-2025")</f>
        <v/>
      </c>
      <c r="AD24">
        <f>HYPERLINK("https://klasma.github.io/Logging_2085/tillsynsmail/A 23658-2025 tillsynsbegäran mail.docx", "A 23658-2025")</f>
        <v/>
      </c>
      <c r="AE24">
        <f>HYPERLINK("https://klasma.github.io/Logging_2085/fåglar/A 23658-2025 prioriterade fågelarter.docx", "A 23658-2025")</f>
        <v/>
      </c>
    </row>
    <row r="25" ht="15" customHeight="1">
      <c r="A25" t="inlineStr">
        <is>
          <t>A 45268-2022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44844</v>
      </c>
      <c r="E25" s="1" t="n">
        <v>46311</v>
      </c>
      <c r="F25" t="inlineStr">
        <is>
          <t>DALARNAS LÄN</t>
        </is>
      </c>
      <c r="G25" t="inlineStr">
        <is>
          <t>LUDVIKA</t>
        </is>
      </c>
      <c r="H25" t="inlineStr">
        <is>
          <t>Naturvårdsverket</t>
        </is>
      </c>
      <c r="I25" t="n">
        <v>2.3</v>
      </c>
      <c r="J25" t="n">
        <v>1</v>
      </c>
      <c r="K25" t="n">
        <v>2</v>
      </c>
      <c r="L25" t="n">
        <v>3</v>
      </c>
      <c r="M25" t="n">
        <v>2</v>
      </c>
      <c r="N25" t="n">
        <v>0</v>
      </c>
      <c r="O25" t="n">
        <v>0</v>
      </c>
      <c r="P25" t="n">
        <v>0</v>
      </c>
      <c r="Q25" t="n">
        <v>5</v>
      </c>
      <c r="R25" t="n">
        <v>2</v>
      </c>
      <c r="S25" t="n">
        <v>7</v>
      </c>
      <c r="T25" t="n">
        <v>8</v>
      </c>
      <c r="U25" t="n">
        <v>8</v>
      </c>
      <c r="V25" s="2" t="inlineStr">
        <is>
          <t>Garnlav
Knärot
Kattfotslav
Orange taggsvamp
Vedtrappmossa
Bollvitmossa
Vedticka</t>
        </is>
      </c>
      <c r="W25">
        <f>HYPERLINK("https://klasma.github.io/Logging_2085/artfynd/A 45268-2022 artfynd.xlsx", "A 45268-2022")</f>
        <v/>
      </c>
      <c r="X25">
        <f>HYPERLINK("https://klasma.github.io/Logging_2085/kartor/A 45268-2022 karta.png", "A 45268-2022")</f>
        <v/>
      </c>
      <c r="Y25">
        <f>HYPERLINK("https://klasma.github.io/Logging_2085/kartor_geotiff/A 45268-2022 georefererad karta.tif", "A 45268-2022")</f>
        <v/>
      </c>
      <c r="Z25">
        <f>HYPERLINK("https://klasma.github.io/Logging_2085/knärot/A 45268-2022 karta knärot.png", "A 45268-2022")</f>
        <v/>
      </c>
      <c r="AA25">
        <f>HYPERLINK("https://klasma.github.io/Logging_2085/klagomål/A 45268-2022 FSC-klagomål.docx", "A 45268-2022")</f>
        <v/>
      </c>
      <c r="AB25">
        <f>HYPERLINK("https://klasma.github.io/Logging_2085/klagomålsmail/A 45268-2022 FSC-klagomål mail.docx", "A 45268-2022")</f>
        <v/>
      </c>
      <c r="AC25">
        <f>HYPERLINK("https://klasma.github.io/Logging_2085/tillsyn/A 45268-2022 tillsynsbegäran.docx", "A 45268-2022")</f>
        <v/>
      </c>
      <c r="AD25">
        <f>HYPERLINK("https://klasma.github.io/Logging_2085/tillsynsmail/A 45268-2022 tillsynsbegäran mail.docx", "A 45268-2022")</f>
        <v/>
      </c>
    </row>
    <row r="26" ht="15" customHeight="1">
      <c r="A26" t="inlineStr">
        <is>
          <t>A 37715-2026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46279</v>
      </c>
      <c r="E26" s="1" t="n">
        <v>46311</v>
      </c>
      <c r="F26" t="inlineStr">
        <is>
          <t>DALARNAS LÄN</t>
        </is>
      </c>
      <c r="G26" t="inlineStr">
        <is>
          <t>LUDVIKA</t>
        </is>
      </c>
      <c r="H26" t="inlineStr">
        <is>
          <t>Bergvik skog väst AB</t>
        </is>
      </c>
      <c r="I26" t="n">
        <v>3.2</v>
      </c>
      <c r="J26" t="n">
        <v>0</v>
      </c>
      <c r="K26" t="n">
        <v>1</v>
      </c>
      <c r="L26" t="n">
        <v>5</v>
      </c>
      <c r="M26" t="n">
        <v>1</v>
      </c>
      <c r="N26" t="n">
        <v>0</v>
      </c>
      <c r="O26" t="n">
        <v>0</v>
      </c>
      <c r="P26" t="n">
        <v>0</v>
      </c>
      <c r="Q26" t="n">
        <v>6</v>
      </c>
      <c r="R26" t="n">
        <v>1</v>
      </c>
      <c r="S26" t="n">
        <v>7</v>
      </c>
      <c r="T26" t="n">
        <v>9</v>
      </c>
      <c r="U26" t="n">
        <v>0</v>
      </c>
      <c r="V26" s="2" t="inlineStr">
        <is>
          <t>Garnlav
Kolflarnlav
Kortskaftad ärgspik
Vedskivlav
Violettgrå tagellav
Vårtig dynlav
Nästlav</t>
        </is>
      </c>
      <c r="W26">
        <f>HYPERLINK("https://klasma.github.io/Logging_2085/artfynd/A 37715-2026 artfynd.xlsx", "A 37715-2026")</f>
        <v/>
      </c>
      <c r="X26">
        <f>HYPERLINK("https://klasma.github.io/Logging_2085/kartor/A 37715-2026 karta.png", "A 37715-2026")</f>
        <v/>
      </c>
      <c r="Y26">
        <f>HYPERLINK("https://klasma.github.io/Logging_2085/kartor_geotiff/A 37715-2026 georefererad karta.tif", "A 37715-2026")</f>
        <v/>
      </c>
      <c r="AA26">
        <f>HYPERLINK("https://klasma.github.io/Logging_2085/klagomål/A 37715-2026 FSC-klagomål.docx", "A 37715-2026")</f>
        <v/>
      </c>
      <c r="AB26">
        <f>HYPERLINK("https://klasma.github.io/Logging_2085/klagomålsmail/A 37715-2026 FSC-klagomål mail.docx", "A 37715-2026")</f>
        <v/>
      </c>
      <c r="AC26">
        <f>HYPERLINK("https://klasma.github.io/Logging_2085/tillsyn/A 37715-2026 tillsynsbegäran.docx", "A 37715-2026")</f>
        <v/>
      </c>
      <c r="AD26">
        <f>HYPERLINK("https://klasma.github.io/Logging_2085/tillsynsmail/A 37715-2026 tillsynsbegäran mail.docx", "A 37715-2026")</f>
        <v/>
      </c>
    </row>
    <row r="27" ht="15" customHeight="1">
      <c r="A27" t="inlineStr">
        <is>
          <t>S 1582-2026</t>
        </is>
      </c>
      <c r="B27" t="inlineStr">
        <is>
          <t>samrådsanmälan</t>
        </is>
      </c>
      <c r="C27" t="inlineStr">
        <is>
          <t>Annan skogsbruksåtgärd</t>
        </is>
      </c>
      <c r="D27" s="1" t="n">
        <v>46170</v>
      </c>
      <c r="E27" s="1" t="n">
        <v>46311</v>
      </c>
      <c r="F27" t="inlineStr">
        <is>
          <t>DALARNAS LÄN</t>
        </is>
      </c>
      <c r="G27" t="inlineStr">
        <is>
          <t>LUDVIKA</t>
        </is>
      </c>
      <c r="H27" t="inlineStr">
        <is>
          <t>Övriga Aktiebolag</t>
        </is>
      </c>
      <c r="I27" t="n">
        <v>10.1</v>
      </c>
      <c r="J27" t="n">
        <v>3</v>
      </c>
      <c r="K27" t="n">
        <v>2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7</v>
      </c>
      <c r="T27" t="n">
        <v>28</v>
      </c>
      <c r="U27" t="n">
        <v>1</v>
      </c>
      <c r="V27" s="2" t="inlineStr">
        <is>
          <t>Garnlav
Dropptaggsvamp
Tretåig hackspett
Korallblylav
Vedticka
Spillkråka
Tjäder</t>
        </is>
      </c>
      <c r="W27">
        <f>HYPERLINK("https://klasma.github.io/Logging_2085/artfynd/S 1582-2026 artfynd.xlsx", "S 1582-2026")</f>
        <v/>
      </c>
      <c r="X27">
        <f>HYPERLINK("https://klasma.github.io/Logging_2085/kartor/S 1582-2026 karta.png", "S 1582-2026")</f>
        <v/>
      </c>
      <c r="Y27">
        <f>HYPERLINK("https://klasma.github.io/Logging_2085/kartor_geotiff/S 1582-2026 georefererad karta.tif", "S 1582-2026")</f>
        <v/>
      </c>
      <c r="AA27">
        <f>HYPERLINK("https://klasma.github.io/Logging_2085/klagomål/S 1582-2026 FSC-klagomål.docx", "S 1582-2026")</f>
        <v/>
      </c>
      <c r="AB27">
        <f>HYPERLINK("https://klasma.github.io/Logging_2085/klagomålsmail/S 1582-2026 FSC-klagomål mail.docx", "S 1582-2026")</f>
        <v/>
      </c>
      <c r="AC27">
        <f>HYPERLINK("https://klasma.github.io/Logging_2085/tillsyn/S 1582-2026 tillsynsbegäran.docx", "S 1582-2026")</f>
        <v/>
      </c>
      <c r="AD27">
        <f>HYPERLINK("https://klasma.github.io/Logging_2085/tillsynsmail/S 1582-2026 tillsynsbegäran mail.docx", "S 1582-2026")</f>
        <v/>
      </c>
      <c r="AE27">
        <f>HYPERLINK("https://klasma.github.io/Logging_2085/fåglar/S 1582-2026 prioriterade fågelarter.docx", "S 1582-2026")</f>
        <v/>
      </c>
    </row>
    <row r="28" ht="15" customHeight="1">
      <c r="A28" t="inlineStr">
        <is>
          <t>A 33885-2025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45842</v>
      </c>
      <c r="E28" s="1" t="n">
        <v>46311</v>
      </c>
      <c r="F28" t="inlineStr">
        <is>
          <t>DALARNAS LÄN</t>
        </is>
      </c>
      <c r="G28" t="inlineStr">
        <is>
          <t>LUDVIKA</t>
        </is>
      </c>
      <c r="H28" t="inlineStr">
        <is>
          <t>Bergvik skog väst AB</t>
        </is>
      </c>
      <c r="I28" t="n">
        <v>2.6</v>
      </c>
      <c r="J28" t="n">
        <v>2</v>
      </c>
      <c r="K28" t="n">
        <v>1</v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4</v>
      </c>
      <c r="R28" t="n">
        <v>2</v>
      </c>
      <c r="S28" t="n">
        <v>6</v>
      </c>
      <c r="T28" t="n">
        <v>10</v>
      </c>
      <c r="U28" t="n">
        <v>10</v>
      </c>
      <c r="V28" s="2" t="inlineStr">
        <is>
          <t>Garnlav
Knärot
Dropptaggsvamp
Ullticka
Nästlav
Tjäder</t>
        </is>
      </c>
      <c r="W28">
        <f>HYPERLINK("https://klasma.github.io/Logging_2085/artfynd/A 33885-2025 artfynd.xlsx", "A 33885-2025")</f>
        <v/>
      </c>
      <c r="X28">
        <f>HYPERLINK("https://klasma.github.io/Logging_2085/kartor/A 33885-2025 karta.png", "A 33885-2025")</f>
        <v/>
      </c>
      <c r="Y28">
        <f>HYPERLINK("https://klasma.github.io/Logging_2085/kartor_geotiff/A 33885-2025 georefererad karta.tif", "A 33885-2025")</f>
        <v/>
      </c>
      <c r="Z28">
        <f>HYPERLINK("https://klasma.github.io/Logging_2085/knärot/A 33885-2025 karta knärot.png", "A 33885-2025")</f>
        <v/>
      </c>
      <c r="AA28">
        <f>HYPERLINK("https://klasma.github.io/Logging_2085/klagomål/A 33885-2025 FSC-klagomål.docx", "A 33885-2025")</f>
        <v/>
      </c>
      <c r="AB28">
        <f>HYPERLINK("https://klasma.github.io/Logging_2085/klagomålsmail/A 33885-2025 FSC-klagomål mail.docx", "A 33885-2025")</f>
        <v/>
      </c>
      <c r="AC28">
        <f>HYPERLINK("https://klasma.github.io/Logging_2085/tillsyn/A 33885-2025 tillsynsbegäran.docx", "A 33885-2025")</f>
        <v/>
      </c>
      <c r="AD28">
        <f>HYPERLINK("https://klasma.github.io/Logging_2085/tillsynsmail/A 33885-2025 tillsynsbegäran mail.docx", "A 33885-2025")</f>
        <v/>
      </c>
      <c r="AE28">
        <f>HYPERLINK("https://klasma.github.io/Logging_2085/fåglar/A 33885-2025 prioriterade fågelarter.docx", "A 33885-2025")</f>
        <v/>
      </c>
    </row>
    <row r="29" ht="15" customHeight="1">
      <c r="A29" t="inlineStr">
        <is>
          <t>A 22195-2025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45785</v>
      </c>
      <c r="E29" s="1" t="n">
        <v>46311</v>
      </c>
      <c r="F29" t="inlineStr">
        <is>
          <t>DALARNAS LÄN</t>
        </is>
      </c>
      <c r="G29" t="inlineStr">
        <is>
          <t>LUDVIKA</t>
        </is>
      </c>
      <c r="I29" t="n">
        <v>7.4</v>
      </c>
      <c r="J29" t="n">
        <v>5</v>
      </c>
      <c r="K29" t="n">
        <v>0</v>
      </c>
      <c r="L29" t="n">
        <v>3</v>
      </c>
      <c r="M29" t="n">
        <v>1</v>
      </c>
      <c r="N29" t="n">
        <v>0</v>
      </c>
      <c r="O29" t="n">
        <v>0</v>
      </c>
      <c r="P29" t="n">
        <v>0</v>
      </c>
      <c r="Q29" t="n">
        <v>4</v>
      </c>
      <c r="R29" t="n">
        <v>1</v>
      </c>
      <c r="S29" t="n">
        <v>6</v>
      </c>
      <c r="T29" t="n">
        <v>9</v>
      </c>
      <c r="U29" t="n">
        <v>9</v>
      </c>
      <c r="V29" s="2" t="inlineStr">
        <is>
          <t>Garnlav
Entita
Talltita
Tretåig hackspett
Spillkråka
Tjäder</t>
        </is>
      </c>
      <c r="W29">
        <f>HYPERLINK("https://klasma.github.io/Logging_2085/artfynd/A 22195-2025 artfynd.xlsx", "A 22195-2025")</f>
        <v/>
      </c>
      <c r="X29">
        <f>HYPERLINK("https://klasma.github.io/Logging_2085/kartor/A 22195-2025 karta.png", "A 22195-2025")</f>
        <v/>
      </c>
      <c r="Y29">
        <f>HYPERLINK("https://klasma.github.io/Logging_2085/kartor_geotiff/A 22195-2025 georefererad karta.tif", "A 22195-2025")</f>
        <v/>
      </c>
      <c r="AA29">
        <f>HYPERLINK("https://klasma.github.io/Logging_2085/klagomål/A 22195-2025 FSC-klagomål.docx", "A 22195-2025")</f>
        <v/>
      </c>
      <c r="AB29">
        <f>HYPERLINK("https://klasma.github.io/Logging_2085/klagomålsmail/A 22195-2025 FSC-klagomål mail.docx", "A 22195-2025")</f>
        <v/>
      </c>
      <c r="AC29">
        <f>HYPERLINK("https://klasma.github.io/Logging_2085/tillsyn/A 22195-2025 tillsynsbegäran.docx", "A 22195-2025")</f>
        <v/>
      </c>
      <c r="AD29">
        <f>HYPERLINK("https://klasma.github.io/Logging_2085/tillsynsmail/A 22195-2025 tillsynsbegäran mail.docx", "A 22195-2025")</f>
        <v/>
      </c>
      <c r="AE29">
        <f>HYPERLINK("https://klasma.github.io/Logging_2085/fåglar/A 22195-2025 prioriterade fågelarter.docx", "A 22195-2025")</f>
        <v/>
      </c>
    </row>
    <row r="30" ht="15" customHeight="1">
      <c r="A30" t="inlineStr">
        <is>
          <t>A 23862-2026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46167</v>
      </c>
      <c r="E30" s="1" t="n">
        <v>46311</v>
      </c>
      <c r="F30" t="inlineStr">
        <is>
          <t>DALARNAS LÄN</t>
        </is>
      </c>
      <c r="G30" t="inlineStr">
        <is>
          <t>LUDVIKA</t>
        </is>
      </c>
      <c r="H30" t="inlineStr">
        <is>
          <t>Bergvik skog väst AB</t>
        </is>
      </c>
      <c r="I30" t="n">
        <v>4.5</v>
      </c>
      <c r="J30" t="n">
        <v>1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</v>
      </c>
      <c r="T30" t="n">
        <v>7</v>
      </c>
      <c r="U30" t="n">
        <v>0</v>
      </c>
      <c r="V30" s="2" t="inlineStr">
        <is>
          <t>Bårdlav
Dvärgtufs
Korallblylav
Skinnlav
Stuplav
Utter</t>
        </is>
      </c>
      <c r="W30">
        <f>HYPERLINK("https://klasma.github.io/Logging_2085/artfynd/A 23862-2026 artfynd.xlsx", "A 23862-2026")</f>
        <v/>
      </c>
      <c r="X30">
        <f>HYPERLINK("https://klasma.github.io/Logging_2085/kartor/A 23862-2026 karta.png", "A 23862-2026")</f>
        <v/>
      </c>
      <c r="Y30">
        <f>HYPERLINK("https://klasma.github.io/Logging_2085/kartor_geotiff/A 23862-2026 georefererad karta.tif", "A 23862-2026")</f>
        <v/>
      </c>
      <c r="AA30">
        <f>HYPERLINK("https://klasma.github.io/Logging_2085/klagomål/A 23862-2026 FSC-klagomål.docx", "A 23862-2026")</f>
        <v/>
      </c>
      <c r="AB30">
        <f>HYPERLINK("https://klasma.github.io/Logging_2085/klagomålsmail/A 23862-2026 FSC-klagomål mail.docx", "A 23862-2026")</f>
        <v/>
      </c>
      <c r="AC30">
        <f>HYPERLINK("https://klasma.github.io/Logging_2085/tillsyn/A 23862-2026 tillsynsbegäran.docx", "A 23862-2026")</f>
        <v/>
      </c>
      <c r="AD30">
        <f>HYPERLINK("https://klasma.github.io/Logging_2085/tillsynsmail/A 23862-2026 tillsynsbegäran mail.docx", "A 23862-2026")</f>
        <v/>
      </c>
    </row>
    <row r="31" ht="15" customHeight="1">
      <c r="A31" t="inlineStr">
        <is>
          <t>A 59946-2025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45993</v>
      </c>
      <c r="E31" s="1" t="n">
        <v>46311</v>
      </c>
      <c r="F31" t="inlineStr">
        <is>
          <t>DALARNAS LÄN</t>
        </is>
      </c>
      <c r="G31" t="inlineStr">
        <is>
          <t>LUDVIKA</t>
        </is>
      </c>
      <c r="I31" t="n">
        <v>2.3</v>
      </c>
      <c r="J31" t="n">
        <v>2</v>
      </c>
      <c r="K31" t="n">
        <v>1</v>
      </c>
      <c r="L31" t="n">
        <v>3</v>
      </c>
      <c r="M31" t="n">
        <v>2</v>
      </c>
      <c r="N31" t="n">
        <v>0</v>
      </c>
      <c r="O31" t="n">
        <v>0</v>
      </c>
      <c r="P31" t="n">
        <v>0</v>
      </c>
      <c r="Q31" t="n">
        <v>5</v>
      </c>
      <c r="R31" t="n">
        <v>2</v>
      </c>
      <c r="S31" t="n">
        <v>6</v>
      </c>
      <c r="T31" t="n">
        <v>16</v>
      </c>
      <c r="U31" t="n">
        <v>16</v>
      </c>
      <c r="V31" s="2" t="inlineStr">
        <is>
          <t>Garnlav
Knärot
Kolflarnlav
Mörk kolflarnlav
Tretåig hackspett
Mindre märgborre</t>
        </is>
      </c>
      <c r="W31">
        <f>HYPERLINK("https://klasma.github.io/Logging_2085/artfynd/A 59946-2025 artfynd.xlsx", "A 59946-2025")</f>
        <v/>
      </c>
      <c r="X31">
        <f>HYPERLINK("https://klasma.github.io/Logging_2085/kartor/A 59946-2025 karta.png", "A 59946-2025")</f>
        <v/>
      </c>
      <c r="Y31">
        <f>HYPERLINK("https://klasma.github.io/Logging_2085/kartor_geotiff/A 59946-2025 georefererad karta.tif", "A 59946-2025")</f>
        <v/>
      </c>
      <c r="Z31">
        <f>HYPERLINK("https://klasma.github.io/Logging_2085/knärot/A 59946-2025 karta knärot.png", "A 59946-2025")</f>
        <v/>
      </c>
      <c r="AA31">
        <f>HYPERLINK("https://klasma.github.io/Logging_2085/klagomål/A 59946-2025 FSC-klagomål.docx", "A 59946-2025")</f>
        <v/>
      </c>
      <c r="AB31">
        <f>HYPERLINK("https://klasma.github.io/Logging_2085/klagomålsmail/A 59946-2025 FSC-klagomål mail.docx", "A 59946-2025")</f>
        <v/>
      </c>
      <c r="AC31">
        <f>HYPERLINK("https://klasma.github.io/Logging_2085/tillsyn/A 59946-2025 tillsynsbegäran.docx", "A 59946-2025")</f>
        <v/>
      </c>
      <c r="AD31">
        <f>HYPERLINK("https://klasma.github.io/Logging_2085/tillsynsmail/A 59946-2025 tillsynsbegäran mail.docx", "A 59946-2025")</f>
        <v/>
      </c>
      <c r="AE31">
        <f>HYPERLINK("https://klasma.github.io/Logging_2085/fåglar/A 59946-2025 prioriterade fågelarter.docx", "A 59946-2025")</f>
        <v/>
      </c>
    </row>
    <row r="32" ht="15" customHeight="1">
      <c r="A32" t="inlineStr">
        <is>
          <t>A 52779-2025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45957</v>
      </c>
      <c r="E32" s="1" t="n">
        <v>46311</v>
      </c>
      <c r="F32" t="inlineStr">
        <is>
          <t>DALARNAS LÄN</t>
        </is>
      </c>
      <c r="G32" t="inlineStr">
        <is>
          <t>LUDVIKA</t>
        </is>
      </c>
      <c r="H32" t="inlineStr">
        <is>
          <t>Bergvik skog väst AB</t>
        </is>
      </c>
      <c r="I32" t="n">
        <v>0.5</v>
      </c>
      <c r="J32" t="n">
        <v>1</v>
      </c>
      <c r="K32" t="n">
        <v>0</v>
      </c>
      <c r="L32" t="n">
        <v>3</v>
      </c>
      <c r="M32" t="n">
        <v>2</v>
      </c>
      <c r="N32" t="n">
        <v>0</v>
      </c>
      <c r="O32" t="n">
        <v>0</v>
      </c>
      <c r="P32" t="n">
        <v>0</v>
      </c>
      <c r="Q32" t="n">
        <v>5</v>
      </c>
      <c r="R32" t="n">
        <v>2</v>
      </c>
      <c r="S32" t="n">
        <v>6</v>
      </c>
      <c r="T32" t="n">
        <v>6</v>
      </c>
      <c r="U32" t="n">
        <v>0</v>
      </c>
      <c r="V32" s="2" t="inlineStr">
        <is>
          <t>Sexfläckig bastardsvärmare
Ängsblåvinge
Mindre tåtelsmygare
Motaggsvamp
Skogsklocka
Huggorm</t>
        </is>
      </c>
      <c r="W32">
        <f>HYPERLINK("https://klasma.github.io/Logging_2085/artfynd/A 52779-2025 artfynd.xlsx", "A 52779-2025")</f>
        <v/>
      </c>
      <c r="X32">
        <f>HYPERLINK("https://klasma.github.io/Logging_2085/kartor/A 52779-2025 karta.png", "A 52779-2025")</f>
        <v/>
      </c>
      <c r="Y32">
        <f>HYPERLINK("https://klasma.github.io/Logging_2085/kartor_geotiff/A 52779-2025 georefererad karta.tif", "A 52779-2025")</f>
        <v/>
      </c>
      <c r="AA32">
        <f>HYPERLINK("https://klasma.github.io/Logging_2085/klagomål/A 52779-2025 FSC-klagomål.docx", "A 52779-2025")</f>
        <v/>
      </c>
      <c r="AB32">
        <f>HYPERLINK("https://klasma.github.io/Logging_2085/klagomålsmail/A 52779-2025 FSC-klagomål mail.docx", "A 52779-2025")</f>
        <v/>
      </c>
      <c r="AC32">
        <f>HYPERLINK("https://klasma.github.io/Logging_2085/tillsyn/A 52779-2025 tillsynsbegäran.docx", "A 52779-2025")</f>
        <v/>
      </c>
      <c r="AD32">
        <f>HYPERLINK("https://klasma.github.io/Logging_2085/tillsynsmail/A 52779-2025 tillsynsbegäran mail.docx", "A 52779-2025")</f>
        <v/>
      </c>
    </row>
    <row r="33" ht="15" customHeight="1">
      <c r="A33" t="inlineStr">
        <is>
          <t>A 23681-2026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46163</v>
      </c>
      <c r="E33" s="1" t="n">
        <v>46311</v>
      </c>
      <c r="F33" t="inlineStr">
        <is>
          <t>DALARNAS LÄN</t>
        </is>
      </c>
      <c r="G33" t="inlineStr">
        <is>
          <t>LUDVIKA</t>
        </is>
      </c>
      <c r="I33" t="n">
        <v>6.2</v>
      </c>
      <c r="J33" t="n">
        <v>3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6</v>
      </c>
      <c r="T33" t="n">
        <v>26</v>
      </c>
      <c r="U33" t="n">
        <v>26</v>
      </c>
      <c r="V33" s="2" t="inlineStr">
        <is>
          <t>Dropptaggsvamp
Tretåig hackspett
Blodticka
Mindre märgborre
Järpe
Spillkråka</t>
        </is>
      </c>
      <c r="W33">
        <f>HYPERLINK("https://klasma.github.io/Logging_2085/artfynd/A 23681-2026 artfynd.xlsx", "A 23681-2026")</f>
        <v/>
      </c>
      <c r="X33">
        <f>HYPERLINK("https://klasma.github.io/Logging_2085/kartor/A 23681-2026 karta.png", "A 23681-2026")</f>
        <v/>
      </c>
      <c r="Y33">
        <f>HYPERLINK("https://klasma.github.io/Logging_2085/kartor_geotiff/A 23681-2026 georefererad karta.tif", "A 23681-2026")</f>
        <v/>
      </c>
      <c r="AA33">
        <f>HYPERLINK("https://klasma.github.io/Logging_2085/klagomål/A 23681-2026 FSC-klagomål.docx", "A 23681-2026")</f>
        <v/>
      </c>
      <c r="AB33">
        <f>HYPERLINK("https://klasma.github.io/Logging_2085/klagomålsmail/A 23681-2026 FSC-klagomål mail.docx", "A 23681-2026")</f>
        <v/>
      </c>
      <c r="AC33">
        <f>HYPERLINK("https://klasma.github.io/Logging_2085/tillsyn/A 23681-2026 tillsynsbegäran.docx", "A 23681-2026")</f>
        <v/>
      </c>
      <c r="AD33">
        <f>HYPERLINK("https://klasma.github.io/Logging_2085/tillsynsmail/A 23681-2026 tillsynsbegäran mail.docx", "A 23681-2026")</f>
        <v/>
      </c>
      <c r="AE33">
        <f>HYPERLINK("https://klasma.github.io/Logging_2085/fåglar/A 23681-2026 prioriterade fågelarter.docx", "A 23681-2026")</f>
        <v/>
      </c>
    </row>
    <row r="34" ht="15" customHeight="1">
      <c r="A34" t="inlineStr">
        <is>
          <t>A 55406-2025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45971</v>
      </c>
      <c r="E34" s="1" t="n">
        <v>46311</v>
      </c>
      <c r="F34" t="inlineStr">
        <is>
          <t>DALARNAS LÄN</t>
        </is>
      </c>
      <c r="G34" t="inlineStr">
        <is>
          <t>LUDVIKA</t>
        </is>
      </c>
      <c r="H34" t="inlineStr">
        <is>
          <t>Bergvik skog väst AB</t>
        </is>
      </c>
      <c r="I34" t="n">
        <v>25</v>
      </c>
      <c r="J34" t="n">
        <v>5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6</v>
      </c>
      <c r="T34" t="n">
        <v>7</v>
      </c>
      <c r="U34" t="n">
        <v>3</v>
      </c>
      <c r="V34" s="2" t="inlineStr">
        <is>
          <t>Knärot
Gullgröppa
Plattlummer
Blåsippa
Nattviol
Revlummer</t>
        </is>
      </c>
      <c r="W34">
        <f>HYPERLINK("https://klasma.github.io/Logging_2085/artfynd/A 55406-2025 artfynd.xlsx", "A 55406-2025")</f>
        <v/>
      </c>
      <c r="X34">
        <f>HYPERLINK("https://klasma.github.io/Logging_2085/kartor/A 55406-2025 karta.png", "A 55406-2025")</f>
        <v/>
      </c>
      <c r="Y34">
        <f>HYPERLINK("https://klasma.github.io/Logging_2085/kartor_geotiff/A 55406-2025 georefererad karta.tif", "A 55406-2025")</f>
        <v/>
      </c>
      <c r="Z34">
        <f>HYPERLINK("https://klasma.github.io/Logging_2085/knärot/A 55406-2025 karta knärot.png", "A 55406-2025")</f>
        <v/>
      </c>
      <c r="AA34">
        <f>HYPERLINK("https://klasma.github.io/Logging_2085/klagomål/A 55406-2025 FSC-klagomål.docx", "A 55406-2025")</f>
        <v/>
      </c>
      <c r="AB34">
        <f>HYPERLINK("https://klasma.github.io/Logging_2085/klagomålsmail/A 55406-2025 FSC-klagomål mail.docx", "A 55406-2025")</f>
        <v/>
      </c>
      <c r="AC34">
        <f>HYPERLINK("https://klasma.github.io/Logging_2085/tillsyn/A 55406-2025 tillsynsbegäran.docx", "A 55406-2025")</f>
        <v/>
      </c>
      <c r="AD34">
        <f>HYPERLINK("https://klasma.github.io/Logging_2085/tillsynsmail/A 55406-2025 tillsynsbegäran mail.docx", "A 55406-2025")</f>
        <v/>
      </c>
    </row>
    <row r="35" ht="15" customHeight="1">
      <c r="A35" t="inlineStr">
        <is>
          <t>A 49775-2025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45940</v>
      </c>
      <c r="E35" s="1" t="n">
        <v>46311</v>
      </c>
      <c r="F35" t="inlineStr">
        <is>
          <t>DALARNAS LÄN</t>
        </is>
      </c>
      <c r="G35" t="inlineStr">
        <is>
          <t>LUDVIKA</t>
        </is>
      </c>
      <c r="H35" t="inlineStr">
        <is>
          <t>Bergvik skog väst AB</t>
        </is>
      </c>
      <c r="I35" t="n">
        <v>25.5</v>
      </c>
      <c r="J35" t="n">
        <v>3</v>
      </c>
      <c r="K35" t="n">
        <v>1</v>
      </c>
      <c r="L35" t="n">
        <v>2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1</v>
      </c>
      <c r="S35" t="n">
        <v>6</v>
      </c>
      <c r="T35" t="n">
        <v>20</v>
      </c>
      <c r="U35" t="n">
        <v>20</v>
      </c>
      <c r="V35" s="2" t="inlineStr">
        <is>
          <t>Garnlav
Kolflarnlav
Tretåig hackspett
Mindre märgborre
Järpe
Orre</t>
        </is>
      </c>
      <c r="W35">
        <f>HYPERLINK("https://klasma.github.io/Logging_2085/artfynd/A 49775-2025 artfynd.xlsx", "A 49775-2025")</f>
        <v/>
      </c>
      <c r="X35">
        <f>HYPERLINK("https://klasma.github.io/Logging_2085/kartor/A 49775-2025 karta.png", "A 49775-2025")</f>
        <v/>
      </c>
      <c r="Y35">
        <f>HYPERLINK("https://klasma.github.io/Logging_2085/kartor_geotiff/A 49775-2025 georefererad karta.tif", "A 49775-2025")</f>
        <v/>
      </c>
      <c r="AA35">
        <f>HYPERLINK("https://klasma.github.io/Logging_2085/klagomål/A 49775-2025 FSC-klagomål.docx", "A 49775-2025")</f>
        <v/>
      </c>
      <c r="AB35">
        <f>HYPERLINK("https://klasma.github.io/Logging_2085/klagomålsmail/A 49775-2025 FSC-klagomål mail.docx", "A 49775-2025")</f>
        <v/>
      </c>
      <c r="AC35">
        <f>HYPERLINK("https://klasma.github.io/Logging_2085/tillsyn/A 49775-2025 tillsynsbegäran.docx", "A 49775-2025")</f>
        <v/>
      </c>
      <c r="AD35">
        <f>HYPERLINK("https://klasma.github.io/Logging_2085/tillsynsmail/A 49775-2025 tillsynsbegäran mail.docx", "A 49775-2025")</f>
        <v/>
      </c>
      <c r="AE35">
        <f>HYPERLINK("https://klasma.github.io/Logging_2085/fåglar/A 49775-2025 prioriterade fågelarter.docx", "A 49775-2025")</f>
        <v/>
      </c>
    </row>
    <row r="36" ht="15" customHeight="1">
      <c r="A36" t="inlineStr">
        <is>
          <t>A 63299-2025</t>
        </is>
      </c>
      <c r="B36" t="inlineStr">
        <is>
          <t>avverkningsanmälan</t>
        </is>
      </c>
      <c r="C36" t="inlineStr">
        <is>
          <t>Avverkning för att bevara och utveckla /försöksver</t>
        </is>
      </c>
      <c r="D36" s="1" t="n">
        <v>46010</v>
      </c>
      <c r="E36" s="1" t="n">
        <v>46311</v>
      </c>
      <c r="F36" t="inlineStr">
        <is>
          <t>DALARNAS LÄN</t>
        </is>
      </c>
      <c r="G36" t="inlineStr">
        <is>
          <t>LUDVIKA</t>
        </is>
      </c>
      <c r="H36" t="inlineStr">
        <is>
          <t>Bergvik skog väst AB</t>
        </is>
      </c>
      <c r="I36" t="n">
        <v>1.4</v>
      </c>
      <c r="J36" t="n">
        <v>1</v>
      </c>
      <c r="K36" t="n">
        <v>0</v>
      </c>
      <c r="L36" t="n">
        <v>3</v>
      </c>
      <c r="M36" t="n">
        <v>2</v>
      </c>
      <c r="N36" t="n">
        <v>0</v>
      </c>
      <c r="O36" t="n">
        <v>0</v>
      </c>
      <c r="P36" t="n">
        <v>0</v>
      </c>
      <c r="Q36" t="n">
        <v>5</v>
      </c>
      <c r="R36" t="n">
        <v>2</v>
      </c>
      <c r="S36" t="n">
        <v>6</v>
      </c>
      <c r="T36" t="n">
        <v>8</v>
      </c>
      <c r="U36" t="n">
        <v>1</v>
      </c>
      <c r="V36" s="2" t="inlineStr">
        <is>
          <t>Garnlav
Skrovlig taggsvamp
Blå taggsvamp
Motaggsvamp
Talltaggsvamp
Tjäder</t>
        </is>
      </c>
      <c r="W36">
        <f>HYPERLINK("https://klasma.github.io/Logging_2085/artfynd/A 63299-2025 artfynd.xlsx", "A 63299-2025")</f>
        <v/>
      </c>
      <c r="X36">
        <f>HYPERLINK("https://klasma.github.io/Logging_2085/kartor/A 63299-2025 karta.png", "A 63299-2025")</f>
        <v/>
      </c>
      <c r="Y36">
        <f>HYPERLINK("https://klasma.github.io/Logging_2085/kartor_geotiff/A 63299-2025 georefererad karta.tif", "A 63299-2025")</f>
        <v/>
      </c>
      <c r="AA36">
        <f>HYPERLINK("https://klasma.github.io/Logging_2085/klagomål/A 63299-2025 FSC-klagomål.docx", "A 63299-2025")</f>
        <v/>
      </c>
      <c r="AB36">
        <f>HYPERLINK("https://klasma.github.io/Logging_2085/klagomålsmail/A 63299-2025 FSC-klagomål mail.docx", "A 63299-2025")</f>
        <v/>
      </c>
      <c r="AC36">
        <f>HYPERLINK("https://klasma.github.io/Logging_2085/tillsyn/A 63299-2025 tillsynsbegäran.docx", "A 63299-2025")</f>
        <v/>
      </c>
      <c r="AD36">
        <f>HYPERLINK("https://klasma.github.io/Logging_2085/tillsynsmail/A 63299-2025 tillsynsbegäran mail.docx", "A 63299-2025")</f>
        <v/>
      </c>
      <c r="AE36">
        <f>HYPERLINK("https://klasma.github.io/Logging_2085/fåglar/A 63299-2025 prioriterade fågelarter.docx", "A 63299-2025")</f>
        <v/>
      </c>
    </row>
    <row r="37" ht="15" customHeight="1">
      <c r="A37" t="inlineStr">
        <is>
          <t>A 19717-2022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44694</v>
      </c>
      <c r="E37" s="1" t="n">
        <v>46311</v>
      </c>
      <c r="F37" t="inlineStr">
        <is>
          <t>DALARNAS LÄN</t>
        </is>
      </c>
      <c r="G37" t="inlineStr">
        <is>
          <t>LUDVIKA</t>
        </is>
      </c>
      <c r="H37" t="inlineStr">
        <is>
          <t>Bergvik skog väst AB</t>
        </is>
      </c>
      <c r="I37" t="n">
        <v>1.1</v>
      </c>
      <c r="J37" t="n">
        <v>0</v>
      </c>
      <c r="K37" t="n">
        <v>4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5</v>
      </c>
      <c r="T37" t="n">
        <v>5</v>
      </c>
      <c r="U37" t="n">
        <v>0</v>
      </c>
      <c r="V37" s="2" t="inlineStr">
        <is>
          <t>Aspgelélav
Bårdlav
Dvärgtufs
Skinnlav
Vedticka</t>
        </is>
      </c>
      <c r="W37">
        <f>HYPERLINK("https://klasma.github.io/Logging_2085/artfynd/A 19717-2022 artfynd.xlsx", "A 19717-2022")</f>
        <v/>
      </c>
      <c r="X37">
        <f>HYPERLINK("https://klasma.github.io/Logging_2085/kartor/A 19717-2022 karta.png", "A 19717-2022")</f>
        <v/>
      </c>
      <c r="Y37">
        <f>HYPERLINK("https://klasma.github.io/Logging_2085/kartor_geotiff/A 19717-2022 georefererad karta.tif", "A 19717-2022")</f>
        <v/>
      </c>
      <c r="AA37">
        <f>HYPERLINK("https://klasma.github.io/Logging_2085/klagomål/A 19717-2022 FSC-klagomål.docx", "A 19717-2022")</f>
        <v/>
      </c>
      <c r="AB37">
        <f>HYPERLINK("https://klasma.github.io/Logging_2085/klagomålsmail/A 19717-2022 FSC-klagomål mail.docx", "A 19717-2022")</f>
        <v/>
      </c>
      <c r="AC37">
        <f>HYPERLINK("https://klasma.github.io/Logging_2085/tillsyn/A 19717-2022 tillsynsbegäran.docx", "A 19717-2022")</f>
        <v/>
      </c>
      <c r="AD37">
        <f>HYPERLINK("https://klasma.github.io/Logging_2085/tillsynsmail/A 19717-2022 tillsynsbegäran mail.docx", "A 19717-2022")</f>
        <v/>
      </c>
    </row>
    <row r="38" ht="15" customHeight="1">
      <c r="A38" t="inlineStr">
        <is>
          <t>A 23491-2026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46163</v>
      </c>
      <c r="E38" s="1" t="n">
        <v>46311</v>
      </c>
      <c r="F38" t="inlineStr">
        <is>
          <t>DALARNAS LÄN</t>
        </is>
      </c>
      <c r="G38" t="inlineStr">
        <is>
          <t>LUDVIKA</t>
        </is>
      </c>
      <c r="H38" t="inlineStr">
        <is>
          <t>Bergvik skog väst AB</t>
        </is>
      </c>
      <c r="I38" t="n">
        <v>7.9</v>
      </c>
      <c r="J38" t="n">
        <v>4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5</v>
      </c>
      <c r="T38" t="n">
        <v>6</v>
      </c>
      <c r="U38" t="n">
        <v>6</v>
      </c>
      <c r="V38" s="2" t="inlineStr">
        <is>
          <t>Garnlav
Tretåig hackspett
Korallrot
Spillkråka
Tjäder</t>
        </is>
      </c>
      <c r="W38">
        <f>HYPERLINK("https://klasma.github.io/Logging_2085/artfynd/A 23491-2026 artfynd.xlsx", "A 23491-2026")</f>
        <v/>
      </c>
      <c r="X38">
        <f>HYPERLINK("https://klasma.github.io/Logging_2085/kartor/A 23491-2026 karta.png", "A 23491-2026")</f>
        <v/>
      </c>
      <c r="Y38">
        <f>HYPERLINK("https://klasma.github.io/Logging_2085/kartor_geotiff/A 23491-2026 georefererad karta.tif", "A 23491-2026")</f>
        <v/>
      </c>
      <c r="AA38">
        <f>HYPERLINK("https://klasma.github.io/Logging_2085/klagomål/A 23491-2026 FSC-klagomål.docx", "A 23491-2026")</f>
        <v/>
      </c>
      <c r="AB38">
        <f>HYPERLINK("https://klasma.github.io/Logging_2085/klagomålsmail/A 23491-2026 FSC-klagomål mail.docx", "A 23491-2026")</f>
        <v/>
      </c>
      <c r="AC38">
        <f>HYPERLINK("https://klasma.github.io/Logging_2085/tillsyn/A 23491-2026 tillsynsbegäran.docx", "A 23491-2026")</f>
        <v/>
      </c>
      <c r="AD38">
        <f>HYPERLINK("https://klasma.github.io/Logging_2085/tillsynsmail/A 23491-2026 tillsynsbegäran mail.docx", "A 23491-2026")</f>
        <v/>
      </c>
      <c r="AE38">
        <f>HYPERLINK("https://klasma.github.io/Logging_2085/fåglar/A 23491-2026 prioriterade fågelarter.docx", "A 23491-2026")</f>
        <v/>
      </c>
    </row>
    <row r="39" ht="15" customHeight="1">
      <c r="A39" t="inlineStr">
        <is>
          <t>A 47287-2025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45930</v>
      </c>
      <c r="E39" s="1" t="n">
        <v>46311</v>
      </c>
      <c r="F39" t="inlineStr">
        <is>
          <t>DALARNAS LÄN</t>
        </is>
      </c>
      <c r="G39" t="inlineStr">
        <is>
          <t>LUDVIKA</t>
        </is>
      </c>
      <c r="H39" t="inlineStr">
        <is>
          <t>Bergvik skog väst AB</t>
        </is>
      </c>
      <c r="I39" t="n">
        <v>8.4</v>
      </c>
      <c r="J39" t="n">
        <v>3</v>
      </c>
      <c r="K39" t="n">
        <v>0</v>
      </c>
      <c r="L39" t="n">
        <v>3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1</v>
      </c>
      <c r="S39" t="n">
        <v>5</v>
      </c>
      <c r="T39" t="n">
        <v>8</v>
      </c>
      <c r="U39" t="n">
        <v>8</v>
      </c>
      <c r="V39" s="2" t="inlineStr">
        <is>
          <t>Garnlav
Lunglav
Talltita
Tretåig hackspett
Järpe</t>
        </is>
      </c>
      <c r="W39">
        <f>HYPERLINK("https://klasma.github.io/Logging_2085/artfynd/A 47287-2025 artfynd.xlsx", "A 47287-2025")</f>
        <v/>
      </c>
      <c r="X39">
        <f>HYPERLINK("https://klasma.github.io/Logging_2085/kartor/A 47287-2025 karta.png", "A 47287-2025")</f>
        <v/>
      </c>
      <c r="Y39">
        <f>HYPERLINK("https://klasma.github.io/Logging_2085/kartor_geotiff/A 47287-2025 georefererad karta.tif", "A 47287-2025")</f>
        <v/>
      </c>
      <c r="AA39">
        <f>HYPERLINK("https://klasma.github.io/Logging_2085/klagomål/A 47287-2025 FSC-klagomål.docx", "A 47287-2025")</f>
        <v/>
      </c>
      <c r="AB39">
        <f>HYPERLINK("https://klasma.github.io/Logging_2085/klagomålsmail/A 47287-2025 FSC-klagomål mail.docx", "A 47287-2025")</f>
        <v/>
      </c>
      <c r="AC39">
        <f>HYPERLINK("https://klasma.github.io/Logging_2085/tillsyn/A 47287-2025 tillsynsbegäran.docx", "A 47287-2025")</f>
        <v/>
      </c>
      <c r="AD39">
        <f>HYPERLINK("https://klasma.github.io/Logging_2085/tillsynsmail/A 47287-2025 tillsynsbegäran mail.docx", "A 47287-2025")</f>
        <v/>
      </c>
      <c r="AE39">
        <f>HYPERLINK("https://klasma.github.io/Logging_2085/fåglar/A 47287-2025 prioriterade fågelarter.docx", "A 47287-2025")</f>
        <v/>
      </c>
    </row>
    <row r="40" ht="15" customHeight="1">
      <c r="A40" t="inlineStr">
        <is>
          <t>A 37639-2024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45541</v>
      </c>
      <c r="E40" s="1" t="n">
        <v>46311</v>
      </c>
      <c r="F40" t="inlineStr">
        <is>
          <t>DALARNAS LÄN</t>
        </is>
      </c>
      <c r="G40" t="inlineStr">
        <is>
          <t>LUDVIKA</t>
        </is>
      </c>
      <c r="H40" t="inlineStr">
        <is>
          <t>Bergvik skog väst AB</t>
        </is>
      </c>
      <c r="I40" t="n">
        <v>1.6</v>
      </c>
      <c r="J40" t="n">
        <v>0</v>
      </c>
      <c r="K40" t="n">
        <v>2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1</v>
      </c>
      <c r="S40" t="n">
        <v>5</v>
      </c>
      <c r="T40" t="n">
        <v>5</v>
      </c>
      <c r="U40" t="n">
        <v>0</v>
      </c>
      <c r="V40" s="2" t="inlineStr">
        <is>
          <t>Garnlav
Lunglav
Violettgrå tagellav
Gulnål
Korallblylav</t>
        </is>
      </c>
      <c r="W40">
        <f>HYPERLINK("https://klasma.github.io/Logging_2085/artfynd/A 37639-2024 artfynd.xlsx", "A 37639-2024")</f>
        <v/>
      </c>
      <c r="X40">
        <f>HYPERLINK("https://klasma.github.io/Logging_2085/kartor/A 37639-2024 karta.png", "A 37639-2024")</f>
        <v/>
      </c>
      <c r="Y40">
        <f>HYPERLINK("https://klasma.github.io/Logging_2085/kartor_geotiff/A 37639-2024 georefererad karta.tif", "A 37639-2024")</f>
        <v/>
      </c>
      <c r="AA40">
        <f>HYPERLINK("https://klasma.github.io/Logging_2085/klagomål/A 37639-2024 FSC-klagomål.docx", "A 37639-2024")</f>
        <v/>
      </c>
      <c r="AB40">
        <f>HYPERLINK("https://klasma.github.io/Logging_2085/klagomålsmail/A 37639-2024 FSC-klagomål mail.docx", "A 37639-2024")</f>
        <v/>
      </c>
      <c r="AC40">
        <f>HYPERLINK("https://klasma.github.io/Logging_2085/tillsyn/A 37639-2024 tillsynsbegäran.docx", "A 37639-2024")</f>
        <v/>
      </c>
      <c r="AD40">
        <f>HYPERLINK("https://klasma.github.io/Logging_2085/tillsynsmail/A 37639-2024 tillsynsbegäran mail.docx", "A 37639-2024")</f>
        <v/>
      </c>
    </row>
    <row r="41" ht="15" customHeight="1">
      <c r="A41" t="inlineStr">
        <is>
          <t>A 23711-2026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46163</v>
      </c>
      <c r="E41" s="1" t="n">
        <v>46311</v>
      </c>
      <c r="F41" t="inlineStr">
        <is>
          <t>DALARNAS LÄN</t>
        </is>
      </c>
      <c r="G41" t="inlineStr">
        <is>
          <t>LUDVIKA</t>
        </is>
      </c>
      <c r="I41" t="n">
        <v>1.4</v>
      </c>
      <c r="J41" t="n">
        <v>2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5</v>
      </c>
      <c r="T41" t="n">
        <v>7</v>
      </c>
      <c r="U41" t="n">
        <v>7</v>
      </c>
      <c r="V41" s="2" t="inlineStr">
        <is>
          <t>Garnlav
Mindre märgborre
Järpe
Spillkråka
Timmerticka</t>
        </is>
      </c>
      <c r="W41">
        <f>HYPERLINK("https://klasma.github.io/Logging_2085/artfynd/A 23711-2026 artfynd.xlsx", "A 23711-2026")</f>
        <v/>
      </c>
      <c r="X41">
        <f>HYPERLINK("https://klasma.github.io/Logging_2085/kartor/A 23711-2026 karta.png", "A 23711-2026")</f>
        <v/>
      </c>
      <c r="Y41">
        <f>HYPERLINK("https://klasma.github.io/Logging_2085/kartor_geotiff/A 23711-2026 georefererad karta.tif", "A 23711-2026")</f>
        <v/>
      </c>
      <c r="AA41">
        <f>HYPERLINK("https://klasma.github.io/Logging_2085/klagomål/A 23711-2026 FSC-klagomål.docx", "A 23711-2026")</f>
        <v/>
      </c>
      <c r="AB41">
        <f>HYPERLINK("https://klasma.github.io/Logging_2085/klagomålsmail/A 23711-2026 FSC-klagomål mail.docx", "A 23711-2026")</f>
        <v/>
      </c>
      <c r="AC41">
        <f>HYPERLINK("https://klasma.github.io/Logging_2085/tillsyn/A 23711-2026 tillsynsbegäran.docx", "A 23711-2026")</f>
        <v/>
      </c>
      <c r="AD41">
        <f>HYPERLINK("https://klasma.github.io/Logging_2085/tillsynsmail/A 23711-2026 tillsynsbegäran mail.docx", "A 23711-2026")</f>
        <v/>
      </c>
      <c r="AE41">
        <f>HYPERLINK("https://klasma.github.io/Logging_2085/fåglar/A 23711-2026 prioriterade fågelarter.docx", "A 23711-2026")</f>
        <v/>
      </c>
    </row>
    <row r="42" ht="15" customHeight="1">
      <c r="A42" t="inlineStr">
        <is>
          <t>A 63164-2025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46010</v>
      </c>
      <c r="E42" s="1" t="n">
        <v>46311</v>
      </c>
      <c r="F42" t="inlineStr">
        <is>
          <t>DALARNAS LÄN</t>
        </is>
      </c>
      <c r="G42" t="inlineStr">
        <is>
          <t>LUDVIKA</t>
        </is>
      </c>
      <c r="H42" t="inlineStr">
        <is>
          <t>Bergvik skog väst AB</t>
        </is>
      </c>
      <c r="I42" t="n">
        <v>3.6</v>
      </c>
      <c r="J42" t="n">
        <v>1</v>
      </c>
      <c r="K42" t="n">
        <v>0</v>
      </c>
      <c r="L42" t="n">
        <v>3</v>
      </c>
      <c r="M42" t="n">
        <v>1</v>
      </c>
      <c r="N42" t="n">
        <v>0</v>
      </c>
      <c r="O42" t="n">
        <v>0</v>
      </c>
      <c r="P42" t="n">
        <v>0</v>
      </c>
      <c r="Q42" t="n">
        <v>4</v>
      </c>
      <c r="R42" t="n">
        <v>1</v>
      </c>
      <c r="S42" t="n">
        <v>5</v>
      </c>
      <c r="T42" t="n">
        <v>7</v>
      </c>
      <c r="U42" t="n">
        <v>1</v>
      </c>
      <c r="V42" s="2" t="inlineStr">
        <is>
          <t>Garnlav
Doftskinn
Gammelgransskål
Vedskivlav
Tjäder</t>
        </is>
      </c>
      <c r="W42">
        <f>HYPERLINK("https://klasma.github.io/Logging_2085/artfynd/A 63164-2025 artfynd.xlsx", "A 63164-2025")</f>
        <v/>
      </c>
      <c r="X42">
        <f>HYPERLINK("https://klasma.github.io/Logging_2085/kartor/A 63164-2025 karta.png", "A 63164-2025")</f>
        <v/>
      </c>
      <c r="Y42">
        <f>HYPERLINK("https://klasma.github.io/Logging_2085/kartor_geotiff/A 63164-2025 georefererad karta.tif", "A 63164-2025")</f>
        <v/>
      </c>
      <c r="AA42">
        <f>HYPERLINK("https://klasma.github.io/Logging_2085/klagomål/A 63164-2025 FSC-klagomål.docx", "A 63164-2025")</f>
        <v/>
      </c>
      <c r="AB42">
        <f>HYPERLINK("https://klasma.github.io/Logging_2085/klagomålsmail/A 63164-2025 FSC-klagomål mail.docx", "A 63164-2025")</f>
        <v/>
      </c>
      <c r="AC42">
        <f>HYPERLINK("https://klasma.github.io/Logging_2085/tillsyn/A 63164-2025 tillsynsbegäran.docx", "A 63164-2025")</f>
        <v/>
      </c>
      <c r="AD42">
        <f>HYPERLINK("https://klasma.github.io/Logging_2085/tillsynsmail/A 63164-2025 tillsynsbegäran mail.docx", "A 63164-2025")</f>
        <v/>
      </c>
      <c r="AE42">
        <f>HYPERLINK("https://klasma.github.io/Logging_2085/fåglar/A 63164-2025 prioriterade fågelarter.docx", "A 63164-2025")</f>
        <v/>
      </c>
    </row>
    <row r="43" ht="15" customHeight="1">
      <c r="A43" t="inlineStr">
        <is>
          <t>A 34144-2026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46253</v>
      </c>
      <c r="E43" s="1" t="n">
        <v>46311</v>
      </c>
      <c r="F43" t="inlineStr">
        <is>
          <t>DALARNAS LÄN</t>
        </is>
      </c>
      <c r="G43" t="inlineStr">
        <is>
          <t>LUDVIKA</t>
        </is>
      </c>
      <c r="H43" t="inlineStr">
        <is>
          <t>Bergvik skog väst AB</t>
        </is>
      </c>
      <c r="I43" t="n">
        <v>4.6</v>
      </c>
      <c r="J43" t="n">
        <v>2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5</v>
      </c>
      <c r="T43" t="n">
        <v>5</v>
      </c>
      <c r="U43" t="n">
        <v>5</v>
      </c>
      <c r="V43" s="2" t="inlineStr">
        <is>
          <t>Garnlav
Dropptaggsvamp
Korallblylav
Järpe
Spillkråka</t>
        </is>
      </c>
      <c r="W43">
        <f>HYPERLINK("https://klasma.github.io/Logging_2085/artfynd/A 34144-2026 artfynd.xlsx", "A 34144-2026")</f>
        <v/>
      </c>
      <c r="X43">
        <f>HYPERLINK("https://klasma.github.io/Logging_2085/kartor/A 34144-2026 karta.png", "A 34144-2026")</f>
        <v/>
      </c>
      <c r="Y43">
        <f>HYPERLINK("https://klasma.github.io/Logging_2085/kartor_geotiff/A 34144-2026 georefererad karta.tif", "A 34144-2026")</f>
        <v/>
      </c>
      <c r="AA43">
        <f>HYPERLINK("https://klasma.github.io/Logging_2085/klagomål/A 34144-2026 FSC-klagomål.docx", "A 34144-2026")</f>
        <v/>
      </c>
      <c r="AB43">
        <f>HYPERLINK("https://klasma.github.io/Logging_2085/klagomålsmail/A 34144-2026 FSC-klagomål mail.docx", "A 34144-2026")</f>
        <v/>
      </c>
      <c r="AC43">
        <f>HYPERLINK("https://klasma.github.io/Logging_2085/tillsyn/A 34144-2026 tillsynsbegäran.docx", "A 34144-2026")</f>
        <v/>
      </c>
      <c r="AD43">
        <f>HYPERLINK("https://klasma.github.io/Logging_2085/tillsynsmail/A 34144-2026 tillsynsbegäran mail.docx", "A 34144-2026")</f>
        <v/>
      </c>
      <c r="AE43">
        <f>HYPERLINK("https://klasma.github.io/Logging_2085/fåglar/A 34144-2026 prioriterade fågelarter.docx", "A 34144-2026")</f>
        <v/>
      </c>
    </row>
    <row r="44" ht="15" customHeight="1">
      <c r="A44" t="inlineStr">
        <is>
          <t>A 23714-2026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46163</v>
      </c>
      <c r="E44" s="1" t="n">
        <v>46311</v>
      </c>
      <c r="F44" t="inlineStr">
        <is>
          <t>DALARNAS LÄN</t>
        </is>
      </c>
      <c r="G44" t="inlineStr">
        <is>
          <t>LUDVIKA</t>
        </is>
      </c>
      <c r="I44" t="n">
        <v>4.6</v>
      </c>
      <c r="J44" t="n">
        <v>2</v>
      </c>
      <c r="K44" t="n">
        <v>0</v>
      </c>
      <c r="L44" t="n">
        <v>3</v>
      </c>
      <c r="M44" t="n">
        <v>1</v>
      </c>
      <c r="N44" t="n">
        <v>0</v>
      </c>
      <c r="O44" t="n">
        <v>0</v>
      </c>
      <c r="P44" t="n">
        <v>0</v>
      </c>
      <c r="Q44" t="n">
        <v>4</v>
      </c>
      <c r="R44" t="n">
        <v>1</v>
      </c>
      <c r="S44" t="n">
        <v>5</v>
      </c>
      <c r="T44" t="n">
        <v>7</v>
      </c>
      <c r="U44" t="n">
        <v>7</v>
      </c>
      <c r="V44" s="2" t="inlineStr">
        <is>
          <t>Garnlav
Rosenticka
Tretåig hackspett
Ullticka
Spillkråka</t>
        </is>
      </c>
      <c r="W44">
        <f>HYPERLINK("https://klasma.github.io/Logging_2085/artfynd/A 23714-2026 artfynd.xlsx", "A 23714-2026")</f>
        <v/>
      </c>
      <c r="X44">
        <f>HYPERLINK("https://klasma.github.io/Logging_2085/kartor/A 23714-2026 karta.png", "A 23714-2026")</f>
        <v/>
      </c>
      <c r="Y44">
        <f>HYPERLINK("https://klasma.github.io/Logging_2085/kartor_geotiff/A 23714-2026 georefererad karta.tif", "A 23714-2026")</f>
        <v/>
      </c>
      <c r="AA44">
        <f>HYPERLINK("https://klasma.github.io/Logging_2085/klagomål/A 23714-2026 FSC-klagomål.docx", "A 23714-2026")</f>
        <v/>
      </c>
      <c r="AB44">
        <f>HYPERLINK("https://klasma.github.io/Logging_2085/klagomålsmail/A 23714-2026 FSC-klagomål mail.docx", "A 23714-2026")</f>
        <v/>
      </c>
      <c r="AC44">
        <f>HYPERLINK("https://klasma.github.io/Logging_2085/tillsyn/A 23714-2026 tillsynsbegäran.docx", "A 23714-2026")</f>
        <v/>
      </c>
      <c r="AD44">
        <f>HYPERLINK("https://klasma.github.io/Logging_2085/tillsynsmail/A 23714-2026 tillsynsbegäran mail.docx", "A 23714-2026")</f>
        <v/>
      </c>
      <c r="AE44">
        <f>HYPERLINK("https://klasma.github.io/Logging_2085/fåglar/A 23714-2026 prioriterade fågelarter.docx", "A 23714-2026")</f>
        <v/>
      </c>
    </row>
    <row r="45" ht="15" customHeight="1">
      <c r="A45" t="inlineStr">
        <is>
          <t>A 31070-2026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46216</v>
      </c>
      <c r="E45" s="1" t="n">
        <v>46311</v>
      </c>
      <c r="F45" t="inlineStr">
        <is>
          <t>DALARNAS LÄN</t>
        </is>
      </c>
      <c r="G45" t="inlineStr">
        <is>
          <t>LUDVIKA</t>
        </is>
      </c>
      <c r="I45" t="n">
        <v>8.9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5</v>
      </c>
      <c r="T45" t="n">
        <v>13</v>
      </c>
      <c r="U45" t="n">
        <v>11</v>
      </c>
      <c r="V45" s="2" t="inlineStr">
        <is>
          <t>Knärot
Blåsippa
Spillkråka
Sälg
Tjäder</t>
        </is>
      </c>
      <c r="W45">
        <f>HYPERLINK("https://klasma.github.io/Logging_2085/artfynd/A 31070-2026 artfynd.xlsx", "A 31070-2026")</f>
        <v/>
      </c>
      <c r="X45">
        <f>HYPERLINK("https://klasma.github.io/Logging_2085/kartor/A 31070-2026 karta.png", "A 31070-2026")</f>
        <v/>
      </c>
      <c r="Y45">
        <f>HYPERLINK("https://klasma.github.io/Logging_2085/kartor_geotiff/A 31070-2026 georefererad karta.tif", "A 31070-2026")</f>
        <v/>
      </c>
      <c r="Z45">
        <f>HYPERLINK("https://klasma.github.io/Logging_2085/knärot/A 31070-2026 karta knärot.png", "A 31070-2026")</f>
        <v/>
      </c>
      <c r="AA45">
        <f>HYPERLINK("https://klasma.github.io/Logging_2085/klagomål/A 31070-2026 FSC-klagomål.docx", "A 31070-2026")</f>
        <v/>
      </c>
      <c r="AB45">
        <f>HYPERLINK("https://klasma.github.io/Logging_2085/klagomålsmail/A 31070-2026 FSC-klagomål mail.docx", "A 31070-2026")</f>
        <v/>
      </c>
      <c r="AC45">
        <f>HYPERLINK("https://klasma.github.io/Logging_2085/tillsyn/A 31070-2026 tillsynsbegäran.docx", "A 31070-2026")</f>
        <v/>
      </c>
      <c r="AD45">
        <f>HYPERLINK("https://klasma.github.io/Logging_2085/tillsynsmail/A 31070-2026 tillsynsbegäran mail.docx", "A 31070-2026")</f>
        <v/>
      </c>
      <c r="AE45">
        <f>HYPERLINK("https://klasma.github.io/Logging_2085/fåglar/A 31070-2026 prioriterade fågelarter.docx", "A 31070-2026")</f>
        <v/>
      </c>
    </row>
    <row r="46" ht="15" customHeight="1">
      <c r="A46" t="inlineStr">
        <is>
          <t>A 51928-2024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45607</v>
      </c>
      <c r="E46" s="1" t="n">
        <v>46311</v>
      </c>
      <c r="F46" t="inlineStr">
        <is>
          <t>DALARNAS LÄN</t>
        </is>
      </c>
      <c r="G46" t="inlineStr">
        <is>
          <t>LUDVIKA</t>
        </is>
      </c>
      <c r="H46" t="inlineStr">
        <is>
          <t>Bergvik skog väst AB</t>
        </is>
      </c>
      <c r="I46" t="n">
        <v>27.9</v>
      </c>
      <c r="J46" t="n">
        <v>0</v>
      </c>
      <c r="K46" t="n">
        <v>3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4</v>
      </c>
      <c r="T46" t="n">
        <v>4</v>
      </c>
      <c r="U46" t="n">
        <v>0</v>
      </c>
      <c r="V46" s="2" t="inlineStr">
        <is>
          <t>Brunpudrad nållav
Gulnål
Kornig nållav
Vedticka</t>
        </is>
      </c>
      <c r="W46">
        <f>HYPERLINK("https://klasma.github.io/Logging_2085/artfynd/A 51928-2024 artfynd.xlsx", "A 51928-2024")</f>
        <v/>
      </c>
      <c r="X46">
        <f>HYPERLINK("https://klasma.github.io/Logging_2085/kartor/A 51928-2024 karta.png", "A 51928-2024")</f>
        <v/>
      </c>
      <c r="Y46">
        <f>HYPERLINK("https://klasma.github.io/Logging_2085/kartor_geotiff/A 51928-2024 georefererad karta.tif", "A 51928-2024")</f>
        <v/>
      </c>
      <c r="AA46">
        <f>HYPERLINK("https://klasma.github.io/Logging_2085/klagomål/A 51928-2024 FSC-klagomål.docx", "A 51928-2024")</f>
        <v/>
      </c>
      <c r="AB46">
        <f>HYPERLINK("https://klasma.github.io/Logging_2085/klagomålsmail/A 51928-2024 FSC-klagomål mail.docx", "A 51928-2024")</f>
        <v/>
      </c>
      <c r="AC46">
        <f>HYPERLINK("https://klasma.github.io/Logging_2085/tillsyn/A 51928-2024 tillsynsbegäran.docx", "A 51928-2024")</f>
        <v/>
      </c>
      <c r="AD46">
        <f>HYPERLINK("https://klasma.github.io/Logging_2085/tillsynsmail/A 51928-2024 tillsynsbegäran mail.docx", "A 51928-2024")</f>
        <v/>
      </c>
    </row>
    <row r="47" ht="15" customHeight="1">
      <c r="A47" t="inlineStr">
        <is>
          <t>A 46721-2025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45926</v>
      </c>
      <c r="E47" s="1" t="n">
        <v>46311</v>
      </c>
      <c r="F47" t="inlineStr">
        <is>
          <t>DALARNAS LÄN</t>
        </is>
      </c>
      <c r="G47" t="inlineStr">
        <is>
          <t>LUDVIKA</t>
        </is>
      </c>
      <c r="H47" t="inlineStr">
        <is>
          <t>Bergvik skog väst AB</t>
        </is>
      </c>
      <c r="I47" t="n">
        <v>8.800000000000001</v>
      </c>
      <c r="J47" t="n">
        <v>3</v>
      </c>
      <c r="K47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4</v>
      </c>
      <c r="T47" t="n">
        <v>5</v>
      </c>
      <c r="U47" t="n">
        <v>4</v>
      </c>
      <c r="V47" s="2" t="inlineStr">
        <is>
          <t>Talltita
Tretåig hackspett
Vedskivlav
Järpe</t>
        </is>
      </c>
      <c r="W47">
        <f>HYPERLINK("https://klasma.github.io/Logging_2085/artfynd/A 46721-2025 artfynd.xlsx", "A 46721-2025")</f>
        <v/>
      </c>
      <c r="X47">
        <f>HYPERLINK("https://klasma.github.io/Logging_2085/kartor/A 46721-2025 karta.png", "A 46721-2025")</f>
        <v/>
      </c>
      <c r="Y47">
        <f>HYPERLINK("https://klasma.github.io/Logging_2085/kartor_geotiff/A 46721-2025 georefererad karta.tif", "A 46721-2025")</f>
        <v/>
      </c>
      <c r="AA47">
        <f>HYPERLINK("https://klasma.github.io/Logging_2085/klagomål/A 46721-2025 FSC-klagomål.docx", "A 46721-2025")</f>
        <v/>
      </c>
      <c r="AB47">
        <f>HYPERLINK("https://klasma.github.io/Logging_2085/klagomålsmail/A 46721-2025 FSC-klagomål mail.docx", "A 46721-2025")</f>
        <v/>
      </c>
      <c r="AC47">
        <f>HYPERLINK("https://klasma.github.io/Logging_2085/tillsyn/A 46721-2025 tillsynsbegäran.docx", "A 46721-2025")</f>
        <v/>
      </c>
      <c r="AD47">
        <f>HYPERLINK("https://klasma.github.io/Logging_2085/tillsynsmail/A 46721-2025 tillsynsbegäran mail.docx", "A 46721-2025")</f>
        <v/>
      </c>
      <c r="AE47">
        <f>HYPERLINK("https://klasma.github.io/Logging_2085/fåglar/A 46721-2025 prioriterade fågelarter.docx", "A 46721-2025")</f>
        <v/>
      </c>
    </row>
    <row r="48" ht="15" customHeight="1">
      <c r="A48" t="inlineStr">
        <is>
          <t>A 57803-2023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45246</v>
      </c>
      <c r="E48" s="1" t="n">
        <v>46311</v>
      </c>
      <c r="F48" t="inlineStr">
        <is>
          <t>DALARNAS LÄN</t>
        </is>
      </c>
      <c r="G48" t="inlineStr">
        <is>
          <t>LUDVIKA</t>
        </is>
      </c>
      <c r="I48" t="n">
        <v>3.3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4</v>
      </c>
      <c r="T48" t="n">
        <v>5</v>
      </c>
      <c r="U48" t="n">
        <v>5</v>
      </c>
      <c r="V48" s="2" t="inlineStr">
        <is>
          <t>Garnlav
Spillkråka
Tjäder
Gröngöling</t>
        </is>
      </c>
      <c r="W48">
        <f>HYPERLINK("https://klasma.github.io/Logging_2085/artfynd/A 57803-2023 artfynd.xlsx", "A 57803-2023")</f>
        <v/>
      </c>
      <c r="X48">
        <f>HYPERLINK("https://klasma.github.io/Logging_2085/kartor/A 57803-2023 karta.png", "A 57803-2023")</f>
        <v/>
      </c>
      <c r="Y48">
        <f>HYPERLINK("https://klasma.github.io/Logging_2085/kartor_geotiff/A 57803-2023 georefererad karta.tif", "A 57803-2023")</f>
        <v/>
      </c>
      <c r="AA48">
        <f>HYPERLINK("https://klasma.github.io/Logging_2085/klagomål/A 57803-2023 FSC-klagomål.docx", "A 57803-2023")</f>
        <v/>
      </c>
      <c r="AB48">
        <f>HYPERLINK("https://klasma.github.io/Logging_2085/klagomålsmail/A 57803-2023 FSC-klagomål mail.docx", "A 57803-2023")</f>
        <v/>
      </c>
      <c r="AC48">
        <f>HYPERLINK("https://klasma.github.io/Logging_2085/tillsyn/A 57803-2023 tillsynsbegäran.docx", "A 57803-2023")</f>
        <v/>
      </c>
      <c r="AD48">
        <f>HYPERLINK("https://klasma.github.io/Logging_2085/tillsynsmail/A 57803-2023 tillsynsbegäran mail.docx", "A 57803-2023")</f>
        <v/>
      </c>
      <c r="AE48">
        <f>HYPERLINK("https://klasma.github.io/Logging_2085/fåglar/A 57803-2023 prioriterade fågelarter.docx", "A 57803-2023")</f>
        <v/>
      </c>
    </row>
    <row r="49" ht="15" customHeight="1">
      <c r="A49" t="inlineStr">
        <is>
          <t>A 28738-2026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46198</v>
      </c>
      <c r="E49" s="1" t="n">
        <v>46311</v>
      </c>
      <c r="F49" t="inlineStr">
        <is>
          <t>DALARNAS LÄN</t>
        </is>
      </c>
      <c r="G49" t="inlineStr">
        <is>
          <t>LUDVIKA</t>
        </is>
      </c>
      <c r="H49" t="inlineStr">
        <is>
          <t>Bergvik skog väst AB</t>
        </is>
      </c>
      <c r="I49" t="n">
        <v>1.5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n">
        <v>4</v>
      </c>
      <c r="T49" t="n">
        <v>12</v>
      </c>
      <c r="U49" t="n">
        <v>12</v>
      </c>
      <c r="V49" s="2" t="inlineStr">
        <is>
          <t>Garnlav
Violettgrå tagellav
Mindre märgborre
Spillkråka</t>
        </is>
      </c>
      <c r="W49">
        <f>HYPERLINK("https://klasma.github.io/Logging_2085/artfynd/A 28738-2026 artfynd.xlsx", "A 28738-2026")</f>
        <v/>
      </c>
      <c r="X49">
        <f>HYPERLINK("https://klasma.github.io/Logging_2085/kartor/A 28738-2026 karta.png", "A 28738-2026")</f>
        <v/>
      </c>
      <c r="Y49">
        <f>HYPERLINK("https://klasma.github.io/Logging_2085/kartor_geotiff/A 28738-2026 georefererad karta.tif", "A 28738-2026")</f>
        <v/>
      </c>
      <c r="AA49">
        <f>HYPERLINK("https://klasma.github.io/Logging_2085/klagomål/A 28738-2026 FSC-klagomål.docx", "A 28738-2026")</f>
        <v/>
      </c>
      <c r="AB49">
        <f>HYPERLINK("https://klasma.github.io/Logging_2085/klagomålsmail/A 28738-2026 FSC-klagomål mail.docx", "A 28738-2026")</f>
        <v/>
      </c>
      <c r="AC49">
        <f>HYPERLINK("https://klasma.github.io/Logging_2085/tillsyn/A 28738-2026 tillsynsbegäran.docx", "A 28738-2026")</f>
        <v/>
      </c>
      <c r="AD49">
        <f>HYPERLINK("https://klasma.github.io/Logging_2085/tillsynsmail/A 28738-2026 tillsynsbegäran mail.docx", "A 28738-2026")</f>
        <v/>
      </c>
      <c r="AE49">
        <f>HYPERLINK("https://klasma.github.io/Logging_2085/fåglar/A 28738-2026 prioriterade fågelarter.docx", "A 28738-2026")</f>
        <v/>
      </c>
    </row>
    <row r="50" ht="15" customHeight="1">
      <c r="A50" t="inlineStr">
        <is>
          <t>A 38635-2026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46283</v>
      </c>
      <c r="E50" s="1" t="n">
        <v>46311</v>
      </c>
      <c r="F50" t="inlineStr">
        <is>
          <t>DALARNAS LÄN</t>
        </is>
      </c>
      <c r="G50" t="inlineStr">
        <is>
          <t>LUDVIKA</t>
        </is>
      </c>
      <c r="H50" t="inlineStr">
        <is>
          <t>Bergvik skog väst AB</t>
        </is>
      </c>
      <c r="I50" t="n">
        <v>2.2</v>
      </c>
      <c r="J50" t="n">
        <v>0</v>
      </c>
      <c r="K50" t="n">
        <v>3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4</v>
      </c>
      <c r="T50" t="n">
        <v>4</v>
      </c>
      <c r="U50" t="n">
        <v>0</v>
      </c>
      <c r="V50" s="2" t="inlineStr">
        <is>
          <t>Lunglav
Mörk husmossa
Vedticka
Vågbandad barkbock</t>
        </is>
      </c>
      <c r="W50">
        <f>HYPERLINK("https://klasma.github.io/Logging_2085/artfynd/A 38635-2026 artfynd.xlsx", "A 38635-2026")</f>
        <v/>
      </c>
      <c r="X50">
        <f>HYPERLINK("https://klasma.github.io/Logging_2085/kartor/A 38635-2026 karta.png", "A 38635-2026")</f>
        <v/>
      </c>
      <c r="Y50">
        <f>HYPERLINK("https://klasma.github.io/Logging_2085/kartor_geotiff/A 38635-2026 georefererad karta.tif", "A 38635-2026")</f>
        <v/>
      </c>
      <c r="AA50">
        <f>HYPERLINK("https://klasma.github.io/Logging_2085/klagomål/A 38635-2026 FSC-klagomål.docx", "A 38635-2026")</f>
        <v/>
      </c>
      <c r="AB50">
        <f>HYPERLINK("https://klasma.github.io/Logging_2085/klagomålsmail/A 38635-2026 FSC-klagomål mail.docx", "A 38635-2026")</f>
        <v/>
      </c>
      <c r="AC50">
        <f>HYPERLINK("https://klasma.github.io/Logging_2085/tillsyn/A 38635-2026 tillsynsbegäran.docx", "A 38635-2026")</f>
        <v/>
      </c>
      <c r="AD50">
        <f>HYPERLINK("https://klasma.github.io/Logging_2085/tillsynsmail/A 38635-2026 tillsynsbegäran mail.docx", "A 38635-2026")</f>
        <v/>
      </c>
    </row>
    <row r="51" ht="15" customHeight="1">
      <c r="A51" t="inlineStr">
        <is>
          <t>A 23682-2026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46163</v>
      </c>
      <c r="E51" s="1" t="n">
        <v>46311</v>
      </c>
      <c r="F51" t="inlineStr">
        <is>
          <t>DALARNAS LÄN</t>
        </is>
      </c>
      <c r="G51" t="inlineStr">
        <is>
          <t>LUDVIKA</t>
        </is>
      </c>
      <c r="I51" t="n">
        <v>3.9</v>
      </c>
      <c r="J51" t="n">
        <v>3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4</v>
      </c>
      <c r="T51" t="n">
        <v>5</v>
      </c>
      <c r="U51" t="n">
        <v>5</v>
      </c>
      <c r="V51" s="2" t="inlineStr">
        <is>
          <t>Vårärt
Järpe
Spillkråka
Tjäder</t>
        </is>
      </c>
      <c r="W51">
        <f>HYPERLINK("https://klasma.github.io/Logging_2085/artfynd/A 23682-2026 artfynd.xlsx", "A 23682-2026")</f>
        <v/>
      </c>
      <c r="X51">
        <f>HYPERLINK("https://klasma.github.io/Logging_2085/kartor/A 23682-2026 karta.png", "A 23682-2026")</f>
        <v/>
      </c>
      <c r="Y51">
        <f>HYPERLINK("https://klasma.github.io/Logging_2085/kartor_geotiff/A 23682-2026 georefererad karta.tif", "A 23682-2026")</f>
        <v/>
      </c>
      <c r="AA51">
        <f>HYPERLINK("https://klasma.github.io/Logging_2085/klagomål/A 23682-2026 FSC-klagomål.docx", "A 23682-2026")</f>
        <v/>
      </c>
      <c r="AB51">
        <f>HYPERLINK("https://klasma.github.io/Logging_2085/klagomålsmail/A 23682-2026 FSC-klagomål mail.docx", "A 23682-2026")</f>
        <v/>
      </c>
      <c r="AC51">
        <f>HYPERLINK("https://klasma.github.io/Logging_2085/tillsyn/A 23682-2026 tillsynsbegäran.docx", "A 23682-2026")</f>
        <v/>
      </c>
      <c r="AD51">
        <f>HYPERLINK("https://klasma.github.io/Logging_2085/tillsynsmail/A 23682-2026 tillsynsbegäran mail.docx", "A 23682-2026")</f>
        <v/>
      </c>
      <c r="AE51">
        <f>HYPERLINK("https://klasma.github.io/Logging_2085/fåglar/A 23682-2026 prioriterade fågelarter.docx", "A 23682-2026")</f>
        <v/>
      </c>
    </row>
    <row r="52" ht="15" customHeight="1">
      <c r="A52" t="inlineStr">
        <is>
          <t>A 58513-2025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45985</v>
      </c>
      <c r="E52" s="1" t="n">
        <v>46311</v>
      </c>
      <c r="F52" t="inlineStr">
        <is>
          <t>DALARNAS LÄN</t>
        </is>
      </c>
      <c r="G52" t="inlineStr">
        <is>
          <t>LUDVIKA</t>
        </is>
      </c>
      <c r="H52" t="inlineStr">
        <is>
          <t>Övriga Aktiebolag</t>
        </is>
      </c>
      <c r="I52" t="n">
        <v>7.2</v>
      </c>
      <c r="J52" t="n">
        <v>2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4</v>
      </c>
      <c r="T52" t="n">
        <v>23</v>
      </c>
      <c r="U52" t="n">
        <v>23</v>
      </c>
      <c r="V52" s="2" t="inlineStr">
        <is>
          <t>Garnlav
Tretåig hackspett
Gullgröppa
Spillkråka</t>
        </is>
      </c>
      <c r="W52">
        <f>HYPERLINK("https://klasma.github.io/Logging_2085/artfynd/A 58513-2025 artfynd.xlsx", "A 58513-2025")</f>
        <v/>
      </c>
      <c r="X52">
        <f>HYPERLINK("https://klasma.github.io/Logging_2085/kartor/A 58513-2025 karta.png", "A 58513-2025")</f>
        <v/>
      </c>
      <c r="Y52">
        <f>HYPERLINK("https://klasma.github.io/Logging_2085/kartor_geotiff/A 58513-2025 georefererad karta.tif", "A 58513-2025")</f>
        <v/>
      </c>
      <c r="AA52">
        <f>HYPERLINK("https://klasma.github.io/Logging_2085/klagomål/A 58513-2025 FSC-klagomål.docx", "A 58513-2025")</f>
        <v/>
      </c>
      <c r="AB52">
        <f>HYPERLINK("https://klasma.github.io/Logging_2085/klagomålsmail/A 58513-2025 FSC-klagomål mail.docx", "A 58513-2025")</f>
        <v/>
      </c>
      <c r="AC52">
        <f>HYPERLINK("https://klasma.github.io/Logging_2085/tillsyn/A 58513-2025 tillsynsbegäran.docx", "A 58513-2025")</f>
        <v/>
      </c>
      <c r="AD52">
        <f>HYPERLINK("https://klasma.github.io/Logging_2085/tillsynsmail/A 58513-2025 tillsynsbegäran mail.docx", "A 58513-2025")</f>
        <v/>
      </c>
      <c r="AE52">
        <f>HYPERLINK("https://klasma.github.io/Logging_2085/fåglar/A 58513-2025 prioriterade fågelarter.docx", "A 58513-2025")</f>
        <v/>
      </c>
    </row>
    <row r="53" ht="15" customHeight="1">
      <c r="A53" t="inlineStr">
        <is>
          <t>A 22589-2026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46155</v>
      </c>
      <c r="E53" s="1" t="n">
        <v>46311</v>
      </c>
      <c r="F53" t="inlineStr">
        <is>
          <t>DALARNAS LÄN</t>
        </is>
      </c>
      <c r="G53" t="inlineStr">
        <is>
          <t>LUDVIKA</t>
        </is>
      </c>
      <c r="H53" t="inlineStr">
        <is>
          <t>Bergvik skog väst AB</t>
        </is>
      </c>
      <c r="I53" t="n">
        <v>3.7</v>
      </c>
      <c r="J53" t="n">
        <v>3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4</v>
      </c>
      <c r="T53" t="n">
        <v>5</v>
      </c>
      <c r="U53" t="n">
        <v>5</v>
      </c>
      <c r="V53" s="2" t="inlineStr">
        <is>
          <t>Garnlav
Järpe
Spillkråka
Tjäder</t>
        </is>
      </c>
      <c r="W53">
        <f>HYPERLINK("https://klasma.github.io/Logging_2085/artfynd/A 22589-2026 artfynd.xlsx", "A 22589-2026")</f>
        <v/>
      </c>
      <c r="X53">
        <f>HYPERLINK("https://klasma.github.io/Logging_2085/kartor/A 22589-2026 karta.png", "A 22589-2026")</f>
        <v/>
      </c>
      <c r="Y53">
        <f>HYPERLINK("https://klasma.github.io/Logging_2085/kartor_geotiff/A 22589-2026 georefererad karta.tif", "A 22589-2026")</f>
        <v/>
      </c>
      <c r="AA53">
        <f>HYPERLINK("https://klasma.github.io/Logging_2085/klagomål/A 22589-2026 FSC-klagomål.docx", "A 22589-2026")</f>
        <v/>
      </c>
      <c r="AB53">
        <f>HYPERLINK("https://klasma.github.io/Logging_2085/klagomålsmail/A 22589-2026 FSC-klagomål mail.docx", "A 22589-2026")</f>
        <v/>
      </c>
      <c r="AC53">
        <f>HYPERLINK("https://klasma.github.io/Logging_2085/tillsyn/A 22589-2026 tillsynsbegäran.docx", "A 22589-2026")</f>
        <v/>
      </c>
      <c r="AD53">
        <f>HYPERLINK("https://klasma.github.io/Logging_2085/tillsynsmail/A 22589-2026 tillsynsbegäran mail.docx", "A 22589-2026")</f>
        <v/>
      </c>
      <c r="AE53">
        <f>HYPERLINK("https://klasma.github.io/Logging_2085/fåglar/A 22589-2026 prioriterade fågelarter.docx", "A 22589-2026")</f>
        <v/>
      </c>
    </row>
    <row r="54" ht="15" customHeight="1">
      <c r="A54" t="inlineStr">
        <is>
          <t>A 11705-2024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45373</v>
      </c>
      <c r="E54" s="1" t="n">
        <v>46311</v>
      </c>
      <c r="F54" t="inlineStr">
        <is>
          <t>DALARNAS LÄN</t>
        </is>
      </c>
      <c r="G54" t="inlineStr">
        <is>
          <t>LUDVIKA</t>
        </is>
      </c>
      <c r="I54" t="n">
        <v>35.4</v>
      </c>
      <c r="J54" t="n">
        <v>2</v>
      </c>
      <c r="K54" t="n">
        <v>0</v>
      </c>
      <c r="L54" t="n">
        <v>2</v>
      </c>
      <c r="M54" t="n">
        <v>1</v>
      </c>
      <c r="N54" t="n">
        <v>0</v>
      </c>
      <c r="O54" t="n">
        <v>0</v>
      </c>
      <c r="P54" t="n">
        <v>0</v>
      </c>
      <c r="Q54" t="n">
        <v>3</v>
      </c>
      <c r="R54" t="n">
        <v>1</v>
      </c>
      <c r="S54" t="n">
        <v>4</v>
      </c>
      <c r="T54" t="n">
        <v>45</v>
      </c>
      <c r="U54" t="n">
        <v>45</v>
      </c>
      <c r="V54" s="2" t="inlineStr">
        <is>
          <t>Garnlav
Kortskaftad ärgspik
Tretåig hackspett
Spillkråka</t>
        </is>
      </c>
      <c r="W54">
        <f>HYPERLINK("https://klasma.github.io/Logging_2085/artfynd/A 11705-2024 artfynd.xlsx", "A 11705-2024")</f>
        <v/>
      </c>
      <c r="X54">
        <f>HYPERLINK("https://klasma.github.io/Logging_2085/kartor/A 11705-2024 karta.png", "A 11705-2024")</f>
        <v/>
      </c>
      <c r="Y54">
        <f>HYPERLINK("https://klasma.github.io/Logging_2085/kartor_geotiff/A 11705-2024 georefererad karta.tif", "A 11705-2024")</f>
        <v/>
      </c>
      <c r="AA54">
        <f>HYPERLINK("https://klasma.github.io/Logging_2085/klagomål/A 11705-2024 FSC-klagomål.docx", "A 11705-2024")</f>
        <v/>
      </c>
      <c r="AB54">
        <f>HYPERLINK("https://klasma.github.io/Logging_2085/klagomålsmail/A 11705-2024 FSC-klagomål mail.docx", "A 11705-2024")</f>
        <v/>
      </c>
      <c r="AC54">
        <f>HYPERLINK("https://klasma.github.io/Logging_2085/tillsyn/A 11705-2024 tillsynsbegäran.docx", "A 11705-2024")</f>
        <v/>
      </c>
      <c r="AD54">
        <f>HYPERLINK("https://klasma.github.io/Logging_2085/tillsynsmail/A 11705-2024 tillsynsbegäran mail.docx", "A 11705-2024")</f>
        <v/>
      </c>
      <c r="AE54">
        <f>HYPERLINK("https://klasma.github.io/Logging_2085/fåglar/A 11705-2024 prioriterade fågelarter.docx", "A 11705-2024")</f>
        <v/>
      </c>
    </row>
    <row r="55" ht="15" customHeight="1">
      <c r="A55" t="inlineStr">
        <is>
          <t>A 49676-2024</t>
        </is>
      </c>
      <c r="B55" t="inlineStr">
        <is>
          <t>avverkningsanmälan</t>
        </is>
      </c>
      <c r="C55" t="inlineStr">
        <is>
          <t>Avverkning för att bevara och utveckla /försöksver</t>
        </is>
      </c>
      <c r="D55" s="1" t="n">
        <v>45596</v>
      </c>
      <c r="E55" s="1" t="n">
        <v>46311</v>
      </c>
      <c r="F55" t="inlineStr">
        <is>
          <t>DALARNAS LÄN</t>
        </is>
      </c>
      <c r="G55" t="inlineStr">
        <is>
          <t>LUDVIKA</t>
        </is>
      </c>
      <c r="H55" t="inlineStr">
        <is>
          <t>Bergvik skog väst AB</t>
        </is>
      </c>
      <c r="I55" t="n">
        <v>3.5</v>
      </c>
      <c r="J55" t="n">
        <v>2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1</v>
      </c>
      <c r="S55" t="n">
        <v>4</v>
      </c>
      <c r="T55" t="n">
        <v>8</v>
      </c>
      <c r="U55" t="n">
        <v>8</v>
      </c>
      <c r="V55" s="2" t="inlineStr">
        <is>
          <t>Garnlav
Dropptaggsvamp
Järpe
Spillkråka</t>
        </is>
      </c>
      <c r="W55">
        <f>HYPERLINK("https://klasma.github.io/Logging_2085/artfynd/A 49676-2024 artfynd.xlsx", "A 49676-2024")</f>
        <v/>
      </c>
      <c r="X55">
        <f>HYPERLINK("https://klasma.github.io/Logging_2085/kartor/A 49676-2024 karta.png", "A 49676-2024")</f>
        <v/>
      </c>
      <c r="Y55">
        <f>HYPERLINK("https://klasma.github.io/Logging_2085/kartor_geotiff/A 49676-2024 georefererad karta.tif", "A 49676-2024")</f>
        <v/>
      </c>
      <c r="AA55">
        <f>HYPERLINK("https://klasma.github.io/Logging_2085/klagomål/A 49676-2024 FSC-klagomål.docx", "A 49676-2024")</f>
        <v/>
      </c>
      <c r="AB55">
        <f>HYPERLINK("https://klasma.github.io/Logging_2085/klagomålsmail/A 49676-2024 FSC-klagomål mail.docx", "A 49676-2024")</f>
        <v/>
      </c>
      <c r="AC55">
        <f>HYPERLINK("https://klasma.github.io/Logging_2085/tillsyn/A 49676-2024 tillsynsbegäran.docx", "A 49676-2024")</f>
        <v/>
      </c>
      <c r="AD55">
        <f>HYPERLINK("https://klasma.github.io/Logging_2085/tillsynsmail/A 49676-2024 tillsynsbegäran mail.docx", "A 49676-2024")</f>
        <v/>
      </c>
      <c r="AE55">
        <f>HYPERLINK("https://klasma.github.io/Logging_2085/fåglar/A 49676-2024 prioriterade fågelarter.docx", "A 49676-2024")</f>
        <v/>
      </c>
    </row>
    <row r="56" ht="15" customHeight="1">
      <c r="A56" t="inlineStr">
        <is>
          <t>A 35820-2026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46265</v>
      </c>
      <c r="E56" s="1" t="n">
        <v>46311</v>
      </c>
      <c r="F56" t="inlineStr">
        <is>
          <t>DALARNAS LÄN</t>
        </is>
      </c>
      <c r="G56" t="inlineStr">
        <is>
          <t>LUDVIKA</t>
        </is>
      </c>
      <c r="H56" t="inlineStr">
        <is>
          <t>Naturvårdsverket</t>
        </is>
      </c>
      <c r="I56" t="n">
        <v>4.3</v>
      </c>
      <c r="J56" t="n">
        <v>1</v>
      </c>
      <c r="K56" t="n">
        <v>0</v>
      </c>
      <c r="L56" t="n">
        <v>2</v>
      </c>
      <c r="M56" t="n">
        <v>1</v>
      </c>
      <c r="N56" t="n">
        <v>0</v>
      </c>
      <c r="O56" t="n">
        <v>0</v>
      </c>
      <c r="P56" t="n">
        <v>0</v>
      </c>
      <c r="Q56" t="n">
        <v>3</v>
      </c>
      <c r="R56" t="n">
        <v>1</v>
      </c>
      <c r="S56" t="n">
        <v>4</v>
      </c>
      <c r="T56" t="n">
        <v>4</v>
      </c>
      <c r="U56" t="n">
        <v>0</v>
      </c>
      <c r="V56" s="2" t="inlineStr">
        <is>
          <t>Garnlav
Kortskaftad ärgspik
Vedtrappmossa
Spillkråka</t>
        </is>
      </c>
      <c r="W56">
        <f>HYPERLINK("https://klasma.github.io/Logging_2085/artfynd/A 35820-2026 artfynd.xlsx", "A 35820-2026")</f>
        <v/>
      </c>
      <c r="X56">
        <f>HYPERLINK("https://klasma.github.io/Logging_2085/kartor/A 35820-2026 karta.png", "A 35820-2026")</f>
        <v/>
      </c>
      <c r="Y56">
        <f>HYPERLINK("https://klasma.github.io/Logging_2085/kartor_geotiff/A 35820-2026 georefererad karta.tif", "A 35820-2026")</f>
        <v/>
      </c>
      <c r="AA56">
        <f>HYPERLINK("https://klasma.github.io/Logging_2085/klagomål/A 35820-2026 FSC-klagomål.docx", "A 35820-2026")</f>
        <v/>
      </c>
      <c r="AB56">
        <f>HYPERLINK("https://klasma.github.io/Logging_2085/klagomålsmail/A 35820-2026 FSC-klagomål mail.docx", "A 35820-2026")</f>
        <v/>
      </c>
      <c r="AC56">
        <f>HYPERLINK("https://klasma.github.io/Logging_2085/tillsyn/A 35820-2026 tillsynsbegäran.docx", "A 35820-2026")</f>
        <v/>
      </c>
      <c r="AD56">
        <f>HYPERLINK("https://klasma.github.io/Logging_2085/tillsynsmail/A 35820-2026 tillsynsbegäran mail.docx", "A 35820-2026")</f>
        <v/>
      </c>
      <c r="AE56">
        <f>HYPERLINK("https://klasma.github.io/Logging_2085/fåglar/A 35820-2026 prioriterade fågelarter.docx", "A 35820-2026")</f>
        <v/>
      </c>
    </row>
    <row r="57" ht="15" customHeight="1">
      <c r="A57" t="inlineStr">
        <is>
          <t>A 47044-2025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45929</v>
      </c>
      <c r="E57" s="1" t="n">
        <v>46311</v>
      </c>
      <c r="F57" t="inlineStr">
        <is>
          <t>DALARNAS LÄN</t>
        </is>
      </c>
      <c r="G57" t="inlineStr">
        <is>
          <t>LUDVIKA</t>
        </is>
      </c>
      <c r="H57" t="inlineStr">
        <is>
          <t>Bergvik skog väst AB</t>
        </is>
      </c>
      <c r="I57" t="n">
        <v>2.7</v>
      </c>
      <c r="J57" t="n">
        <v>4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4</v>
      </c>
      <c r="T57" t="n">
        <v>4</v>
      </c>
      <c r="U57" t="n">
        <v>4</v>
      </c>
      <c r="V57" s="2" t="inlineStr">
        <is>
          <t>Duvhök
Tretåig hackspett
Järpe
Tjäder</t>
        </is>
      </c>
      <c r="W57">
        <f>HYPERLINK("https://klasma.github.io/Logging_2085/artfynd/A 47044-2025 artfynd.xlsx", "A 47044-2025")</f>
        <v/>
      </c>
      <c r="X57">
        <f>HYPERLINK("https://klasma.github.io/Logging_2085/kartor/A 47044-2025 karta.png", "A 47044-2025")</f>
        <v/>
      </c>
      <c r="Y57">
        <f>HYPERLINK("https://klasma.github.io/Logging_2085/kartor_geotiff/A 47044-2025 georefererad karta.tif", "A 47044-2025")</f>
        <v/>
      </c>
      <c r="AA57">
        <f>HYPERLINK("https://klasma.github.io/Logging_2085/klagomål/A 47044-2025 FSC-klagomål.docx", "A 47044-2025")</f>
        <v/>
      </c>
      <c r="AB57">
        <f>HYPERLINK("https://klasma.github.io/Logging_2085/klagomålsmail/A 47044-2025 FSC-klagomål mail.docx", "A 47044-2025")</f>
        <v/>
      </c>
      <c r="AC57">
        <f>HYPERLINK("https://klasma.github.io/Logging_2085/tillsyn/A 47044-2025 tillsynsbegäran.docx", "A 47044-2025")</f>
        <v/>
      </c>
      <c r="AD57">
        <f>HYPERLINK("https://klasma.github.io/Logging_2085/tillsynsmail/A 47044-2025 tillsynsbegäran mail.docx", "A 47044-2025")</f>
        <v/>
      </c>
      <c r="AE57">
        <f>HYPERLINK("https://klasma.github.io/Logging_2085/fåglar/A 47044-2025 prioriterade fågelarter.docx", "A 47044-2025")</f>
        <v/>
      </c>
    </row>
    <row r="58" ht="15" customHeight="1">
      <c r="A58" t="inlineStr">
        <is>
          <t>A 35101-2026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46260</v>
      </c>
      <c r="E58" s="1" t="n">
        <v>46311</v>
      </c>
      <c r="F58" t="inlineStr">
        <is>
          <t>DALARNAS LÄN</t>
        </is>
      </c>
      <c r="G58" t="inlineStr">
        <is>
          <t>LUDVIKA</t>
        </is>
      </c>
      <c r="I58" t="n">
        <v>2.3</v>
      </c>
      <c r="J58" t="n">
        <v>3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4</v>
      </c>
      <c r="T58" t="n">
        <v>7</v>
      </c>
      <c r="U58" t="n">
        <v>7</v>
      </c>
      <c r="V58" s="2" t="inlineStr">
        <is>
          <t>Tretåig hackspett
Rödgul trumpetsvamp
Järpe
Spillkråka</t>
        </is>
      </c>
      <c r="W58">
        <f>HYPERLINK("https://klasma.github.io/Logging_2085/artfynd/A 35101-2026 artfynd.xlsx", "A 35101-2026")</f>
        <v/>
      </c>
      <c r="X58">
        <f>HYPERLINK("https://klasma.github.io/Logging_2085/kartor/A 35101-2026 karta.png", "A 35101-2026")</f>
        <v/>
      </c>
      <c r="Y58">
        <f>HYPERLINK("https://klasma.github.io/Logging_2085/kartor_geotiff/A 35101-2026 georefererad karta.tif", "A 35101-2026")</f>
        <v/>
      </c>
      <c r="AA58">
        <f>HYPERLINK("https://klasma.github.io/Logging_2085/klagomål/A 35101-2026 FSC-klagomål.docx", "A 35101-2026")</f>
        <v/>
      </c>
      <c r="AB58">
        <f>HYPERLINK("https://klasma.github.io/Logging_2085/klagomålsmail/A 35101-2026 FSC-klagomål mail.docx", "A 35101-2026")</f>
        <v/>
      </c>
      <c r="AC58">
        <f>HYPERLINK("https://klasma.github.io/Logging_2085/tillsyn/A 35101-2026 tillsynsbegäran.docx", "A 35101-2026")</f>
        <v/>
      </c>
      <c r="AD58">
        <f>HYPERLINK("https://klasma.github.io/Logging_2085/tillsynsmail/A 35101-2026 tillsynsbegäran mail.docx", "A 35101-2026")</f>
        <v/>
      </c>
      <c r="AE58">
        <f>HYPERLINK("https://klasma.github.io/Logging_2085/fåglar/A 35101-2026 prioriterade fågelarter.docx", "A 35101-2026")</f>
        <v/>
      </c>
    </row>
    <row r="59" ht="15" customHeight="1">
      <c r="A59" t="inlineStr">
        <is>
          <t>A 35100-2026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46260</v>
      </c>
      <c r="E59" s="1" t="n">
        <v>46311</v>
      </c>
      <c r="F59" t="inlineStr">
        <is>
          <t>DALARNAS LÄN</t>
        </is>
      </c>
      <c r="G59" t="inlineStr">
        <is>
          <t>LUDVIKA</t>
        </is>
      </c>
      <c r="I59" t="n">
        <v>1.6</v>
      </c>
      <c r="J59" t="n">
        <v>2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4</v>
      </c>
      <c r="T59" t="n">
        <v>8</v>
      </c>
      <c r="U59" t="n">
        <v>8</v>
      </c>
      <c r="V59" s="2" t="inlineStr">
        <is>
          <t>Knärot
Trådticka
Spillkråka
Sälg</t>
        </is>
      </c>
      <c r="W59">
        <f>HYPERLINK("https://klasma.github.io/Logging_2085/artfynd/A 35100-2026 artfynd.xlsx", "A 35100-2026")</f>
        <v/>
      </c>
      <c r="X59">
        <f>HYPERLINK("https://klasma.github.io/Logging_2085/kartor/A 35100-2026 karta.png", "A 35100-2026")</f>
        <v/>
      </c>
      <c r="Y59">
        <f>HYPERLINK("https://klasma.github.io/Logging_2085/kartor_geotiff/A 35100-2026 georefererad karta.tif", "A 35100-2026")</f>
        <v/>
      </c>
      <c r="Z59">
        <f>HYPERLINK("https://klasma.github.io/Logging_2085/knärot/A 35100-2026 karta knärot.png", "A 35100-2026")</f>
        <v/>
      </c>
      <c r="AA59">
        <f>HYPERLINK("https://klasma.github.io/Logging_2085/klagomål/A 35100-2026 FSC-klagomål.docx", "A 35100-2026")</f>
        <v/>
      </c>
      <c r="AB59">
        <f>HYPERLINK("https://klasma.github.io/Logging_2085/klagomålsmail/A 35100-2026 FSC-klagomål mail.docx", "A 35100-2026")</f>
        <v/>
      </c>
      <c r="AC59">
        <f>HYPERLINK("https://klasma.github.io/Logging_2085/tillsyn/A 35100-2026 tillsynsbegäran.docx", "A 35100-2026")</f>
        <v/>
      </c>
      <c r="AD59">
        <f>HYPERLINK("https://klasma.github.io/Logging_2085/tillsynsmail/A 35100-2026 tillsynsbegäran mail.docx", "A 35100-2026")</f>
        <v/>
      </c>
      <c r="AE59">
        <f>HYPERLINK("https://klasma.github.io/Logging_2085/fåglar/A 35100-2026 prioriterade fågelarter.docx", "A 35100-2026")</f>
        <v/>
      </c>
    </row>
    <row r="60" ht="15" customHeight="1">
      <c r="A60" t="inlineStr">
        <is>
          <t>S 1284-2022</t>
        </is>
      </c>
      <c r="B60" t="inlineStr">
        <is>
          <t>samrådsanmälan</t>
        </is>
      </c>
      <c r="C60" t="inlineStr">
        <is>
          <t>Skogsgödsling</t>
        </is>
      </c>
      <c r="D60" s="1" t="n">
        <v>44624</v>
      </c>
      <c r="E60" s="1" t="n">
        <v>46311</v>
      </c>
      <c r="F60" t="inlineStr">
        <is>
          <t>DALARNAS LÄN</t>
        </is>
      </c>
      <c r="G60" t="inlineStr">
        <is>
          <t>LUDVIKA</t>
        </is>
      </c>
      <c r="H60" t="inlineStr">
        <is>
          <t>Bergvik skog väst AB</t>
        </is>
      </c>
      <c r="I60" t="n">
        <v>374</v>
      </c>
      <c r="J60" t="n">
        <v>3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</v>
      </c>
      <c r="T60" t="n">
        <v>4</v>
      </c>
      <c r="U60" t="n">
        <v>3</v>
      </c>
      <c r="V60" s="2" t="inlineStr">
        <is>
          <t>Korallblylav
Purpurknipprot
Järpe
Orre</t>
        </is>
      </c>
      <c r="W60">
        <f>HYPERLINK("https://klasma.github.io/Logging_2085/artfynd/S 1284-2022 artfynd.xlsx", "S 1284-2022")</f>
        <v/>
      </c>
      <c r="X60">
        <f>HYPERLINK("https://klasma.github.io/Logging_2085/kartor/S 1284-2022 karta.png", "S 1284-2022")</f>
        <v/>
      </c>
      <c r="Y60">
        <f>HYPERLINK("https://klasma.github.io/Logging_2085/kartor_geotiff/S 1284-2022 georefererad karta.tif", "S 1284-2022")</f>
        <v/>
      </c>
      <c r="AA60">
        <f>HYPERLINK("https://klasma.github.io/Logging_2085/klagomål/S 1284-2022 FSC-klagomål.docx", "S 1284-2022")</f>
        <v/>
      </c>
      <c r="AB60">
        <f>HYPERLINK("https://klasma.github.io/Logging_2085/klagomålsmail/S 1284-2022 FSC-klagomål mail.docx", "S 1284-2022")</f>
        <v/>
      </c>
      <c r="AC60">
        <f>HYPERLINK("https://klasma.github.io/Logging_2085/tillsyn/S 1284-2022 tillsynsbegäran.docx", "S 1284-2022")</f>
        <v/>
      </c>
      <c r="AD60">
        <f>HYPERLINK("https://klasma.github.io/Logging_2085/tillsynsmail/S 1284-2022 tillsynsbegäran mail.docx", "S 1284-2022")</f>
        <v/>
      </c>
      <c r="AE60">
        <f>HYPERLINK("https://klasma.github.io/Logging_2085/fåglar/S 1284-2022 prioriterade fågelarter.docx", "S 1284-2022")</f>
        <v/>
      </c>
    </row>
    <row r="61" ht="15" customHeight="1">
      <c r="A61" t="inlineStr">
        <is>
          <t>A 74432-2021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44560</v>
      </c>
      <c r="E61" s="1" t="n">
        <v>46311</v>
      </c>
      <c r="F61" t="inlineStr">
        <is>
          <t>DALARNAS LÄN</t>
        </is>
      </c>
      <c r="G61" t="inlineStr">
        <is>
          <t>LUDVIKA</t>
        </is>
      </c>
      <c r="H61" t="inlineStr">
        <is>
          <t>Kommuner</t>
        </is>
      </c>
      <c r="I61" t="n">
        <v>1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</v>
      </c>
      <c r="T61" t="n">
        <v>3</v>
      </c>
      <c r="U61" t="n">
        <v>3</v>
      </c>
      <c r="V61" s="2" t="inlineStr">
        <is>
          <t>Spillkråka
Gröngöling
Kungsfågel</t>
        </is>
      </c>
      <c r="W61">
        <f>HYPERLINK("https://klasma.github.io/Logging_2085/artfynd/A 74432-2021 artfynd.xlsx", "A 74432-2021")</f>
        <v/>
      </c>
      <c r="X61">
        <f>HYPERLINK("https://klasma.github.io/Logging_2085/kartor/A 74432-2021 karta.png", "A 74432-2021")</f>
        <v/>
      </c>
      <c r="Y61">
        <f>HYPERLINK("https://klasma.github.io/Logging_2085/kartor_geotiff/A 74432-2021 georefererad karta.tif", "A 74432-2021")</f>
        <v/>
      </c>
      <c r="AA61">
        <f>HYPERLINK("https://klasma.github.io/Logging_2085/klagomål/A 74432-2021 FSC-klagomål.docx", "A 74432-2021")</f>
        <v/>
      </c>
      <c r="AB61">
        <f>HYPERLINK("https://klasma.github.io/Logging_2085/klagomålsmail/A 74432-2021 FSC-klagomål mail.docx", "A 74432-2021")</f>
        <v/>
      </c>
      <c r="AC61">
        <f>HYPERLINK("https://klasma.github.io/Logging_2085/tillsyn/A 74432-2021 tillsynsbegäran.docx", "A 74432-2021")</f>
        <v/>
      </c>
      <c r="AD61">
        <f>HYPERLINK("https://klasma.github.io/Logging_2085/tillsynsmail/A 74432-2021 tillsynsbegäran mail.docx", "A 74432-2021")</f>
        <v/>
      </c>
      <c r="AE61">
        <f>HYPERLINK("https://klasma.github.io/Logging_2085/fåglar/A 74432-2021 prioriterade fågelarter.docx", "A 74432-2021")</f>
        <v/>
      </c>
    </row>
    <row r="62" ht="15" customHeight="1">
      <c r="A62" t="inlineStr">
        <is>
          <t>A 41456-2025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45901</v>
      </c>
      <c r="E62" s="1" t="n">
        <v>46311</v>
      </c>
      <c r="F62" t="inlineStr">
        <is>
          <t>DALARNAS LÄN</t>
        </is>
      </c>
      <c r="G62" t="inlineStr">
        <is>
          <t>LUDVIKA</t>
        </is>
      </c>
      <c r="I62" t="n">
        <v>1.9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3</v>
      </c>
      <c r="T62" t="n">
        <v>4</v>
      </c>
      <c r="U62" t="n">
        <v>3</v>
      </c>
      <c r="V62" s="2" t="inlineStr">
        <is>
          <t>Aspgelélav
Lunglav
Järpe</t>
        </is>
      </c>
      <c r="W62">
        <f>HYPERLINK("https://klasma.github.io/Logging_2085/artfynd/A 41456-2025 artfynd.xlsx", "A 41456-2025")</f>
        <v/>
      </c>
      <c r="X62">
        <f>HYPERLINK("https://klasma.github.io/Logging_2085/kartor/A 41456-2025 karta.png", "A 41456-2025")</f>
        <v/>
      </c>
      <c r="Y62">
        <f>HYPERLINK("https://klasma.github.io/Logging_2085/kartor_geotiff/A 41456-2025 georefererad karta.tif", "A 41456-2025")</f>
        <v/>
      </c>
      <c r="AA62">
        <f>HYPERLINK("https://klasma.github.io/Logging_2085/klagomål/A 41456-2025 FSC-klagomål.docx", "A 41456-2025")</f>
        <v/>
      </c>
      <c r="AB62">
        <f>HYPERLINK("https://klasma.github.io/Logging_2085/klagomålsmail/A 41456-2025 FSC-klagomål mail.docx", "A 41456-2025")</f>
        <v/>
      </c>
      <c r="AC62">
        <f>HYPERLINK("https://klasma.github.io/Logging_2085/tillsyn/A 41456-2025 tillsynsbegäran.docx", "A 41456-2025")</f>
        <v/>
      </c>
      <c r="AD62">
        <f>HYPERLINK("https://klasma.github.io/Logging_2085/tillsynsmail/A 41456-2025 tillsynsbegäran mail.docx", "A 41456-2025")</f>
        <v/>
      </c>
      <c r="AE62">
        <f>HYPERLINK("https://klasma.github.io/Logging_2085/fåglar/A 41456-2025 prioriterade fågelarter.docx", "A 41456-2025")</f>
        <v/>
      </c>
    </row>
    <row r="63" ht="15" customHeight="1">
      <c r="A63" t="inlineStr">
        <is>
          <t>A 29144-2023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45105</v>
      </c>
      <c r="E63" s="1" t="n">
        <v>46311</v>
      </c>
      <c r="F63" t="inlineStr">
        <is>
          <t>DALARNAS LÄN</t>
        </is>
      </c>
      <c r="G63" t="inlineStr">
        <is>
          <t>LUDVIKA</t>
        </is>
      </c>
      <c r="H63" t="inlineStr">
        <is>
          <t>Allmännings- och besparingsskogar</t>
        </is>
      </c>
      <c r="I63" t="n">
        <v>6.2</v>
      </c>
      <c r="J63" t="n">
        <v>1</v>
      </c>
      <c r="K63" t="n">
        <v>0</v>
      </c>
      <c r="L63" t="n">
        <v>1</v>
      </c>
      <c r="M63" t="n">
        <v>2</v>
      </c>
      <c r="N63" t="n">
        <v>0</v>
      </c>
      <c r="O63" t="n">
        <v>0</v>
      </c>
      <c r="P63" t="n">
        <v>0</v>
      </c>
      <c r="Q63" t="n">
        <v>3</v>
      </c>
      <c r="R63" t="n">
        <v>2</v>
      </c>
      <c r="S63" t="n">
        <v>3</v>
      </c>
      <c r="T63" t="n">
        <v>14</v>
      </c>
      <c r="U63" t="n">
        <v>0</v>
      </c>
      <c r="V63" s="2" t="inlineStr">
        <is>
          <t>Garnlav
Knärot
Brunklöver</t>
        </is>
      </c>
      <c r="W63">
        <f>HYPERLINK("https://klasma.github.io/Logging_2085/artfynd/A 29144-2023 artfynd.xlsx", "A 29144-2023")</f>
        <v/>
      </c>
      <c r="X63">
        <f>HYPERLINK("https://klasma.github.io/Logging_2085/kartor/A 29144-2023 karta.png", "A 29144-2023")</f>
        <v/>
      </c>
      <c r="Y63">
        <f>HYPERLINK("https://klasma.github.io/Logging_2085/kartor_geotiff/A 29144-2023 georefererad karta.tif", "A 29144-2023")</f>
        <v/>
      </c>
      <c r="Z63">
        <f>HYPERLINK("https://klasma.github.io/Logging_2085/knärot/A 29144-2023 karta knärot.png", "A 29144-2023")</f>
        <v/>
      </c>
      <c r="AA63">
        <f>HYPERLINK("https://klasma.github.io/Logging_2085/klagomål/A 29144-2023 FSC-klagomål.docx", "A 29144-2023")</f>
        <v/>
      </c>
      <c r="AB63">
        <f>HYPERLINK("https://klasma.github.io/Logging_2085/klagomålsmail/A 29144-2023 FSC-klagomål mail.docx", "A 29144-2023")</f>
        <v/>
      </c>
      <c r="AC63">
        <f>HYPERLINK("https://klasma.github.io/Logging_2085/tillsyn/A 29144-2023 tillsynsbegäran.docx", "A 29144-2023")</f>
        <v/>
      </c>
      <c r="AD63">
        <f>HYPERLINK("https://klasma.github.io/Logging_2085/tillsynsmail/A 29144-2023 tillsynsbegäran mail.docx", "A 29144-2023")</f>
        <v/>
      </c>
    </row>
    <row r="64" ht="15" customHeight="1">
      <c r="A64" t="inlineStr">
        <is>
          <t>A 24425-2026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46168</v>
      </c>
      <c r="E64" s="1" t="n">
        <v>46311</v>
      </c>
      <c r="F64" t="inlineStr">
        <is>
          <t>DALARNAS LÄN</t>
        </is>
      </c>
      <c r="G64" t="inlineStr">
        <is>
          <t>LUDVIKA</t>
        </is>
      </c>
      <c r="H64" t="inlineStr">
        <is>
          <t>Övriga Aktiebolag</t>
        </is>
      </c>
      <c r="I64" t="n">
        <v>5.6</v>
      </c>
      <c r="J64" t="n">
        <v>2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3</v>
      </c>
      <c r="T64" t="n">
        <v>6</v>
      </c>
      <c r="U64" t="n">
        <v>0</v>
      </c>
      <c r="V64" s="2" t="inlineStr">
        <is>
          <t>Tretåig hackspett
Spillkråka
Sälg</t>
        </is>
      </c>
      <c r="W64">
        <f>HYPERLINK("https://klasma.github.io/Logging_2085/artfynd/A 24425-2026 artfynd.xlsx", "A 24425-2026")</f>
        <v/>
      </c>
      <c r="X64">
        <f>HYPERLINK("https://klasma.github.io/Logging_2085/kartor/A 24425-2026 karta.png", "A 24425-2026")</f>
        <v/>
      </c>
      <c r="Y64">
        <f>HYPERLINK("https://klasma.github.io/Logging_2085/kartor_geotiff/A 24425-2026 georefererad karta.tif", "A 24425-2026")</f>
        <v/>
      </c>
      <c r="AA64">
        <f>HYPERLINK("https://klasma.github.io/Logging_2085/klagomål/A 24425-2026 FSC-klagomål.docx", "A 24425-2026")</f>
        <v/>
      </c>
      <c r="AB64">
        <f>HYPERLINK("https://klasma.github.io/Logging_2085/klagomålsmail/A 24425-2026 FSC-klagomål mail.docx", "A 24425-2026")</f>
        <v/>
      </c>
      <c r="AC64">
        <f>HYPERLINK("https://klasma.github.io/Logging_2085/tillsyn/A 24425-2026 tillsynsbegäran.docx", "A 24425-2026")</f>
        <v/>
      </c>
      <c r="AD64">
        <f>HYPERLINK("https://klasma.github.io/Logging_2085/tillsynsmail/A 24425-2026 tillsynsbegäran mail.docx", "A 24425-2026")</f>
        <v/>
      </c>
      <c r="AE64">
        <f>HYPERLINK("https://klasma.github.io/Logging_2085/fåglar/A 24425-2026 prioriterade fågelarter.docx", "A 24425-2026")</f>
        <v/>
      </c>
    </row>
    <row r="65" ht="15" customHeight="1">
      <c r="A65" t="inlineStr">
        <is>
          <t>A 18759-2026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46128</v>
      </c>
      <c r="E65" s="1" t="n">
        <v>46311</v>
      </c>
      <c r="F65" t="inlineStr">
        <is>
          <t>DALARNAS LÄN</t>
        </is>
      </c>
      <c r="G65" t="inlineStr">
        <is>
          <t>LUDVIKA</t>
        </is>
      </c>
      <c r="H65" t="inlineStr">
        <is>
          <t>Bergvik skog väst AB</t>
        </is>
      </c>
      <c r="I65" t="n">
        <v>3.5</v>
      </c>
      <c r="J65" t="n">
        <v>2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n">
        <v>3</v>
      </c>
      <c r="T65" t="n">
        <v>11</v>
      </c>
      <c r="U65" t="n">
        <v>0</v>
      </c>
      <c r="V65" s="2" t="inlineStr">
        <is>
          <t>Knärot
Dropptaggsvamp
Nattviol</t>
        </is>
      </c>
      <c r="W65">
        <f>HYPERLINK("https://klasma.github.io/Logging_2085/artfynd/A 18759-2026 artfynd.xlsx", "A 18759-2026")</f>
        <v/>
      </c>
      <c r="X65">
        <f>HYPERLINK("https://klasma.github.io/Logging_2085/kartor/A 18759-2026 karta.png", "A 18759-2026")</f>
        <v/>
      </c>
      <c r="Y65">
        <f>HYPERLINK("https://klasma.github.io/Logging_2085/kartor_geotiff/A 18759-2026 georefererad karta.tif", "A 18759-2026")</f>
        <v/>
      </c>
      <c r="Z65">
        <f>HYPERLINK("https://klasma.github.io/Logging_2085/knärot/A 18759-2026 karta knärot.png", "A 18759-2026")</f>
        <v/>
      </c>
      <c r="AA65">
        <f>HYPERLINK("https://klasma.github.io/Logging_2085/klagomål/A 18759-2026 FSC-klagomål.docx", "A 18759-2026")</f>
        <v/>
      </c>
      <c r="AB65">
        <f>HYPERLINK("https://klasma.github.io/Logging_2085/klagomålsmail/A 18759-2026 FSC-klagomål mail.docx", "A 18759-2026")</f>
        <v/>
      </c>
      <c r="AC65">
        <f>HYPERLINK("https://klasma.github.io/Logging_2085/tillsyn/A 18759-2026 tillsynsbegäran.docx", "A 18759-2026")</f>
        <v/>
      </c>
      <c r="AD65">
        <f>HYPERLINK("https://klasma.github.io/Logging_2085/tillsynsmail/A 18759-2026 tillsynsbegäran mail.docx", "A 18759-2026")</f>
        <v/>
      </c>
    </row>
    <row r="66" ht="15" customHeight="1">
      <c r="A66" t="inlineStr">
        <is>
          <t>A 23087-2025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45791</v>
      </c>
      <c r="E66" s="1" t="n">
        <v>46311</v>
      </c>
      <c r="F66" t="inlineStr">
        <is>
          <t>DALARNAS LÄN</t>
        </is>
      </c>
      <c r="G66" t="inlineStr">
        <is>
          <t>LUDVIKA</t>
        </is>
      </c>
      <c r="H66" t="inlineStr">
        <is>
          <t>Bergvik skog väst AB</t>
        </is>
      </c>
      <c r="I66" t="n">
        <v>0.9</v>
      </c>
      <c r="J66" t="n">
        <v>0</v>
      </c>
      <c r="K66" t="n">
        <v>0</v>
      </c>
      <c r="L66" t="n">
        <v>3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t="n">
        <v>3</v>
      </c>
      <c r="T66" t="n">
        <v>3</v>
      </c>
      <c r="U66" t="n">
        <v>3</v>
      </c>
      <c r="V66" s="2" t="inlineStr">
        <is>
          <t>Dropptaggsvamp
Motaggsvamp
Orange taggsvamp</t>
        </is>
      </c>
      <c r="W66">
        <f>HYPERLINK("https://klasma.github.io/Logging_2085/artfynd/A 23087-2025 artfynd.xlsx", "A 23087-2025")</f>
        <v/>
      </c>
      <c r="X66">
        <f>HYPERLINK("https://klasma.github.io/Logging_2085/kartor/A 23087-2025 karta.png", "A 23087-2025")</f>
        <v/>
      </c>
      <c r="Y66">
        <f>HYPERLINK("https://klasma.github.io/Logging_2085/kartor_geotiff/A 23087-2025 georefererad karta.tif", "A 23087-2025")</f>
        <v/>
      </c>
      <c r="AA66">
        <f>HYPERLINK("https://klasma.github.io/Logging_2085/klagomål/A 23087-2025 FSC-klagomål.docx", "A 23087-2025")</f>
        <v/>
      </c>
      <c r="AB66">
        <f>HYPERLINK("https://klasma.github.io/Logging_2085/klagomålsmail/A 23087-2025 FSC-klagomål mail.docx", "A 23087-2025")</f>
        <v/>
      </c>
      <c r="AC66">
        <f>HYPERLINK("https://klasma.github.io/Logging_2085/tillsyn/A 23087-2025 tillsynsbegäran.docx", "A 23087-2025")</f>
        <v/>
      </c>
      <c r="AD66">
        <f>HYPERLINK("https://klasma.github.io/Logging_2085/tillsynsmail/A 23087-2025 tillsynsbegäran mail.docx", "A 23087-2025")</f>
        <v/>
      </c>
    </row>
    <row r="67" ht="15" customHeight="1">
      <c r="A67" t="inlineStr">
        <is>
          <t>A 43226-2025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45910</v>
      </c>
      <c r="E67" s="1" t="n">
        <v>46311</v>
      </c>
      <c r="F67" t="inlineStr">
        <is>
          <t>DALARNAS LÄN</t>
        </is>
      </c>
      <c r="G67" t="inlineStr">
        <is>
          <t>LUDVIKA</t>
        </is>
      </c>
      <c r="I67" t="n">
        <v>1.1</v>
      </c>
      <c r="J67" t="n">
        <v>1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3</v>
      </c>
      <c r="T67" t="n">
        <v>5</v>
      </c>
      <c r="U67" t="n">
        <v>4</v>
      </c>
      <c r="V67" s="2" t="inlineStr">
        <is>
          <t>Tretåig hackspett
Rävticka
Rödgul trumpetsvamp</t>
        </is>
      </c>
      <c r="W67">
        <f>HYPERLINK("https://klasma.github.io/Logging_2085/artfynd/A 43226-2025 artfynd.xlsx", "A 43226-2025")</f>
        <v/>
      </c>
      <c r="X67">
        <f>HYPERLINK("https://klasma.github.io/Logging_2085/kartor/A 43226-2025 karta.png", "A 43226-2025")</f>
        <v/>
      </c>
      <c r="Y67">
        <f>HYPERLINK("https://klasma.github.io/Logging_2085/kartor_geotiff/A 43226-2025 georefererad karta.tif", "A 43226-2025")</f>
        <v/>
      </c>
      <c r="AA67">
        <f>HYPERLINK("https://klasma.github.io/Logging_2085/klagomål/A 43226-2025 FSC-klagomål.docx", "A 43226-2025")</f>
        <v/>
      </c>
      <c r="AB67">
        <f>HYPERLINK("https://klasma.github.io/Logging_2085/klagomålsmail/A 43226-2025 FSC-klagomål mail.docx", "A 43226-2025")</f>
        <v/>
      </c>
      <c r="AC67">
        <f>HYPERLINK("https://klasma.github.io/Logging_2085/tillsyn/A 43226-2025 tillsynsbegäran.docx", "A 43226-2025")</f>
        <v/>
      </c>
      <c r="AD67">
        <f>HYPERLINK("https://klasma.github.io/Logging_2085/tillsynsmail/A 43226-2025 tillsynsbegäran mail.docx", "A 43226-2025")</f>
        <v/>
      </c>
      <c r="AE67">
        <f>HYPERLINK("https://klasma.github.io/Logging_2085/fåglar/A 43226-2025 prioriterade fågelarter.docx", "A 43226-2025")</f>
        <v/>
      </c>
    </row>
    <row r="68" ht="15" customHeight="1">
      <c r="A68" t="inlineStr">
        <is>
          <t>S 1583-2026</t>
        </is>
      </c>
      <c r="B68" t="inlineStr">
        <is>
          <t>samrådsanmälan</t>
        </is>
      </c>
      <c r="C68" t="inlineStr">
        <is>
          <t>Annan skogsbruksåtgärd</t>
        </is>
      </c>
      <c r="D68" s="1" t="n">
        <v>46170</v>
      </c>
      <c r="E68" s="1" t="n">
        <v>46311</v>
      </c>
      <c r="F68" t="inlineStr">
        <is>
          <t>DALARNAS LÄN</t>
        </is>
      </c>
      <c r="G68" t="inlineStr">
        <is>
          <t>LUDVIKA</t>
        </is>
      </c>
      <c r="H68" t="inlineStr">
        <is>
          <t>Övriga Aktiebolag</t>
        </is>
      </c>
      <c r="I68" t="n">
        <v>3.5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3</v>
      </c>
      <c r="T68" t="n">
        <v>3</v>
      </c>
      <c r="U68" t="n">
        <v>0</v>
      </c>
      <c r="V68" s="2" t="inlineStr">
        <is>
          <t>Ullticka
Vedticka
Spillkråka</t>
        </is>
      </c>
      <c r="W68">
        <f>HYPERLINK("https://klasma.github.io/Logging_2085/artfynd/S 1583-2026 artfynd.xlsx", "S 1583-2026")</f>
        <v/>
      </c>
      <c r="X68">
        <f>HYPERLINK("https://klasma.github.io/Logging_2085/kartor/S 1583-2026 karta.png", "S 1583-2026")</f>
        <v/>
      </c>
      <c r="Y68">
        <f>HYPERLINK("https://klasma.github.io/Logging_2085/kartor_geotiff/S 1583-2026 georefererad karta.tif", "S 1583-2026")</f>
        <v/>
      </c>
      <c r="AA68">
        <f>HYPERLINK("https://klasma.github.io/Logging_2085/klagomål/S 1583-2026 FSC-klagomål.docx", "S 1583-2026")</f>
        <v/>
      </c>
      <c r="AB68">
        <f>HYPERLINK("https://klasma.github.io/Logging_2085/klagomålsmail/S 1583-2026 FSC-klagomål mail.docx", "S 1583-2026")</f>
        <v/>
      </c>
      <c r="AC68">
        <f>HYPERLINK("https://klasma.github.io/Logging_2085/tillsyn/S 1583-2026 tillsynsbegäran.docx", "S 1583-2026")</f>
        <v/>
      </c>
      <c r="AD68">
        <f>HYPERLINK("https://klasma.github.io/Logging_2085/tillsynsmail/S 1583-2026 tillsynsbegäran mail.docx", "S 1583-2026")</f>
        <v/>
      </c>
      <c r="AE68">
        <f>HYPERLINK("https://klasma.github.io/Logging_2085/fåglar/S 1583-2026 prioriterade fågelarter.docx", "S 1583-2026")</f>
        <v/>
      </c>
    </row>
    <row r="69" ht="15" customHeight="1">
      <c r="A69" t="inlineStr">
        <is>
          <t>A 62275-2022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44923</v>
      </c>
      <c r="E69" s="1" t="n">
        <v>46311</v>
      </c>
      <c r="F69" t="inlineStr">
        <is>
          <t>DALARNAS LÄN</t>
        </is>
      </c>
      <c r="G69" t="inlineStr">
        <is>
          <t>LUDVIKA</t>
        </is>
      </c>
      <c r="I69" t="n">
        <v>4.6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2</v>
      </c>
      <c r="R69" t="n">
        <v>1</v>
      </c>
      <c r="S69" t="n">
        <v>2</v>
      </c>
      <c r="T69" t="n">
        <v>5</v>
      </c>
      <c r="U69" t="n">
        <v>5</v>
      </c>
      <c r="V69" s="2" t="inlineStr">
        <is>
          <t>Knärot
Brunklöver</t>
        </is>
      </c>
      <c r="W69">
        <f>HYPERLINK("https://klasma.github.io/Logging_2085/artfynd/A 62275-2022 artfynd.xlsx", "A 62275-2022")</f>
        <v/>
      </c>
      <c r="X69">
        <f>HYPERLINK("https://klasma.github.io/Logging_2085/kartor/A 62275-2022 karta.png", "A 62275-2022")</f>
        <v/>
      </c>
      <c r="Y69">
        <f>HYPERLINK("https://klasma.github.io/Logging_2085/kartor_geotiff/A 62275-2022 georefererad karta.tif", "A 62275-2022")</f>
        <v/>
      </c>
      <c r="Z69">
        <f>HYPERLINK("https://klasma.github.io/Logging_2085/knärot/A 62275-2022 karta knärot.png", "A 62275-2022")</f>
        <v/>
      </c>
      <c r="AA69">
        <f>HYPERLINK("https://klasma.github.io/Logging_2085/klagomål/A 62275-2022 FSC-klagomål.docx", "A 62275-2022")</f>
        <v/>
      </c>
      <c r="AB69">
        <f>HYPERLINK("https://klasma.github.io/Logging_2085/klagomålsmail/A 62275-2022 FSC-klagomål mail.docx", "A 62275-2022")</f>
        <v/>
      </c>
      <c r="AC69">
        <f>HYPERLINK("https://klasma.github.io/Logging_2085/tillsyn/A 62275-2022 tillsynsbegäran.docx", "A 62275-2022")</f>
        <v/>
      </c>
      <c r="AD69">
        <f>HYPERLINK("https://klasma.github.io/Logging_2085/tillsynsmail/A 62275-2022 tillsynsbegäran mail.docx", "A 62275-2022")</f>
        <v/>
      </c>
    </row>
    <row r="70" ht="15" customHeight="1">
      <c r="A70" t="inlineStr">
        <is>
          <t>A 21369-2023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45063</v>
      </c>
      <c r="E70" s="1" t="n">
        <v>46311</v>
      </c>
      <c r="F70" t="inlineStr">
        <is>
          <t>DALARNAS LÄN</t>
        </is>
      </c>
      <c r="G70" t="inlineStr">
        <is>
          <t>LUDVIKA</t>
        </is>
      </c>
      <c r="H70" t="inlineStr">
        <is>
          <t>Bergvik skog väst AB</t>
        </is>
      </c>
      <c r="I70" t="n">
        <v>0.4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n">
        <v>2</v>
      </c>
      <c r="T70" t="n">
        <v>2</v>
      </c>
      <c r="U70" t="n">
        <v>0</v>
      </c>
      <c r="V70" s="2" t="inlineStr">
        <is>
          <t>Skogsalm
Tibast</t>
        </is>
      </c>
      <c r="W70">
        <f>HYPERLINK("https://klasma.github.io/Logging_2085/artfynd/A 21369-2023 artfynd.xlsx", "A 21369-2023")</f>
        <v/>
      </c>
      <c r="X70">
        <f>HYPERLINK("https://klasma.github.io/Logging_2085/kartor/A 21369-2023 karta.png", "A 21369-2023")</f>
        <v/>
      </c>
      <c r="Y70">
        <f>HYPERLINK("https://klasma.github.io/Logging_2085/kartor_geotiff/A 21369-2023 georefererad karta.tif", "A 21369-2023")</f>
        <v/>
      </c>
      <c r="AA70">
        <f>HYPERLINK("https://klasma.github.io/Logging_2085/klagomål/A 21369-2023 FSC-klagomål.docx", "A 21369-2023")</f>
        <v/>
      </c>
      <c r="AB70">
        <f>HYPERLINK("https://klasma.github.io/Logging_2085/klagomålsmail/A 21369-2023 FSC-klagomål mail.docx", "A 21369-2023")</f>
        <v/>
      </c>
      <c r="AC70">
        <f>HYPERLINK("https://klasma.github.io/Logging_2085/tillsyn/A 21369-2023 tillsynsbegäran.docx", "A 21369-2023")</f>
        <v/>
      </c>
      <c r="AD70">
        <f>HYPERLINK("https://klasma.github.io/Logging_2085/tillsynsmail/A 21369-2023 tillsynsbegäran mail.docx", "A 21369-2023")</f>
        <v/>
      </c>
    </row>
    <row r="71" ht="15" customHeight="1">
      <c r="A71" t="inlineStr">
        <is>
          <t>A 11755-2023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44994</v>
      </c>
      <c r="E71" s="1" t="n">
        <v>46311</v>
      </c>
      <c r="F71" t="inlineStr">
        <is>
          <t>DALARNAS LÄN</t>
        </is>
      </c>
      <c r="G71" t="inlineStr">
        <is>
          <t>LUDVIKA</t>
        </is>
      </c>
      <c r="H71" t="inlineStr">
        <is>
          <t>Övriga Aktiebolag</t>
        </is>
      </c>
      <c r="I71" t="n">
        <v>7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2</v>
      </c>
      <c r="T71" t="n">
        <v>2</v>
      </c>
      <c r="U71" t="n">
        <v>2</v>
      </c>
      <c r="V71" s="2" t="inlineStr">
        <is>
          <t>Garnlav
Spillkråka</t>
        </is>
      </c>
      <c r="W71">
        <f>HYPERLINK("https://klasma.github.io/Logging_2085/artfynd/A 11755-2023 artfynd.xlsx", "A 11755-2023")</f>
        <v/>
      </c>
      <c r="X71">
        <f>HYPERLINK("https://klasma.github.io/Logging_2085/kartor/A 11755-2023 karta.png", "A 11755-2023")</f>
        <v/>
      </c>
      <c r="Y71">
        <f>HYPERLINK("https://klasma.github.io/Logging_2085/kartor_geotiff/A 11755-2023 georefererad karta.tif", "A 11755-2023")</f>
        <v/>
      </c>
      <c r="AA71">
        <f>HYPERLINK("https://klasma.github.io/Logging_2085/klagomål/A 11755-2023 FSC-klagomål.docx", "A 11755-2023")</f>
        <v/>
      </c>
      <c r="AB71">
        <f>HYPERLINK("https://klasma.github.io/Logging_2085/klagomålsmail/A 11755-2023 FSC-klagomål mail.docx", "A 11755-2023")</f>
        <v/>
      </c>
      <c r="AC71">
        <f>HYPERLINK("https://klasma.github.io/Logging_2085/tillsyn/A 11755-2023 tillsynsbegäran.docx", "A 11755-2023")</f>
        <v/>
      </c>
      <c r="AD71">
        <f>HYPERLINK("https://klasma.github.io/Logging_2085/tillsynsmail/A 11755-2023 tillsynsbegäran mail.docx", "A 11755-2023")</f>
        <v/>
      </c>
      <c r="AE71">
        <f>HYPERLINK("https://klasma.github.io/Logging_2085/fåglar/A 11755-2023 prioriterade fågelarter.docx", "A 11755-2023")</f>
        <v/>
      </c>
    </row>
    <row r="72" ht="15" customHeight="1">
      <c r="A72" t="inlineStr">
        <is>
          <t>A 56879-2025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45978</v>
      </c>
      <c r="E72" s="1" t="n">
        <v>46311</v>
      </c>
      <c r="F72" t="inlineStr">
        <is>
          <t>DALARNAS LÄN</t>
        </is>
      </c>
      <c r="G72" t="inlineStr">
        <is>
          <t>LUDVIKA</t>
        </is>
      </c>
      <c r="H72" t="inlineStr">
        <is>
          <t>Bergvik skog väst AB</t>
        </is>
      </c>
      <c r="I72" t="n">
        <v>1.6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2</v>
      </c>
      <c r="T72" t="n">
        <v>3</v>
      </c>
      <c r="U72" t="n">
        <v>3</v>
      </c>
      <c r="V72" s="2" t="inlineStr">
        <is>
          <t>Garnlav
Tjäder</t>
        </is>
      </c>
      <c r="W72">
        <f>HYPERLINK("https://klasma.github.io/Logging_2085/artfynd/A 56879-2025 artfynd.xlsx", "A 56879-2025")</f>
        <v/>
      </c>
      <c r="X72">
        <f>HYPERLINK("https://klasma.github.io/Logging_2085/kartor/A 56879-2025 karta.png", "A 56879-2025")</f>
        <v/>
      </c>
      <c r="Y72">
        <f>HYPERLINK("https://klasma.github.io/Logging_2085/kartor_geotiff/A 56879-2025 georefererad karta.tif", "A 56879-2025")</f>
        <v/>
      </c>
      <c r="AA72">
        <f>HYPERLINK("https://klasma.github.io/Logging_2085/klagomål/A 56879-2025 FSC-klagomål.docx", "A 56879-2025")</f>
        <v/>
      </c>
      <c r="AB72">
        <f>HYPERLINK("https://klasma.github.io/Logging_2085/klagomålsmail/A 56879-2025 FSC-klagomål mail.docx", "A 56879-2025")</f>
        <v/>
      </c>
      <c r="AC72">
        <f>HYPERLINK("https://klasma.github.io/Logging_2085/tillsyn/A 56879-2025 tillsynsbegäran.docx", "A 56879-2025")</f>
        <v/>
      </c>
      <c r="AD72">
        <f>HYPERLINK("https://klasma.github.io/Logging_2085/tillsynsmail/A 56879-2025 tillsynsbegäran mail.docx", "A 56879-2025")</f>
        <v/>
      </c>
      <c r="AE72">
        <f>HYPERLINK("https://klasma.github.io/Logging_2085/fåglar/A 56879-2025 prioriterade fågelarter.docx", "A 56879-2025")</f>
        <v/>
      </c>
    </row>
    <row r="73" ht="15" customHeight="1">
      <c r="A73" t="inlineStr">
        <is>
          <t>A 33155-2024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45518</v>
      </c>
      <c r="E73" s="1" t="n">
        <v>46311</v>
      </c>
      <c r="F73" t="inlineStr">
        <is>
          <t>DALARNAS LÄN</t>
        </is>
      </c>
      <c r="G73" t="inlineStr">
        <is>
          <t>LUDVIKA</t>
        </is>
      </c>
      <c r="I73" t="n">
        <v>2.9</v>
      </c>
      <c r="J73" t="n">
        <v>1</v>
      </c>
      <c r="K73" t="n">
        <v>0</v>
      </c>
      <c r="L73" t="n">
        <v>2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n">
        <v>0</v>
      </c>
      <c r="S73" t="n">
        <v>2</v>
      </c>
      <c r="T73" t="n">
        <v>2</v>
      </c>
      <c r="U73" t="n">
        <v>1</v>
      </c>
      <c r="V73" s="2" t="inlineStr">
        <is>
          <t>Brunpudrad nållav
Tretåig hackspett</t>
        </is>
      </c>
      <c r="W73">
        <f>HYPERLINK("https://klasma.github.io/Logging_2085/artfynd/A 33155-2024 artfynd.xlsx", "A 33155-2024")</f>
        <v/>
      </c>
      <c r="X73">
        <f>HYPERLINK("https://klasma.github.io/Logging_2085/kartor/A 33155-2024 karta.png", "A 33155-2024")</f>
        <v/>
      </c>
      <c r="Y73">
        <f>HYPERLINK("https://klasma.github.io/Logging_2085/kartor_geotiff/A 33155-2024 georefererad karta.tif", "A 33155-2024")</f>
        <v/>
      </c>
      <c r="AA73">
        <f>HYPERLINK("https://klasma.github.io/Logging_2085/klagomål/A 33155-2024 FSC-klagomål.docx", "A 33155-2024")</f>
        <v/>
      </c>
      <c r="AB73">
        <f>HYPERLINK("https://klasma.github.io/Logging_2085/klagomålsmail/A 33155-2024 FSC-klagomål mail.docx", "A 33155-2024")</f>
        <v/>
      </c>
      <c r="AC73">
        <f>HYPERLINK("https://klasma.github.io/Logging_2085/tillsyn/A 33155-2024 tillsynsbegäran.docx", "A 33155-2024")</f>
        <v/>
      </c>
      <c r="AD73">
        <f>HYPERLINK("https://klasma.github.io/Logging_2085/tillsynsmail/A 33155-2024 tillsynsbegäran mail.docx", "A 33155-2024")</f>
        <v/>
      </c>
      <c r="AE73">
        <f>HYPERLINK("https://klasma.github.io/Logging_2085/fåglar/A 33155-2024 prioriterade fågelarter.docx", "A 33155-2024")</f>
        <v/>
      </c>
    </row>
    <row r="74" ht="15" customHeight="1">
      <c r="A74" t="inlineStr">
        <is>
          <t>A 49051-2024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45594</v>
      </c>
      <c r="E74" s="1" t="n">
        <v>46311</v>
      </c>
      <c r="F74" t="inlineStr">
        <is>
          <t>DALARNAS LÄN</t>
        </is>
      </c>
      <c r="G74" t="inlineStr">
        <is>
          <t>LUDVIKA</t>
        </is>
      </c>
      <c r="I74" t="n">
        <v>1.8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0</v>
      </c>
      <c r="P74" t="n">
        <v>0</v>
      </c>
      <c r="Q74" t="n">
        <v>2</v>
      </c>
      <c r="R74" t="n">
        <v>2</v>
      </c>
      <c r="S74" t="n">
        <v>2</v>
      </c>
      <c r="T74" t="n">
        <v>2</v>
      </c>
      <c r="U74" t="n">
        <v>0</v>
      </c>
      <c r="V74" s="2" t="inlineStr">
        <is>
          <t>Ladparasitspik
Vedkastanjelav</t>
        </is>
      </c>
      <c r="W74">
        <f>HYPERLINK("https://klasma.github.io/Logging_2085/artfynd/A 49051-2024 artfynd.xlsx", "A 49051-2024")</f>
        <v/>
      </c>
      <c r="X74">
        <f>HYPERLINK("https://klasma.github.io/Logging_2085/kartor/A 49051-2024 karta.png", "A 49051-2024")</f>
        <v/>
      </c>
      <c r="Y74">
        <f>HYPERLINK("https://klasma.github.io/Logging_2085/kartor_geotiff/A 49051-2024 georefererad karta.tif", "A 49051-2024")</f>
        <v/>
      </c>
      <c r="AA74">
        <f>HYPERLINK("https://klasma.github.io/Logging_2085/klagomål/A 49051-2024 FSC-klagomål.docx", "A 49051-2024")</f>
        <v/>
      </c>
      <c r="AB74">
        <f>HYPERLINK("https://klasma.github.io/Logging_2085/klagomålsmail/A 49051-2024 FSC-klagomål mail.docx", "A 49051-2024")</f>
        <v/>
      </c>
      <c r="AC74">
        <f>HYPERLINK("https://klasma.github.io/Logging_2085/tillsyn/A 49051-2024 tillsynsbegäran.docx", "A 49051-2024")</f>
        <v/>
      </c>
      <c r="AD74">
        <f>HYPERLINK("https://klasma.github.io/Logging_2085/tillsynsmail/A 49051-2024 tillsynsbegäran mail.docx", "A 49051-2024")</f>
        <v/>
      </c>
    </row>
    <row r="75" ht="15" customHeight="1">
      <c r="A75" t="inlineStr">
        <is>
          <t>A 21876-2026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46150</v>
      </c>
      <c r="E75" s="1" t="n">
        <v>46311</v>
      </c>
      <c r="F75" t="inlineStr">
        <is>
          <t>DALARNAS LÄN</t>
        </is>
      </c>
      <c r="G75" t="inlineStr">
        <is>
          <t>LUDVIKA</t>
        </is>
      </c>
      <c r="H75" t="inlineStr">
        <is>
          <t>Bergvik skog väst AB</t>
        </is>
      </c>
      <c r="I75" t="n">
        <v>1.9</v>
      </c>
      <c r="J75" t="n">
        <v>1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2</v>
      </c>
      <c r="R75" t="n">
        <v>1</v>
      </c>
      <c r="S75" t="n">
        <v>2</v>
      </c>
      <c r="T75" t="n">
        <v>2</v>
      </c>
      <c r="U75" t="n">
        <v>2</v>
      </c>
      <c r="V75" s="2" t="inlineStr">
        <is>
          <t>Garnlav
Tretåig hackspett</t>
        </is>
      </c>
      <c r="W75">
        <f>HYPERLINK("https://klasma.github.io/Logging_2085/artfynd/A 21876-2026 artfynd.xlsx", "A 21876-2026")</f>
        <v/>
      </c>
      <c r="X75">
        <f>HYPERLINK("https://klasma.github.io/Logging_2085/kartor/A 21876-2026 karta.png", "A 21876-2026")</f>
        <v/>
      </c>
      <c r="Y75">
        <f>HYPERLINK("https://klasma.github.io/Logging_2085/kartor_geotiff/A 21876-2026 georefererad karta.tif", "A 21876-2026")</f>
        <v/>
      </c>
      <c r="AA75">
        <f>HYPERLINK("https://klasma.github.io/Logging_2085/klagomål/A 21876-2026 FSC-klagomål.docx", "A 21876-2026")</f>
        <v/>
      </c>
      <c r="AB75">
        <f>HYPERLINK("https://klasma.github.io/Logging_2085/klagomålsmail/A 21876-2026 FSC-klagomål mail.docx", "A 21876-2026")</f>
        <v/>
      </c>
      <c r="AC75">
        <f>HYPERLINK("https://klasma.github.io/Logging_2085/tillsyn/A 21876-2026 tillsynsbegäran.docx", "A 21876-2026")</f>
        <v/>
      </c>
      <c r="AD75">
        <f>HYPERLINK("https://klasma.github.io/Logging_2085/tillsynsmail/A 21876-2026 tillsynsbegäran mail.docx", "A 21876-2026")</f>
        <v/>
      </c>
      <c r="AE75">
        <f>HYPERLINK("https://klasma.github.io/Logging_2085/fåglar/A 21876-2026 prioriterade fågelarter.docx", "A 21876-2026")</f>
        <v/>
      </c>
    </row>
    <row r="76" ht="15" customHeight="1">
      <c r="A76" t="inlineStr">
        <is>
          <t>A 44262-2025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45916</v>
      </c>
      <c r="E76" s="1" t="n">
        <v>46311</v>
      </c>
      <c r="F76" t="inlineStr">
        <is>
          <t>DALARNAS LÄN</t>
        </is>
      </c>
      <c r="G76" t="inlineStr">
        <is>
          <t>LUDVIKA</t>
        </is>
      </c>
      <c r="I76" t="n">
        <v>3</v>
      </c>
      <c r="J76" t="n">
        <v>2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2</v>
      </c>
      <c r="T76" t="n">
        <v>6</v>
      </c>
      <c r="U76" t="n">
        <v>0</v>
      </c>
      <c r="V76" s="2" t="inlineStr">
        <is>
          <t>Nordfladdermus
Fläcknycklar</t>
        </is>
      </c>
      <c r="W76">
        <f>HYPERLINK("https://klasma.github.io/Logging_2085/artfynd/A 44262-2025 artfynd.xlsx", "A 44262-2025")</f>
        <v/>
      </c>
      <c r="X76">
        <f>HYPERLINK("https://klasma.github.io/Logging_2085/kartor/A 44262-2025 karta.png", "A 44262-2025")</f>
        <v/>
      </c>
      <c r="Y76">
        <f>HYPERLINK("https://klasma.github.io/Logging_2085/kartor_geotiff/A 44262-2025 georefererad karta.tif", "A 44262-2025")</f>
        <v/>
      </c>
      <c r="AA76">
        <f>HYPERLINK("https://klasma.github.io/Logging_2085/klagomål/A 44262-2025 FSC-klagomål.docx", "A 44262-2025")</f>
        <v/>
      </c>
      <c r="AB76">
        <f>HYPERLINK("https://klasma.github.io/Logging_2085/klagomålsmail/A 44262-2025 FSC-klagomål mail.docx", "A 44262-2025")</f>
        <v/>
      </c>
      <c r="AC76">
        <f>HYPERLINK("https://klasma.github.io/Logging_2085/tillsyn/A 44262-2025 tillsynsbegäran.docx", "A 44262-2025")</f>
        <v/>
      </c>
      <c r="AD76">
        <f>HYPERLINK("https://klasma.github.io/Logging_2085/tillsynsmail/A 44262-2025 tillsynsbegäran mail.docx", "A 44262-2025")</f>
        <v/>
      </c>
    </row>
    <row r="77" ht="15" customHeight="1">
      <c r="A77" t="inlineStr">
        <is>
          <t>A 3809-2024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45321</v>
      </c>
      <c r="E77" s="1" t="n">
        <v>46311</v>
      </c>
      <c r="F77" t="inlineStr">
        <is>
          <t>DALARNAS LÄN</t>
        </is>
      </c>
      <c r="G77" t="inlineStr">
        <is>
          <t>LUDVIKA</t>
        </is>
      </c>
      <c r="I77" t="n">
        <v>0.5</v>
      </c>
      <c r="J77" t="n">
        <v>2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2</v>
      </c>
      <c r="T77" t="n">
        <v>8</v>
      </c>
      <c r="U77" t="n">
        <v>8</v>
      </c>
      <c r="V77" s="2" t="inlineStr">
        <is>
          <t>Nordfladdermus
Fläcknycklar</t>
        </is>
      </c>
      <c r="W77">
        <f>HYPERLINK("https://klasma.github.io/Logging_2085/artfynd/A 3809-2024 artfynd.xlsx", "A 3809-2024")</f>
        <v/>
      </c>
      <c r="X77">
        <f>HYPERLINK("https://klasma.github.io/Logging_2085/kartor/A 3809-2024 karta.png", "A 3809-2024")</f>
        <v/>
      </c>
      <c r="Y77">
        <f>HYPERLINK("https://klasma.github.io/Logging_2085/kartor_geotiff/A 3809-2024 georefererad karta.tif", "A 3809-2024")</f>
        <v/>
      </c>
      <c r="AA77">
        <f>HYPERLINK("https://klasma.github.io/Logging_2085/klagomål/A 3809-2024 FSC-klagomål.docx", "A 3809-2024")</f>
        <v/>
      </c>
      <c r="AB77">
        <f>HYPERLINK("https://klasma.github.io/Logging_2085/klagomålsmail/A 3809-2024 FSC-klagomål mail.docx", "A 3809-2024")</f>
        <v/>
      </c>
      <c r="AC77">
        <f>HYPERLINK("https://klasma.github.io/Logging_2085/tillsyn/A 3809-2024 tillsynsbegäran.docx", "A 3809-2024")</f>
        <v/>
      </c>
      <c r="AD77">
        <f>HYPERLINK("https://klasma.github.io/Logging_2085/tillsynsmail/A 3809-2024 tillsynsbegäran mail.docx", "A 3809-2024")</f>
        <v/>
      </c>
    </row>
    <row r="78" ht="15" customHeight="1">
      <c r="A78" t="inlineStr">
        <is>
          <t>A 45791-2025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45923</v>
      </c>
      <c r="E78" s="1" t="n">
        <v>46311</v>
      </c>
      <c r="F78" t="inlineStr">
        <is>
          <t>DALARNAS LÄN</t>
        </is>
      </c>
      <c r="G78" t="inlineStr">
        <is>
          <t>LUDVIKA</t>
        </is>
      </c>
      <c r="H78" t="inlineStr">
        <is>
          <t>Bergvik skog väst AB</t>
        </is>
      </c>
      <c r="I78" t="n">
        <v>3.2</v>
      </c>
      <c r="J78" t="n">
        <v>1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2</v>
      </c>
      <c r="T78" t="n">
        <v>2</v>
      </c>
      <c r="U78" t="n">
        <v>2</v>
      </c>
      <c r="V78" s="2" t="inlineStr">
        <is>
          <t>Vitfläckig guldvinge
Fläcknycklar</t>
        </is>
      </c>
      <c r="W78">
        <f>HYPERLINK("https://klasma.github.io/Logging_2085/artfynd/A 45791-2025 artfynd.xlsx", "A 45791-2025")</f>
        <v/>
      </c>
      <c r="X78">
        <f>HYPERLINK("https://klasma.github.io/Logging_2085/kartor/A 45791-2025 karta.png", "A 45791-2025")</f>
        <v/>
      </c>
      <c r="Y78">
        <f>HYPERLINK("https://klasma.github.io/Logging_2085/kartor_geotiff/A 45791-2025 georefererad karta.tif", "A 45791-2025")</f>
        <v/>
      </c>
      <c r="AA78">
        <f>HYPERLINK("https://klasma.github.io/Logging_2085/klagomål/A 45791-2025 FSC-klagomål.docx", "A 45791-2025")</f>
        <v/>
      </c>
      <c r="AB78">
        <f>HYPERLINK("https://klasma.github.io/Logging_2085/klagomålsmail/A 45791-2025 FSC-klagomål mail.docx", "A 45791-2025")</f>
        <v/>
      </c>
      <c r="AC78">
        <f>HYPERLINK("https://klasma.github.io/Logging_2085/tillsyn/A 45791-2025 tillsynsbegäran.docx", "A 45791-2025")</f>
        <v/>
      </c>
      <c r="AD78">
        <f>HYPERLINK("https://klasma.github.io/Logging_2085/tillsynsmail/A 45791-2025 tillsynsbegäran mail.docx", "A 45791-2025")</f>
        <v/>
      </c>
    </row>
    <row r="79" ht="15" customHeight="1">
      <c r="A79" t="inlineStr">
        <is>
          <t>A 18024-2026</t>
        </is>
      </c>
      <c r="B79" t="inlineStr">
        <is>
          <t>avverkningsanmälan</t>
        </is>
      </c>
      <c r="C79" t="inlineStr">
        <is>
          <t>Avverkning för att bevara och utveckla /försöksver</t>
        </is>
      </c>
      <c r="D79" s="1" t="n">
        <v>46125</v>
      </c>
      <c r="E79" s="1" t="n">
        <v>46311</v>
      </c>
      <c r="F79" t="inlineStr">
        <is>
          <t>DALARNAS LÄN</t>
        </is>
      </c>
      <c r="G79" t="inlineStr">
        <is>
          <t>LUDVIKA</t>
        </is>
      </c>
      <c r="H79" t="inlineStr">
        <is>
          <t>Bergvik skog väst AB</t>
        </is>
      </c>
      <c r="I79" t="n">
        <v>1.9</v>
      </c>
      <c r="J79" t="n">
        <v>0</v>
      </c>
      <c r="K79" t="n">
        <v>2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2</v>
      </c>
      <c r="U79" t="n">
        <v>0</v>
      </c>
      <c r="V79" s="2" t="inlineStr">
        <is>
          <t>Skinnlav
Svavelriska</t>
        </is>
      </c>
      <c r="W79">
        <f>HYPERLINK("https://klasma.github.io/Logging_2085/artfynd/A 18024-2026 artfynd.xlsx", "A 18024-2026")</f>
        <v/>
      </c>
      <c r="X79">
        <f>HYPERLINK("https://klasma.github.io/Logging_2085/kartor/A 18024-2026 karta.png", "A 18024-2026")</f>
        <v/>
      </c>
      <c r="Y79">
        <f>HYPERLINK("https://klasma.github.io/Logging_2085/kartor_geotiff/A 18024-2026 georefererad karta.tif", "A 18024-2026")</f>
        <v/>
      </c>
      <c r="AA79">
        <f>HYPERLINK("https://klasma.github.io/Logging_2085/klagomål/A 18024-2026 FSC-klagomål.docx", "A 18024-2026")</f>
        <v/>
      </c>
      <c r="AB79">
        <f>HYPERLINK("https://klasma.github.io/Logging_2085/klagomålsmail/A 18024-2026 FSC-klagomål mail.docx", "A 18024-2026")</f>
        <v/>
      </c>
      <c r="AC79">
        <f>HYPERLINK("https://klasma.github.io/Logging_2085/tillsyn/A 18024-2026 tillsynsbegäran.docx", "A 18024-2026")</f>
        <v/>
      </c>
      <c r="AD79">
        <f>HYPERLINK("https://klasma.github.io/Logging_2085/tillsynsmail/A 18024-2026 tillsynsbegäran mail.docx", "A 18024-2026")</f>
        <v/>
      </c>
    </row>
    <row r="80" ht="15" customHeight="1">
      <c r="A80" t="inlineStr">
        <is>
          <t>A 23919-2026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46167</v>
      </c>
      <c r="E80" s="1" t="n">
        <v>46311</v>
      </c>
      <c r="F80" t="inlineStr">
        <is>
          <t>DALARNAS LÄN</t>
        </is>
      </c>
      <c r="G80" t="inlineStr">
        <is>
          <t>LUDVIKA</t>
        </is>
      </c>
      <c r="H80" t="inlineStr">
        <is>
          <t>Bergvik skog väst AB</t>
        </is>
      </c>
      <c r="I80" t="n">
        <v>2.2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3</v>
      </c>
      <c r="U80" t="n">
        <v>3</v>
      </c>
      <c r="V80" s="2" t="inlineStr">
        <is>
          <t>Korallblylav
Skinnlav</t>
        </is>
      </c>
      <c r="W80">
        <f>HYPERLINK("https://klasma.github.io/Logging_2085/artfynd/A 23919-2026 artfynd.xlsx", "A 23919-2026")</f>
        <v/>
      </c>
      <c r="X80">
        <f>HYPERLINK("https://klasma.github.io/Logging_2085/kartor/A 23919-2026 karta.png", "A 23919-2026")</f>
        <v/>
      </c>
      <c r="Y80">
        <f>HYPERLINK("https://klasma.github.io/Logging_2085/kartor_geotiff/A 23919-2026 georefererad karta.tif", "A 23919-2026")</f>
        <v/>
      </c>
      <c r="AA80">
        <f>HYPERLINK("https://klasma.github.io/Logging_2085/klagomål/A 23919-2026 FSC-klagomål.docx", "A 23919-2026")</f>
        <v/>
      </c>
      <c r="AB80">
        <f>HYPERLINK("https://klasma.github.io/Logging_2085/klagomålsmail/A 23919-2026 FSC-klagomål mail.docx", "A 23919-2026")</f>
        <v/>
      </c>
      <c r="AC80">
        <f>HYPERLINK("https://klasma.github.io/Logging_2085/tillsyn/A 23919-2026 tillsynsbegäran.docx", "A 23919-2026")</f>
        <v/>
      </c>
      <c r="AD80">
        <f>HYPERLINK("https://klasma.github.io/Logging_2085/tillsynsmail/A 23919-2026 tillsynsbegäran mail.docx", "A 23919-2026")</f>
        <v/>
      </c>
    </row>
    <row r="81" ht="15" customHeight="1">
      <c r="A81" t="inlineStr">
        <is>
          <t>A 49767-2025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45940</v>
      </c>
      <c r="E81" s="1" t="n">
        <v>46311</v>
      </c>
      <c r="F81" t="inlineStr">
        <is>
          <t>DALARNAS LÄN</t>
        </is>
      </c>
      <c r="G81" t="inlineStr">
        <is>
          <t>LUDVIKA</t>
        </is>
      </c>
      <c r="H81" t="inlineStr">
        <is>
          <t>Bergvik skog väst AB</t>
        </is>
      </c>
      <c r="I81" t="n">
        <v>2.5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2</v>
      </c>
      <c r="R81" t="n">
        <v>1</v>
      </c>
      <c r="S81" t="n">
        <v>2</v>
      </c>
      <c r="T81" t="n">
        <v>4</v>
      </c>
      <c r="U81" t="n">
        <v>4</v>
      </c>
      <c r="V81" s="2" t="inlineStr">
        <is>
          <t>Garnlav
Tretåig hackspett</t>
        </is>
      </c>
      <c r="W81">
        <f>HYPERLINK("https://klasma.github.io/Logging_2085/artfynd/A 49767-2025 artfynd.xlsx", "A 49767-2025")</f>
        <v/>
      </c>
      <c r="X81">
        <f>HYPERLINK("https://klasma.github.io/Logging_2085/kartor/A 49767-2025 karta.png", "A 49767-2025")</f>
        <v/>
      </c>
      <c r="Y81">
        <f>HYPERLINK("https://klasma.github.io/Logging_2085/kartor_geotiff/A 49767-2025 georefererad karta.tif", "A 49767-2025")</f>
        <v/>
      </c>
      <c r="AA81">
        <f>HYPERLINK("https://klasma.github.io/Logging_2085/klagomål/A 49767-2025 FSC-klagomål.docx", "A 49767-2025")</f>
        <v/>
      </c>
      <c r="AB81">
        <f>HYPERLINK("https://klasma.github.io/Logging_2085/klagomålsmail/A 49767-2025 FSC-klagomål mail.docx", "A 49767-2025")</f>
        <v/>
      </c>
      <c r="AC81">
        <f>HYPERLINK("https://klasma.github.io/Logging_2085/tillsyn/A 49767-2025 tillsynsbegäran.docx", "A 49767-2025")</f>
        <v/>
      </c>
      <c r="AD81">
        <f>HYPERLINK("https://klasma.github.io/Logging_2085/tillsynsmail/A 49767-2025 tillsynsbegäran mail.docx", "A 49767-2025")</f>
        <v/>
      </c>
      <c r="AE81">
        <f>HYPERLINK("https://klasma.github.io/Logging_2085/fåglar/A 49767-2025 prioriterade fågelarter.docx", "A 49767-2025")</f>
        <v/>
      </c>
    </row>
    <row r="82" ht="15" customHeight="1">
      <c r="A82" t="inlineStr">
        <is>
          <t>A 55399-2025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45971</v>
      </c>
      <c r="E82" s="1" t="n">
        <v>46311</v>
      </c>
      <c r="F82" t="inlineStr">
        <is>
          <t>DALARNAS LÄN</t>
        </is>
      </c>
      <c r="G82" t="inlineStr">
        <is>
          <t>LUDVIKA</t>
        </is>
      </c>
      <c r="H82" t="inlineStr">
        <is>
          <t>Bergvik skog väst AB</t>
        </is>
      </c>
      <c r="I82" t="n">
        <v>11.5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3</v>
      </c>
      <c r="U82" t="n">
        <v>3</v>
      </c>
      <c r="V82" s="2" t="inlineStr">
        <is>
          <t>Spillkråka
Revlummer</t>
        </is>
      </c>
      <c r="W82">
        <f>HYPERLINK("https://klasma.github.io/Logging_2085/artfynd/A 55399-2025 artfynd.xlsx", "A 55399-2025")</f>
        <v/>
      </c>
      <c r="X82">
        <f>HYPERLINK("https://klasma.github.io/Logging_2085/kartor/A 55399-2025 karta.png", "A 55399-2025")</f>
        <v/>
      </c>
      <c r="Y82">
        <f>HYPERLINK("https://klasma.github.io/Logging_2085/kartor_geotiff/A 55399-2025 georefererad karta.tif", "A 55399-2025")</f>
        <v/>
      </c>
      <c r="AA82">
        <f>HYPERLINK("https://klasma.github.io/Logging_2085/klagomål/A 55399-2025 FSC-klagomål.docx", "A 55399-2025")</f>
        <v/>
      </c>
      <c r="AB82">
        <f>HYPERLINK("https://klasma.github.io/Logging_2085/klagomålsmail/A 55399-2025 FSC-klagomål mail.docx", "A 55399-2025")</f>
        <v/>
      </c>
      <c r="AC82">
        <f>HYPERLINK("https://klasma.github.io/Logging_2085/tillsyn/A 55399-2025 tillsynsbegäran.docx", "A 55399-2025")</f>
        <v/>
      </c>
      <c r="AD82">
        <f>HYPERLINK("https://klasma.github.io/Logging_2085/tillsynsmail/A 55399-2025 tillsynsbegäran mail.docx", "A 55399-2025")</f>
        <v/>
      </c>
      <c r="AE82">
        <f>HYPERLINK("https://klasma.github.io/Logging_2085/fåglar/A 55399-2025 prioriterade fågelarter.docx", "A 55399-2025")</f>
        <v/>
      </c>
    </row>
    <row r="83" ht="15" customHeight="1">
      <c r="A83" t="inlineStr">
        <is>
          <t>A 28727-2026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46198</v>
      </c>
      <c r="E83" s="1" t="n">
        <v>46311</v>
      </c>
      <c r="F83" t="inlineStr">
        <is>
          <t>DALARNAS LÄN</t>
        </is>
      </c>
      <c r="G83" t="inlineStr">
        <is>
          <t>LUDVIKA</t>
        </is>
      </c>
      <c r="H83" t="inlineStr">
        <is>
          <t>Bergvik skog väst AB</t>
        </is>
      </c>
      <c r="I83" t="n">
        <v>14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2</v>
      </c>
      <c r="T83" t="n">
        <v>3</v>
      </c>
      <c r="U83" t="n">
        <v>3</v>
      </c>
      <c r="V83" s="2" t="inlineStr">
        <is>
          <t>Garnlav
Mindre märgborre</t>
        </is>
      </c>
      <c r="W83">
        <f>HYPERLINK("https://klasma.github.io/Logging_2085/artfynd/A 28727-2026 artfynd.xlsx", "A 28727-2026")</f>
        <v/>
      </c>
      <c r="X83">
        <f>HYPERLINK("https://klasma.github.io/Logging_2085/kartor/A 28727-2026 karta.png", "A 28727-2026")</f>
        <v/>
      </c>
      <c r="Y83">
        <f>HYPERLINK("https://klasma.github.io/Logging_2085/kartor_geotiff/A 28727-2026 georefererad karta.tif", "A 28727-2026")</f>
        <v/>
      </c>
      <c r="AA83">
        <f>HYPERLINK("https://klasma.github.io/Logging_2085/klagomål/A 28727-2026 FSC-klagomål.docx", "A 28727-2026")</f>
        <v/>
      </c>
      <c r="AB83">
        <f>HYPERLINK("https://klasma.github.io/Logging_2085/klagomålsmail/A 28727-2026 FSC-klagomål mail.docx", "A 28727-2026")</f>
        <v/>
      </c>
      <c r="AC83">
        <f>HYPERLINK("https://klasma.github.io/Logging_2085/tillsyn/A 28727-2026 tillsynsbegäran.docx", "A 28727-2026")</f>
        <v/>
      </c>
      <c r="AD83">
        <f>HYPERLINK("https://klasma.github.io/Logging_2085/tillsynsmail/A 28727-2026 tillsynsbegäran mail.docx", "A 28727-2026")</f>
        <v/>
      </c>
    </row>
    <row r="84" ht="15" customHeight="1">
      <c r="A84" t="inlineStr">
        <is>
          <t>A 24426-2026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46168</v>
      </c>
      <c r="E84" s="1" t="n">
        <v>46311</v>
      </c>
      <c r="F84" t="inlineStr">
        <is>
          <t>DALARNAS LÄN</t>
        </is>
      </c>
      <c r="G84" t="inlineStr">
        <is>
          <t>LUDVIKA</t>
        </is>
      </c>
      <c r="H84" t="inlineStr">
        <is>
          <t>Övriga Aktiebolag</t>
        </is>
      </c>
      <c r="I84" t="n">
        <v>12.4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3</v>
      </c>
      <c r="U84" t="n">
        <v>0</v>
      </c>
      <c r="V84" s="2" t="inlineStr">
        <is>
          <t>Spillkråka
Sälg</t>
        </is>
      </c>
      <c r="W84">
        <f>HYPERLINK("https://klasma.github.io/Logging_2085/artfynd/A 24426-2026 artfynd.xlsx", "A 24426-2026")</f>
        <v/>
      </c>
      <c r="X84">
        <f>HYPERLINK("https://klasma.github.io/Logging_2085/kartor/A 24426-2026 karta.png", "A 24426-2026")</f>
        <v/>
      </c>
      <c r="Y84">
        <f>HYPERLINK("https://klasma.github.io/Logging_2085/kartor_geotiff/A 24426-2026 georefererad karta.tif", "A 24426-2026")</f>
        <v/>
      </c>
      <c r="AA84">
        <f>HYPERLINK("https://klasma.github.io/Logging_2085/klagomål/A 24426-2026 FSC-klagomål.docx", "A 24426-2026")</f>
        <v/>
      </c>
      <c r="AB84">
        <f>HYPERLINK("https://klasma.github.io/Logging_2085/klagomålsmail/A 24426-2026 FSC-klagomål mail.docx", "A 24426-2026")</f>
        <v/>
      </c>
      <c r="AC84">
        <f>HYPERLINK("https://klasma.github.io/Logging_2085/tillsyn/A 24426-2026 tillsynsbegäran.docx", "A 24426-2026")</f>
        <v/>
      </c>
      <c r="AD84">
        <f>HYPERLINK("https://klasma.github.io/Logging_2085/tillsynsmail/A 24426-2026 tillsynsbegäran mail.docx", "A 24426-2026")</f>
        <v/>
      </c>
      <c r="AE84">
        <f>HYPERLINK("https://klasma.github.io/Logging_2085/fåglar/A 24426-2026 prioriterade fågelarter.docx", "A 24426-2026")</f>
        <v/>
      </c>
    </row>
    <row r="85" ht="15" customHeight="1">
      <c r="A85" t="inlineStr">
        <is>
          <t>A 51886-2022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44872</v>
      </c>
      <c r="E85" s="1" t="n">
        <v>46311</v>
      </c>
      <c r="F85" t="inlineStr">
        <is>
          <t>DALARNAS LÄN</t>
        </is>
      </c>
      <c r="G85" t="inlineStr">
        <is>
          <t>LUDVIKA</t>
        </is>
      </c>
      <c r="H85" t="inlineStr">
        <is>
          <t>Bergvik skog väst AB</t>
        </is>
      </c>
      <c r="I85" t="n">
        <v>1.8</v>
      </c>
      <c r="J85" t="n">
        <v>2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2</v>
      </c>
      <c r="T85" t="n">
        <v>2</v>
      </c>
      <c r="U85" t="n">
        <v>1</v>
      </c>
      <c r="V85" s="2" t="inlineStr">
        <is>
          <t>Brun gräsfjäril
Tvåblad</t>
        </is>
      </c>
      <c r="W85">
        <f>HYPERLINK("https://klasma.github.io/Logging_2085/artfynd/A 51886-2022 artfynd.xlsx", "A 51886-2022")</f>
        <v/>
      </c>
      <c r="X85">
        <f>HYPERLINK("https://klasma.github.io/Logging_2085/kartor/A 51886-2022 karta.png", "A 51886-2022")</f>
        <v/>
      </c>
      <c r="Y85">
        <f>HYPERLINK("https://klasma.github.io/Logging_2085/kartor_geotiff/A 51886-2022 georefererad karta.tif", "A 51886-2022")</f>
        <v/>
      </c>
      <c r="AA85">
        <f>HYPERLINK("https://klasma.github.io/Logging_2085/klagomål/A 51886-2022 FSC-klagomål.docx", "A 51886-2022")</f>
        <v/>
      </c>
      <c r="AB85">
        <f>HYPERLINK("https://klasma.github.io/Logging_2085/klagomålsmail/A 51886-2022 FSC-klagomål mail.docx", "A 51886-2022")</f>
        <v/>
      </c>
      <c r="AC85">
        <f>HYPERLINK("https://klasma.github.io/Logging_2085/tillsyn/A 51886-2022 tillsynsbegäran.docx", "A 51886-2022")</f>
        <v/>
      </c>
      <c r="AD85">
        <f>HYPERLINK("https://klasma.github.io/Logging_2085/tillsynsmail/A 51886-2022 tillsynsbegäran mail.docx", "A 51886-2022")</f>
        <v/>
      </c>
    </row>
    <row r="86" ht="15" customHeight="1">
      <c r="A86" t="inlineStr">
        <is>
          <t>A 28639-2026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46198</v>
      </c>
      <c r="E86" s="1" t="n">
        <v>46311</v>
      </c>
      <c r="F86" t="inlineStr">
        <is>
          <t>DALARNAS LÄN</t>
        </is>
      </c>
      <c r="G86" t="inlineStr">
        <is>
          <t>LUDVIKA</t>
        </is>
      </c>
      <c r="H86" t="inlineStr">
        <is>
          <t>Bergvik skog väst AB</t>
        </is>
      </c>
      <c r="I86" t="n">
        <v>2.7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2</v>
      </c>
      <c r="T86" t="n">
        <v>3</v>
      </c>
      <c r="U86" t="n">
        <v>0</v>
      </c>
      <c r="V86" s="2" t="inlineStr">
        <is>
          <t>Blå taggsvamp
Motaggsvamp</t>
        </is>
      </c>
      <c r="W86">
        <f>HYPERLINK("https://klasma.github.io/Logging_2085/artfynd/A 28639-2026 artfynd.xlsx", "A 28639-2026")</f>
        <v/>
      </c>
      <c r="X86">
        <f>HYPERLINK("https://klasma.github.io/Logging_2085/kartor/A 28639-2026 karta.png", "A 28639-2026")</f>
        <v/>
      </c>
      <c r="Y86">
        <f>HYPERLINK("https://klasma.github.io/Logging_2085/kartor_geotiff/A 28639-2026 georefererad karta.tif", "A 28639-2026")</f>
        <v/>
      </c>
      <c r="AA86">
        <f>HYPERLINK("https://klasma.github.io/Logging_2085/klagomål/A 28639-2026 FSC-klagomål.docx", "A 28639-2026")</f>
        <v/>
      </c>
      <c r="AB86">
        <f>HYPERLINK("https://klasma.github.io/Logging_2085/klagomålsmail/A 28639-2026 FSC-klagomål mail.docx", "A 28639-2026")</f>
        <v/>
      </c>
      <c r="AC86">
        <f>HYPERLINK("https://klasma.github.io/Logging_2085/tillsyn/A 28639-2026 tillsynsbegäran.docx", "A 28639-2026")</f>
        <v/>
      </c>
      <c r="AD86">
        <f>HYPERLINK("https://klasma.github.io/Logging_2085/tillsynsmail/A 28639-2026 tillsynsbegäran mail.docx", "A 28639-2026")</f>
        <v/>
      </c>
    </row>
    <row r="87" ht="15" customHeight="1">
      <c r="A87" t="inlineStr">
        <is>
          <t>A 50170-2025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45943</v>
      </c>
      <c r="E87" s="1" t="n">
        <v>46311</v>
      </c>
      <c r="F87" t="inlineStr">
        <is>
          <t>DALARNAS LÄN</t>
        </is>
      </c>
      <c r="G87" t="inlineStr">
        <is>
          <t>LUDVIKA</t>
        </is>
      </c>
      <c r="H87" t="inlineStr">
        <is>
          <t>Bergvik skog väst AB</t>
        </is>
      </c>
      <c r="I87" t="n">
        <v>2.5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2</v>
      </c>
      <c r="T87" t="n">
        <v>2</v>
      </c>
      <c r="U87" t="n">
        <v>0</v>
      </c>
      <c r="V87" s="2" t="inlineStr">
        <is>
          <t>Labyrintlav
Gulnål</t>
        </is>
      </c>
      <c r="W87">
        <f>HYPERLINK("https://klasma.github.io/Logging_2085/artfynd/A 50170-2025 artfynd.xlsx", "A 50170-2025")</f>
        <v/>
      </c>
      <c r="X87">
        <f>HYPERLINK("https://klasma.github.io/Logging_2085/kartor/A 50170-2025 karta.png", "A 50170-2025")</f>
        <v/>
      </c>
      <c r="Y87">
        <f>HYPERLINK("https://klasma.github.io/Logging_2085/kartor_geotiff/A 50170-2025 georefererad karta.tif", "A 50170-2025")</f>
        <v/>
      </c>
      <c r="AA87">
        <f>HYPERLINK("https://klasma.github.io/Logging_2085/klagomål/A 50170-2025 FSC-klagomål.docx", "A 50170-2025")</f>
        <v/>
      </c>
      <c r="AB87">
        <f>HYPERLINK("https://klasma.github.io/Logging_2085/klagomålsmail/A 50170-2025 FSC-klagomål mail.docx", "A 50170-2025")</f>
        <v/>
      </c>
      <c r="AC87">
        <f>HYPERLINK("https://klasma.github.io/Logging_2085/tillsyn/A 50170-2025 tillsynsbegäran.docx", "A 50170-2025")</f>
        <v/>
      </c>
      <c r="AD87">
        <f>HYPERLINK("https://klasma.github.io/Logging_2085/tillsynsmail/A 50170-2025 tillsynsbegäran mail.docx", "A 50170-2025")</f>
        <v/>
      </c>
    </row>
    <row r="88" ht="15" customHeight="1">
      <c r="A88" t="inlineStr">
        <is>
          <t>A 56179-2025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45974</v>
      </c>
      <c r="E88" s="1" t="n">
        <v>46311</v>
      </c>
      <c r="F88" t="inlineStr">
        <is>
          <t>DALARNAS LÄN</t>
        </is>
      </c>
      <c r="G88" t="inlineStr">
        <is>
          <t>LUDVIKA</t>
        </is>
      </c>
      <c r="H88" t="inlineStr">
        <is>
          <t>Bergvik skog väst AB</t>
        </is>
      </c>
      <c r="I88" t="n">
        <v>2.8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2</v>
      </c>
      <c r="R88" t="n">
        <v>0</v>
      </c>
      <c r="S88" t="n">
        <v>2</v>
      </c>
      <c r="T88" t="n">
        <v>2</v>
      </c>
      <c r="U88" t="n">
        <v>0</v>
      </c>
      <c r="V88" s="2" t="inlineStr">
        <is>
          <t>Gultoppig fingersvamp
Kortskaftad ärgspik</t>
        </is>
      </c>
      <c r="W88">
        <f>HYPERLINK("https://klasma.github.io/Logging_2085/artfynd/A 56179-2025 artfynd.xlsx", "A 56179-2025")</f>
        <v/>
      </c>
      <c r="X88">
        <f>HYPERLINK("https://klasma.github.io/Logging_2085/kartor/A 56179-2025 karta.png", "A 56179-2025")</f>
        <v/>
      </c>
      <c r="Y88">
        <f>HYPERLINK("https://klasma.github.io/Logging_2085/kartor_geotiff/A 56179-2025 georefererad karta.tif", "A 56179-2025")</f>
        <v/>
      </c>
      <c r="Z88">
        <f>HYPERLINK("https://klasma.github.io/Logging_2085/knärot/A 56179-2025 karta knärot.png", "A 56179-2025")</f>
        <v/>
      </c>
      <c r="AA88">
        <f>HYPERLINK("https://klasma.github.io/Logging_2085/klagomål/A 56179-2025 FSC-klagomål.docx", "A 56179-2025")</f>
        <v/>
      </c>
      <c r="AB88">
        <f>HYPERLINK("https://klasma.github.io/Logging_2085/klagomålsmail/A 56179-2025 FSC-klagomål mail.docx", "A 56179-2025")</f>
        <v/>
      </c>
      <c r="AC88">
        <f>HYPERLINK("https://klasma.github.io/Logging_2085/tillsyn/A 56179-2025 tillsynsbegäran.docx", "A 56179-2025")</f>
        <v/>
      </c>
      <c r="AD88">
        <f>HYPERLINK("https://klasma.github.io/Logging_2085/tillsynsmail/A 56179-2025 tillsynsbegäran mail.docx", "A 56179-2025")</f>
        <v/>
      </c>
    </row>
    <row r="89" ht="15" customHeight="1">
      <c r="A89" t="inlineStr">
        <is>
          <t>A 49763-2025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45940</v>
      </c>
      <c r="E89" s="1" t="n">
        <v>46311</v>
      </c>
      <c r="F89" t="inlineStr">
        <is>
          <t>DALARNAS LÄN</t>
        </is>
      </c>
      <c r="G89" t="inlineStr">
        <is>
          <t>LUDVIKA</t>
        </is>
      </c>
      <c r="H89" t="inlineStr">
        <is>
          <t>Bergvik skog väst AB</t>
        </is>
      </c>
      <c r="I89" t="n">
        <v>6.9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2</v>
      </c>
      <c r="T89" t="n">
        <v>3</v>
      </c>
      <c r="U89" t="n">
        <v>2</v>
      </c>
      <c r="V89" s="2" t="inlineStr">
        <is>
          <t>Dvärgbägarlav
Vedticka</t>
        </is>
      </c>
      <c r="W89">
        <f>HYPERLINK("https://klasma.github.io/Logging_2085/artfynd/A 49763-2025 artfynd.xlsx", "A 49763-2025")</f>
        <v/>
      </c>
      <c r="X89">
        <f>HYPERLINK("https://klasma.github.io/Logging_2085/kartor/A 49763-2025 karta.png", "A 49763-2025")</f>
        <v/>
      </c>
      <c r="Y89">
        <f>HYPERLINK("https://klasma.github.io/Logging_2085/kartor_geotiff/A 49763-2025 georefererad karta.tif", "A 49763-2025")</f>
        <v/>
      </c>
      <c r="AA89">
        <f>HYPERLINK("https://klasma.github.io/Logging_2085/klagomål/A 49763-2025 FSC-klagomål.docx", "A 49763-2025")</f>
        <v/>
      </c>
      <c r="AB89">
        <f>HYPERLINK("https://klasma.github.io/Logging_2085/klagomålsmail/A 49763-2025 FSC-klagomål mail.docx", "A 49763-2025")</f>
        <v/>
      </c>
      <c r="AC89">
        <f>HYPERLINK("https://klasma.github.io/Logging_2085/tillsyn/A 49763-2025 tillsynsbegäran.docx", "A 49763-2025")</f>
        <v/>
      </c>
      <c r="AD89">
        <f>HYPERLINK("https://klasma.github.io/Logging_2085/tillsynsmail/A 49763-2025 tillsynsbegäran mail.docx", "A 49763-2025")</f>
        <v/>
      </c>
    </row>
    <row r="90" ht="15" customHeight="1">
      <c r="A90" t="inlineStr">
        <is>
          <t>A 56826-2025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45978</v>
      </c>
      <c r="E90" s="1" t="n">
        <v>46311</v>
      </c>
      <c r="F90" t="inlineStr">
        <is>
          <t>DALARNAS LÄN</t>
        </is>
      </c>
      <c r="G90" t="inlineStr">
        <is>
          <t>LUDVIKA</t>
        </is>
      </c>
      <c r="H90" t="inlineStr">
        <is>
          <t>Bergvik skog väst AB</t>
        </is>
      </c>
      <c r="I90" t="n">
        <v>4.5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2</v>
      </c>
      <c r="T90" t="n">
        <v>8</v>
      </c>
      <c r="U90" t="n">
        <v>8</v>
      </c>
      <c r="V90" s="2" t="inlineStr">
        <is>
          <t>Garnlav
Tretåig hackspett</t>
        </is>
      </c>
      <c r="W90">
        <f>HYPERLINK("https://klasma.github.io/Logging_2085/artfynd/A 56826-2025 artfynd.xlsx", "A 56826-2025")</f>
        <v/>
      </c>
      <c r="X90">
        <f>HYPERLINK("https://klasma.github.io/Logging_2085/kartor/A 56826-2025 karta.png", "A 56826-2025")</f>
        <v/>
      </c>
      <c r="Y90">
        <f>HYPERLINK("https://klasma.github.io/Logging_2085/kartor_geotiff/A 56826-2025 georefererad karta.tif", "A 56826-2025")</f>
        <v/>
      </c>
      <c r="AA90">
        <f>HYPERLINK("https://klasma.github.io/Logging_2085/klagomål/A 56826-2025 FSC-klagomål.docx", "A 56826-2025")</f>
        <v/>
      </c>
      <c r="AB90">
        <f>HYPERLINK("https://klasma.github.io/Logging_2085/klagomålsmail/A 56826-2025 FSC-klagomål mail.docx", "A 56826-2025")</f>
        <v/>
      </c>
      <c r="AC90">
        <f>HYPERLINK("https://klasma.github.io/Logging_2085/tillsyn/A 56826-2025 tillsynsbegäran.docx", "A 56826-2025")</f>
        <v/>
      </c>
      <c r="AD90">
        <f>HYPERLINK("https://klasma.github.io/Logging_2085/tillsynsmail/A 56826-2025 tillsynsbegäran mail.docx", "A 56826-2025")</f>
        <v/>
      </c>
      <c r="AE90">
        <f>HYPERLINK("https://klasma.github.io/Logging_2085/fåglar/A 56826-2025 prioriterade fågelarter.docx", "A 56826-2025")</f>
        <v/>
      </c>
    </row>
    <row r="91" ht="15" customHeight="1">
      <c r="A91" t="inlineStr">
        <is>
          <t>A 42558-2022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44831</v>
      </c>
      <c r="E91" s="1" t="n">
        <v>46311</v>
      </c>
      <c r="F91" t="inlineStr">
        <is>
          <t>DALARNAS LÄN</t>
        </is>
      </c>
      <c r="G91" t="inlineStr">
        <is>
          <t>LUDVIKA</t>
        </is>
      </c>
      <c r="H91" t="inlineStr">
        <is>
          <t>Naturvårdsverket</t>
        </is>
      </c>
      <c r="I91" t="n">
        <v>4.9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2</v>
      </c>
      <c r="T91" t="n">
        <v>2</v>
      </c>
      <c r="U91" t="n">
        <v>2</v>
      </c>
      <c r="V91" s="2" t="inlineStr">
        <is>
          <t>Gräddporing
Lopplummer (aggregat)</t>
        </is>
      </c>
      <c r="W91">
        <f>HYPERLINK("https://klasma.github.io/Logging_2085/artfynd/A 42558-2022 artfynd.xlsx", "A 42558-2022")</f>
        <v/>
      </c>
      <c r="X91">
        <f>HYPERLINK("https://klasma.github.io/Logging_2085/kartor/A 42558-2022 karta.png", "A 42558-2022")</f>
        <v/>
      </c>
      <c r="Y91">
        <f>HYPERLINK("https://klasma.github.io/Logging_2085/kartor_geotiff/A 42558-2022 georefererad karta.tif", "A 42558-2022")</f>
        <v/>
      </c>
      <c r="AA91">
        <f>HYPERLINK("https://klasma.github.io/Logging_2085/klagomål/A 42558-2022 FSC-klagomål.docx", "A 42558-2022")</f>
        <v/>
      </c>
      <c r="AB91">
        <f>HYPERLINK("https://klasma.github.io/Logging_2085/klagomålsmail/A 42558-2022 FSC-klagomål mail.docx", "A 42558-2022")</f>
        <v/>
      </c>
      <c r="AC91">
        <f>HYPERLINK("https://klasma.github.io/Logging_2085/tillsyn/A 42558-2022 tillsynsbegäran.docx", "A 42558-2022")</f>
        <v/>
      </c>
      <c r="AD91">
        <f>HYPERLINK("https://klasma.github.io/Logging_2085/tillsynsmail/A 42558-2022 tillsynsbegäran mail.docx", "A 42558-2022")</f>
        <v/>
      </c>
    </row>
    <row r="92" ht="15" customHeight="1">
      <c r="A92" t="inlineStr">
        <is>
          <t>A 8202-2025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45708</v>
      </c>
      <c r="E92" s="1" t="n">
        <v>46311</v>
      </c>
      <c r="F92" t="inlineStr">
        <is>
          <t>DALARNAS LÄN</t>
        </is>
      </c>
      <c r="G92" t="inlineStr">
        <is>
          <t>LUDVIKA</t>
        </is>
      </c>
      <c r="I92" t="n">
        <v>6.4</v>
      </c>
      <c r="J92" t="n">
        <v>2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2</v>
      </c>
      <c r="T92" t="n">
        <v>7</v>
      </c>
      <c r="U92" t="n">
        <v>7</v>
      </c>
      <c r="V92" s="2" t="inlineStr">
        <is>
          <t>Tretåig hackspett
Spillkråka</t>
        </is>
      </c>
      <c r="W92">
        <f>HYPERLINK("https://klasma.github.io/Logging_2085/artfynd/A 8202-2025 artfynd.xlsx", "A 8202-2025")</f>
        <v/>
      </c>
      <c r="X92">
        <f>HYPERLINK("https://klasma.github.io/Logging_2085/kartor/A 8202-2025 karta.png", "A 8202-2025")</f>
        <v/>
      </c>
      <c r="Y92">
        <f>HYPERLINK("https://klasma.github.io/Logging_2085/kartor_geotiff/A 8202-2025 georefererad karta.tif", "A 8202-2025")</f>
        <v/>
      </c>
      <c r="AA92">
        <f>HYPERLINK("https://klasma.github.io/Logging_2085/klagomål/A 8202-2025 FSC-klagomål.docx", "A 8202-2025")</f>
        <v/>
      </c>
      <c r="AB92">
        <f>HYPERLINK("https://klasma.github.io/Logging_2085/klagomålsmail/A 8202-2025 FSC-klagomål mail.docx", "A 8202-2025")</f>
        <v/>
      </c>
      <c r="AC92">
        <f>HYPERLINK("https://klasma.github.io/Logging_2085/tillsyn/A 8202-2025 tillsynsbegäran.docx", "A 8202-2025")</f>
        <v/>
      </c>
      <c r="AD92">
        <f>HYPERLINK("https://klasma.github.io/Logging_2085/tillsynsmail/A 8202-2025 tillsynsbegäran mail.docx", "A 8202-2025")</f>
        <v/>
      </c>
      <c r="AE92">
        <f>HYPERLINK("https://klasma.github.io/Logging_2085/fåglar/A 8202-2025 prioriterade fågelarter.docx", "A 8202-2025")</f>
        <v/>
      </c>
    </row>
    <row r="93" ht="15" customHeight="1">
      <c r="A93" t="inlineStr">
        <is>
          <t>A 19512-2022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44693</v>
      </c>
      <c r="E93" s="1" t="n">
        <v>46311</v>
      </c>
      <c r="F93" t="inlineStr">
        <is>
          <t>DALARNAS LÄN</t>
        </is>
      </c>
      <c r="G93" t="inlineStr">
        <is>
          <t>LUDVIKA</t>
        </is>
      </c>
      <c r="H93" t="inlineStr">
        <is>
          <t>Bergvik skog väst AB</t>
        </is>
      </c>
      <c r="I93" t="n">
        <v>2.8</v>
      </c>
      <c r="J93" t="n">
        <v>1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2</v>
      </c>
      <c r="T93" t="n">
        <v>2</v>
      </c>
      <c r="U93" t="n">
        <v>1</v>
      </c>
      <c r="V93" s="2" t="inlineStr">
        <is>
          <t>Tretåig hackspett
Nästlav</t>
        </is>
      </c>
      <c r="W93">
        <f>HYPERLINK("https://klasma.github.io/Logging_2085/artfynd/A 19512-2022 artfynd.xlsx", "A 19512-2022")</f>
        <v/>
      </c>
      <c r="X93">
        <f>HYPERLINK("https://klasma.github.io/Logging_2085/kartor/A 19512-2022 karta.png", "A 19512-2022")</f>
        <v/>
      </c>
      <c r="Y93">
        <f>HYPERLINK("https://klasma.github.io/Logging_2085/kartor_geotiff/A 19512-2022 georefererad karta.tif", "A 19512-2022")</f>
        <v/>
      </c>
      <c r="AA93">
        <f>HYPERLINK("https://klasma.github.io/Logging_2085/klagomål/A 19512-2022 FSC-klagomål.docx", "A 19512-2022")</f>
        <v/>
      </c>
      <c r="AB93">
        <f>HYPERLINK("https://klasma.github.io/Logging_2085/klagomålsmail/A 19512-2022 FSC-klagomål mail.docx", "A 19512-2022")</f>
        <v/>
      </c>
      <c r="AC93">
        <f>HYPERLINK("https://klasma.github.io/Logging_2085/tillsyn/A 19512-2022 tillsynsbegäran.docx", "A 19512-2022")</f>
        <v/>
      </c>
      <c r="AD93">
        <f>HYPERLINK("https://klasma.github.io/Logging_2085/tillsynsmail/A 19512-2022 tillsynsbegäran mail.docx", "A 19512-2022")</f>
        <v/>
      </c>
      <c r="AE93">
        <f>HYPERLINK("https://klasma.github.io/Logging_2085/fåglar/A 19512-2022 prioriterade fågelarter.docx", "A 19512-2022")</f>
        <v/>
      </c>
    </row>
    <row r="94" ht="15" customHeight="1">
      <c r="A94" t="inlineStr">
        <is>
          <t>A 35104-2026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46260</v>
      </c>
      <c r="E94" s="1" t="n">
        <v>46311</v>
      </c>
      <c r="F94" t="inlineStr">
        <is>
          <t>DALARNAS LÄN</t>
        </is>
      </c>
      <c r="G94" t="inlineStr">
        <is>
          <t>LUDVIKA</t>
        </is>
      </c>
      <c r="I94" t="n">
        <v>1.4</v>
      </c>
      <c r="J94" t="n">
        <v>1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2</v>
      </c>
      <c r="T94" t="n">
        <v>3</v>
      </c>
      <c r="U94" t="n">
        <v>3</v>
      </c>
      <c r="V94" s="2" t="inlineStr">
        <is>
          <t>Knärot
Rödgul trumpetsvamp</t>
        </is>
      </c>
      <c r="W94">
        <f>HYPERLINK("https://klasma.github.io/Logging_2085/artfynd/A 35104-2026 artfynd.xlsx", "A 35104-2026")</f>
        <v/>
      </c>
      <c r="X94">
        <f>HYPERLINK("https://klasma.github.io/Logging_2085/kartor/A 35104-2026 karta.png", "A 35104-2026")</f>
        <v/>
      </c>
      <c r="Y94">
        <f>HYPERLINK("https://klasma.github.io/Logging_2085/kartor_geotiff/A 35104-2026 georefererad karta.tif", "A 35104-2026")</f>
        <v/>
      </c>
      <c r="Z94">
        <f>HYPERLINK("https://klasma.github.io/Logging_2085/knärot/A 35104-2026 karta knärot.png", "A 35104-2026")</f>
        <v/>
      </c>
      <c r="AA94">
        <f>HYPERLINK("https://klasma.github.io/Logging_2085/klagomål/A 35104-2026 FSC-klagomål.docx", "A 35104-2026")</f>
        <v/>
      </c>
      <c r="AB94">
        <f>HYPERLINK("https://klasma.github.io/Logging_2085/klagomålsmail/A 35104-2026 FSC-klagomål mail.docx", "A 35104-2026")</f>
        <v/>
      </c>
      <c r="AC94">
        <f>HYPERLINK("https://klasma.github.io/Logging_2085/tillsyn/A 35104-2026 tillsynsbegäran.docx", "A 35104-2026")</f>
        <v/>
      </c>
      <c r="AD94">
        <f>HYPERLINK("https://klasma.github.io/Logging_2085/tillsynsmail/A 35104-2026 tillsynsbegäran mail.docx", "A 35104-2026")</f>
        <v/>
      </c>
    </row>
    <row r="95" ht="15" customHeight="1">
      <c r="A95" t="inlineStr">
        <is>
          <t>A 35099-2026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46260</v>
      </c>
      <c r="E95" s="1" t="n">
        <v>46311</v>
      </c>
      <c r="F95" t="inlineStr">
        <is>
          <t>DALARNAS LÄN</t>
        </is>
      </c>
      <c r="G95" t="inlineStr">
        <is>
          <t>LUDVIKA</t>
        </is>
      </c>
      <c r="I95" t="n">
        <v>3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2</v>
      </c>
      <c r="T95" t="n">
        <v>5</v>
      </c>
      <c r="U95" t="n">
        <v>5</v>
      </c>
      <c r="V95" s="2" t="inlineStr">
        <is>
          <t>Knärot
Sälg</t>
        </is>
      </c>
      <c r="W95">
        <f>HYPERLINK("https://klasma.github.io/Logging_2085/artfynd/A 35099-2026 artfynd.xlsx", "A 35099-2026")</f>
        <v/>
      </c>
      <c r="X95">
        <f>HYPERLINK("https://klasma.github.io/Logging_2085/kartor/A 35099-2026 karta.png", "A 35099-2026")</f>
        <v/>
      </c>
      <c r="Y95">
        <f>HYPERLINK("https://klasma.github.io/Logging_2085/kartor_geotiff/A 35099-2026 georefererad karta.tif", "A 35099-2026")</f>
        <v/>
      </c>
      <c r="Z95">
        <f>HYPERLINK("https://klasma.github.io/Logging_2085/knärot/A 35099-2026 karta knärot.png", "A 35099-2026")</f>
        <v/>
      </c>
      <c r="AA95">
        <f>HYPERLINK("https://klasma.github.io/Logging_2085/klagomål/A 35099-2026 FSC-klagomål.docx", "A 35099-2026")</f>
        <v/>
      </c>
      <c r="AB95">
        <f>HYPERLINK("https://klasma.github.io/Logging_2085/klagomålsmail/A 35099-2026 FSC-klagomål mail.docx", "A 35099-2026")</f>
        <v/>
      </c>
      <c r="AC95">
        <f>HYPERLINK("https://klasma.github.io/Logging_2085/tillsyn/A 35099-2026 tillsynsbegäran.docx", "A 35099-2026")</f>
        <v/>
      </c>
      <c r="AD95">
        <f>HYPERLINK("https://klasma.github.io/Logging_2085/tillsynsmail/A 35099-2026 tillsynsbegäran mail.docx", "A 35099-2026")</f>
        <v/>
      </c>
    </row>
    <row r="96" ht="15" customHeight="1">
      <c r="A96" t="inlineStr">
        <is>
          <t>S 296-2025</t>
        </is>
      </c>
      <c r="B96" t="inlineStr">
        <is>
          <t>samrådsanmälan</t>
        </is>
      </c>
      <c r="C96" t="inlineStr">
        <is>
          <t>Skogsgödsling</t>
        </is>
      </c>
      <c r="D96" s="1" t="n">
        <v>45687</v>
      </c>
      <c r="E96" s="1" t="n">
        <v>46311</v>
      </c>
      <c r="F96" t="inlineStr">
        <is>
          <t>DALARNAS LÄN</t>
        </is>
      </c>
      <c r="G96" t="inlineStr">
        <is>
          <t>LUDVIKA</t>
        </is>
      </c>
      <c r="H96" t="inlineStr">
        <is>
          <t>Bergvik skog väst AB</t>
        </is>
      </c>
      <c r="I96" t="n">
        <v>278.6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2</v>
      </c>
      <c r="T96" t="n">
        <v>2</v>
      </c>
      <c r="U96" t="n">
        <v>0</v>
      </c>
      <c r="V96" s="2" t="inlineStr">
        <is>
          <t>Brunpudrad nållav
Rödgul trumpetsvamp</t>
        </is>
      </c>
      <c r="W96">
        <f>HYPERLINK("https://klasma.github.io/Logging_2085/artfynd/S 296-2025 artfynd.xlsx", "S 296-2025")</f>
        <v/>
      </c>
      <c r="X96">
        <f>HYPERLINK("https://klasma.github.io/Logging_2085/kartor/S 296-2025 karta.png", "S 296-2025")</f>
        <v/>
      </c>
      <c r="Y96">
        <f>HYPERLINK("https://klasma.github.io/Logging_2085/kartor_geotiff/S 296-2025 georefererad karta.tif", "S 296-2025")</f>
        <v/>
      </c>
      <c r="AA96">
        <f>HYPERLINK("https://klasma.github.io/Logging_2085/klagomål/S 296-2025 FSC-klagomål.docx", "S 296-2025")</f>
        <v/>
      </c>
      <c r="AB96">
        <f>HYPERLINK("https://klasma.github.io/Logging_2085/klagomålsmail/S 296-2025 FSC-klagomål mail.docx", "S 296-2025")</f>
        <v/>
      </c>
      <c r="AC96">
        <f>HYPERLINK("https://klasma.github.io/Logging_2085/tillsyn/S 296-2025 tillsynsbegäran.docx", "S 296-2025")</f>
        <v/>
      </c>
      <c r="AD96">
        <f>HYPERLINK("https://klasma.github.io/Logging_2085/tillsynsmail/S 296-2025 tillsynsbegäran mail.docx", "S 296-2025")</f>
        <v/>
      </c>
    </row>
    <row r="97" ht="15" customHeight="1">
      <c r="A97" t="inlineStr">
        <is>
          <t>S 3586-2025</t>
        </is>
      </c>
      <c r="B97" t="inlineStr">
        <is>
          <t>samrådsanmälan</t>
        </is>
      </c>
      <c r="C97" t="inlineStr">
        <is>
          <t>Skogsgödsling</t>
        </is>
      </c>
      <c r="D97" s="1" t="n">
        <v>46010</v>
      </c>
      <c r="E97" s="1" t="n">
        <v>46311</v>
      </c>
      <c r="F97" t="inlineStr">
        <is>
          <t>DALARNAS LÄN</t>
        </is>
      </c>
      <c r="G97" t="inlineStr">
        <is>
          <t>LUDVIKA</t>
        </is>
      </c>
      <c r="H97" t="inlineStr">
        <is>
          <t>Bergvik skog väst AB</t>
        </is>
      </c>
      <c r="I97" t="n">
        <v>275.6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2</v>
      </c>
      <c r="T97" t="n">
        <v>2</v>
      </c>
      <c r="U97" t="n">
        <v>1</v>
      </c>
      <c r="V97" s="2" t="inlineStr">
        <is>
          <t>Garnlav
Järpe</t>
        </is>
      </c>
      <c r="W97">
        <f>HYPERLINK("https://klasma.github.io/Logging_2085/artfynd/S 3586-2025 artfynd.xlsx", "S 3586-2025")</f>
        <v/>
      </c>
      <c r="X97">
        <f>HYPERLINK("https://klasma.github.io/Logging_2085/kartor/S 3586-2025 karta.png", "S 3586-2025")</f>
        <v/>
      </c>
      <c r="Y97">
        <f>HYPERLINK("https://klasma.github.io/Logging_2085/kartor_geotiff/S 3586-2025 georefererad karta.tif", "S 3586-2025")</f>
        <v/>
      </c>
      <c r="AA97">
        <f>HYPERLINK("https://klasma.github.io/Logging_2085/klagomål/S 3586-2025 FSC-klagomål.docx", "S 3586-2025")</f>
        <v/>
      </c>
      <c r="AB97">
        <f>HYPERLINK("https://klasma.github.io/Logging_2085/klagomålsmail/S 3586-2025 FSC-klagomål mail.docx", "S 3586-2025")</f>
        <v/>
      </c>
      <c r="AC97">
        <f>HYPERLINK("https://klasma.github.io/Logging_2085/tillsyn/S 3586-2025 tillsynsbegäran.docx", "S 3586-2025")</f>
        <v/>
      </c>
      <c r="AD97">
        <f>HYPERLINK("https://klasma.github.io/Logging_2085/tillsynsmail/S 3586-2025 tillsynsbegäran mail.docx", "S 3586-2025")</f>
        <v/>
      </c>
      <c r="AE97">
        <f>HYPERLINK("https://klasma.github.io/Logging_2085/fåglar/S 3586-2025 prioriterade fågelarter.docx", "S 3586-2025")</f>
        <v/>
      </c>
    </row>
    <row r="98" ht="15" customHeight="1">
      <c r="A98" t="inlineStr">
        <is>
          <t>A 927-2022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44571</v>
      </c>
      <c r="E98" s="1" t="n">
        <v>46311</v>
      </c>
      <c r="F98" t="inlineStr">
        <is>
          <t>DALARNAS LÄN</t>
        </is>
      </c>
      <c r="G98" t="inlineStr">
        <is>
          <t>LUDVIKA</t>
        </is>
      </c>
      <c r="H98" t="inlineStr">
        <is>
          <t>Allmännings- och besparingsskogar</t>
        </is>
      </c>
      <c r="I98" t="n">
        <v>2.4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1</v>
      </c>
      <c r="U98" t="n">
        <v>0</v>
      </c>
      <c r="V98" s="2" t="inlineStr">
        <is>
          <t>Brunklöver</t>
        </is>
      </c>
      <c r="W98">
        <f>HYPERLINK("https://klasma.github.io/Logging_2085/artfynd/A 927-2022 artfynd.xlsx", "A 927-2022")</f>
        <v/>
      </c>
      <c r="X98">
        <f>HYPERLINK("https://klasma.github.io/Logging_2085/kartor/A 927-2022 karta.png", "A 927-2022")</f>
        <v/>
      </c>
      <c r="Y98">
        <f>HYPERLINK("https://klasma.github.io/Logging_2085/kartor_geotiff/A 927-2022 georefererad karta.tif", "A 927-2022")</f>
        <v/>
      </c>
      <c r="AA98">
        <f>HYPERLINK("https://klasma.github.io/Logging_2085/klagomål/A 927-2022 FSC-klagomål.docx", "A 927-2022")</f>
        <v/>
      </c>
      <c r="AB98">
        <f>HYPERLINK("https://klasma.github.io/Logging_2085/klagomålsmail/A 927-2022 FSC-klagomål mail.docx", "A 927-2022")</f>
        <v/>
      </c>
      <c r="AC98">
        <f>HYPERLINK("https://klasma.github.io/Logging_2085/tillsyn/A 927-2022 tillsynsbegäran.docx", "A 927-2022")</f>
        <v/>
      </c>
      <c r="AD98">
        <f>HYPERLINK("https://klasma.github.io/Logging_2085/tillsynsmail/A 927-2022 tillsynsbegäran mail.docx", "A 927-2022")</f>
        <v/>
      </c>
    </row>
    <row r="99" ht="15" customHeight="1">
      <c r="A99" t="inlineStr">
        <is>
          <t>A 13051-2022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44643</v>
      </c>
      <c r="E99" s="1" t="n">
        <v>46311</v>
      </c>
      <c r="F99" t="inlineStr">
        <is>
          <t>DALARNAS LÄN</t>
        </is>
      </c>
      <c r="G99" t="inlineStr">
        <is>
          <t>LUDVIKA</t>
        </is>
      </c>
      <c r="I99" t="n">
        <v>1.4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s="2" t="inlineStr">
        <is>
          <t>Mosippa</t>
        </is>
      </c>
      <c r="W99">
        <f>HYPERLINK("https://klasma.github.io/Logging_2085/artfynd/A 13051-2022 artfynd.xlsx", "A 13051-2022")</f>
        <v/>
      </c>
      <c r="X99">
        <f>HYPERLINK("https://klasma.github.io/Logging_2085/kartor/A 13051-2022 karta.png", "A 13051-2022")</f>
        <v/>
      </c>
      <c r="Y99">
        <f>HYPERLINK("https://klasma.github.io/Logging_2085/kartor_geotiff/A 13051-2022 georefererad karta.tif", "A 13051-2022")</f>
        <v/>
      </c>
      <c r="AA99">
        <f>HYPERLINK("https://klasma.github.io/Logging_2085/klagomål/A 13051-2022 FSC-klagomål.docx", "A 13051-2022")</f>
        <v/>
      </c>
      <c r="AB99">
        <f>HYPERLINK("https://klasma.github.io/Logging_2085/klagomålsmail/A 13051-2022 FSC-klagomål mail.docx", "A 13051-2022")</f>
        <v/>
      </c>
      <c r="AC99">
        <f>HYPERLINK("https://klasma.github.io/Logging_2085/tillsyn/A 13051-2022 tillsynsbegäran.docx", "A 13051-2022")</f>
        <v/>
      </c>
      <c r="AD99">
        <f>HYPERLINK("https://klasma.github.io/Logging_2085/tillsynsmail/A 13051-2022 tillsynsbegäran mail.docx", "A 13051-2022")</f>
        <v/>
      </c>
    </row>
    <row r="100" ht="15" customHeight="1">
      <c r="A100" t="inlineStr">
        <is>
          <t>A 51709-2022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44872</v>
      </c>
      <c r="E100" s="1" t="n">
        <v>46311</v>
      </c>
      <c r="F100" t="inlineStr">
        <is>
          <t>DALARNAS LÄN</t>
        </is>
      </c>
      <c r="G100" t="inlineStr">
        <is>
          <t>LUDVIKA</t>
        </is>
      </c>
      <c r="H100" t="inlineStr">
        <is>
          <t>Bergvik skog väst AB</t>
        </is>
      </c>
      <c r="I100" t="n">
        <v>2.1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s="2" t="inlineStr">
        <is>
          <t>Ängsmetallvinge</t>
        </is>
      </c>
      <c r="W100">
        <f>HYPERLINK("https://klasma.github.io/Logging_2085/artfynd/A 51709-2022 artfynd.xlsx", "A 51709-2022")</f>
        <v/>
      </c>
      <c r="X100">
        <f>HYPERLINK("https://klasma.github.io/Logging_2085/kartor/A 51709-2022 karta.png", "A 51709-2022")</f>
        <v/>
      </c>
      <c r="Y100">
        <f>HYPERLINK("https://klasma.github.io/Logging_2085/kartor_geotiff/A 51709-2022 georefererad karta.tif", "A 51709-2022")</f>
        <v/>
      </c>
      <c r="AA100">
        <f>HYPERLINK("https://klasma.github.io/Logging_2085/klagomål/A 51709-2022 FSC-klagomål.docx", "A 51709-2022")</f>
        <v/>
      </c>
      <c r="AB100">
        <f>HYPERLINK("https://klasma.github.io/Logging_2085/klagomålsmail/A 51709-2022 FSC-klagomål mail.docx", "A 51709-2022")</f>
        <v/>
      </c>
      <c r="AC100">
        <f>HYPERLINK("https://klasma.github.io/Logging_2085/tillsyn/A 51709-2022 tillsynsbegäran.docx", "A 51709-2022")</f>
        <v/>
      </c>
      <c r="AD100">
        <f>HYPERLINK("https://klasma.github.io/Logging_2085/tillsynsmail/A 51709-2022 tillsynsbegäran mail.docx", "A 51709-2022")</f>
        <v/>
      </c>
    </row>
    <row r="101" ht="15" customHeight="1">
      <c r="A101" t="inlineStr">
        <is>
          <t>A 17987-2025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45761</v>
      </c>
      <c r="E101" s="1" t="n">
        <v>46311</v>
      </c>
      <c r="F101" t="inlineStr">
        <is>
          <t>DALARNAS LÄN</t>
        </is>
      </c>
      <c r="G101" t="inlineStr">
        <is>
          <t>LUDVIKA</t>
        </is>
      </c>
      <c r="I101" t="n">
        <v>0.5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s="2" t="inlineStr">
        <is>
          <t>Talltita</t>
        </is>
      </c>
      <c r="W101">
        <f>HYPERLINK("https://klasma.github.io/Logging_2085/artfynd/A 17987-2025 artfynd.xlsx", "A 17987-2025")</f>
        <v/>
      </c>
      <c r="X101">
        <f>HYPERLINK("https://klasma.github.io/Logging_2085/kartor/A 17987-2025 karta.png", "A 17987-2025")</f>
        <v/>
      </c>
      <c r="Y101">
        <f>HYPERLINK("https://klasma.github.io/Logging_2085/kartor_geotiff/A 17987-2025 georefererad karta.tif", "A 17987-2025")</f>
        <v/>
      </c>
      <c r="AA101">
        <f>HYPERLINK("https://klasma.github.io/Logging_2085/klagomål/A 17987-2025 FSC-klagomål.docx", "A 17987-2025")</f>
        <v/>
      </c>
      <c r="AB101">
        <f>HYPERLINK("https://klasma.github.io/Logging_2085/klagomålsmail/A 17987-2025 FSC-klagomål mail.docx", "A 17987-2025")</f>
        <v/>
      </c>
      <c r="AC101">
        <f>HYPERLINK("https://klasma.github.io/Logging_2085/tillsyn/A 17987-2025 tillsynsbegäran.docx", "A 17987-2025")</f>
        <v/>
      </c>
      <c r="AD101">
        <f>HYPERLINK("https://klasma.github.io/Logging_2085/tillsynsmail/A 17987-2025 tillsynsbegäran mail.docx", "A 17987-2025")</f>
        <v/>
      </c>
      <c r="AE101">
        <f>HYPERLINK("https://klasma.github.io/Logging_2085/fåglar/A 17987-2025 prioriterade fågelarter.docx", "A 17987-2025")</f>
        <v/>
      </c>
    </row>
    <row r="102" ht="15" customHeight="1">
      <c r="A102" t="inlineStr">
        <is>
          <t>A 25588-2023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45089</v>
      </c>
      <c r="E102" s="1" t="n">
        <v>46311</v>
      </c>
      <c r="F102" t="inlineStr">
        <is>
          <t>DALARNAS LÄN</t>
        </is>
      </c>
      <c r="G102" t="inlineStr">
        <is>
          <t>LUDVIKA</t>
        </is>
      </c>
      <c r="I102" t="n">
        <v>9.4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2</v>
      </c>
      <c r="U102" t="n">
        <v>0</v>
      </c>
      <c r="V102" s="2" t="inlineStr">
        <is>
          <t>Garnlav</t>
        </is>
      </c>
      <c r="W102">
        <f>HYPERLINK("https://klasma.github.io/Logging_2085/artfynd/A 25588-2023 artfynd.xlsx", "A 25588-2023")</f>
        <v/>
      </c>
      <c r="X102">
        <f>HYPERLINK("https://klasma.github.io/Logging_2085/kartor/A 25588-2023 karta.png", "A 25588-2023")</f>
        <v/>
      </c>
      <c r="Y102">
        <f>HYPERLINK("https://klasma.github.io/Logging_2085/kartor_geotiff/A 25588-2023 georefererad karta.tif", "A 25588-2023")</f>
        <v/>
      </c>
      <c r="AA102">
        <f>HYPERLINK("https://klasma.github.io/Logging_2085/klagomål/A 25588-2023 FSC-klagomål.docx", "A 25588-2023")</f>
        <v/>
      </c>
      <c r="AB102">
        <f>HYPERLINK("https://klasma.github.io/Logging_2085/klagomålsmail/A 25588-2023 FSC-klagomål mail.docx", "A 25588-2023")</f>
        <v/>
      </c>
      <c r="AC102">
        <f>HYPERLINK("https://klasma.github.io/Logging_2085/tillsyn/A 25588-2023 tillsynsbegäran.docx", "A 25588-2023")</f>
        <v/>
      </c>
      <c r="AD102">
        <f>HYPERLINK("https://klasma.github.io/Logging_2085/tillsynsmail/A 25588-2023 tillsynsbegäran mail.docx", "A 25588-2023")</f>
        <v/>
      </c>
    </row>
    <row r="103" ht="15" customHeight="1">
      <c r="A103" t="inlineStr">
        <is>
          <t>A 25448-2024</t>
        </is>
      </c>
      <c r="B103" t="inlineStr">
        <is>
          <t>avverkningsanmälan</t>
        </is>
      </c>
      <c r="C103" t="inlineStr">
        <is>
          <t>Avverkning för att bevara och utveckla /försöksver</t>
        </is>
      </c>
      <c r="D103" s="1" t="n">
        <v>45463</v>
      </c>
      <c r="E103" s="1" t="n">
        <v>46311</v>
      </c>
      <c r="F103" t="inlineStr">
        <is>
          <t>DALARNAS LÄN</t>
        </is>
      </c>
      <c r="G103" t="inlineStr">
        <is>
          <t>LUDVIKA</t>
        </is>
      </c>
      <c r="H103" t="inlineStr">
        <is>
          <t>Bergvik skog väst AB</t>
        </is>
      </c>
      <c r="I103" t="n">
        <v>24.7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2</v>
      </c>
      <c r="U103" t="n">
        <v>0</v>
      </c>
      <c r="V103" s="2" t="inlineStr">
        <is>
          <t>Blåsippa</t>
        </is>
      </c>
      <c r="W103">
        <f>HYPERLINK("https://klasma.github.io/Logging_2085/artfynd/A 25448-2024 artfynd.xlsx", "A 25448-2024")</f>
        <v/>
      </c>
      <c r="X103">
        <f>HYPERLINK("https://klasma.github.io/Logging_2085/kartor/A 25448-2024 karta.png", "A 25448-2024")</f>
        <v/>
      </c>
      <c r="Y103">
        <f>HYPERLINK("https://klasma.github.io/Logging_2085/kartor_geotiff/A 25448-2024 georefererad karta.tif", "A 25448-2024")</f>
        <v/>
      </c>
      <c r="AA103">
        <f>HYPERLINK("https://klasma.github.io/Logging_2085/klagomål/A 25448-2024 FSC-klagomål.docx", "A 25448-2024")</f>
        <v/>
      </c>
      <c r="AB103">
        <f>HYPERLINK("https://klasma.github.io/Logging_2085/klagomålsmail/A 25448-2024 FSC-klagomål mail.docx", "A 25448-2024")</f>
        <v/>
      </c>
      <c r="AC103">
        <f>HYPERLINK("https://klasma.github.io/Logging_2085/tillsyn/A 25448-2024 tillsynsbegäran.docx", "A 25448-2024")</f>
        <v/>
      </c>
      <c r="AD103">
        <f>HYPERLINK("https://klasma.github.io/Logging_2085/tillsynsmail/A 25448-2024 tillsynsbegäran mail.docx", "A 25448-2024")</f>
        <v/>
      </c>
    </row>
    <row r="104" ht="15" customHeight="1">
      <c r="A104" t="inlineStr">
        <is>
          <t>A 12093-2023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44998</v>
      </c>
      <c r="E104" s="1" t="n">
        <v>46311</v>
      </c>
      <c r="F104" t="inlineStr">
        <is>
          <t>DALARNAS LÄN</t>
        </is>
      </c>
      <c r="G104" t="inlineStr">
        <is>
          <t>LUDVIKA</t>
        </is>
      </c>
      <c r="I104" t="n">
        <v>3.2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s="2" t="inlineStr">
        <is>
          <t>Bitter taggsvamp</t>
        </is>
      </c>
      <c r="W104">
        <f>HYPERLINK("https://klasma.github.io/Logging_2085/artfynd/A 12093-2023 artfynd.xlsx", "A 12093-2023")</f>
        <v/>
      </c>
      <c r="X104">
        <f>HYPERLINK("https://klasma.github.io/Logging_2085/kartor/A 12093-2023 karta.png", "A 12093-2023")</f>
        <v/>
      </c>
      <c r="Y104">
        <f>HYPERLINK("https://klasma.github.io/Logging_2085/kartor_geotiff/A 12093-2023 georefererad karta.tif", "A 12093-2023")</f>
        <v/>
      </c>
      <c r="AA104">
        <f>HYPERLINK("https://klasma.github.io/Logging_2085/klagomål/A 12093-2023 FSC-klagomål.docx", "A 12093-2023")</f>
        <v/>
      </c>
      <c r="AB104">
        <f>HYPERLINK("https://klasma.github.io/Logging_2085/klagomålsmail/A 12093-2023 FSC-klagomål mail.docx", "A 12093-2023")</f>
        <v/>
      </c>
      <c r="AC104">
        <f>HYPERLINK("https://klasma.github.io/Logging_2085/tillsyn/A 12093-2023 tillsynsbegäran.docx", "A 12093-2023")</f>
        <v/>
      </c>
      <c r="AD104">
        <f>HYPERLINK("https://klasma.github.io/Logging_2085/tillsynsmail/A 12093-2023 tillsynsbegäran mail.docx", "A 12093-2023")</f>
        <v/>
      </c>
    </row>
    <row r="105" ht="15" customHeight="1">
      <c r="A105" t="inlineStr">
        <is>
          <t>A 33560-2023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45131</v>
      </c>
      <c r="E105" s="1" t="n">
        <v>46311</v>
      </c>
      <c r="F105" t="inlineStr">
        <is>
          <t>DALARNAS LÄN</t>
        </is>
      </c>
      <c r="G105" t="inlineStr">
        <is>
          <t>LUDVIKA</t>
        </is>
      </c>
      <c r="I105" t="n">
        <v>7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1</v>
      </c>
      <c r="U105" t="n">
        <v>0</v>
      </c>
      <c r="V105" s="2" t="inlineStr">
        <is>
          <t>Mindre vattensalamander</t>
        </is>
      </c>
      <c r="W105">
        <f>HYPERLINK("https://klasma.github.io/Logging_2085/artfynd/A 33560-2023 artfynd.xlsx", "A 33560-2023")</f>
        <v/>
      </c>
      <c r="X105">
        <f>HYPERLINK("https://klasma.github.io/Logging_2085/kartor/A 33560-2023 karta.png", "A 33560-2023")</f>
        <v/>
      </c>
      <c r="Y105">
        <f>HYPERLINK("https://klasma.github.io/Logging_2085/kartor_geotiff/A 33560-2023 georefererad karta.tif", "A 33560-2023")</f>
        <v/>
      </c>
      <c r="AA105">
        <f>HYPERLINK("https://klasma.github.io/Logging_2085/klagomål/A 33560-2023 FSC-klagomål.docx", "A 33560-2023")</f>
        <v/>
      </c>
      <c r="AB105">
        <f>HYPERLINK("https://klasma.github.io/Logging_2085/klagomålsmail/A 33560-2023 FSC-klagomål mail.docx", "A 33560-2023")</f>
        <v/>
      </c>
      <c r="AC105">
        <f>HYPERLINK("https://klasma.github.io/Logging_2085/tillsyn/A 33560-2023 tillsynsbegäran.docx", "A 33560-2023")</f>
        <v/>
      </c>
      <c r="AD105">
        <f>HYPERLINK("https://klasma.github.io/Logging_2085/tillsynsmail/A 33560-2023 tillsynsbegäran mail.docx", "A 33560-2023")</f>
        <v/>
      </c>
    </row>
    <row r="106" ht="15" customHeight="1">
      <c r="A106" t="inlineStr">
        <is>
          <t>A 3687-2024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45321</v>
      </c>
      <c r="E106" s="1" t="n">
        <v>46311</v>
      </c>
      <c r="F106" t="inlineStr">
        <is>
          <t>DALARNAS LÄN</t>
        </is>
      </c>
      <c r="G106" t="inlineStr">
        <is>
          <t>LUDVIKA</t>
        </is>
      </c>
      <c r="I106" t="n">
        <v>5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1</v>
      </c>
      <c r="U106" t="n">
        <v>1</v>
      </c>
      <c r="V106" s="2" t="inlineStr">
        <is>
          <t>Nordfladdermus</t>
        </is>
      </c>
      <c r="W106">
        <f>HYPERLINK("https://klasma.github.io/Logging_2085/artfynd/A 3687-2024 artfynd.xlsx", "A 3687-2024")</f>
        <v/>
      </c>
      <c r="X106">
        <f>HYPERLINK("https://klasma.github.io/Logging_2085/kartor/A 3687-2024 karta.png", "A 3687-2024")</f>
        <v/>
      </c>
      <c r="Y106">
        <f>HYPERLINK("https://klasma.github.io/Logging_2085/kartor_geotiff/A 3687-2024 georefererad karta.tif", "A 3687-2024")</f>
        <v/>
      </c>
      <c r="AA106">
        <f>HYPERLINK("https://klasma.github.io/Logging_2085/klagomål/A 3687-2024 FSC-klagomål.docx", "A 3687-2024")</f>
        <v/>
      </c>
      <c r="AB106">
        <f>HYPERLINK("https://klasma.github.io/Logging_2085/klagomålsmail/A 3687-2024 FSC-klagomål mail.docx", "A 3687-2024")</f>
        <v/>
      </c>
      <c r="AC106">
        <f>HYPERLINK("https://klasma.github.io/Logging_2085/tillsyn/A 3687-2024 tillsynsbegäran.docx", "A 3687-2024")</f>
        <v/>
      </c>
      <c r="AD106">
        <f>HYPERLINK("https://klasma.github.io/Logging_2085/tillsynsmail/A 3687-2024 tillsynsbegäran mail.docx", "A 3687-2024")</f>
        <v/>
      </c>
    </row>
    <row r="107" ht="15" customHeight="1">
      <c r="A107" t="inlineStr">
        <is>
          <t>A 29733-2025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45825</v>
      </c>
      <c r="E107" s="1" t="n">
        <v>46311</v>
      </c>
      <c r="F107" t="inlineStr">
        <is>
          <t>DALARNAS LÄN</t>
        </is>
      </c>
      <c r="G107" t="inlineStr">
        <is>
          <t>LUDVIKA</t>
        </is>
      </c>
      <c r="H107" t="inlineStr">
        <is>
          <t>Bergvik skog väst AB</t>
        </is>
      </c>
      <c r="I107" t="n">
        <v>10.4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s="2" t="inlineStr">
        <is>
          <t>Stuplav</t>
        </is>
      </c>
      <c r="W107">
        <f>HYPERLINK("https://klasma.github.io/Logging_2085/artfynd/A 29733-2025 artfynd.xlsx", "A 29733-2025")</f>
        <v/>
      </c>
      <c r="X107">
        <f>HYPERLINK("https://klasma.github.io/Logging_2085/kartor/A 29733-2025 karta.png", "A 29733-2025")</f>
        <v/>
      </c>
      <c r="Y107">
        <f>HYPERLINK("https://klasma.github.io/Logging_2085/kartor_geotiff/A 29733-2025 georefererad karta.tif", "A 29733-2025")</f>
        <v/>
      </c>
      <c r="AA107">
        <f>HYPERLINK("https://klasma.github.io/Logging_2085/klagomål/A 29733-2025 FSC-klagomål.docx", "A 29733-2025")</f>
        <v/>
      </c>
      <c r="AB107">
        <f>HYPERLINK("https://klasma.github.io/Logging_2085/klagomålsmail/A 29733-2025 FSC-klagomål mail.docx", "A 29733-2025")</f>
        <v/>
      </c>
      <c r="AC107">
        <f>HYPERLINK("https://klasma.github.io/Logging_2085/tillsyn/A 29733-2025 tillsynsbegäran.docx", "A 29733-2025")</f>
        <v/>
      </c>
      <c r="AD107">
        <f>HYPERLINK("https://klasma.github.io/Logging_2085/tillsynsmail/A 29733-2025 tillsynsbegäran mail.docx", "A 29733-2025")</f>
        <v/>
      </c>
    </row>
    <row r="108" ht="15" customHeight="1">
      <c r="A108" t="inlineStr">
        <is>
          <t>A 74401-2021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44560</v>
      </c>
      <c r="E108" s="1" t="n">
        <v>46311</v>
      </c>
      <c r="F108" t="inlineStr">
        <is>
          <t>DALARNAS LÄN</t>
        </is>
      </c>
      <c r="G108" t="inlineStr">
        <is>
          <t>LUDVIKA</t>
        </is>
      </c>
      <c r="H108" t="inlineStr">
        <is>
          <t>Kommuner</t>
        </is>
      </c>
      <c r="I108" t="n">
        <v>0.6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s="2" t="inlineStr">
        <is>
          <t>Gullgröppa</t>
        </is>
      </c>
      <c r="W108">
        <f>HYPERLINK("https://klasma.github.io/Logging_2085/artfynd/A 74401-2021 artfynd.xlsx", "A 74401-2021")</f>
        <v/>
      </c>
      <c r="X108">
        <f>HYPERLINK("https://klasma.github.io/Logging_2085/kartor/A 74401-2021 karta.png", "A 74401-2021")</f>
        <v/>
      </c>
      <c r="Y108">
        <f>HYPERLINK("https://klasma.github.io/Logging_2085/kartor_geotiff/A 74401-2021 georefererad karta.tif", "A 74401-2021")</f>
        <v/>
      </c>
      <c r="AA108">
        <f>HYPERLINK("https://klasma.github.io/Logging_2085/klagomål/A 74401-2021 FSC-klagomål.docx", "A 74401-2021")</f>
        <v/>
      </c>
      <c r="AB108">
        <f>HYPERLINK("https://klasma.github.io/Logging_2085/klagomålsmail/A 74401-2021 FSC-klagomål mail.docx", "A 74401-2021")</f>
        <v/>
      </c>
      <c r="AC108">
        <f>HYPERLINK("https://klasma.github.io/Logging_2085/tillsyn/A 74401-2021 tillsynsbegäran.docx", "A 74401-2021")</f>
        <v/>
      </c>
      <c r="AD108">
        <f>HYPERLINK("https://klasma.github.io/Logging_2085/tillsynsmail/A 74401-2021 tillsynsbegäran mail.docx", "A 74401-2021")</f>
        <v/>
      </c>
    </row>
    <row r="109" ht="15" customHeight="1">
      <c r="A109" t="inlineStr">
        <is>
          <t>A 55550-2022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44888</v>
      </c>
      <c r="E109" s="1" t="n">
        <v>46311</v>
      </c>
      <c r="F109" t="inlineStr">
        <is>
          <t>DALARNAS LÄN</t>
        </is>
      </c>
      <c r="G109" t="inlineStr">
        <is>
          <t>LUDVIKA</t>
        </is>
      </c>
      <c r="H109" t="inlineStr">
        <is>
          <t>Bergvik skog väst AB</t>
        </is>
      </c>
      <c r="I109" t="n">
        <v>1.1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s="2" t="inlineStr">
        <is>
          <t>Ögonpyrola</t>
        </is>
      </c>
      <c r="W109">
        <f>HYPERLINK("https://klasma.github.io/Logging_2085/artfynd/A 55550-2022 artfynd.xlsx", "A 55550-2022")</f>
        <v/>
      </c>
      <c r="X109">
        <f>HYPERLINK("https://klasma.github.io/Logging_2085/kartor/A 55550-2022 karta.png", "A 55550-2022")</f>
        <v/>
      </c>
      <c r="Y109">
        <f>HYPERLINK("https://klasma.github.io/Logging_2085/kartor_geotiff/A 55550-2022 georefererad karta.tif", "A 55550-2022")</f>
        <v/>
      </c>
      <c r="AA109">
        <f>HYPERLINK("https://klasma.github.io/Logging_2085/klagomål/A 55550-2022 FSC-klagomål.docx", "A 55550-2022")</f>
        <v/>
      </c>
      <c r="AB109">
        <f>HYPERLINK("https://klasma.github.io/Logging_2085/klagomålsmail/A 55550-2022 FSC-klagomål mail.docx", "A 55550-2022")</f>
        <v/>
      </c>
      <c r="AC109">
        <f>HYPERLINK("https://klasma.github.io/Logging_2085/tillsyn/A 55550-2022 tillsynsbegäran.docx", "A 55550-2022")</f>
        <v/>
      </c>
      <c r="AD109">
        <f>HYPERLINK("https://klasma.github.io/Logging_2085/tillsynsmail/A 55550-2022 tillsynsbegäran mail.docx", "A 55550-2022")</f>
        <v/>
      </c>
    </row>
    <row r="110" ht="15" customHeight="1">
      <c r="A110" t="inlineStr">
        <is>
          <t>A 26850-2023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45093</v>
      </c>
      <c r="E110" s="1" t="n">
        <v>46311</v>
      </c>
      <c r="F110" t="inlineStr">
        <is>
          <t>DALARNAS LÄN</t>
        </is>
      </c>
      <c r="G110" t="inlineStr">
        <is>
          <t>LUDVIKA</t>
        </is>
      </c>
      <c r="H110" t="inlineStr">
        <is>
          <t>Naturvårdsverket</t>
        </is>
      </c>
      <c r="I110" t="n">
        <v>2.7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s="2" t="inlineStr">
        <is>
          <t>Motaggsvamp</t>
        </is>
      </c>
      <c r="W110">
        <f>HYPERLINK("https://klasma.github.io/Logging_2085/artfynd/A 26850-2023 artfynd.xlsx", "A 26850-2023")</f>
        <v/>
      </c>
      <c r="X110">
        <f>HYPERLINK("https://klasma.github.io/Logging_2085/kartor/A 26850-2023 karta.png", "A 26850-2023")</f>
        <v/>
      </c>
      <c r="Y110">
        <f>HYPERLINK("https://klasma.github.io/Logging_2085/kartor_geotiff/A 26850-2023 georefererad karta.tif", "A 26850-2023")</f>
        <v/>
      </c>
      <c r="AA110">
        <f>HYPERLINK("https://klasma.github.io/Logging_2085/klagomål/A 26850-2023 FSC-klagomål.docx", "A 26850-2023")</f>
        <v/>
      </c>
      <c r="AB110">
        <f>HYPERLINK("https://klasma.github.io/Logging_2085/klagomålsmail/A 26850-2023 FSC-klagomål mail.docx", "A 26850-2023")</f>
        <v/>
      </c>
      <c r="AC110">
        <f>HYPERLINK("https://klasma.github.io/Logging_2085/tillsyn/A 26850-2023 tillsynsbegäran.docx", "A 26850-2023")</f>
        <v/>
      </c>
      <c r="AD110">
        <f>HYPERLINK("https://klasma.github.io/Logging_2085/tillsynsmail/A 26850-2023 tillsynsbegäran mail.docx", "A 26850-2023")</f>
        <v/>
      </c>
    </row>
    <row r="111" ht="15" customHeight="1">
      <c r="A111" t="inlineStr">
        <is>
          <t>A 400-2023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44929</v>
      </c>
      <c r="E111" s="1" t="n">
        <v>46311</v>
      </c>
      <c r="F111" t="inlineStr">
        <is>
          <t>DALARNAS LÄN</t>
        </is>
      </c>
      <c r="G111" t="inlineStr">
        <is>
          <t>LUDVIKA</t>
        </is>
      </c>
      <c r="I111" t="n">
        <v>3.6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s="2" t="inlineStr">
        <is>
          <t>Nordfladdermus</t>
        </is>
      </c>
      <c r="W111">
        <f>HYPERLINK("https://klasma.github.io/Logging_2085/artfynd/A 400-2023 artfynd.xlsx", "A 400-2023")</f>
        <v/>
      </c>
      <c r="X111">
        <f>HYPERLINK("https://klasma.github.io/Logging_2085/kartor/A 400-2023 karta.png", "A 400-2023")</f>
        <v/>
      </c>
      <c r="Y111">
        <f>HYPERLINK("https://klasma.github.io/Logging_2085/kartor_geotiff/A 400-2023 georefererad karta.tif", "A 400-2023")</f>
        <v/>
      </c>
      <c r="AA111">
        <f>HYPERLINK("https://klasma.github.io/Logging_2085/klagomål/A 400-2023 FSC-klagomål.docx", "A 400-2023")</f>
        <v/>
      </c>
      <c r="AB111">
        <f>HYPERLINK("https://klasma.github.io/Logging_2085/klagomålsmail/A 400-2023 FSC-klagomål mail.docx", "A 400-2023")</f>
        <v/>
      </c>
      <c r="AC111">
        <f>HYPERLINK("https://klasma.github.io/Logging_2085/tillsyn/A 400-2023 tillsynsbegäran.docx", "A 400-2023")</f>
        <v/>
      </c>
      <c r="AD111">
        <f>HYPERLINK("https://klasma.github.io/Logging_2085/tillsynsmail/A 400-2023 tillsynsbegäran mail.docx", "A 400-2023")</f>
        <v/>
      </c>
    </row>
    <row r="112" ht="15" customHeight="1">
      <c r="A112" t="inlineStr">
        <is>
          <t>A 31478-2023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45114</v>
      </c>
      <c r="E112" s="1" t="n">
        <v>46311</v>
      </c>
      <c r="F112" t="inlineStr">
        <is>
          <t>DALARNAS LÄN</t>
        </is>
      </c>
      <c r="G112" t="inlineStr">
        <is>
          <t>LUDVIKA</t>
        </is>
      </c>
      <c r="I112" t="n">
        <v>6.2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s="2" t="inlineStr">
        <is>
          <t>Garnlav</t>
        </is>
      </c>
      <c r="W112">
        <f>HYPERLINK("https://klasma.github.io/Logging_2085/artfynd/A 31478-2023 artfynd.xlsx", "A 31478-2023")</f>
        <v/>
      </c>
      <c r="X112">
        <f>HYPERLINK("https://klasma.github.io/Logging_2085/kartor/A 31478-2023 karta.png", "A 31478-2023")</f>
        <v/>
      </c>
      <c r="Y112">
        <f>HYPERLINK("https://klasma.github.io/Logging_2085/kartor_geotiff/A 31478-2023 georefererad karta.tif", "A 31478-2023")</f>
        <v/>
      </c>
      <c r="AA112">
        <f>HYPERLINK("https://klasma.github.io/Logging_2085/klagomål/A 31478-2023 FSC-klagomål.docx", "A 31478-2023")</f>
        <v/>
      </c>
      <c r="AB112">
        <f>HYPERLINK("https://klasma.github.io/Logging_2085/klagomålsmail/A 31478-2023 FSC-klagomål mail.docx", "A 31478-2023")</f>
        <v/>
      </c>
      <c r="AC112">
        <f>HYPERLINK("https://klasma.github.io/Logging_2085/tillsyn/A 31478-2023 tillsynsbegäran.docx", "A 31478-2023")</f>
        <v/>
      </c>
      <c r="AD112">
        <f>HYPERLINK("https://klasma.github.io/Logging_2085/tillsynsmail/A 31478-2023 tillsynsbegäran mail.docx", "A 31478-2023")</f>
        <v/>
      </c>
    </row>
    <row r="113" ht="15" customHeight="1">
      <c r="A113" t="inlineStr">
        <is>
          <t>A 6579-2023</t>
        </is>
      </c>
      <c r="B113" t="inlineStr">
        <is>
          <t>avverkningsanmälan</t>
        </is>
      </c>
      <c r="C113" t="inlineStr">
        <is>
          <t>Avverkning för annat ändamål</t>
        </is>
      </c>
      <c r="D113" s="1" t="n">
        <v>44960</v>
      </c>
      <c r="E113" s="1" t="n">
        <v>46311</v>
      </c>
      <c r="F113" t="inlineStr">
        <is>
          <t>DALARNAS LÄN</t>
        </is>
      </c>
      <c r="G113" t="inlineStr">
        <is>
          <t>LUDVIKA</t>
        </is>
      </c>
      <c r="I113" t="n">
        <v>3.4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s="2" t="inlineStr">
        <is>
          <t>Blomkålssvamp</t>
        </is>
      </c>
      <c r="W113">
        <f>HYPERLINK("https://klasma.github.io/Logging_2085/artfynd/A 6579-2023 artfynd.xlsx", "A 6579-2023")</f>
        <v/>
      </c>
      <c r="X113">
        <f>HYPERLINK("https://klasma.github.io/Logging_2085/kartor/A 6579-2023 karta.png", "A 6579-2023")</f>
        <v/>
      </c>
      <c r="Y113">
        <f>HYPERLINK("https://klasma.github.io/Logging_2085/kartor_geotiff/A 6579-2023 georefererad karta.tif", "A 6579-2023")</f>
        <v/>
      </c>
      <c r="AA113">
        <f>HYPERLINK("https://klasma.github.io/Logging_2085/klagomål/A 6579-2023 FSC-klagomål.docx", "A 6579-2023")</f>
        <v/>
      </c>
      <c r="AB113">
        <f>HYPERLINK("https://klasma.github.io/Logging_2085/klagomålsmail/A 6579-2023 FSC-klagomål mail.docx", "A 6579-2023")</f>
        <v/>
      </c>
      <c r="AC113">
        <f>HYPERLINK("https://klasma.github.io/Logging_2085/tillsyn/A 6579-2023 tillsynsbegäran.docx", "A 6579-2023")</f>
        <v/>
      </c>
      <c r="AD113">
        <f>HYPERLINK("https://klasma.github.io/Logging_2085/tillsynsmail/A 6579-2023 tillsynsbegäran mail.docx", "A 6579-2023")</f>
        <v/>
      </c>
    </row>
    <row r="114" ht="15" customHeight="1">
      <c r="A114" t="inlineStr">
        <is>
          <t>A 21499-2022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44706</v>
      </c>
      <c r="E114" s="1" t="n">
        <v>46311</v>
      </c>
      <c r="F114" t="inlineStr">
        <is>
          <t>DALARNAS LÄN</t>
        </is>
      </c>
      <c r="G114" t="inlineStr">
        <is>
          <t>LUDVIKA</t>
        </is>
      </c>
      <c r="I114" t="n">
        <v>4.3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s="2" t="inlineStr">
        <is>
          <t>Strimspindling</t>
        </is>
      </c>
      <c r="W114">
        <f>HYPERLINK("https://klasma.github.io/Logging_2085/artfynd/A 21499-2022 artfynd.xlsx", "A 21499-2022")</f>
        <v/>
      </c>
      <c r="X114">
        <f>HYPERLINK("https://klasma.github.io/Logging_2085/kartor/A 21499-2022 karta.png", "A 21499-2022")</f>
        <v/>
      </c>
      <c r="Y114">
        <f>HYPERLINK("https://klasma.github.io/Logging_2085/kartor_geotiff/A 21499-2022 georefererad karta.tif", "A 21499-2022")</f>
        <v/>
      </c>
      <c r="AA114">
        <f>HYPERLINK("https://klasma.github.io/Logging_2085/klagomål/A 21499-2022 FSC-klagomål.docx", "A 21499-2022")</f>
        <v/>
      </c>
      <c r="AB114">
        <f>HYPERLINK("https://klasma.github.io/Logging_2085/klagomålsmail/A 21499-2022 FSC-klagomål mail.docx", "A 21499-2022")</f>
        <v/>
      </c>
      <c r="AC114">
        <f>HYPERLINK("https://klasma.github.io/Logging_2085/tillsyn/A 21499-2022 tillsynsbegäran.docx", "A 21499-2022")</f>
        <v/>
      </c>
      <c r="AD114">
        <f>HYPERLINK("https://klasma.github.io/Logging_2085/tillsynsmail/A 21499-2022 tillsynsbegäran mail.docx", "A 21499-2022")</f>
        <v/>
      </c>
    </row>
    <row r="115" ht="15" customHeight="1">
      <c r="A115" t="inlineStr">
        <is>
          <t>A 44578-2023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45189</v>
      </c>
      <c r="E115" s="1" t="n">
        <v>46311</v>
      </c>
      <c r="F115" t="inlineStr">
        <is>
          <t>DALARNAS LÄN</t>
        </is>
      </c>
      <c r="G115" t="inlineStr">
        <is>
          <t>LUDVIKA</t>
        </is>
      </c>
      <c r="H115" t="inlineStr">
        <is>
          <t>Övriga Aktiebolag</t>
        </is>
      </c>
      <c r="I115" t="n">
        <v>12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s="2" t="inlineStr">
        <is>
          <t>Dofttaggsvamp</t>
        </is>
      </c>
      <c r="W115">
        <f>HYPERLINK("https://klasma.github.io/Logging_2085/artfynd/A 44578-2023 artfynd.xlsx", "A 44578-2023")</f>
        <v/>
      </c>
      <c r="X115">
        <f>HYPERLINK("https://klasma.github.io/Logging_2085/kartor/A 44578-2023 karta.png", "A 44578-2023")</f>
        <v/>
      </c>
      <c r="Y115">
        <f>HYPERLINK("https://klasma.github.io/Logging_2085/kartor_geotiff/A 44578-2023 georefererad karta.tif", "A 44578-2023")</f>
        <v/>
      </c>
      <c r="AA115">
        <f>HYPERLINK("https://klasma.github.io/Logging_2085/klagomål/A 44578-2023 FSC-klagomål.docx", "A 44578-2023")</f>
        <v/>
      </c>
      <c r="AB115">
        <f>HYPERLINK("https://klasma.github.io/Logging_2085/klagomålsmail/A 44578-2023 FSC-klagomål mail.docx", "A 44578-2023")</f>
        <v/>
      </c>
      <c r="AC115">
        <f>HYPERLINK("https://klasma.github.io/Logging_2085/tillsyn/A 44578-2023 tillsynsbegäran.docx", "A 44578-2023")</f>
        <v/>
      </c>
      <c r="AD115">
        <f>HYPERLINK("https://klasma.github.io/Logging_2085/tillsynsmail/A 44578-2023 tillsynsbegäran mail.docx", "A 44578-2023")</f>
        <v/>
      </c>
    </row>
    <row r="116" ht="15" customHeight="1">
      <c r="A116" t="inlineStr">
        <is>
          <t>A 18189-2025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45761</v>
      </c>
      <c r="E116" s="1" t="n">
        <v>46311</v>
      </c>
      <c r="F116" t="inlineStr">
        <is>
          <t>DALARNAS LÄN</t>
        </is>
      </c>
      <c r="G116" t="inlineStr">
        <is>
          <t>LUDVIKA</t>
        </is>
      </c>
      <c r="I116" t="n">
        <v>0.9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s="2" t="inlineStr">
        <is>
          <t>Fläcknycklar</t>
        </is>
      </c>
      <c r="W116">
        <f>HYPERLINK("https://klasma.github.io/Logging_2085/artfynd/A 18189-2025 artfynd.xlsx", "A 18189-2025")</f>
        <v/>
      </c>
      <c r="X116">
        <f>HYPERLINK("https://klasma.github.io/Logging_2085/kartor/A 18189-2025 karta.png", "A 18189-2025")</f>
        <v/>
      </c>
      <c r="Y116">
        <f>HYPERLINK("https://klasma.github.io/Logging_2085/kartor_geotiff/A 18189-2025 georefererad karta.tif", "A 18189-2025")</f>
        <v/>
      </c>
      <c r="AA116">
        <f>HYPERLINK("https://klasma.github.io/Logging_2085/klagomål/A 18189-2025 FSC-klagomål.docx", "A 18189-2025")</f>
        <v/>
      </c>
      <c r="AB116">
        <f>HYPERLINK("https://klasma.github.io/Logging_2085/klagomålsmail/A 18189-2025 FSC-klagomål mail.docx", "A 18189-2025")</f>
        <v/>
      </c>
      <c r="AC116">
        <f>HYPERLINK("https://klasma.github.io/Logging_2085/tillsyn/A 18189-2025 tillsynsbegäran.docx", "A 18189-2025")</f>
        <v/>
      </c>
      <c r="AD116">
        <f>HYPERLINK("https://klasma.github.io/Logging_2085/tillsynsmail/A 18189-2025 tillsynsbegäran mail.docx", "A 18189-2025")</f>
        <v/>
      </c>
    </row>
    <row r="117" ht="15" customHeight="1">
      <c r="A117" t="inlineStr">
        <is>
          <t>A 23720-2026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46163</v>
      </c>
      <c r="E117" s="1" t="n">
        <v>46311</v>
      </c>
      <c r="F117" t="inlineStr">
        <is>
          <t>DALARNAS LÄN</t>
        </is>
      </c>
      <c r="G117" t="inlineStr">
        <is>
          <t>LUDVIKA</t>
        </is>
      </c>
      <c r="I117" t="n">
        <v>3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1</v>
      </c>
      <c r="U117" t="n">
        <v>1</v>
      </c>
      <c r="V117" s="2" t="inlineStr">
        <is>
          <t>Tretåig hackspett</t>
        </is>
      </c>
      <c r="W117">
        <f>HYPERLINK("https://klasma.github.io/Logging_2085/artfynd/A 23720-2026 artfynd.xlsx", "A 23720-2026")</f>
        <v/>
      </c>
      <c r="X117">
        <f>HYPERLINK("https://klasma.github.io/Logging_2085/kartor/A 23720-2026 karta.png", "A 23720-2026")</f>
        <v/>
      </c>
      <c r="Y117">
        <f>HYPERLINK("https://klasma.github.io/Logging_2085/kartor_geotiff/A 23720-2026 georefererad karta.tif", "A 23720-2026")</f>
        <v/>
      </c>
      <c r="AA117">
        <f>HYPERLINK("https://klasma.github.io/Logging_2085/klagomål/A 23720-2026 FSC-klagomål.docx", "A 23720-2026")</f>
        <v/>
      </c>
      <c r="AB117">
        <f>HYPERLINK("https://klasma.github.io/Logging_2085/klagomålsmail/A 23720-2026 FSC-klagomål mail.docx", "A 23720-2026")</f>
        <v/>
      </c>
      <c r="AC117">
        <f>HYPERLINK("https://klasma.github.io/Logging_2085/tillsyn/A 23720-2026 tillsynsbegäran.docx", "A 23720-2026")</f>
        <v/>
      </c>
      <c r="AD117">
        <f>HYPERLINK("https://klasma.github.io/Logging_2085/tillsynsmail/A 23720-2026 tillsynsbegäran mail.docx", "A 23720-2026")</f>
        <v/>
      </c>
      <c r="AE117">
        <f>HYPERLINK("https://klasma.github.io/Logging_2085/fåglar/A 23720-2026 prioriterade fågelarter.docx", "A 23720-2026")</f>
        <v/>
      </c>
    </row>
    <row r="118" ht="15" customHeight="1">
      <c r="A118" t="inlineStr">
        <is>
          <t>A 23778-2026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46164</v>
      </c>
      <c r="E118" s="1" t="n">
        <v>46311</v>
      </c>
      <c r="F118" t="inlineStr">
        <is>
          <t>DALARNAS LÄN</t>
        </is>
      </c>
      <c r="G118" t="inlineStr">
        <is>
          <t>LUDVIKA</t>
        </is>
      </c>
      <c r="H118" t="inlineStr">
        <is>
          <t>Bergvik skog väst AB</t>
        </is>
      </c>
      <c r="I118" t="n">
        <v>1.9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s="2" t="inlineStr">
        <is>
          <t>Spillkråka</t>
        </is>
      </c>
      <c r="W118">
        <f>HYPERLINK("https://klasma.github.io/Logging_2085/artfynd/A 23778-2026 artfynd.xlsx", "A 23778-2026")</f>
        <v/>
      </c>
      <c r="X118">
        <f>HYPERLINK("https://klasma.github.io/Logging_2085/kartor/A 23778-2026 karta.png", "A 23778-2026")</f>
        <v/>
      </c>
      <c r="Y118">
        <f>HYPERLINK("https://klasma.github.io/Logging_2085/kartor_geotiff/A 23778-2026 georefererad karta.tif", "A 23778-2026")</f>
        <v/>
      </c>
      <c r="AA118">
        <f>HYPERLINK("https://klasma.github.io/Logging_2085/klagomål/A 23778-2026 FSC-klagomål.docx", "A 23778-2026")</f>
        <v/>
      </c>
      <c r="AB118">
        <f>HYPERLINK("https://klasma.github.io/Logging_2085/klagomålsmail/A 23778-2026 FSC-klagomål mail.docx", "A 23778-2026")</f>
        <v/>
      </c>
      <c r="AC118">
        <f>HYPERLINK("https://klasma.github.io/Logging_2085/tillsyn/A 23778-2026 tillsynsbegäran.docx", "A 23778-2026")</f>
        <v/>
      </c>
      <c r="AD118">
        <f>HYPERLINK("https://klasma.github.io/Logging_2085/tillsynsmail/A 23778-2026 tillsynsbegäran mail.docx", "A 23778-2026")</f>
        <v/>
      </c>
      <c r="AE118">
        <f>HYPERLINK("https://klasma.github.io/Logging_2085/fåglar/A 23778-2026 prioriterade fågelarter.docx", "A 23778-2026")</f>
        <v/>
      </c>
    </row>
    <row r="119" ht="15" customHeight="1">
      <c r="A119" t="inlineStr">
        <is>
          <t>A 45858-2025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45923</v>
      </c>
      <c r="E119" s="1" t="n">
        <v>46311</v>
      </c>
      <c r="F119" t="inlineStr">
        <is>
          <t>DALARNAS LÄN</t>
        </is>
      </c>
      <c r="G119" t="inlineStr">
        <is>
          <t>LUDVIKA</t>
        </is>
      </c>
      <c r="H119" t="inlineStr">
        <is>
          <t>Bergvik skog väst AB</t>
        </is>
      </c>
      <c r="I119" t="n">
        <v>1.3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s="2" t="inlineStr">
        <is>
          <t>Granbarkgnagare</t>
        </is>
      </c>
      <c r="W119">
        <f>HYPERLINK("https://klasma.github.io/Logging_2085/artfynd/A 45858-2025 artfynd.xlsx", "A 45858-2025")</f>
        <v/>
      </c>
      <c r="X119">
        <f>HYPERLINK("https://klasma.github.io/Logging_2085/kartor/A 45858-2025 karta.png", "A 45858-2025")</f>
        <v/>
      </c>
      <c r="Y119">
        <f>HYPERLINK("https://klasma.github.io/Logging_2085/kartor_geotiff/A 45858-2025 georefererad karta.tif", "A 45858-2025")</f>
        <v/>
      </c>
      <c r="AA119">
        <f>HYPERLINK("https://klasma.github.io/Logging_2085/klagomål/A 45858-2025 FSC-klagomål.docx", "A 45858-2025")</f>
        <v/>
      </c>
      <c r="AB119">
        <f>HYPERLINK("https://klasma.github.io/Logging_2085/klagomålsmail/A 45858-2025 FSC-klagomål mail.docx", "A 45858-2025")</f>
        <v/>
      </c>
      <c r="AC119">
        <f>HYPERLINK("https://klasma.github.io/Logging_2085/tillsyn/A 45858-2025 tillsynsbegäran.docx", "A 45858-2025")</f>
        <v/>
      </c>
      <c r="AD119">
        <f>HYPERLINK("https://klasma.github.io/Logging_2085/tillsynsmail/A 45858-2025 tillsynsbegäran mail.docx", "A 45858-2025")</f>
        <v/>
      </c>
    </row>
    <row r="120" ht="15" customHeight="1">
      <c r="A120" t="inlineStr">
        <is>
          <t>A 63005-2025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46009</v>
      </c>
      <c r="E120" s="1" t="n">
        <v>46311</v>
      </c>
      <c r="F120" t="inlineStr">
        <is>
          <t>DALARNAS LÄN</t>
        </is>
      </c>
      <c r="G120" t="inlineStr">
        <is>
          <t>LUDVIKA</t>
        </is>
      </c>
      <c r="I120" t="n">
        <v>4.4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1</v>
      </c>
      <c r="U120" t="n">
        <v>1</v>
      </c>
      <c r="V120" s="2" t="inlineStr">
        <is>
          <t>Spillkråka</t>
        </is>
      </c>
      <c r="W120">
        <f>HYPERLINK("https://klasma.github.io/Logging_2085/artfynd/A 63005-2025 artfynd.xlsx", "A 63005-2025")</f>
        <v/>
      </c>
      <c r="X120">
        <f>HYPERLINK("https://klasma.github.io/Logging_2085/kartor/A 63005-2025 karta.png", "A 63005-2025")</f>
        <v/>
      </c>
      <c r="Y120">
        <f>HYPERLINK("https://klasma.github.io/Logging_2085/kartor_geotiff/A 63005-2025 georefererad karta.tif", "A 63005-2025")</f>
        <v/>
      </c>
      <c r="AA120">
        <f>HYPERLINK("https://klasma.github.io/Logging_2085/klagomål/A 63005-2025 FSC-klagomål.docx", "A 63005-2025")</f>
        <v/>
      </c>
      <c r="AB120">
        <f>HYPERLINK("https://klasma.github.io/Logging_2085/klagomålsmail/A 63005-2025 FSC-klagomål mail.docx", "A 63005-2025")</f>
        <v/>
      </c>
      <c r="AC120">
        <f>HYPERLINK("https://klasma.github.io/Logging_2085/tillsyn/A 63005-2025 tillsynsbegäran.docx", "A 63005-2025")</f>
        <v/>
      </c>
      <c r="AD120">
        <f>HYPERLINK("https://klasma.github.io/Logging_2085/tillsynsmail/A 63005-2025 tillsynsbegäran mail.docx", "A 63005-2025")</f>
        <v/>
      </c>
      <c r="AE120">
        <f>HYPERLINK("https://klasma.github.io/Logging_2085/fåglar/A 63005-2025 prioriterade fågelarter.docx", "A 63005-2025")</f>
        <v/>
      </c>
    </row>
    <row r="121" ht="15" customHeight="1">
      <c r="A121" t="inlineStr">
        <is>
          <t>A 25159-2026</t>
        </is>
      </c>
      <c r="B121" t="inlineStr">
        <is>
          <t>avverkningsanmälan</t>
        </is>
      </c>
      <c r="C121" t="inlineStr">
        <is>
          <t>Avverkning för annat ändamål</t>
        </is>
      </c>
      <c r="D121" s="1" t="n">
        <v>46175</v>
      </c>
      <c r="E121" s="1" t="n">
        <v>46311</v>
      </c>
      <c r="F121" t="inlineStr">
        <is>
          <t>DALARNAS LÄN</t>
        </is>
      </c>
      <c r="G121" t="inlineStr">
        <is>
          <t>LUDVIKA</t>
        </is>
      </c>
      <c r="I121" t="n">
        <v>2.3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s="2" t="inlineStr">
        <is>
          <t>Tibast</t>
        </is>
      </c>
      <c r="W121">
        <f>HYPERLINK("https://klasma.github.io/Logging_2085/artfynd/A 25159-2026 artfynd.xlsx", "A 25159-2026")</f>
        <v/>
      </c>
      <c r="X121">
        <f>HYPERLINK("https://klasma.github.io/Logging_2085/kartor/A 25159-2026 karta.png", "A 25159-2026")</f>
        <v/>
      </c>
      <c r="Y121">
        <f>HYPERLINK("https://klasma.github.io/Logging_2085/kartor_geotiff/A 25159-2026 georefererad karta.tif", "A 25159-2026")</f>
        <v/>
      </c>
      <c r="AA121">
        <f>HYPERLINK("https://klasma.github.io/Logging_2085/klagomål/A 25159-2026 FSC-klagomål.docx", "A 25159-2026")</f>
        <v/>
      </c>
      <c r="AB121">
        <f>HYPERLINK("https://klasma.github.io/Logging_2085/klagomålsmail/A 25159-2026 FSC-klagomål mail.docx", "A 25159-2026")</f>
        <v/>
      </c>
      <c r="AC121">
        <f>HYPERLINK("https://klasma.github.io/Logging_2085/tillsyn/A 25159-2026 tillsynsbegäran.docx", "A 25159-2026")</f>
        <v/>
      </c>
      <c r="AD121">
        <f>HYPERLINK("https://klasma.github.io/Logging_2085/tillsynsmail/A 25159-2026 tillsynsbegäran mail.docx", "A 25159-2026")</f>
        <v/>
      </c>
    </row>
    <row r="122" ht="15" customHeight="1">
      <c r="A122" t="inlineStr">
        <is>
          <t>A 31352-2026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46219</v>
      </c>
      <c r="E122" s="1" t="n">
        <v>46311</v>
      </c>
      <c r="F122" t="inlineStr">
        <is>
          <t>DALARNAS LÄN</t>
        </is>
      </c>
      <c r="G122" t="inlineStr">
        <is>
          <t>LUDVIKA</t>
        </is>
      </c>
      <c r="H122" t="inlineStr">
        <is>
          <t>Bergvik skog väst AB</t>
        </is>
      </c>
      <c r="I122" t="n">
        <v>1.2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s="2" t="inlineStr">
        <is>
          <t>Tvåblad</t>
        </is>
      </c>
      <c r="W122">
        <f>HYPERLINK("https://klasma.github.io/Logging_2085/artfynd/A 31352-2026 artfynd.xlsx", "A 31352-2026")</f>
        <v/>
      </c>
      <c r="X122">
        <f>HYPERLINK("https://klasma.github.io/Logging_2085/kartor/A 31352-2026 karta.png", "A 31352-2026")</f>
        <v/>
      </c>
      <c r="Y122">
        <f>HYPERLINK("https://klasma.github.io/Logging_2085/kartor_geotiff/A 31352-2026 georefererad karta.tif", "A 31352-2026")</f>
        <v/>
      </c>
      <c r="AA122">
        <f>HYPERLINK("https://klasma.github.io/Logging_2085/klagomål/A 31352-2026 FSC-klagomål.docx", "A 31352-2026")</f>
        <v/>
      </c>
      <c r="AB122">
        <f>HYPERLINK("https://klasma.github.io/Logging_2085/klagomålsmail/A 31352-2026 FSC-klagomål mail.docx", "A 31352-2026")</f>
        <v/>
      </c>
      <c r="AC122">
        <f>HYPERLINK("https://klasma.github.io/Logging_2085/tillsyn/A 31352-2026 tillsynsbegäran.docx", "A 31352-2026")</f>
        <v/>
      </c>
      <c r="AD122">
        <f>HYPERLINK("https://klasma.github.io/Logging_2085/tillsynsmail/A 31352-2026 tillsynsbegäran mail.docx", "A 31352-2026")</f>
        <v/>
      </c>
    </row>
    <row r="123" ht="15" customHeight="1">
      <c r="A123" t="inlineStr">
        <is>
          <t>A 36050-2025</t>
        </is>
      </c>
      <c r="B123" t="inlineStr">
        <is>
          <t>avverkningsanmälan</t>
        </is>
      </c>
      <c r="C123" t="inlineStr">
        <is>
          <t>Avverkning för annat ändamål</t>
        </is>
      </c>
      <c r="D123" s="1" t="n">
        <v>45866</v>
      </c>
      <c r="E123" s="1" t="n">
        <v>46311</v>
      </c>
      <c r="F123" t="inlineStr">
        <is>
          <t>DALARNAS LÄN</t>
        </is>
      </c>
      <c r="G123" t="inlineStr">
        <is>
          <t>LUDVIKA</t>
        </is>
      </c>
      <c r="I123" t="n">
        <v>1.4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1</v>
      </c>
      <c r="U123" t="n">
        <v>0</v>
      </c>
      <c r="V123" s="2" t="inlineStr">
        <is>
          <t>Mindre hackspett</t>
        </is>
      </c>
      <c r="W123">
        <f>HYPERLINK("https://klasma.github.io/Logging_2085/artfynd/A 36050-2025 artfynd.xlsx", "A 36050-2025")</f>
        <v/>
      </c>
      <c r="X123">
        <f>HYPERLINK("https://klasma.github.io/Logging_2085/kartor/A 36050-2025 karta.png", "A 36050-2025")</f>
        <v/>
      </c>
      <c r="Y123">
        <f>HYPERLINK("https://klasma.github.io/Logging_2085/kartor_geotiff/A 36050-2025 georefererad karta.tif", "A 36050-2025")</f>
        <v/>
      </c>
      <c r="AA123">
        <f>HYPERLINK("https://klasma.github.io/Logging_2085/klagomål/A 36050-2025 FSC-klagomål.docx", "A 36050-2025")</f>
        <v/>
      </c>
      <c r="AB123">
        <f>HYPERLINK("https://klasma.github.io/Logging_2085/klagomålsmail/A 36050-2025 FSC-klagomål mail.docx", "A 36050-2025")</f>
        <v/>
      </c>
      <c r="AC123">
        <f>HYPERLINK("https://klasma.github.io/Logging_2085/tillsyn/A 36050-2025 tillsynsbegäran.docx", "A 36050-2025")</f>
        <v/>
      </c>
      <c r="AD123">
        <f>HYPERLINK("https://klasma.github.io/Logging_2085/tillsynsmail/A 36050-2025 tillsynsbegäran mail.docx", "A 36050-2025")</f>
        <v/>
      </c>
      <c r="AE123">
        <f>HYPERLINK("https://klasma.github.io/Logging_2085/fåglar/A 36050-2025 prioriterade fågelarter.docx", "A 36050-2025")</f>
        <v/>
      </c>
    </row>
    <row r="124" ht="15" customHeight="1">
      <c r="A124" t="inlineStr">
        <is>
          <t>A 37560-2026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46276</v>
      </c>
      <c r="E124" s="1" t="n">
        <v>46311</v>
      </c>
      <c r="F124" t="inlineStr">
        <is>
          <t>DALARNAS LÄN</t>
        </is>
      </c>
      <c r="G124" t="inlineStr">
        <is>
          <t>LUDVIKA</t>
        </is>
      </c>
      <c r="H124" t="inlineStr">
        <is>
          <t>Naturvårdsverket</t>
        </is>
      </c>
      <c r="I124" t="n">
        <v>0.9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1</v>
      </c>
      <c r="U124" t="n">
        <v>0</v>
      </c>
      <c r="V124" s="2" t="inlineStr">
        <is>
          <t>Motaggsvamp</t>
        </is>
      </c>
      <c r="W124">
        <f>HYPERLINK("https://klasma.github.io/Logging_2085/artfynd/A 37560-2026 artfynd.xlsx", "A 37560-2026")</f>
        <v/>
      </c>
      <c r="X124">
        <f>HYPERLINK("https://klasma.github.io/Logging_2085/kartor/A 37560-2026 karta.png", "A 37560-2026")</f>
        <v/>
      </c>
      <c r="Y124">
        <f>HYPERLINK("https://klasma.github.io/Logging_2085/kartor_geotiff/A 37560-2026 georefererad karta.tif", "A 37560-2026")</f>
        <v/>
      </c>
      <c r="AA124">
        <f>HYPERLINK("https://klasma.github.io/Logging_2085/klagomål/A 37560-2026 FSC-klagomål.docx", "A 37560-2026")</f>
        <v/>
      </c>
      <c r="AB124">
        <f>HYPERLINK("https://klasma.github.io/Logging_2085/klagomålsmail/A 37560-2026 FSC-klagomål mail.docx", "A 37560-2026")</f>
        <v/>
      </c>
      <c r="AC124">
        <f>HYPERLINK("https://klasma.github.io/Logging_2085/tillsyn/A 37560-2026 tillsynsbegäran.docx", "A 37560-2026")</f>
        <v/>
      </c>
      <c r="AD124">
        <f>HYPERLINK("https://klasma.github.io/Logging_2085/tillsynsmail/A 37560-2026 tillsynsbegäran mail.docx", "A 37560-2026")</f>
        <v/>
      </c>
    </row>
    <row r="125" ht="15" customHeight="1">
      <c r="A125" t="inlineStr">
        <is>
          <t>A 1047-2023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44929</v>
      </c>
      <c r="E125" s="1" t="n">
        <v>46311</v>
      </c>
      <c r="F125" t="inlineStr">
        <is>
          <t>DALARNAS LÄN</t>
        </is>
      </c>
      <c r="G125" t="inlineStr">
        <is>
          <t>LUDVIKA</t>
        </is>
      </c>
      <c r="H125" t="inlineStr">
        <is>
          <t>Kommuner</t>
        </is>
      </c>
      <c r="I125" t="n">
        <v>3.2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1</v>
      </c>
      <c r="V125" s="2" t="inlineStr">
        <is>
          <t>Ullticka</t>
        </is>
      </c>
      <c r="W125">
        <f>HYPERLINK("https://klasma.github.io/Logging_2085/artfynd/A 1047-2023 artfynd.xlsx", "A 1047-2023")</f>
        <v/>
      </c>
      <c r="X125">
        <f>HYPERLINK("https://klasma.github.io/Logging_2085/kartor/A 1047-2023 karta.png", "A 1047-2023")</f>
        <v/>
      </c>
      <c r="Y125">
        <f>HYPERLINK("https://klasma.github.io/Logging_2085/kartor_geotiff/A 1047-2023 georefererad karta.tif", "A 1047-2023")</f>
        <v/>
      </c>
      <c r="AA125">
        <f>HYPERLINK("https://klasma.github.io/Logging_2085/klagomål/A 1047-2023 FSC-klagomål.docx", "A 1047-2023")</f>
        <v/>
      </c>
      <c r="AB125">
        <f>HYPERLINK("https://klasma.github.io/Logging_2085/klagomålsmail/A 1047-2023 FSC-klagomål mail.docx", "A 1047-2023")</f>
        <v/>
      </c>
      <c r="AC125">
        <f>HYPERLINK("https://klasma.github.io/Logging_2085/tillsyn/A 1047-2023 tillsynsbegäran.docx", "A 1047-2023")</f>
        <v/>
      </c>
      <c r="AD125">
        <f>HYPERLINK("https://klasma.github.io/Logging_2085/tillsynsmail/A 1047-2023 tillsynsbegäran mail.docx", "A 1047-2023")</f>
        <v/>
      </c>
    </row>
    <row r="126" ht="15" customHeight="1">
      <c r="A126" t="inlineStr">
        <is>
          <t>A 33399-2026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46247</v>
      </c>
      <c r="E126" s="1" t="n">
        <v>46311</v>
      </c>
      <c r="F126" t="inlineStr">
        <is>
          <t>DALARNAS LÄN</t>
        </is>
      </c>
      <c r="G126" t="inlineStr">
        <is>
          <t>LUDVIKA</t>
        </is>
      </c>
      <c r="H126" t="inlineStr">
        <is>
          <t>Bergvik skog väst AB</t>
        </is>
      </c>
      <c r="I126" t="n">
        <v>0.8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s="2" t="inlineStr">
        <is>
          <t>Järpe</t>
        </is>
      </c>
      <c r="W126">
        <f>HYPERLINK("https://klasma.github.io/Logging_2085/artfynd/A 33399-2026 artfynd.xlsx", "A 33399-2026")</f>
        <v/>
      </c>
      <c r="X126">
        <f>HYPERLINK("https://klasma.github.io/Logging_2085/kartor/A 33399-2026 karta.png", "A 33399-2026")</f>
        <v/>
      </c>
      <c r="Y126">
        <f>HYPERLINK("https://klasma.github.io/Logging_2085/kartor_geotiff/A 33399-2026 georefererad karta.tif", "A 33399-2026")</f>
        <v/>
      </c>
      <c r="AA126">
        <f>HYPERLINK("https://klasma.github.io/Logging_2085/klagomål/A 33399-2026 FSC-klagomål.docx", "A 33399-2026")</f>
        <v/>
      </c>
      <c r="AB126">
        <f>HYPERLINK("https://klasma.github.io/Logging_2085/klagomålsmail/A 33399-2026 FSC-klagomål mail.docx", "A 33399-2026")</f>
        <v/>
      </c>
      <c r="AC126">
        <f>HYPERLINK("https://klasma.github.io/Logging_2085/tillsyn/A 33399-2026 tillsynsbegäran.docx", "A 33399-2026")</f>
        <v/>
      </c>
      <c r="AD126">
        <f>HYPERLINK("https://klasma.github.io/Logging_2085/tillsynsmail/A 33399-2026 tillsynsbegäran mail.docx", "A 33399-2026")</f>
        <v/>
      </c>
      <c r="AE126">
        <f>HYPERLINK("https://klasma.github.io/Logging_2085/fåglar/A 33399-2026 prioriterade fågelarter.docx", "A 33399-2026")</f>
        <v/>
      </c>
    </row>
    <row r="127" ht="15" customHeight="1">
      <c r="A127" t="inlineStr">
        <is>
          <t>A 59873-2025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45992</v>
      </c>
      <c r="E127" s="1" t="n">
        <v>46311</v>
      </c>
      <c r="F127" t="inlineStr">
        <is>
          <t>DALARNAS LÄN</t>
        </is>
      </c>
      <c r="G127" t="inlineStr">
        <is>
          <t>LUDVIKA</t>
        </is>
      </c>
      <c r="I127" t="n">
        <v>3.7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s="2" t="inlineStr">
        <is>
          <t>Lateritticka</t>
        </is>
      </c>
      <c r="W127">
        <f>HYPERLINK("https://klasma.github.io/Logging_2085/artfynd/A 59873-2025 artfynd.xlsx", "A 59873-2025")</f>
        <v/>
      </c>
      <c r="X127">
        <f>HYPERLINK("https://klasma.github.io/Logging_2085/kartor/A 59873-2025 karta.png", "A 59873-2025")</f>
        <v/>
      </c>
      <c r="Y127">
        <f>HYPERLINK("https://klasma.github.io/Logging_2085/kartor_geotiff/A 59873-2025 georefererad karta.tif", "A 59873-2025")</f>
        <v/>
      </c>
      <c r="AA127">
        <f>HYPERLINK("https://klasma.github.io/Logging_2085/klagomål/A 59873-2025 FSC-klagomål.docx", "A 59873-2025")</f>
        <v/>
      </c>
      <c r="AB127">
        <f>HYPERLINK("https://klasma.github.io/Logging_2085/klagomålsmail/A 59873-2025 FSC-klagomål mail.docx", "A 59873-2025")</f>
        <v/>
      </c>
      <c r="AC127">
        <f>HYPERLINK("https://klasma.github.io/Logging_2085/tillsyn/A 59873-2025 tillsynsbegäran.docx", "A 59873-2025")</f>
        <v/>
      </c>
      <c r="AD127">
        <f>HYPERLINK("https://klasma.github.io/Logging_2085/tillsynsmail/A 59873-2025 tillsynsbegäran mail.docx", "A 59873-2025")</f>
        <v/>
      </c>
    </row>
    <row r="128" ht="15" customHeight="1">
      <c r="A128" t="inlineStr">
        <is>
          <t>A 62676-2025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46008</v>
      </c>
      <c r="E128" s="1" t="n">
        <v>46311</v>
      </c>
      <c r="F128" t="inlineStr">
        <is>
          <t>DALARNAS LÄN</t>
        </is>
      </c>
      <c r="G128" t="inlineStr">
        <is>
          <t>LUDVIKA</t>
        </is>
      </c>
      <c r="H128" t="inlineStr">
        <is>
          <t>Bergvik skog väst AB</t>
        </is>
      </c>
      <c r="I128" t="n">
        <v>4.2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0</v>
      </c>
      <c r="V128" s="2" t="inlineStr">
        <is>
          <t>Kolflarnlav</t>
        </is>
      </c>
      <c r="W128">
        <f>HYPERLINK("https://klasma.github.io/Logging_2085/artfynd/A 62676-2025 artfynd.xlsx", "A 62676-2025")</f>
        <v/>
      </c>
      <c r="X128">
        <f>HYPERLINK("https://klasma.github.io/Logging_2085/kartor/A 62676-2025 karta.png", "A 62676-2025")</f>
        <v/>
      </c>
      <c r="Y128">
        <f>HYPERLINK("https://klasma.github.io/Logging_2085/kartor_geotiff/A 62676-2025 georefererad karta.tif", "A 62676-2025")</f>
        <v/>
      </c>
      <c r="AA128">
        <f>HYPERLINK("https://klasma.github.io/Logging_2085/klagomål/A 62676-2025 FSC-klagomål.docx", "A 62676-2025")</f>
        <v/>
      </c>
      <c r="AB128">
        <f>HYPERLINK("https://klasma.github.io/Logging_2085/klagomålsmail/A 62676-2025 FSC-klagomål mail.docx", "A 62676-2025")</f>
        <v/>
      </c>
      <c r="AC128">
        <f>HYPERLINK("https://klasma.github.io/Logging_2085/tillsyn/A 62676-2025 tillsynsbegäran.docx", "A 62676-2025")</f>
        <v/>
      </c>
      <c r="AD128">
        <f>HYPERLINK("https://klasma.github.io/Logging_2085/tillsynsmail/A 62676-2025 tillsynsbegäran mail.docx", "A 62676-2025")</f>
        <v/>
      </c>
    </row>
    <row r="129" ht="15" customHeight="1">
      <c r="A129" t="inlineStr">
        <is>
          <t>A 29882-2024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45486</v>
      </c>
      <c r="E129" s="1" t="n">
        <v>46311</v>
      </c>
      <c r="F129" t="inlineStr">
        <is>
          <t>DALARNAS LÄN</t>
        </is>
      </c>
      <c r="G129" t="inlineStr">
        <is>
          <t>LUDVIKA</t>
        </is>
      </c>
      <c r="I129" t="n">
        <v>1.3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s="2" t="inlineStr">
        <is>
          <t>Spillkråka</t>
        </is>
      </c>
      <c r="W129">
        <f>HYPERLINK("https://klasma.github.io/Logging_2085/artfynd/A 29882-2024 artfynd.xlsx", "A 29882-2024")</f>
        <v/>
      </c>
      <c r="X129">
        <f>HYPERLINK("https://klasma.github.io/Logging_2085/kartor/A 29882-2024 karta.png", "A 29882-2024")</f>
        <v/>
      </c>
      <c r="Y129">
        <f>HYPERLINK("https://klasma.github.io/Logging_2085/kartor_geotiff/A 29882-2024 georefererad karta.tif", "A 29882-2024")</f>
        <v/>
      </c>
      <c r="AA129">
        <f>HYPERLINK("https://klasma.github.io/Logging_2085/klagomål/A 29882-2024 FSC-klagomål.docx", "A 29882-2024")</f>
        <v/>
      </c>
      <c r="AB129">
        <f>HYPERLINK("https://klasma.github.io/Logging_2085/klagomålsmail/A 29882-2024 FSC-klagomål mail.docx", "A 29882-2024")</f>
        <v/>
      </c>
      <c r="AC129">
        <f>HYPERLINK("https://klasma.github.io/Logging_2085/tillsyn/A 29882-2024 tillsynsbegäran.docx", "A 29882-2024")</f>
        <v/>
      </c>
      <c r="AD129">
        <f>HYPERLINK("https://klasma.github.io/Logging_2085/tillsynsmail/A 29882-2024 tillsynsbegäran mail.docx", "A 29882-2024")</f>
        <v/>
      </c>
      <c r="AE129">
        <f>HYPERLINK("https://klasma.github.io/Logging_2085/fåglar/A 29882-2024 prioriterade fågelarter.docx", "A 29882-2024")</f>
        <v/>
      </c>
    </row>
    <row r="130" ht="15" customHeight="1">
      <c r="A130" t="inlineStr">
        <is>
          <t>A 23102-2025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45791</v>
      </c>
      <c r="E130" s="1" t="n">
        <v>46311</v>
      </c>
      <c r="F130" t="inlineStr">
        <is>
          <t>DALARNAS LÄN</t>
        </is>
      </c>
      <c r="G130" t="inlineStr">
        <is>
          <t>LUDVIKA</t>
        </is>
      </c>
      <c r="H130" t="inlineStr">
        <is>
          <t>Bergvik skog väst AB</t>
        </is>
      </c>
      <c r="I130" t="n">
        <v>0.8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s="2" t="inlineStr">
        <is>
          <t>Vanlig groda</t>
        </is>
      </c>
      <c r="W130">
        <f>HYPERLINK("https://klasma.github.io/Logging_2085/artfynd/A 23102-2025 artfynd.xlsx", "A 23102-2025")</f>
        <v/>
      </c>
      <c r="X130">
        <f>HYPERLINK("https://klasma.github.io/Logging_2085/kartor/A 23102-2025 karta.png", "A 23102-2025")</f>
        <v/>
      </c>
      <c r="Y130">
        <f>HYPERLINK("https://klasma.github.io/Logging_2085/kartor_geotiff/A 23102-2025 georefererad karta.tif", "A 23102-2025")</f>
        <v/>
      </c>
      <c r="AA130">
        <f>HYPERLINK("https://klasma.github.io/Logging_2085/klagomål/A 23102-2025 FSC-klagomål.docx", "A 23102-2025")</f>
        <v/>
      </c>
      <c r="AB130">
        <f>HYPERLINK("https://klasma.github.io/Logging_2085/klagomålsmail/A 23102-2025 FSC-klagomål mail.docx", "A 23102-2025")</f>
        <v/>
      </c>
      <c r="AC130">
        <f>HYPERLINK("https://klasma.github.io/Logging_2085/tillsyn/A 23102-2025 tillsynsbegäran.docx", "A 23102-2025")</f>
        <v/>
      </c>
      <c r="AD130">
        <f>HYPERLINK("https://klasma.github.io/Logging_2085/tillsynsmail/A 23102-2025 tillsynsbegäran mail.docx", "A 23102-2025")</f>
        <v/>
      </c>
    </row>
    <row r="131" ht="15" customHeight="1">
      <c r="A131" t="inlineStr">
        <is>
          <t>A 36478-2026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46269</v>
      </c>
      <c r="E131" s="1" t="n">
        <v>46311</v>
      </c>
      <c r="F131" t="inlineStr">
        <is>
          <t>DALARNAS LÄN</t>
        </is>
      </c>
      <c r="G131" t="inlineStr">
        <is>
          <t>LUDVIKA</t>
        </is>
      </c>
      <c r="H131" t="inlineStr">
        <is>
          <t>Bergvik skog väst AB</t>
        </is>
      </c>
      <c r="I131" t="n">
        <v>7.5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s="2" t="inlineStr">
        <is>
          <t>Skogsalm</t>
        </is>
      </c>
      <c r="W131">
        <f>HYPERLINK("https://klasma.github.io/Logging_2085/artfynd/A 36478-2026 artfynd.xlsx", "A 36478-2026")</f>
        <v/>
      </c>
      <c r="X131">
        <f>HYPERLINK("https://klasma.github.io/Logging_2085/kartor/A 36478-2026 karta.png", "A 36478-2026")</f>
        <v/>
      </c>
      <c r="Y131">
        <f>HYPERLINK("https://klasma.github.io/Logging_2085/kartor_geotiff/A 36478-2026 georefererad karta.tif", "A 36478-2026")</f>
        <v/>
      </c>
      <c r="AA131">
        <f>HYPERLINK("https://klasma.github.io/Logging_2085/klagomål/A 36478-2026 FSC-klagomål.docx", "A 36478-2026")</f>
        <v/>
      </c>
      <c r="AB131">
        <f>HYPERLINK("https://klasma.github.io/Logging_2085/klagomålsmail/A 36478-2026 FSC-klagomål mail.docx", "A 36478-2026")</f>
        <v/>
      </c>
      <c r="AC131">
        <f>HYPERLINK("https://klasma.github.io/Logging_2085/tillsyn/A 36478-2026 tillsynsbegäran.docx", "A 36478-2026")</f>
        <v/>
      </c>
      <c r="AD131">
        <f>HYPERLINK("https://klasma.github.io/Logging_2085/tillsynsmail/A 36478-2026 tillsynsbegäran mail.docx", "A 36478-2026")</f>
        <v/>
      </c>
    </row>
    <row r="132" ht="15" customHeight="1">
      <c r="A132" t="inlineStr">
        <is>
          <t>A 59947-2025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45993</v>
      </c>
      <c r="E132" s="1" t="n">
        <v>46311</v>
      </c>
      <c r="F132" t="inlineStr">
        <is>
          <t>DALARNAS LÄN</t>
        </is>
      </c>
      <c r="G132" t="inlineStr">
        <is>
          <t>LUDVIKA</t>
        </is>
      </c>
      <c r="H132" t="inlineStr">
        <is>
          <t>Bergvik skog väst AB</t>
        </is>
      </c>
      <c r="I132" t="n">
        <v>0.5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s="2" t="inlineStr">
        <is>
          <t>Tjäder</t>
        </is>
      </c>
      <c r="W132">
        <f>HYPERLINK("https://klasma.github.io/Logging_2085/artfynd/A 59947-2025 artfynd.xlsx", "A 59947-2025")</f>
        <v/>
      </c>
      <c r="X132">
        <f>HYPERLINK("https://klasma.github.io/Logging_2085/kartor/A 59947-2025 karta.png", "A 59947-2025")</f>
        <v/>
      </c>
      <c r="Y132">
        <f>HYPERLINK("https://klasma.github.io/Logging_2085/kartor_geotiff/A 59947-2025 georefererad karta.tif", "A 59947-2025")</f>
        <v/>
      </c>
      <c r="AA132">
        <f>HYPERLINK("https://klasma.github.io/Logging_2085/klagomål/A 59947-2025 FSC-klagomål.docx", "A 59947-2025")</f>
        <v/>
      </c>
      <c r="AB132">
        <f>HYPERLINK("https://klasma.github.io/Logging_2085/klagomålsmail/A 59947-2025 FSC-klagomål mail.docx", "A 59947-2025")</f>
        <v/>
      </c>
      <c r="AC132">
        <f>HYPERLINK("https://klasma.github.io/Logging_2085/tillsyn/A 59947-2025 tillsynsbegäran.docx", "A 59947-2025")</f>
        <v/>
      </c>
      <c r="AD132">
        <f>HYPERLINK("https://klasma.github.io/Logging_2085/tillsynsmail/A 59947-2025 tillsynsbegäran mail.docx", "A 59947-2025")</f>
        <v/>
      </c>
      <c r="AE132">
        <f>HYPERLINK("https://klasma.github.io/Logging_2085/fåglar/A 59947-2025 prioriterade fågelarter.docx", "A 59947-2025")</f>
        <v/>
      </c>
    </row>
    <row r="133" ht="15" customHeight="1">
      <c r="A133" t="inlineStr">
        <is>
          <t>A 60787-2024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45644</v>
      </c>
      <c r="E133" s="1" t="n">
        <v>46311</v>
      </c>
      <c r="F133" t="inlineStr">
        <is>
          <t>DALARNAS LÄN</t>
        </is>
      </c>
      <c r="G133" t="inlineStr">
        <is>
          <t>LUDVIKA</t>
        </is>
      </c>
      <c r="I133" t="n">
        <v>1.9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s="2" t="inlineStr">
        <is>
          <t>Järpe</t>
        </is>
      </c>
      <c r="W133">
        <f>HYPERLINK("https://klasma.github.io/Logging_2085/artfynd/A 60787-2024 artfynd.xlsx", "A 60787-2024")</f>
        <v/>
      </c>
      <c r="X133">
        <f>HYPERLINK("https://klasma.github.io/Logging_2085/kartor/A 60787-2024 karta.png", "A 60787-2024")</f>
        <v/>
      </c>
      <c r="Y133">
        <f>HYPERLINK("https://klasma.github.io/Logging_2085/kartor_geotiff/A 60787-2024 georefererad karta.tif", "A 60787-2024")</f>
        <v/>
      </c>
      <c r="AA133">
        <f>HYPERLINK("https://klasma.github.io/Logging_2085/klagomål/A 60787-2024 FSC-klagomål.docx", "A 60787-2024")</f>
        <v/>
      </c>
      <c r="AB133">
        <f>HYPERLINK("https://klasma.github.io/Logging_2085/klagomålsmail/A 60787-2024 FSC-klagomål mail.docx", "A 60787-2024")</f>
        <v/>
      </c>
      <c r="AC133">
        <f>HYPERLINK("https://klasma.github.io/Logging_2085/tillsyn/A 60787-2024 tillsynsbegäran.docx", "A 60787-2024")</f>
        <v/>
      </c>
      <c r="AD133">
        <f>HYPERLINK("https://klasma.github.io/Logging_2085/tillsynsmail/A 60787-2024 tillsynsbegäran mail.docx", "A 60787-2024")</f>
        <v/>
      </c>
      <c r="AE133">
        <f>HYPERLINK("https://klasma.github.io/Logging_2085/fåglar/A 60787-2024 prioriterade fågelarter.docx", "A 60787-2024")</f>
        <v/>
      </c>
    </row>
    <row r="134" ht="15" customHeight="1">
      <c r="A134" t="inlineStr">
        <is>
          <t>A 35652-2026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46265</v>
      </c>
      <c r="E134" s="1" t="n">
        <v>46311</v>
      </c>
      <c r="F134" t="inlineStr">
        <is>
          <t>DALARNAS LÄN</t>
        </is>
      </c>
      <c r="G134" t="inlineStr">
        <is>
          <t>LUDVIKA</t>
        </is>
      </c>
      <c r="H134" t="inlineStr">
        <is>
          <t>Bergvik skog väst AB</t>
        </is>
      </c>
      <c r="I134" t="n">
        <v>2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s="2" t="inlineStr">
        <is>
          <t>Garnlav</t>
        </is>
      </c>
      <c r="W134">
        <f>HYPERLINK("https://klasma.github.io/Logging_2085/artfynd/A 35652-2026 artfynd.xlsx", "A 35652-2026")</f>
        <v/>
      </c>
      <c r="X134">
        <f>HYPERLINK("https://klasma.github.io/Logging_2085/kartor/A 35652-2026 karta.png", "A 35652-2026")</f>
        <v/>
      </c>
      <c r="Y134">
        <f>HYPERLINK("https://klasma.github.io/Logging_2085/kartor_geotiff/A 35652-2026 georefererad karta.tif", "A 35652-2026")</f>
        <v/>
      </c>
      <c r="AA134">
        <f>HYPERLINK("https://klasma.github.io/Logging_2085/klagomål/A 35652-2026 FSC-klagomål.docx", "A 35652-2026")</f>
        <v/>
      </c>
      <c r="AB134">
        <f>HYPERLINK("https://klasma.github.io/Logging_2085/klagomålsmail/A 35652-2026 FSC-klagomål mail.docx", "A 35652-2026")</f>
        <v/>
      </c>
      <c r="AC134">
        <f>HYPERLINK("https://klasma.github.io/Logging_2085/tillsyn/A 35652-2026 tillsynsbegäran.docx", "A 35652-2026")</f>
        <v/>
      </c>
      <c r="AD134">
        <f>HYPERLINK("https://klasma.github.io/Logging_2085/tillsynsmail/A 35652-2026 tillsynsbegäran mail.docx", "A 35652-2026")</f>
        <v/>
      </c>
    </row>
    <row r="135" ht="15" customHeight="1">
      <c r="A135" t="inlineStr">
        <is>
          <t>A 49660-2024</t>
        </is>
      </c>
      <c r="B135" t="inlineStr">
        <is>
          <t>avverkningsanmälan</t>
        </is>
      </c>
      <c r="C135" t="inlineStr">
        <is>
          <t>Avverkning för att bevara och utveckla /försöksver</t>
        </is>
      </c>
      <c r="D135" s="1" t="n">
        <v>45596</v>
      </c>
      <c r="E135" s="1" t="n">
        <v>46311</v>
      </c>
      <c r="F135" t="inlineStr">
        <is>
          <t>DALARNAS LÄN</t>
        </is>
      </c>
      <c r="G135" t="inlineStr">
        <is>
          <t>LUDVIKA</t>
        </is>
      </c>
      <c r="H135" t="inlineStr">
        <is>
          <t>Bergvik skog väst AB</t>
        </is>
      </c>
      <c r="I135" t="n">
        <v>0.9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0</v>
      </c>
      <c r="V135" s="2" t="inlineStr">
        <is>
          <t>Mörk husmossa</t>
        </is>
      </c>
      <c r="W135">
        <f>HYPERLINK("https://klasma.github.io/Logging_2085/artfynd/A 49660-2024 artfynd.xlsx", "A 49660-2024")</f>
        <v/>
      </c>
      <c r="X135">
        <f>HYPERLINK("https://klasma.github.io/Logging_2085/kartor/A 49660-2024 karta.png", "A 49660-2024")</f>
        <v/>
      </c>
      <c r="Y135">
        <f>HYPERLINK("https://klasma.github.io/Logging_2085/kartor_geotiff/A 49660-2024 georefererad karta.tif", "A 49660-2024")</f>
        <v/>
      </c>
      <c r="AA135">
        <f>HYPERLINK("https://klasma.github.io/Logging_2085/klagomål/A 49660-2024 FSC-klagomål.docx", "A 49660-2024")</f>
        <v/>
      </c>
      <c r="AB135">
        <f>HYPERLINK("https://klasma.github.io/Logging_2085/klagomålsmail/A 49660-2024 FSC-klagomål mail.docx", "A 49660-2024")</f>
        <v/>
      </c>
      <c r="AC135">
        <f>HYPERLINK("https://klasma.github.io/Logging_2085/tillsyn/A 49660-2024 tillsynsbegäran.docx", "A 49660-2024")</f>
        <v/>
      </c>
      <c r="AD135">
        <f>HYPERLINK("https://klasma.github.io/Logging_2085/tillsynsmail/A 49660-2024 tillsynsbegäran mail.docx", "A 49660-2024")</f>
        <v/>
      </c>
    </row>
    <row r="136" ht="15" customHeight="1">
      <c r="A136" t="inlineStr">
        <is>
          <t>A 31273-2022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44771</v>
      </c>
      <c r="E136" s="1" t="n">
        <v>46311</v>
      </c>
      <c r="F136" t="inlineStr">
        <is>
          <t>DALARNAS LÄN</t>
        </is>
      </c>
      <c r="G136" t="inlineStr">
        <is>
          <t>LUDVIKA</t>
        </is>
      </c>
      <c r="I136" t="n">
        <v>0.5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52303-2022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44869</v>
      </c>
      <c r="E137" s="1" t="n">
        <v>46311</v>
      </c>
      <c r="F137" t="inlineStr">
        <is>
          <t>DALARNAS LÄN</t>
        </is>
      </c>
      <c r="G137" t="inlineStr">
        <is>
          <t>LUDVIKA</t>
        </is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62152-2021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44502</v>
      </c>
      <c r="E138" s="1" t="n">
        <v>46311</v>
      </c>
      <c r="F138" t="inlineStr">
        <is>
          <t>DALARNAS LÄN</t>
        </is>
      </c>
      <c r="G138" t="inlineStr">
        <is>
          <t>LUDVIKA</t>
        </is>
      </c>
      <c r="I138" t="n">
        <v>6.1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73167-2021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44550</v>
      </c>
      <c r="E139" s="1" t="n">
        <v>46311</v>
      </c>
      <c r="F139" t="inlineStr">
        <is>
          <t>DALARNAS LÄN</t>
        </is>
      </c>
      <c r="G139" t="inlineStr">
        <is>
          <t>LUDVIKA</t>
        </is>
      </c>
      <c r="H139" t="inlineStr">
        <is>
          <t>Bergvik skog väst AB</t>
        </is>
      </c>
      <c r="I139" t="n">
        <v>1.1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62467-2021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44503</v>
      </c>
      <c r="E140" s="1" t="n">
        <v>46311</v>
      </c>
      <c r="F140" t="inlineStr">
        <is>
          <t>DALARNAS LÄN</t>
        </is>
      </c>
      <c r="G140" t="inlineStr">
        <is>
          <t>LUDVIKA</t>
        </is>
      </c>
      <c r="H140" t="inlineStr">
        <is>
          <t>Bergvik skog väst AB</t>
        </is>
      </c>
      <c r="I140" t="n">
        <v>0.8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25297-2022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44730</v>
      </c>
      <c r="E141" s="1" t="n">
        <v>46311</v>
      </c>
      <c r="F141" t="inlineStr">
        <is>
          <t>DALARNAS LÄN</t>
        </is>
      </c>
      <c r="G141" t="inlineStr">
        <is>
          <t>LUDVIKA</t>
        </is>
      </c>
      <c r="H141" t="inlineStr">
        <is>
          <t>Bergvik skog väst AB</t>
        </is>
      </c>
      <c r="I141" t="n">
        <v>0.4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31272-2022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44771</v>
      </c>
      <c r="E142" s="1" t="n">
        <v>46311</v>
      </c>
      <c r="F142" t="inlineStr">
        <is>
          <t>DALARNAS LÄN</t>
        </is>
      </c>
      <c r="G142" t="inlineStr">
        <is>
          <t>LUDVIKA</t>
        </is>
      </c>
      <c r="I142" t="n">
        <v>0.5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25291-2022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44730</v>
      </c>
      <c r="E143" s="1" t="n">
        <v>46311</v>
      </c>
      <c r="F143" t="inlineStr">
        <is>
          <t>DALARNAS LÄN</t>
        </is>
      </c>
      <c r="G143" t="inlineStr">
        <is>
          <t>LUDVIKA</t>
        </is>
      </c>
      <c r="H143" t="inlineStr">
        <is>
          <t>Bergvik skog väst AB</t>
        </is>
      </c>
      <c r="I143" t="n">
        <v>0.9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46680-2022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44851</v>
      </c>
      <c r="E144" s="1" t="n">
        <v>46311</v>
      </c>
      <c r="F144" t="inlineStr">
        <is>
          <t>DALARNAS LÄN</t>
        </is>
      </c>
      <c r="G144" t="inlineStr">
        <is>
          <t>LUDVIKA</t>
        </is>
      </c>
      <c r="I144" t="n">
        <v>2.6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51713-2022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44872</v>
      </c>
      <c r="E145" s="1" t="n">
        <v>46311</v>
      </c>
      <c r="F145" t="inlineStr">
        <is>
          <t>DALARNAS LÄN</t>
        </is>
      </c>
      <c r="G145" t="inlineStr">
        <is>
          <t>LUDVIKA</t>
        </is>
      </c>
      <c r="H145" t="inlineStr">
        <is>
          <t>Bergvik skog väst AB</t>
        </is>
      </c>
      <c r="I145" t="n">
        <v>1.6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23345-2022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44720</v>
      </c>
      <c r="E146" s="1" t="n">
        <v>46311</v>
      </c>
      <c r="F146" t="inlineStr">
        <is>
          <t>DALARNAS LÄN</t>
        </is>
      </c>
      <c r="G146" t="inlineStr">
        <is>
          <t>LUDVIKA</t>
        </is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74427-2021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44560</v>
      </c>
      <c r="E147" s="1" t="n">
        <v>46311</v>
      </c>
      <c r="F147" t="inlineStr">
        <is>
          <t>DALARNAS LÄN</t>
        </is>
      </c>
      <c r="G147" t="inlineStr">
        <is>
          <t>LUDVIKA</t>
        </is>
      </c>
      <c r="H147" t="inlineStr">
        <is>
          <t>Kommuner</t>
        </is>
      </c>
      <c r="I147" t="n">
        <v>0.8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15145-2022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44658</v>
      </c>
      <c r="E148" s="1" t="n">
        <v>46311</v>
      </c>
      <c r="F148" t="inlineStr">
        <is>
          <t>DALARNAS LÄN</t>
        </is>
      </c>
      <c r="G148" t="inlineStr">
        <is>
          <t>LUDVIKA</t>
        </is>
      </c>
      <c r="I148" t="n">
        <v>3.7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41796-2022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44827</v>
      </c>
      <c r="E149" s="1" t="n">
        <v>46311</v>
      </c>
      <c r="F149" t="inlineStr">
        <is>
          <t>DALARNAS LÄN</t>
        </is>
      </c>
      <c r="G149" t="inlineStr">
        <is>
          <t>LUDVIKA</t>
        </is>
      </c>
      <c r="H149" t="inlineStr">
        <is>
          <t>Bergvik skog väst AB</t>
        </is>
      </c>
      <c r="I149" t="n">
        <v>2.6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4551-2022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44590</v>
      </c>
      <c r="E150" s="1" t="n">
        <v>46311</v>
      </c>
      <c r="F150" t="inlineStr">
        <is>
          <t>DALARNAS LÄN</t>
        </is>
      </c>
      <c r="G150" t="inlineStr">
        <is>
          <t>LUDVIKA</t>
        </is>
      </c>
      <c r="I150" t="n">
        <v>1.1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9464-2022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44616</v>
      </c>
      <c r="E151" s="1" t="n">
        <v>46311</v>
      </c>
      <c r="F151" t="inlineStr">
        <is>
          <t>DALARNAS LÄN</t>
        </is>
      </c>
      <c r="G151" t="inlineStr">
        <is>
          <t>LUDVIKA</t>
        </is>
      </c>
      <c r="I151" t="n">
        <v>4.1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21466-2022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44706</v>
      </c>
      <c r="E152" s="1" t="n">
        <v>46311</v>
      </c>
      <c r="F152" t="inlineStr">
        <is>
          <t>DALARNAS LÄN</t>
        </is>
      </c>
      <c r="G152" t="inlineStr">
        <is>
          <t>LUDVIKA</t>
        </is>
      </c>
      <c r="H152" t="inlineStr">
        <is>
          <t>Bergvik skog väst AB</t>
        </is>
      </c>
      <c r="I152" t="n">
        <v>1.9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33108-2022</t>
        </is>
      </c>
      <c r="B153" t="inlineStr">
        <is>
          <t>avverkningsanmälan</t>
        </is>
      </c>
      <c r="C153" t="inlineStr">
        <is>
          <t>Avverkning för annat ändamål</t>
        </is>
      </c>
      <c r="D153" s="1" t="n">
        <v>44785</v>
      </c>
      <c r="E153" s="1" t="n">
        <v>46311</v>
      </c>
      <c r="F153" t="inlineStr">
        <is>
          <t>DALARNAS LÄN</t>
        </is>
      </c>
      <c r="G153" t="inlineStr">
        <is>
          <t>LUDVIKA</t>
        </is>
      </c>
      <c r="H153" t="inlineStr">
        <is>
          <t>Bergvik skog väst AB</t>
        </is>
      </c>
      <c r="I153" t="n">
        <v>0.6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25235-2025</t>
        </is>
      </c>
      <c r="B154" t="inlineStr">
        <is>
          <t>avverkningsanmälan</t>
        </is>
      </c>
      <c r="C154" t="inlineStr">
        <is>
          <t>Avverkning för annat ändamål</t>
        </is>
      </c>
      <c r="D154" s="1" t="n">
        <v>45800</v>
      </c>
      <c r="E154" s="1" t="n">
        <v>46311</v>
      </c>
      <c r="F154" t="inlineStr">
        <is>
          <t>DALARNAS LÄN</t>
        </is>
      </c>
      <c r="G154" t="inlineStr">
        <is>
          <t>LUDVIKA</t>
        </is>
      </c>
      <c r="H154" t="inlineStr">
        <is>
          <t>Bergvik skog väst AB</t>
        </is>
      </c>
      <c r="I154" t="n">
        <v>2.3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19071-2025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45765</v>
      </c>
      <c r="E155" s="1" t="n">
        <v>46311</v>
      </c>
      <c r="F155" t="inlineStr">
        <is>
          <t>DALARNAS LÄN</t>
        </is>
      </c>
      <c r="G155" t="inlineStr">
        <is>
          <t>LUDVIKA</t>
        </is>
      </c>
      <c r="I155" t="n">
        <v>4.6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25004-2025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45799</v>
      </c>
      <c r="E156" s="1" t="n">
        <v>46311</v>
      </c>
      <c r="F156" t="inlineStr">
        <is>
          <t>DALARNAS LÄN</t>
        </is>
      </c>
      <c r="G156" t="inlineStr">
        <is>
          <t>LUDVIKA</t>
        </is>
      </c>
      <c r="H156" t="inlineStr">
        <is>
          <t>Bergvik skog väst AB</t>
        </is>
      </c>
      <c r="I156" t="n">
        <v>1.6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25113-2025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45800</v>
      </c>
      <c r="E157" s="1" t="n">
        <v>46311</v>
      </c>
      <c r="F157" t="inlineStr">
        <is>
          <t>DALARNAS LÄN</t>
        </is>
      </c>
      <c r="G157" t="inlineStr">
        <is>
          <t>LUDVIKA</t>
        </is>
      </c>
      <c r="H157" t="inlineStr">
        <is>
          <t>Bergvik skog väst AB</t>
        </is>
      </c>
      <c r="I157" t="n">
        <v>0.8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63267-2021</t>
        </is>
      </c>
      <c r="B158" t="inlineStr">
        <is>
          <t>avverkningsanmälan</t>
        </is>
      </c>
      <c r="C158" t="inlineStr">
        <is>
          <t>Avverkning för annat ändamål</t>
        </is>
      </c>
      <c r="D158" s="1" t="n">
        <v>44508</v>
      </c>
      <c r="E158" s="1" t="n">
        <v>46311</v>
      </c>
      <c r="F158" t="inlineStr">
        <is>
          <t>DALARNAS LÄN</t>
        </is>
      </c>
      <c r="G158" t="inlineStr">
        <is>
          <t>LUDVIKA</t>
        </is>
      </c>
      <c r="H158" t="inlineStr">
        <is>
          <t>Bergvik skog väst AB</t>
        </is>
      </c>
      <c r="I158" t="n">
        <v>0.2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39761-2022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44819</v>
      </c>
      <c r="E159" s="1" t="n">
        <v>46311</v>
      </c>
      <c r="F159" t="inlineStr">
        <is>
          <t>DALARNAS LÄN</t>
        </is>
      </c>
      <c r="G159" t="inlineStr">
        <is>
          <t>LUDVIKA</t>
        </is>
      </c>
      <c r="H159" t="inlineStr">
        <is>
          <t>Naturvårdsverket</t>
        </is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7526-2025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45705</v>
      </c>
      <c r="E160" s="1" t="n">
        <v>46311</v>
      </c>
      <c r="F160" t="inlineStr">
        <is>
          <t>DALARNAS LÄN</t>
        </is>
      </c>
      <c r="G160" t="inlineStr">
        <is>
          <t>LUDVIKA</t>
        </is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51160-2023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45219</v>
      </c>
      <c r="E161" s="1" t="n">
        <v>46311</v>
      </c>
      <c r="F161" t="inlineStr">
        <is>
          <t>DALARNAS LÄN</t>
        </is>
      </c>
      <c r="G161" t="inlineStr">
        <is>
          <t>LUDVIKA</t>
        </is>
      </c>
      <c r="H161" t="inlineStr">
        <is>
          <t>Bergvik skog väst AB</t>
        </is>
      </c>
      <c r="I161" t="n">
        <v>0.9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61621-2022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44916</v>
      </c>
      <c r="E162" s="1" t="n">
        <v>46311</v>
      </c>
      <c r="F162" t="inlineStr">
        <is>
          <t>DALARNAS LÄN</t>
        </is>
      </c>
      <c r="G162" t="inlineStr">
        <is>
          <t>LUDVIKA</t>
        </is>
      </c>
      <c r="H162" t="inlineStr">
        <is>
          <t>Bergvik skog väst AB</t>
        </is>
      </c>
      <c r="I162" t="n">
        <v>0.7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26320-2025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45805</v>
      </c>
      <c r="E163" s="1" t="n">
        <v>46311</v>
      </c>
      <c r="F163" t="inlineStr">
        <is>
          <t>DALARNAS LÄN</t>
        </is>
      </c>
      <c r="G163" t="inlineStr">
        <is>
          <t>LUDVIKA</t>
        </is>
      </c>
      <c r="H163" t="inlineStr">
        <is>
          <t>Bergvik skog väst AB</t>
        </is>
      </c>
      <c r="I163" t="n">
        <v>2.9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5841-2024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45335</v>
      </c>
      <c r="E164" s="1" t="n">
        <v>46311</v>
      </c>
      <c r="F164" t="inlineStr">
        <is>
          <t>DALARNAS LÄN</t>
        </is>
      </c>
      <c r="G164" t="inlineStr">
        <is>
          <t>LUDVIKA</t>
        </is>
      </c>
      <c r="I164" t="n">
        <v>1.6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22920-2022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44715</v>
      </c>
      <c r="E165" s="1" t="n">
        <v>46311</v>
      </c>
      <c r="F165" t="inlineStr">
        <is>
          <t>DALARNAS LÄN</t>
        </is>
      </c>
      <c r="G165" t="inlineStr">
        <is>
          <t>LUDVIKA</t>
        </is>
      </c>
      <c r="H165" t="inlineStr">
        <is>
          <t>Bergvik skog väst AB</t>
        </is>
      </c>
      <c r="I165" t="n">
        <v>0.8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26698-2025</t>
        </is>
      </c>
      <c r="B166" t="inlineStr">
        <is>
          <t>avverkningsanmälan</t>
        </is>
      </c>
      <c r="C166" t="inlineStr">
        <is>
          <t>Avverkning för annat ändamål</t>
        </is>
      </c>
      <c r="D166" s="1" t="n">
        <v>45810</v>
      </c>
      <c r="E166" s="1" t="n">
        <v>46311</v>
      </c>
      <c r="F166" t="inlineStr">
        <is>
          <t>DALARNAS LÄN</t>
        </is>
      </c>
      <c r="G166" t="inlineStr">
        <is>
          <t>LUDVIKA</t>
        </is>
      </c>
      <c r="H166" t="inlineStr">
        <is>
          <t>Bergvik skog väst AB</t>
        </is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26628-2025</t>
        </is>
      </c>
      <c r="B167" t="inlineStr">
        <is>
          <t>avverkningsanmälan</t>
        </is>
      </c>
      <c r="C167" t="inlineStr">
        <is>
          <t>Avverkning för annat ändamål</t>
        </is>
      </c>
      <c r="D167" s="1" t="n">
        <v>45810</v>
      </c>
      <c r="E167" s="1" t="n">
        <v>46311</v>
      </c>
      <c r="F167" t="inlineStr">
        <is>
          <t>DALARNAS LÄN</t>
        </is>
      </c>
      <c r="G167" t="inlineStr">
        <is>
          <t>LUDVIKA</t>
        </is>
      </c>
      <c r="H167" t="inlineStr">
        <is>
          <t>Bergvik skog väst AB</t>
        </is>
      </c>
      <c r="I167" t="n">
        <v>0.7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41090-2022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44825</v>
      </c>
      <c r="E168" s="1" t="n">
        <v>46311</v>
      </c>
      <c r="F168" t="inlineStr">
        <is>
          <t>DALARNAS LÄN</t>
        </is>
      </c>
      <c r="G168" t="inlineStr">
        <is>
          <t>LUDVIKA</t>
        </is>
      </c>
      <c r="H168" t="inlineStr">
        <is>
          <t>Bergvik skog väst AB</t>
        </is>
      </c>
      <c r="I168" t="n">
        <v>2.5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47366-2023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45202</v>
      </c>
      <c r="E169" s="1" t="n">
        <v>46311</v>
      </c>
      <c r="F169" t="inlineStr">
        <is>
          <t>DALARNAS LÄN</t>
        </is>
      </c>
      <c r="G169" t="inlineStr">
        <is>
          <t>LUDVIKA</t>
        </is>
      </c>
      <c r="H169" t="inlineStr">
        <is>
          <t>Bergvik skog väst AB</t>
        </is>
      </c>
      <c r="I169" t="n">
        <v>0.5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22555-2023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45071</v>
      </c>
      <c r="E170" s="1" t="n">
        <v>46311</v>
      </c>
      <c r="F170" t="inlineStr">
        <is>
          <t>DALARNAS LÄN</t>
        </is>
      </c>
      <c r="G170" t="inlineStr">
        <is>
          <t>LUDVIKA</t>
        </is>
      </c>
      <c r="H170" t="inlineStr">
        <is>
          <t>Bergvik skog väst AB</t>
        </is>
      </c>
      <c r="I170" t="n">
        <v>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26794-2025</t>
        </is>
      </c>
      <c r="B171" t="inlineStr">
        <is>
          <t>avverkningsanmälan</t>
        </is>
      </c>
      <c r="C171" t="inlineStr">
        <is>
          <t>Avverkning för att bevara och utveckla /försöksver</t>
        </is>
      </c>
      <c r="D171" s="1" t="n">
        <v>45810</v>
      </c>
      <c r="E171" s="1" t="n">
        <v>46311</v>
      </c>
      <c r="F171" t="inlineStr">
        <is>
          <t>DALARNAS LÄN</t>
        </is>
      </c>
      <c r="G171" t="inlineStr">
        <is>
          <t>LUDVIKA</t>
        </is>
      </c>
      <c r="H171" t="inlineStr">
        <is>
          <t>Kommuner</t>
        </is>
      </c>
      <c r="I171" t="n">
        <v>3.1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41400-2022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44826</v>
      </c>
      <c r="E172" s="1" t="n">
        <v>46311</v>
      </c>
      <c r="F172" t="inlineStr">
        <is>
          <t>DALARNAS LÄN</t>
        </is>
      </c>
      <c r="G172" t="inlineStr">
        <is>
          <t>LUDVIKA</t>
        </is>
      </c>
      <c r="H172" t="inlineStr">
        <is>
          <t>Bergvik skog väst AB</t>
        </is>
      </c>
      <c r="I172" t="n">
        <v>3.5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30844-2024</t>
        </is>
      </c>
      <c r="B173" t="inlineStr">
        <is>
          <t>avverkningsanmälan</t>
        </is>
      </c>
      <c r="C173" t="inlineStr">
        <is>
          <t>Avverkning för annat ändamål</t>
        </is>
      </c>
      <c r="D173" s="1" t="n">
        <v>45497</v>
      </c>
      <c r="E173" s="1" t="n">
        <v>46311</v>
      </c>
      <c r="F173" t="inlineStr">
        <is>
          <t>DALARNAS LÄN</t>
        </is>
      </c>
      <c r="G173" t="inlineStr">
        <is>
          <t>LUDVIKA</t>
        </is>
      </c>
      <c r="I173" t="n">
        <v>1.1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29535-2023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45106</v>
      </c>
      <c r="E174" s="1" t="n">
        <v>46311</v>
      </c>
      <c r="F174" t="inlineStr">
        <is>
          <t>DALARNAS LÄN</t>
        </is>
      </c>
      <c r="G174" t="inlineStr">
        <is>
          <t>LUDVIKA</t>
        </is>
      </c>
      <c r="I174" t="n">
        <v>2.8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34845-2024</t>
        </is>
      </c>
      <c r="B175" t="inlineStr">
        <is>
          <t>avverkningsanmälan</t>
        </is>
      </c>
      <c r="C175" t="inlineStr">
        <is>
          <t>Avverkning för annat ändamål</t>
        </is>
      </c>
      <c r="D175" s="1" t="n">
        <v>45526</v>
      </c>
      <c r="E175" s="1" t="n">
        <v>46311</v>
      </c>
      <c r="F175" t="inlineStr">
        <is>
          <t>DALARNAS LÄN</t>
        </is>
      </c>
      <c r="G175" t="inlineStr">
        <is>
          <t>LUDVIKA</t>
        </is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41158-2022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44825</v>
      </c>
      <c r="E176" s="1" t="n">
        <v>46311</v>
      </c>
      <c r="F176" t="inlineStr">
        <is>
          <t>DALARNAS LÄN</t>
        </is>
      </c>
      <c r="G176" t="inlineStr">
        <is>
          <t>LUDVIKA</t>
        </is>
      </c>
      <c r="I176" t="n">
        <v>2.1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48715-2022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44859</v>
      </c>
      <c r="E177" s="1" t="n">
        <v>46311</v>
      </c>
      <c r="F177" t="inlineStr">
        <is>
          <t>DALARNAS LÄN</t>
        </is>
      </c>
      <c r="G177" t="inlineStr">
        <is>
          <t>LUDVIKA</t>
        </is>
      </c>
      <c r="H177" t="inlineStr">
        <is>
          <t>Naturvårdsverket</t>
        </is>
      </c>
      <c r="I177" t="n">
        <v>1.2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43700-2024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45569</v>
      </c>
      <c r="E178" s="1" t="n">
        <v>46311</v>
      </c>
      <c r="F178" t="inlineStr">
        <is>
          <t>DALARNAS LÄN</t>
        </is>
      </c>
      <c r="G178" t="inlineStr">
        <is>
          <t>LUDVIKA</t>
        </is>
      </c>
      <c r="H178" t="inlineStr">
        <is>
          <t>Bergvik skog väst AB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27525-2025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45813</v>
      </c>
      <c r="E179" s="1" t="n">
        <v>46311</v>
      </c>
      <c r="F179" t="inlineStr">
        <is>
          <t>DALARNAS LÄN</t>
        </is>
      </c>
      <c r="G179" t="inlineStr">
        <is>
          <t>LUDVIKA</t>
        </is>
      </c>
      <c r="H179" t="inlineStr">
        <is>
          <t>Bergvik skog väst AB</t>
        </is>
      </c>
      <c r="I179" t="n">
        <v>5.6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27532-2025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45813</v>
      </c>
      <c r="E180" s="1" t="n">
        <v>46311</v>
      </c>
      <c r="F180" t="inlineStr">
        <is>
          <t>DALARNAS LÄN</t>
        </is>
      </c>
      <c r="G180" t="inlineStr">
        <is>
          <t>LUDVIKA</t>
        </is>
      </c>
      <c r="H180" t="inlineStr">
        <is>
          <t>Bergvik skog väst AB</t>
        </is>
      </c>
      <c r="I180" t="n">
        <v>4.8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27506-2025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45813</v>
      </c>
      <c r="E181" s="1" t="n">
        <v>46311</v>
      </c>
      <c r="F181" t="inlineStr">
        <is>
          <t>DALARNAS LÄN</t>
        </is>
      </c>
      <c r="G181" t="inlineStr">
        <is>
          <t>LUDVIKA</t>
        </is>
      </c>
      <c r="H181" t="inlineStr">
        <is>
          <t>Bergvik skog väst AB</t>
        </is>
      </c>
      <c r="I181" t="n">
        <v>2.1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27448-2025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45813</v>
      </c>
      <c r="E182" s="1" t="n">
        <v>46311</v>
      </c>
      <c r="F182" t="inlineStr">
        <is>
          <t>DALARNAS LÄN</t>
        </is>
      </c>
      <c r="G182" t="inlineStr">
        <is>
          <t>LUDVIKA</t>
        </is>
      </c>
      <c r="H182" t="inlineStr">
        <is>
          <t>Bergvik skog väst AB</t>
        </is>
      </c>
      <c r="I182" t="n">
        <v>3.6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11436-2024</t>
        </is>
      </c>
      <c r="B183" t="inlineStr">
        <is>
          <t>avverkningsanmälan</t>
        </is>
      </c>
      <c r="C183" t="inlineStr">
        <is>
          <t>Avverkning för att bevara och utveckla /försöksver</t>
        </is>
      </c>
      <c r="D183" s="1" t="n">
        <v>45372</v>
      </c>
      <c r="E183" s="1" t="n">
        <v>46311</v>
      </c>
      <c r="F183" t="inlineStr">
        <is>
          <t>DALARNAS LÄN</t>
        </is>
      </c>
      <c r="G183" t="inlineStr">
        <is>
          <t>LUDVIKA</t>
        </is>
      </c>
      <c r="I183" t="n">
        <v>0.5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16814-2024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45411</v>
      </c>
      <c r="E184" s="1" t="n">
        <v>46311</v>
      </c>
      <c r="F184" t="inlineStr">
        <is>
          <t>DALARNAS LÄN</t>
        </is>
      </c>
      <c r="G184" t="inlineStr">
        <is>
          <t>LUDVIKA</t>
        </is>
      </c>
      <c r="H184" t="inlineStr">
        <is>
          <t>Bergvik skog väst AB</t>
        </is>
      </c>
      <c r="I184" t="n">
        <v>0.4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29443-2025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45824</v>
      </c>
      <c r="E185" s="1" t="n">
        <v>46311</v>
      </c>
      <c r="F185" t="inlineStr">
        <is>
          <t>DALARNAS LÄN</t>
        </is>
      </c>
      <c r="G185" t="inlineStr">
        <is>
          <t>LUDVIKA</t>
        </is>
      </c>
      <c r="I185" t="n">
        <v>1.3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29966-2025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45826</v>
      </c>
      <c r="E186" s="1" t="n">
        <v>46311</v>
      </c>
      <c r="F186" t="inlineStr">
        <is>
          <t>DALARNAS LÄN</t>
        </is>
      </c>
      <c r="G186" t="inlineStr">
        <is>
          <t>LUDVIKA</t>
        </is>
      </c>
      <c r="H186" t="inlineStr">
        <is>
          <t>Bergvik skog väst AB</t>
        </is>
      </c>
      <c r="I186" t="n">
        <v>4.8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2614-2023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44942</v>
      </c>
      <c r="E187" s="1" t="n">
        <v>46311</v>
      </c>
      <c r="F187" t="inlineStr">
        <is>
          <t>DALARNAS LÄN</t>
        </is>
      </c>
      <c r="G187" t="inlineStr">
        <is>
          <t>LUDVIKA</t>
        </is>
      </c>
      <c r="I187" t="n">
        <v>13.1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29918-2025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45826</v>
      </c>
      <c r="E188" s="1" t="n">
        <v>46311</v>
      </c>
      <c r="F188" t="inlineStr">
        <is>
          <t>DALARNAS LÄN</t>
        </is>
      </c>
      <c r="G188" t="inlineStr">
        <is>
          <t>LUDVIKA</t>
        </is>
      </c>
      <c r="H188" t="inlineStr">
        <is>
          <t>Bergvik skog väst AB</t>
        </is>
      </c>
      <c r="I188" t="n">
        <v>1.7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30288-2025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45827</v>
      </c>
      <c r="E189" s="1" t="n">
        <v>46311</v>
      </c>
      <c r="F189" t="inlineStr">
        <is>
          <t>DALARNAS LÄN</t>
        </is>
      </c>
      <c r="G189" t="inlineStr">
        <is>
          <t>LUDVIKA</t>
        </is>
      </c>
      <c r="H189" t="inlineStr">
        <is>
          <t>Bergvik skog väst AB</t>
        </is>
      </c>
      <c r="I189" t="n">
        <v>0.6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48522-2023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45208</v>
      </c>
      <c r="E190" s="1" t="n">
        <v>46311</v>
      </c>
      <c r="F190" t="inlineStr">
        <is>
          <t>DALARNAS LÄN</t>
        </is>
      </c>
      <c r="G190" t="inlineStr">
        <is>
          <t>LUDVIKA</t>
        </is>
      </c>
      <c r="H190" t="inlineStr">
        <is>
          <t>Bergvik skog väst AB</t>
        </is>
      </c>
      <c r="I190" t="n">
        <v>1.7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51080-2024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45603</v>
      </c>
      <c r="E191" s="1" t="n">
        <v>46311</v>
      </c>
      <c r="F191" t="inlineStr">
        <is>
          <t>DALARNAS LÄN</t>
        </is>
      </c>
      <c r="G191" t="inlineStr">
        <is>
          <t>LUDVIKA</t>
        </is>
      </c>
      <c r="H191" t="inlineStr">
        <is>
          <t>Naturvårdsverket</t>
        </is>
      </c>
      <c r="I191" t="n">
        <v>0.8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25296-2022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44730</v>
      </c>
      <c r="E192" s="1" t="n">
        <v>46311</v>
      </c>
      <c r="F192" t="inlineStr">
        <is>
          <t>DALARNAS LÄN</t>
        </is>
      </c>
      <c r="G192" t="inlineStr">
        <is>
          <t>LUDVIKA</t>
        </is>
      </c>
      <c r="H192" t="inlineStr">
        <is>
          <t>Bergvik skog väst AB</t>
        </is>
      </c>
      <c r="I192" t="n">
        <v>1.1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23103-2024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45450</v>
      </c>
      <c r="E193" s="1" t="n">
        <v>46311</v>
      </c>
      <c r="F193" t="inlineStr">
        <is>
          <t>DALARNAS LÄN</t>
        </is>
      </c>
      <c r="G193" t="inlineStr">
        <is>
          <t>LUDVIKA</t>
        </is>
      </c>
      <c r="I193" t="n">
        <v>0.6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59346-2024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45637</v>
      </c>
      <c r="E194" s="1" t="n">
        <v>46311</v>
      </c>
      <c r="F194" t="inlineStr">
        <is>
          <t>DALARNAS LÄN</t>
        </is>
      </c>
      <c r="G194" t="inlineStr">
        <is>
          <t>LUDVIKA</t>
        </is>
      </c>
      <c r="I194" t="n">
        <v>0.5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31001-2025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45832</v>
      </c>
      <c r="E195" s="1" t="n">
        <v>46311</v>
      </c>
      <c r="F195" t="inlineStr">
        <is>
          <t>DALARNAS LÄN</t>
        </is>
      </c>
      <c r="G195" t="inlineStr">
        <is>
          <t>LUDVIKA</t>
        </is>
      </c>
      <c r="H195" t="inlineStr">
        <is>
          <t>Bergvik skog väst AB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30748-2025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45831</v>
      </c>
      <c r="E196" s="1" t="n">
        <v>46311</v>
      </c>
      <c r="F196" t="inlineStr">
        <is>
          <t>DALARNAS LÄN</t>
        </is>
      </c>
      <c r="G196" t="inlineStr">
        <is>
          <t>LUDVIKA</t>
        </is>
      </c>
      <c r="H196" t="inlineStr">
        <is>
          <t>Bergvik skog väst AB</t>
        </is>
      </c>
      <c r="I196" t="n">
        <v>0.4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30760-2025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45831</v>
      </c>
      <c r="E197" s="1" t="n">
        <v>46311</v>
      </c>
      <c r="F197" t="inlineStr">
        <is>
          <t>DALARNAS LÄN</t>
        </is>
      </c>
      <c r="G197" t="inlineStr">
        <is>
          <t>LUDVIKA</t>
        </is>
      </c>
      <c r="H197" t="inlineStr">
        <is>
          <t>Bergvik skog väst AB</t>
        </is>
      </c>
      <c r="I197" t="n">
        <v>0.4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37538-2024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45541</v>
      </c>
      <c r="E198" s="1" t="n">
        <v>46311</v>
      </c>
      <c r="F198" t="inlineStr">
        <is>
          <t>DALARNAS LÄN</t>
        </is>
      </c>
      <c r="G198" t="inlineStr">
        <is>
          <t>LUDVIKA</t>
        </is>
      </c>
      <c r="H198" t="inlineStr">
        <is>
          <t>Bergvik skog väst AB</t>
        </is>
      </c>
      <c r="I198" t="n">
        <v>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27644-2025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45813</v>
      </c>
      <c r="E199" s="1" t="n">
        <v>46311</v>
      </c>
      <c r="F199" t="inlineStr">
        <is>
          <t>DALARNAS LÄN</t>
        </is>
      </c>
      <c r="G199" t="inlineStr">
        <is>
          <t>LUDVIKA</t>
        </is>
      </c>
      <c r="H199" t="inlineStr">
        <is>
          <t>Bergvik skog väst AB</t>
        </is>
      </c>
      <c r="I199" t="n">
        <v>5.1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32019-2025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45835</v>
      </c>
      <c r="E200" s="1" t="n">
        <v>46311</v>
      </c>
      <c r="F200" t="inlineStr">
        <is>
          <t>DALARNAS LÄN</t>
        </is>
      </c>
      <c r="G200" t="inlineStr">
        <is>
          <t>LUDVIKA</t>
        </is>
      </c>
      <c r="H200" t="inlineStr">
        <is>
          <t>Bergvik skog väst AB</t>
        </is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24974-2025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45799</v>
      </c>
      <c r="E201" s="1" t="n">
        <v>46311</v>
      </c>
      <c r="F201" t="inlineStr">
        <is>
          <t>DALARNAS LÄN</t>
        </is>
      </c>
      <c r="G201" t="inlineStr">
        <is>
          <t>LUDVIKA</t>
        </is>
      </c>
      <c r="H201" t="inlineStr">
        <is>
          <t>Bergvik skog väst AB</t>
        </is>
      </c>
      <c r="I201" t="n">
        <v>2.2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28157-2023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45099</v>
      </c>
      <c r="E202" s="1" t="n">
        <v>46311</v>
      </c>
      <c r="F202" t="inlineStr">
        <is>
          <t>DALARNAS LÄN</t>
        </is>
      </c>
      <c r="G202" t="inlineStr">
        <is>
          <t>LUDVIKA</t>
        </is>
      </c>
      <c r="H202" t="inlineStr">
        <is>
          <t>Bergvik skog väst AB</t>
        </is>
      </c>
      <c r="I202" t="n">
        <v>0.8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47496-2022</t>
        </is>
      </c>
      <c r="B203" t="inlineStr">
        <is>
          <t>avverkningsanmälan</t>
        </is>
      </c>
      <c r="C203" t="inlineStr">
        <is>
          <t>Avverkning för annat ändamål</t>
        </is>
      </c>
      <c r="D203" s="1" t="n">
        <v>44853</v>
      </c>
      <c r="E203" s="1" t="n">
        <v>46311</v>
      </c>
      <c r="F203" t="inlineStr">
        <is>
          <t>DALARNAS LÄN</t>
        </is>
      </c>
      <c r="G203" t="inlineStr">
        <is>
          <t>LUDVIKA</t>
        </is>
      </c>
      <c r="H203" t="inlineStr">
        <is>
          <t>Bergvik skog väst AB</t>
        </is>
      </c>
      <c r="I203" t="n">
        <v>0.4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31702-2023</t>
        </is>
      </c>
      <c r="B204" t="inlineStr">
        <is>
          <t>avverkningsanmälan</t>
        </is>
      </c>
      <c r="C204" t="inlineStr">
        <is>
          <t>Avverkning för annat ändamål</t>
        </is>
      </c>
      <c r="D204" s="1" t="n">
        <v>45105</v>
      </c>
      <c r="E204" s="1" t="n">
        <v>46311</v>
      </c>
      <c r="F204" t="inlineStr">
        <is>
          <t>DALARNAS LÄN</t>
        </is>
      </c>
      <c r="G204" t="inlineStr">
        <is>
          <t>LUDVIKA</t>
        </is>
      </c>
      <c r="I204" t="n">
        <v>2.3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32119-2023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45119</v>
      </c>
      <c r="E205" s="1" t="n">
        <v>46311</v>
      </c>
      <c r="F205" t="inlineStr">
        <is>
          <t>DALARNAS LÄN</t>
        </is>
      </c>
      <c r="G205" t="inlineStr">
        <is>
          <t>LUDVIKA</t>
        </is>
      </c>
      <c r="H205" t="inlineStr">
        <is>
          <t>Naturvårdsverket</t>
        </is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61507-2023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45265</v>
      </c>
      <c r="E206" s="1" t="n">
        <v>46311</v>
      </c>
      <c r="F206" t="inlineStr">
        <is>
          <t>DALARNAS LÄN</t>
        </is>
      </c>
      <c r="G206" t="inlineStr">
        <is>
          <t>LUDVIKA</t>
        </is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33244-2025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45840</v>
      </c>
      <c r="E207" s="1" t="n">
        <v>46311</v>
      </c>
      <c r="F207" t="inlineStr">
        <is>
          <t>DALARNAS LÄN</t>
        </is>
      </c>
      <c r="G207" t="inlineStr">
        <is>
          <t>LUDVIKA</t>
        </is>
      </c>
      <c r="H207" t="inlineStr">
        <is>
          <t>Bergvik skog väst AB</t>
        </is>
      </c>
      <c r="I207" t="n">
        <v>0.9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33063-2025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45840</v>
      </c>
      <c r="E208" s="1" t="n">
        <v>46311</v>
      </c>
      <c r="F208" t="inlineStr">
        <is>
          <t>DALARNAS LÄN</t>
        </is>
      </c>
      <c r="G208" t="inlineStr">
        <is>
          <t>LUDVIKA</t>
        </is>
      </c>
      <c r="I208" t="n">
        <v>0.7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32277-2024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45512</v>
      </c>
      <c r="E209" s="1" t="n">
        <v>46311</v>
      </c>
      <c r="F209" t="inlineStr">
        <is>
          <t>DALARNAS LÄN</t>
        </is>
      </c>
      <c r="G209" t="inlineStr">
        <is>
          <t>LUDVIKA</t>
        </is>
      </c>
      <c r="H209" t="inlineStr">
        <is>
          <t>Bergvik skog väst AB</t>
        </is>
      </c>
      <c r="I209" t="n">
        <v>0.7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34067-2025</t>
        </is>
      </c>
      <c r="B210" t="inlineStr">
        <is>
          <t>avverkningsanmälan</t>
        </is>
      </c>
      <c r="C210" t="inlineStr">
        <is>
          <t>Avverkning för att bevara och utveckla /försöksver</t>
        </is>
      </c>
      <c r="D210" s="1" t="n">
        <v>45845</v>
      </c>
      <c r="E210" s="1" t="n">
        <v>46311</v>
      </c>
      <c r="F210" t="inlineStr">
        <is>
          <t>DALARNAS LÄN</t>
        </is>
      </c>
      <c r="G210" t="inlineStr">
        <is>
          <t>LUDVIKA</t>
        </is>
      </c>
      <c r="H210" t="inlineStr">
        <is>
          <t>Bergvik skog väst AB</t>
        </is>
      </c>
      <c r="I210" t="n">
        <v>0.4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36527-2024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45537</v>
      </c>
      <c r="E211" s="1" t="n">
        <v>46311</v>
      </c>
      <c r="F211" t="inlineStr">
        <is>
          <t>DALARNAS LÄN</t>
        </is>
      </c>
      <c r="G211" t="inlineStr">
        <is>
          <t>LUDVIKA</t>
        </is>
      </c>
      <c r="H211" t="inlineStr">
        <is>
          <t>Övriga Aktiebolag</t>
        </is>
      </c>
      <c r="I211" t="n">
        <v>3.3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31043-2024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45502</v>
      </c>
      <c r="E212" s="1" t="n">
        <v>46311</v>
      </c>
      <c r="F212" t="inlineStr">
        <is>
          <t>DALARNAS LÄN</t>
        </is>
      </c>
      <c r="G212" t="inlineStr">
        <is>
          <t>LUDVIKA</t>
        </is>
      </c>
      <c r="H212" t="inlineStr">
        <is>
          <t>Bergvik skog väst AB</t>
        </is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34861-2025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45849</v>
      </c>
      <c r="E213" s="1" t="n">
        <v>46311</v>
      </c>
      <c r="F213" t="inlineStr">
        <is>
          <t>DALARNAS LÄN</t>
        </is>
      </c>
      <c r="G213" t="inlineStr">
        <is>
          <t>LUDVIKA</t>
        </is>
      </c>
      <c r="H213" t="inlineStr">
        <is>
          <t>Bergvik skog väst AB</t>
        </is>
      </c>
      <c r="I213" t="n">
        <v>0.5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51704-2024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45607</v>
      </c>
      <c r="E214" s="1" t="n">
        <v>46311</v>
      </c>
      <c r="F214" t="inlineStr">
        <is>
          <t>DALARNAS LÄN</t>
        </is>
      </c>
      <c r="G214" t="inlineStr">
        <is>
          <t>LUDVIKA</t>
        </is>
      </c>
      <c r="H214" t="inlineStr">
        <is>
          <t>Bergvik skog väst AB</t>
        </is>
      </c>
      <c r="I214" t="n">
        <v>2.2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54730-2022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44883</v>
      </c>
      <c r="E215" s="1" t="n">
        <v>46311</v>
      </c>
      <c r="F215" t="inlineStr">
        <is>
          <t>DALARNAS LÄN</t>
        </is>
      </c>
      <c r="G215" t="inlineStr">
        <is>
          <t>LUDVIKA</t>
        </is>
      </c>
      <c r="H215" t="inlineStr">
        <is>
          <t>Bergvik skog väst AB</t>
        </is>
      </c>
      <c r="I215" t="n">
        <v>2.4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34455-2024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45525</v>
      </c>
      <c r="E216" s="1" t="n">
        <v>46311</v>
      </c>
      <c r="F216" t="inlineStr">
        <is>
          <t>DALARNAS LÄN</t>
        </is>
      </c>
      <c r="G216" t="inlineStr">
        <is>
          <t>LUDVIKA</t>
        </is>
      </c>
      <c r="I216" t="n">
        <v>0.9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47071-2022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44852</v>
      </c>
      <c r="E217" s="1" t="n">
        <v>46311</v>
      </c>
      <c r="F217" t="inlineStr">
        <is>
          <t>DALARNAS LÄN</t>
        </is>
      </c>
      <c r="G217" t="inlineStr">
        <is>
          <t>LUDVIKA</t>
        </is>
      </c>
      <c r="I217" t="n">
        <v>1.2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29654-2025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45825</v>
      </c>
      <c r="E218" s="1" t="n">
        <v>46311</v>
      </c>
      <c r="F218" t="inlineStr">
        <is>
          <t>DALARNAS LÄN</t>
        </is>
      </c>
      <c r="G218" t="inlineStr">
        <is>
          <t>LUDVIKA</t>
        </is>
      </c>
      <c r="H218" t="inlineStr">
        <is>
          <t>Bergvik skog väst AB</t>
        </is>
      </c>
      <c r="I218" t="n">
        <v>0.8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65104-2023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45288</v>
      </c>
      <c r="E219" s="1" t="n">
        <v>46311</v>
      </c>
      <c r="F219" t="inlineStr">
        <is>
          <t>DALARNAS LÄN</t>
        </is>
      </c>
      <c r="G219" t="inlineStr">
        <is>
          <t>LUDVIKA</t>
        </is>
      </c>
      <c r="I219" t="n">
        <v>1.3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32329-2024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45512</v>
      </c>
      <c r="E220" s="1" t="n">
        <v>46311</v>
      </c>
      <c r="F220" t="inlineStr">
        <is>
          <t>DALARNAS LÄN</t>
        </is>
      </c>
      <c r="G220" t="inlineStr">
        <is>
          <t>LUDVIKA</t>
        </is>
      </c>
      <c r="H220" t="inlineStr">
        <is>
          <t>Bergvik skog väst AB</t>
        </is>
      </c>
      <c r="I220" t="n">
        <v>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31010-2025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45832</v>
      </c>
      <c r="E221" s="1" t="n">
        <v>46311</v>
      </c>
      <c r="F221" t="inlineStr">
        <is>
          <t>DALARNAS LÄN</t>
        </is>
      </c>
      <c r="G221" t="inlineStr">
        <is>
          <t>LUDVIKA</t>
        </is>
      </c>
      <c r="H221" t="inlineStr">
        <is>
          <t>Bergvik skog väst AB</t>
        </is>
      </c>
      <c r="I221" t="n">
        <v>5.6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31050-2025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45832</v>
      </c>
      <c r="E222" s="1" t="n">
        <v>46311</v>
      </c>
      <c r="F222" t="inlineStr">
        <is>
          <t>DALARNAS LÄN</t>
        </is>
      </c>
      <c r="G222" t="inlineStr">
        <is>
          <t>LUDVIKA</t>
        </is>
      </c>
      <c r="H222" t="inlineStr">
        <is>
          <t>Bergvik skog väst AB</t>
        </is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33001-2025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45840</v>
      </c>
      <c r="E223" s="1" t="n">
        <v>46311</v>
      </c>
      <c r="F223" t="inlineStr">
        <is>
          <t>DALARNAS LÄN</t>
        </is>
      </c>
      <c r="G223" t="inlineStr">
        <is>
          <t>LUDVIKA</t>
        </is>
      </c>
      <c r="H223" t="inlineStr">
        <is>
          <t>Bergvik skog väst AB</t>
        </is>
      </c>
      <c r="I223" t="n">
        <v>4.1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31057-2025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45832</v>
      </c>
      <c r="E224" s="1" t="n">
        <v>46311</v>
      </c>
      <c r="F224" t="inlineStr">
        <is>
          <t>DALARNAS LÄN</t>
        </is>
      </c>
      <c r="G224" t="inlineStr">
        <is>
          <t>LUDVIKA</t>
        </is>
      </c>
      <c r="H224" t="inlineStr">
        <is>
          <t>Bergvik skog väst AB</t>
        </is>
      </c>
      <c r="I224" t="n">
        <v>6.2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49951-2022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44865</v>
      </c>
      <c r="E225" s="1" t="n">
        <v>46311</v>
      </c>
      <c r="F225" t="inlineStr">
        <is>
          <t>DALARNAS LÄN</t>
        </is>
      </c>
      <c r="G225" t="inlineStr">
        <is>
          <t>LUDVIKA</t>
        </is>
      </c>
      <c r="H225" t="inlineStr">
        <is>
          <t>Bergvik skog väst AB</t>
        </is>
      </c>
      <c r="I225" t="n">
        <v>1.5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43055-2024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45567</v>
      </c>
      <c r="E226" s="1" t="n">
        <v>46311</v>
      </c>
      <c r="F226" t="inlineStr">
        <is>
          <t>DALARNAS LÄN</t>
        </is>
      </c>
      <c r="G226" t="inlineStr">
        <is>
          <t>LUDVIKA</t>
        </is>
      </c>
      <c r="H226" t="inlineStr">
        <is>
          <t>Bergvik skog väst AB</t>
        </is>
      </c>
      <c r="I226" t="n">
        <v>1.3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55034-2024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45621</v>
      </c>
      <c r="E227" s="1" t="n">
        <v>46311</v>
      </c>
      <c r="F227" t="inlineStr">
        <is>
          <t>DALARNAS LÄN</t>
        </is>
      </c>
      <c r="G227" t="inlineStr">
        <is>
          <t>LUDVIKA</t>
        </is>
      </c>
      <c r="H227" t="inlineStr">
        <is>
          <t>Naturvårdsverket</t>
        </is>
      </c>
      <c r="I227" t="n">
        <v>6.6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17677-2022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44680</v>
      </c>
      <c r="E228" s="1" t="n">
        <v>46311</v>
      </c>
      <c r="F228" t="inlineStr">
        <is>
          <t>DALARNAS LÄN</t>
        </is>
      </c>
      <c r="G228" t="inlineStr">
        <is>
          <t>LUDVIKA</t>
        </is>
      </c>
      <c r="H228" t="inlineStr">
        <is>
          <t>Bergvik skog väst AB</t>
        </is>
      </c>
      <c r="I228" t="n">
        <v>5.5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14986-2024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45399</v>
      </c>
      <c r="E229" s="1" t="n">
        <v>46311</v>
      </c>
      <c r="F229" t="inlineStr">
        <is>
          <t>DALARNAS LÄN</t>
        </is>
      </c>
      <c r="G229" t="inlineStr">
        <is>
          <t>LUDVIKA</t>
        </is>
      </c>
      <c r="H229" t="inlineStr">
        <is>
          <t>Bergvik skog väst AB</t>
        </is>
      </c>
      <c r="I229" t="n">
        <v>0.7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31100-2024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45502</v>
      </c>
      <c r="E230" s="1" t="n">
        <v>46311</v>
      </c>
      <c r="F230" t="inlineStr">
        <is>
          <t>DALARNAS LÄN</t>
        </is>
      </c>
      <c r="G230" t="inlineStr">
        <is>
          <t>LUDVIKA</t>
        </is>
      </c>
      <c r="I230" t="n">
        <v>1.7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36437-2025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45869</v>
      </c>
      <c r="E231" s="1" t="n">
        <v>46311</v>
      </c>
      <c r="F231" t="inlineStr">
        <is>
          <t>DALARNAS LÄN</t>
        </is>
      </c>
      <c r="G231" t="inlineStr">
        <is>
          <t>LUDVIKA</t>
        </is>
      </c>
      <c r="H231" t="inlineStr">
        <is>
          <t>Bergvik skog väst AB</t>
        </is>
      </c>
      <c r="I231" t="n">
        <v>0.6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6151-2024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45337</v>
      </c>
      <c r="E232" s="1" t="n">
        <v>46311</v>
      </c>
      <c r="F232" t="inlineStr">
        <is>
          <t>DALARNAS LÄN</t>
        </is>
      </c>
      <c r="G232" t="inlineStr">
        <is>
          <t>LUDVIKA</t>
        </is>
      </c>
      <c r="I232" t="n">
        <v>1.7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27389-2024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45474</v>
      </c>
      <c r="E233" s="1" t="n">
        <v>46311</v>
      </c>
      <c r="F233" t="inlineStr">
        <is>
          <t>DALARNAS LÄN</t>
        </is>
      </c>
      <c r="G233" t="inlineStr">
        <is>
          <t>LUDVIKA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45361-2022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44844</v>
      </c>
      <c r="E234" s="1" t="n">
        <v>46311</v>
      </c>
      <c r="F234" t="inlineStr">
        <is>
          <t>DALARNAS LÄN</t>
        </is>
      </c>
      <c r="G234" t="inlineStr">
        <is>
          <t>LUDVIKA</t>
        </is>
      </c>
      <c r="H234" t="inlineStr">
        <is>
          <t>Bergvik skog väst AB</t>
        </is>
      </c>
      <c r="I234" t="n">
        <v>0.8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18187-2025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45761</v>
      </c>
      <c r="E235" s="1" t="n">
        <v>46311</v>
      </c>
      <c r="F235" t="inlineStr">
        <is>
          <t>DALARNAS LÄN</t>
        </is>
      </c>
      <c r="G235" t="inlineStr">
        <is>
          <t>LUDVIKA</t>
        </is>
      </c>
      <c r="I235" t="n">
        <v>1.9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37129-2025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45875</v>
      </c>
      <c r="E236" s="1" t="n">
        <v>46311</v>
      </c>
      <c r="F236" t="inlineStr">
        <is>
          <t>DALARNAS LÄN</t>
        </is>
      </c>
      <c r="G236" t="inlineStr">
        <is>
          <t>LUDVIKA</t>
        </is>
      </c>
      <c r="I236" t="n">
        <v>3.9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57193-2022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44895</v>
      </c>
      <c r="E237" s="1" t="n">
        <v>46311</v>
      </c>
      <c r="F237" t="inlineStr">
        <is>
          <t>DALARNAS LÄN</t>
        </is>
      </c>
      <c r="G237" t="inlineStr">
        <is>
          <t>LUDVIKA</t>
        </is>
      </c>
      <c r="H237" t="inlineStr">
        <is>
          <t>Bergvik skog väst AB</t>
        </is>
      </c>
      <c r="I237" t="n">
        <v>3.4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32305-2024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45512</v>
      </c>
      <c r="E238" s="1" t="n">
        <v>46311</v>
      </c>
      <c r="F238" t="inlineStr">
        <is>
          <t>DALARNAS LÄN</t>
        </is>
      </c>
      <c r="G238" t="inlineStr">
        <is>
          <t>LUDVIKA</t>
        </is>
      </c>
      <c r="H238" t="inlineStr">
        <is>
          <t>Bergvik skog väst AB</t>
        </is>
      </c>
      <c r="I238" t="n">
        <v>1.4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32332-2024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45512</v>
      </c>
      <c r="E239" s="1" t="n">
        <v>46311</v>
      </c>
      <c r="F239" t="inlineStr">
        <is>
          <t>DALARNAS LÄN</t>
        </is>
      </c>
      <c r="G239" t="inlineStr">
        <is>
          <t>LUDVIKA</t>
        </is>
      </c>
      <c r="H239" t="inlineStr">
        <is>
          <t>Bergvik skog väst AB</t>
        </is>
      </c>
      <c r="I239" t="n">
        <v>2.1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43694-2024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45569</v>
      </c>
      <c r="E240" s="1" t="n">
        <v>46311</v>
      </c>
      <c r="F240" t="inlineStr">
        <is>
          <t>DALARNAS LÄN</t>
        </is>
      </c>
      <c r="G240" t="inlineStr">
        <is>
          <t>LUDVIKA</t>
        </is>
      </c>
      <c r="H240" t="inlineStr">
        <is>
          <t>Bergvik skog väst AB</t>
        </is>
      </c>
      <c r="I240" t="n">
        <v>0.8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11797-2023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44994</v>
      </c>
      <c r="E241" s="1" t="n">
        <v>46311</v>
      </c>
      <c r="F241" t="inlineStr">
        <is>
          <t>DALARNAS LÄN</t>
        </is>
      </c>
      <c r="G241" t="inlineStr">
        <is>
          <t>LUDVIKA</t>
        </is>
      </c>
      <c r="I241" t="n">
        <v>0.7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65195-2021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44515</v>
      </c>
      <c r="E242" s="1" t="n">
        <v>46311</v>
      </c>
      <c r="F242" t="inlineStr">
        <is>
          <t>DALARNAS LÄN</t>
        </is>
      </c>
      <c r="G242" t="inlineStr">
        <is>
          <t>LUDVIKA</t>
        </is>
      </c>
      <c r="H242" t="inlineStr">
        <is>
          <t>Bergvik skog väst AB</t>
        </is>
      </c>
      <c r="I242" t="n">
        <v>0.5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42254-2024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45562</v>
      </c>
      <c r="E243" s="1" t="n">
        <v>46311</v>
      </c>
      <c r="F243" t="inlineStr">
        <is>
          <t>DALARNAS LÄN</t>
        </is>
      </c>
      <c r="G243" t="inlineStr">
        <is>
          <t>LUDVIKA</t>
        </is>
      </c>
      <c r="H243" t="inlineStr">
        <is>
          <t>Bergvik skog väst AB</t>
        </is>
      </c>
      <c r="I243" t="n">
        <v>0.8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39754-2025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45891</v>
      </c>
      <c r="E244" s="1" t="n">
        <v>46311</v>
      </c>
      <c r="F244" t="inlineStr">
        <is>
          <t>DALARNAS LÄN</t>
        </is>
      </c>
      <c r="G244" t="inlineStr">
        <is>
          <t>LUDVIKA</t>
        </is>
      </c>
      <c r="H244" t="inlineStr">
        <is>
          <t>Bergvik skog väst AB</t>
        </is>
      </c>
      <c r="I244" t="n">
        <v>0.4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33330-2024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45519</v>
      </c>
      <c r="E245" s="1" t="n">
        <v>46311</v>
      </c>
      <c r="F245" t="inlineStr">
        <is>
          <t>DALARNAS LÄN</t>
        </is>
      </c>
      <c r="G245" t="inlineStr">
        <is>
          <t>LUDVIKA</t>
        </is>
      </c>
      <c r="I245" t="n">
        <v>4.9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40246-2025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45895</v>
      </c>
      <c r="E246" s="1" t="n">
        <v>46311</v>
      </c>
      <c r="F246" t="inlineStr">
        <is>
          <t>DALARNAS LÄN</t>
        </is>
      </c>
      <c r="G246" t="inlineStr">
        <is>
          <t>LUDVIKA</t>
        </is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60138-2023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45258</v>
      </c>
      <c r="E247" s="1" t="n">
        <v>46311</v>
      </c>
      <c r="F247" t="inlineStr">
        <is>
          <t>DALARNAS LÄN</t>
        </is>
      </c>
      <c r="G247" t="inlineStr">
        <is>
          <t>LUDVIKA</t>
        </is>
      </c>
      <c r="I247" t="n">
        <v>1.3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15851-2024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45404</v>
      </c>
      <c r="E248" s="1" t="n">
        <v>46311</v>
      </c>
      <c r="F248" t="inlineStr">
        <is>
          <t>DALARNAS LÄN</t>
        </is>
      </c>
      <c r="G248" t="inlineStr">
        <is>
          <t>LUDVIKA</t>
        </is>
      </c>
      <c r="I248" t="n">
        <v>5.2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30123-2023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45110</v>
      </c>
      <c r="E249" s="1" t="n">
        <v>46311</v>
      </c>
      <c r="F249" t="inlineStr">
        <is>
          <t>DALARNAS LÄN</t>
        </is>
      </c>
      <c r="G249" t="inlineStr">
        <is>
          <t>LUDVIKA</t>
        </is>
      </c>
      <c r="I249" t="n">
        <v>1.9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41109-2025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45898</v>
      </c>
      <c r="E250" s="1" t="n">
        <v>46311</v>
      </c>
      <c r="F250" t="inlineStr">
        <is>
          <t>DALARNAS LÄN</t>
        </is>
      </c>
      <c r="G250" t="inlineStr">
        <is>
          <t>LUDVIKA</t>
        </is>
      </c>
      <c r="H250" t="inlineStr">
        <is>
          <t>Bergvik skog väst AB</t>
        </is>
      </c>
      <c r="I250" t="n">
        <v>3.4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56680-2022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44893</v>
      </c>
      <c r="E251" s="1" t="n">
        <v>46311</v>
      </c>
      <c r="F251" t="inlineStr">
        <is>
          <t>DALARNAS LÄN</t>
        </is>
      </c>
      <c r="G251" t="inlineStr">
        <is>
          <t>LUDVIKA</t>
        </is>
      </c>
      <c r="I251" t="n">
        <v>0.4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56685-2022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44893</v>
      </c>
      <c r="E252" s="1" t="n">
        <v>46311</v>
      </c>
      <c r="F252" t="inlineStr">
        <is>
          <t>DALARNAS LÄN</t>
        </is>
      </c>
      <c r="G252" t="inlineStr">
        <is>
          <t>LUDVIKA</t>
        </is>
      </c>
      <c r="I252" t="n">
        <v>0.6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70046-2021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44533</v>
      </c>
      <c r="E253" s="1" t="n">
        <v>46311</v>
      </c>
      <c r="F253" t="inlineStr">
        <is>
          <t>DALARNAS LÄN</t>
        </is>
      </c>
      <c r="G253" t="inlineStr">
        <is>
          <t>LUDVIKA</t>
        </is>
      </c>
      <c r="H253" t="inlineStr">
        <is>
          <t>Bergvik skog väst AB</t>
        </is>
      </c>
      <c r="I253" t="n">
        <v>1.4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41269-2025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45898</v>
      </c>
      <c r="E254" s="1" t="n">
        <v>46311</v>
      </c>
      <c r="F254" t="inlineStr">
        <is>
          <t>DALARNAS LÄN</t>
        </is>
      </c>
      <c r="G254" t="inlineStr">
        <is>
          <t>LUDVIKA</t>
        </is>
      </c>
      <c r="H254" t="inlineStr">
        <is>
          <t>Bergvik skog väst AB</t>
        </is>
      </c>
      <c r="I254" t="n">
        <v>3.3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51029-2024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45603</v>
      </c>
      <c r="E255" s="1" t="n">
        <v>46311</v>
      </c>
      <c r="F255" t="inlineStr">
        <is>
          <t>DALARNAS LÄN</t>
        </is>
      </c>
      <c r="G255" t="inlineStr">
        <is>
          <t>LUDVIKA</t>
        </is>
      </c>
      <c r="H255" t="inlineStr">
        <is>
          <t>Bergvik skog väst AB</t>
        </is>
      </c>
      <c r="I255" t="n">
        <v>3.4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43981-2024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45572</v>
      </c>
      <c r="E256" s="1" t="n">
        <v>46311</v>
      </c>
      <c r="F256" t="inlineStr">
        <is>
          <t>DALARNAS LÄN</t>
        </is>
      </c>
      <c r="G256" t="inlineStr">
        <is>
          <t>LUDVIKA</t>
        </is>
      </c>
      <c r="H256" t="inlineStr">
        <is>
          <t>Bergvik skog väst AB</t>
        </is>
      </c>
      <c r="I256" t="n">
        <v>8.199999999999999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8703-2023</t>
        </is>
      </c>
      <c r="B257" t="inlineStr">
        <is>
          <t>avverkningsanmälan</t>
        </is>
      </c>
      <c r="C257" t="inlineStr">
        <is>
          <t>Avverkning för annat ändamål</t>
        </is>
      </c>
      <c r="D257" s="1" t="n">
        <v>44978</v>
      </c>
      <c r="E257" s="1" t="n">
        <v>46311</v>
      </c>
      <c r="F257" t="inlineStr">
        <is>
          <t>DALARNAS LÄN</t>
        </is>
      </c>
      <c r="G257" t="inlineStr">
        <is>
          <t>LUDVIKA</t>
        </is>
      </c>
      <c r="I257" t="n">
        <v>0.5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30039-2024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45488</v>
      </c>
      <c r="E258" s="1" t="n">
        <v>46311</v>
      </c>
      <c r="F258" t="inlineStr">
        <is>
          <t>DALARNAS LÄN</t>
        </is>
      </c>
      <c r="G258" t="inlineStr">
        <is>
          <t>LUDVIKA</t>
        </is>
      </c>
      <c r="I258" t="n">
        <v>1.3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56686-2022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44893</v>
      </c>
      <c r="E259" s="1" t="n">
        <v>46311</v>
      </c>
      <c r="F259" t="inlineStr">
        <is>
          <t>DALARNAS LÄN</t>
        </is>
      </c>
      <c r="G259" t="inlineStr">
        <is>
          <t>LUDVIKA</t>
        </is>
      </c>
      <c r="I259" t="n">
        <v>0.7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41616-2024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45560</v>
      </c>
      <c r="E260" s="1" t="n">
        <v>46311</v>
      </c>
      <c r="F260" t="inlineStr">
        <is>
          <t>DALARNAS LÄN</t>
        </is>
      </c>
      <c r="G260" t="inlineStr">
        <is>
          <t>LUDVIKA</t>
        </is>
      </c>
      <c r="H260" t="inlineStr">
        <is>
          <t>Bergvik skog väst AB</t>
        </is>
      </c>
      <c r="I260" t="n">
        <v>4.4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41731-2025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45902</v>
      </c>
      <c r="E261" s="1" t="n">
        <v>46311</v>
      </c>
      <c r="F261" t="inlineStr">
        <is>
          <t>DALARNAS LÄN</t>
        </is>
      </c>
      <c r="G261" t="inlineStr">
        <is>
          <t>LUDVIKA</t>
        </is>
      </c>
      <c r="H261" t="inlineStr">
        <is>
          <t>Bergvik skog väst AB</t>
        </is>
      </c>
      <c r="I261" t="n">
        <v>4.6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17054-2026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46114</v>
      </c>
      <c r="E262" s="1" t="n">
        <v>46311</v>
      </c>
      <c r="F262" t="inlineStr">
        <is>
          <t>DALARNAS LÄN</t>
        </is>
      </c>
      <c r="G262" t="inlineStr">
        <is>
          <t>LUDVIKA</t>
        </is>
      </c>
      <c r="H262" t="inlineStr">
        <is>
          <t>Bergvik skog väst AB</t>
        </is>
      </c>
      <c r="I262" t="n">
        <v>7.5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17245-2026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46119</v>
      </c>
      <c r="E263" s="1" t="n">
        <v>46311</v>
      </c>
      <c r="F263" t="inlineStr">
        <is>
          <t>DALARNAS LÄN</t>
        </is>
      </c>
      <c r="G263" t="inlineStr">
        <is>
          <t>LUDVIKA</t>
        </is>
      </c>
      <c r="H263" t="inlineStr">
        <is>
          <t>Naturvårdsverket</t>
        </is>
      </c>
      <c r="I263" t="n">
        <v>19.8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32995-2023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45113</v>
      </c>
      <c r="E264" s="1" t="n">
        <v>46311</v>
      </c>
      <c r="F264" t="inlineStr">
        <is>
          <t>DALARNAS LÄN</t>
        </is>
      </c>
      <c r="G264" t="inlineStr">
        <is>
          <t>LUDVIKA</t>
        </is>
      </c>
      <c r="H264" t="inlineStr">
        <is>
          <t>Kommuner</t>
        </is>
      </c>
      <c r="I264" t="n">
        <v>5.8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50714-2024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45602</v>
      </c>
      <c r="E265" s="1" t="n">
        <v>46311</v>
      </c>
      <c r="F265" t="inlineStr">
        <is>
          <t>DALARNAS LÄN</t>
        </is>
      </c>
      <c r="G265" t="inlineStr">
        <is>
          <t>LUDVIKA</t>
        </is>
      </c>
      <c r="I265" t="n">
        <v>0.8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32854-2023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45112</v>
      </c>
      <c r="E266" s="1" t="n">
        <v>46311</v>
      </c>
      <c r="F266" t="inlineStr">
        <is>
          <t>DALARNAS LÄN</t>
        </is>
      </c>
      <c r="G266" t="inlineStr">
        <is>
          <t>LUDVIKA</t>
        </is>
      </c>
      <c r="H266" t="inlineStr">
        <is>
          <t>Kommuner</t>
        </is>
      </c>
      <c r="I266" t="n">
        <v>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21152-2023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45062</v>
      </c>
      <c r="E267" s="1" t="n">
        <v>46311</v>
      </c>
      <c r="F267" t="inlineStr">
        <is>
          <t>DALARNAS LÄN</t>
        </is>
      </c>
      <c r="G267" t="inlineStr">
        <is>
          <t>LUDVIKA</t>
        </is>
      </c>
      <c r="H267" t="inlineStr">
        <is>
          <t>Bergvik skog väst AB</t>
        </is>
      </c>
      <c r="I267" t="n">
        <v>13.6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17879-2026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46122</v>
      </c>
      <c r="E268" s="1" t="n">
        <v>46311</v>
      </c>
      <c r="F268" t="inlineStr">
        <is>
          <t>DALARNAS LÄN</t>
        </is>
      </c>
      <c r="G268" t="inlineStr">
        <is>
          <t>LUDVIKA</t>
        </is>
      </c>
      <c r="H268" t="inlineStr">
        <is>
          <t>Bergvik skog väst AB</t>
        </is>
      </c>
      <c r="I268" t="n">
        <v>7.2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17882-2026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46122</v>
      </c>
      <c r="E269" s="1" t="n">
        <v>46311</v>
      </c>
      <c r="F269" t="inlineStr">
        <is>
          <t>DALARNAS LÄN</t>
        </is>
      </c>
      <c r="G269" t="inlineStr">
        <is>
          <t>LUDVIKA</t>
        </is>
      </c>
      <c r="H269" t="inlineStr">
        <is>
          <t>Bergvik skog väst AB</t>
        </is>
      </c>
      <c r="I269" t="n">
        <v>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17787-2026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46122</v>
      </c>
      <c r="E270" s="1" t="n">
        <v>46311</v>
      </c>
      <c r="F270" t="inlineStr">
        <is>
          <t>DALARNAS LÄN</t>
        </is>
      </c>
      <c r="G270" t="inlineStr">
        <is>
          <t>LUDVIKA</t>
        </is>
      </c>
      <c r="H270" t="inlineStr">
        <is>
          <t>Bergvik skog väst AB</t>
        </is>
      </c>
      <c r="I270" t="n">
        <v>4.6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60788-2024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45644</v>
      </c>
      <c r="E271" s="1" t="n">
        <v>46311</v>
      </c>
      <c r="F271" t="inlineStr">
        <is>
          <t>DALARNAS LÄN</t>
        </is>
      </c>
      <c r="G271" t="inlineStr">
        <is>
          <t>LUDVIKA</t>
        </is>
      </c>
      <c r="I271" t="n">
        <v>1.9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59667-2024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45639</v>
      </c>
      <c r="E272" s="1" t="n">
        <v>46311</v>
      </c>
      <c r="F272" t="inlineStr">
        <is>
          <t>DALARNAS LÄN</t>
        </is>
      </c>
      <c r="G272" t="inlineStr">
        <is>
          <t>LUDVIKA</t>
        </is>
      </c>
      <c r="H272" t="inlineStr">
        <is>
          <t>Bergvik skog väst AB</t>
        </is>
      </c>
      <c r="I272" t="n">
        <v>1.6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18357-2026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46126</v>
      </c>
      <c r="E273" s="1" t="n">
        <v>46311</v>
      </c>
      <c r="F273" t="inlineStr">
        <is>
          <t>DALARNAS LÄN</t>
        </is>
      </c>
      <c r="G273" t="inlineStr">
        <is>
          <t>LUDVIKA</t>
        </is>
      </c>
      <c r="H273" t="inlineStr">
        <is>
          <t>Bergvik skog väst AB</t>
        </is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18355-2026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46126</v>
      </c>
      <c r="E274" s="1" t="n">
        <v>46311</v>
      </c>
      <c r="F274" t="inlineStr">
        <is>
          <t>DALARNAS LÄN</t>
        </is>
      </c>
      <c r="G274" t="inlineStr">
        <is>
          <t>LUDVIKA</t>
        </is>
      </c>
      <c r="H274" t="inlineStr">
        <is>
          <t>Bergvik skog väst AB</t>
        </is>
      </c>
      <c r="I274" t="n">
        <v>2.7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18362-2026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46126</v>
      </c>
      <c r="E275" s="1" t="n">
        <v>46311</v>
      </c>
      <c r="F275" t="inlineStr">
        <is>
          <t>DALARNAS LÄN</t>
        </is>
      </c>
      <c r="G275" t="inlineStr">
        <is>
          <t>LUDVIKA</t>
        </is>
      </c>
      <c r="H275" t="inlineStr">
        <is>
          <t>Bergvik skog väst AB</t>
        </is>
      </c>
      <c r="I275" t="n">
        <v>1.9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55472-2024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45622</v>
      </c>
      <c r="E276" s="1" t="n">
        <v>46311</v>
      </c>
      <c r="F276" t="inlineStr">
        <is>
          <t>DALARNAS LÄN</t>
        </is>
      </c>
      <c r="G276" t="inlineStr">
        <is>
          <t>LUDVIKA</t>
        </is>
      </c>
      <c r="H276" t="inlineStr">
        <is>
          <t>Naturvårdsverket</t>
        </is>
      </c>
      <c r="I276" t="n">
        <v>1.5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55485-2024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45622</v>
      </c>
      <c r="E277" s="1" t="n">
        <v>46311</v>
      </c>
      <c r="F277" t="inlineStr">
        <is>
          <t>DALARNAS LÄN</t>
        </is>
      </c>
      <c r="G277" t="inlineStr">
        <is>
          <t>LUDVIKA</t>
        </is>
      </c>
      <c r="H277" t="inlineStr">
        <is>
          <t>Naturvårdsverket</t>
        </is>
      </c>
      <c r="I277" t="n">
        <v>0.3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43704-2024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45569</v>
      </c>
      <c r="E278" s="1" t="n">
        <v>46311</v>
      </c>
      <c r="F278" t="inlineStr">
        <is>
          <t>DALARNAS LÄN</t>
        </is>
      </c>
      <c r="G278" t="inlineStr">
        <is>
          <t>LUDVIKA</t>
        </is>
      </c>
      <c r="H278" t="inlineStr">
        <is>
          <t>Bergvik skog väst AB</t>
        </is>
      </c>
      <c r="I278" t="n">
        <v>4.4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18829-2026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46128</v>
      </c>
      <c r="E279" s="1" t="n">
        <v>46311</v>
      </c>
      <c r="F279" t="inlineStr">
        <is>
          <t>DALARNAS LÄN</t>
        </is>
      </c>
      <c r="G279" t="inlineStr">
        <is>
          <t>LUDVIKA</t>
        </is>
      </c>
      <c r="I279" t="n">
        <v>2.1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19610-2026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46134</v>
      </c>
      <c r="E280" s="1" t="n">
        <v>46311</v>
      </c>
      <c r="F280" t="inlineStr">
        <is>
          <t>DALARNAS LÄN</t>
        </is>
      </c>
      <c r="G280" t="inlineStr">
        <is>
          <t>LUDVIKA</t>
        </is>
      </c>
      <c r="H280" t="inlineStr">
        <is>
          <t>Bergvik skog väst AB</t>
        </is>
      </c>
      <c r="I280" t="n">
        <v>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37586-2024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45541</v>
      </c>
      <c r="E281" s="1" t="n">
        <v>46311</v>
      </c>
      <c r="F281" t="inlineStr">
        <is>
          <t>DALARNAS LÄN</t>
        </is>
      </c>
      <c r="G281" t="inlineStr">
        <is>
          <t>LUDVIKA</t>
        </is>
      </c>
      <c r="H281" t="inlineStr">
        <is>
          <t>Bergvik skog väst AB</t>
        </is>
      </c>
      <c r="I281" t="n">
        <v>0.6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55551-2024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45622</v>
      </c>
      <c r="E282" s="1" t="n">
        <v>46311</v>
      </c>
      <c r="F282" t="inlineStr">
        <is>
          <t>DALARNAS LÄN</t>
        </is>
      </c>
      <c r="G282" t="inlineStr">
        <is>
          <t>LUDVIKA</t>
        </is>
      </c>
      <c r="H282" t="inlineStr">
        <is>
          <t>Bergvik skog väst AB</t>
        </is>
      </c>
      <c r="I282" t="n">
        <v>6.2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44520-2023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45189</v>
      </c>
      <c r="E283" s="1" t="n">
        <v>46311</v>
      </c>
      <c r="F283" t="inlineStr">
        <is>
          <t>DALARNAS LÄN</t>
        </is>
      </c>
      <c r="G283" t="inlineStr">
        <is>
          <t>LUDVIKA</t>
        </is>
      </c>
      <c r="I283" t="n">
        <v>0.7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45045-2023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45191</v>
      </c>
      <c r="E284" s="1" t="n">
        <v>46311</v>
      </c>
      <c r="F284" t="inlineStr">
        <is>
          <t>DALARNAS LÄN</t>
        </is>
      </c>
      <c r="G284" t="inlineStr">
        <is>
          <t>LUDVIKA</t>
        </is>
      </c>
      <c r="H284" t="inlineStr">
        <is>
          <t>Sveaskog</t>
        </is>
      </c>
      <c r="I284" t="n">
        <v>3.2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45559-2024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45579</v>
      </c>
      <c r="E285" s="1" t="n">
        <v>46311</v>
      </c>
      <c r="F285" t="inlineStr">
        <is>
          <t>DALARNAS LÄN</t>
        </is>
      </c>
      <c r="G285" t="inlineStr">
        <is>
          <t>LUDVIKA</t>
        </is>
      </c>
      <c r="I285" t="n">
        <v>0.8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41866-2025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45903</v>
      </c>
      <c r="E286" s="1" t="n">
        <v>46311</v>
      </c>
      <c r="F286" t="inlineStr">
        <is>
          <t>DALARNAS LÄN</t>
        </is>
      </c>
      <c r="G286" t="inlineStr">
        <is>
          <t>LUDVIKA</t>
        </is>
      </c>
      <c r="H286" t="inlineStr">
        <is>
          <t>Bergvik skog väst AB</t>
        </is>
      </c>
      <c r="I286" t="n">
        <v>2.9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55510-2024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45622</v>
      </c>
      <c r="E287" s="1" t="n">
        <v>46311</v>
      </c>
      <c r="F287" t="inlineStr">
        <is>
          <t>DALARNAS LÄN</t>
        </is>
      </c>
      <c r="G287" t="inlineStr">
        <is>
          <t>LUDVIKA</t>
        </is>
      </c>
      <c r="H287" t="inlineStr">
        <is>
          <t>Naturvårdsverket</t>
        </is>
      </c>
      <c r="I287" t="n">
        <v>3.8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41916-2025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45903</v>
      </c>
      <c r="E288" s="1" t="n">
        <v>46311</v>
      </c>
      <c r="F288" t="inlineStr">
        <is>
          <t>DALARNAS LÄN</t>
        </is>
      </c>
      <c r="G288" t="inlineStr">
        <is>
          <t>LUDVIKA</t>
        </is>
      </c>
      <c r="H288" t="inlineStr">
        <is>
          <t>Bergvik skog väst AB</t>
        </is>
      </c>
      <c r="I288" t="n">
        <v>5.6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49045-2024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45594</v>
      </c>
      <c r="E289" s="1" t="n">
        <v>46311</v>
      </c>
      <c r="F289" t="inlineStr">
        <is>
          <t>DALARNAS LÄN</t>
        </is>
      </c>
      <c r="G289" t="inlineStr">
        <is>
          <t>LUDVIKA</t>
        </is>
      </c>
      <c r="H289" t="inlineStr">
        <is>
          <t>Naturvårdsverket</t>
        </is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46620-2023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45198</v>
      </c>
      <c r="E290" s="1" t="n">
        <v>46311</v>
      </c>
      <c r="F290" t="inlineStr">
        <is>
          <t>DALARNAS LÄN</t>
        </is>
      </c>
      <c r="G290" t="inlineStr">
        <is>
          <t>LUDVIKA</t>
        </is>
      </c>
      <c r="H290" t="inlineStr">
        <is>
          <t>Bergvik skog väst AB</t>
        </is>
      </c>
      <c r="I290" t="n">
        <v>1.1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42005-2025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45903</v>
      </c>
      <c r="E291" s="1" t="n">
        <v>46311</v>
      </c>
      <c r="F291" t="inlineStr">
        <is>
          <t>DALARNAS LÄN</t>
        </is>
      </c>
      <c r="G291" t="inlineStr">
        <is>
          <t>LUDVIKA</t>
        </is>
      </c>
      <c r="H291" t="inlineStr">
        <is>
          <t>Bergvik skog väst AB</t>
        </is>
      </c>
      <c r="I291" t="n">
        <v>1.9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34868-2025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45849</v>
      </c>
      <c r="E292" s="1" t="n">
        <v>46311</v>
      </c>
      <c r="F292" t="inlineStr">
        <is>
          <t>DALARNAS LÄN</t>
        </is>
      </c>
      <c r="G292" t="inlineStr">
        <is>
          <t>LUDVIKA</t>
        </is>
      </c>
      <c r="H292" t="inlineStr">
        <is>
          <t>Bergvik skog väst AB</t>
        </is>
      </c>
      <c r="I292" t="n">
        <v>1.9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53554-2025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45960</v>
      </c>
      <c r="E293" s="1" t="n">
        <v>46311</v>
      </c>
      <c r="F293" t="inlineStr">
        <is>
          <t>DALARNAS LÄN</t>
        </is>
      </c>
      <c r="G293" t="inlineStr">
        <is>
          <t>LUDVIKA</t>
        </is>
      </c>
      <c r="H293" t="inlineStr">
        <is>
          <t>Bergvik skog väst AB</t>
        </is>
      </c>
      <c r="I293" t="n">
        <v>1.1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14046-2025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45740</v>
      </c>
      <c r="E294" s="1" t="n">
        <v>46311</v>
      </c>
      <c r="F294" t="inlineStr">
        <is>
          <t>DALARNAS LÄN</t>
        </is>
      </c>
      <c r="G294" t="inlineStr">
        <is>
          <t>LUDVIKA</t>
        </is>
      </c>
      <c r="I294" t="n">
        <v>0.7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7714-2026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46062</v>
      </c>
      <c r="E295" s="1" t="n">
        <v>46311</v>
      </c>
      <c r="F295" t="inlineStr">
        <is>
          <t>DALARNAS LÄN</t>
        </is>
      </c>
      <c r="G295" t="inlineStr">
        <is>
          <t>LUDVIKA</t>
        </is>
      </c>
      <c r="H295" t="inlineStr">
        <is>
          <t>Bergvik skog väst AB</t>
        </is>
      </c>
      <c r="I295" t="n">
        <v>2.2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43839-2023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45187</v>
      </c>
      <c r="E296" s="1" t="n">
        <v>46311</v>
      </c>
      <c r="F296" t="inlineStr">
        <is>
          <t>DALARNAS LÄN</t>
        </is>
      </c>
      <c r="G296" t="inlineStr">
        <is>
          <t>LUDVIKA</t>
        </is>
      </c>
      <c r="H296" t="inlineStr">
        <is>
          <t>Bergvik skog väst AB</t>
        </is>
      </c>
      <c r="I296" t="n">
        <v>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32301-2024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45512</v>
      </c>
      <c r="E297" s="1" t="n">
        <v>46311</v>
      </c>
      <c r="F297" t="inlineStr">
        <is>
          <t>DALARNAS LÄN</t>
        </is>
      </c>
      <c r="G297" t="inlineStr">
        <is>
          <t>LUDVIKA</t>
        </is>
      </c>
      <c r="H297" t="inlineStr">
        <is>
          <t>Bergvik skog väst AB</t>
        </is>
      </c>
      <c r="I297" t="n">
        <v>2.8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29578-2025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45825</v>
      </c>
      <c r="E298" s="1" t="n">
        <v>46311</v>
      </c>
      <c r="F298" t="inlineStr">
        <is>
          <t>DALARNAS LÄN</t>
        </is>
      </c>
      <c r="G298" t="inlineStr">
        <is>
          <t>LUDVIKA</t>
        </is>
      </c>
      <c r="I298" t="n">
        <v>3.8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34875-2025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45849</v>
      </c>
      <c r="E299" s="1" t="n">
        <v>46311</v>
      </c>
      <c r="F299" t="inlineStr">
        <is>
          <t>DALARNAS LÄN</t>
        </is>
      </c>
      <c r="G299" t="inlineStr">
        <is>
          <t>LUDVIKA</t>
        </is>
      </c>
      <c r="H299" t="inlineStr">
        <is>
          <t>Bergvik skog väst AB</t>
        </is>
      </c>
      <c r="I299" t="n">
        <v>5.8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55961-2024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45623</v>
      </c>
      <c r="E300" s="1" t="n">
        <v>46311</v>
      </c>
      <c r="F300" t="inlineStr">
        <is>
          <t>DALARNAS LÄN</t>
        </is>
      </c>
      <c r="G300" t="inlineStr">
        <is>
          <t>LUDVIKA</t>
        </is>
      </c>
      <c r="H300" t="inlineStr">
        <is>
          <t>Bergvik skog väst AB</t>
        </is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55462-2024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45622</v>
      </c>
      <c r="E301" s="1" t="n">
        <v>46311</v>
      </c>
      <c r="F301" t="inlineStr">
        <is>
          <t>DALARNAS LÄN</t>
        </is>
      </c>
      <c r="G301" t="inlineStr">
        <is>
          <t>LUDVIKA</t>
        </is>
      </c>
      <c r="H301" t="inlineStr">
        <is>
          <t>Naturvårdsverket</t>
        </is>
      </c>
      <c r="I301" t="n">
        <v>2.6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55474-2024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45622</v>
      </c>
      <c r="E302" s="1" t="n">
        <v>46311</v>
      </c>
      <c r="F302" t="inlineStr">
        <is>
          <t>DALARNAS LÄN</t>
        </is>
      </c>
      <c r="G302" t="inlineStr">
        <is>
          <t>LUDVIKA</t>
        </is>
      </c>
      <c r="H302" t="inlineStr">
        <is>
          <t>Naturvårdsverket</t>
        </is>
      </c>
      <c r="I302" t="n">
        <v>2.4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28134-2023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45099</v>
      </c>
      <c r="E303" s="1" t="n">
        <v>46311</v>
      </c>
      <c r="F303" t="inlineStr">
        <is>
          <t>DALARNAS LÄN</t>
        </is>
      </c>
      <c r="G303" t="inlineStr">
        <is>
          <t>LUDVIKA</t>
        </is>
      </c>
      <c r="H303" t="inlineStr">
        <is>
          <t>Bergvik skog väst AB</t>
        </is>
      </c>
      <c r="I303" t="n">
        <v>0.7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34070-2025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45845</v>
      </c>
      <c r="E304" s="1" t="n">
        <v>46311</v>
      </c>
      <c r="F304" t="inlineStr">
        <is>
          <t>DALARNAS LÄN</t>
        </is>
      </c>
      <c r="G304" t="inlineStr">
        <is>
          <t>LUDVIKA</t>
        </is>
      </c>
      <c r="H304" t="inlineStr">
        <is>
          <t>Bergvik skog väst AB</t>
        </is>
      </c>
      <c r="I304" t="n">
        <v>0.6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7173-2023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44970</v>
      </c>
      <c r="E305" s="1" t="n">
        <v>46311</v>
      </c>
      <c r="F305" t="inlineStr">
        <is>
          <t>DALARNAS LÄN</t>
        </is>
      </c>
      <c r="G305" t="inlineStr">
        <is>
          <t>LUDVIKA</t>
        </is>
      </c>
      <c r="H305" t="inlineStr">
        <is>
          <t>Övriga Aktiebolag</t>
        </is>
      </c>
      <c r="I305" t="n">
        <v>1.2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8728-2026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46066</v>
      </c>
      <c r="E306" s="1" t="n">
        <v>46311</v>
      </c>
      <c r="F306" t="inlineStr">
        <is>
          <t>DALARNAS LÄN</t>
        </is>
      </c>
      <c r="G306" t="inlineStr">
        <is>
          <t>LUDVIKA</t>
        </is>
      </c>
      <c r="H306" t="inlineStr">
        <is>
          <t>Bergvik skog väst AB</t>
        </is>
      </c>
      <c r="I306" t="n">
        <v>2.2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4550-2025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45687</v>
      </c>
      <c r="E307" s="1" t="n">
        <v>46311</v>
      </c>
      <c r="F307" t="inlineStr">
        <is>
          <t>DALARNAS LÄN</t>
        </is>
      </c>
      <c r="G307" t="inlineStr">
        <is>
          <t>LUDVIKA</t>
        </is>
      </c>
      <c r="I307" t="n">
        <v>0.8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39849-2023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45168</v>
      </c>
      <c r="E308" s="1" t="n">
        <v>46311</v>
      </c>
      <c r="F308" t="inlineStr">
        <is>
          <t>DALARNAS LÄN</t>
        </is>
      </c>
      <c r="G308" t="inlineStr">
        <is>
          <t>LUDVIKA</t>
        </is>
      </c>
      <c r="H308" t="inlineStr">
        <is>
          <t>Bergvik skog väst AB</t>
        </is>
      </c>
      <c r="I308" t="n">
        <v>0.7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30399-2025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45827</v>
      </c>
      <c r="E309" s="1" t="n">
        <v>46311</v>
      </c>
      <c r="F309" t="inlineStr">
        <is>
          <t>DALARNAS LÄN</t>
        </is>
      </c>
      <c r="G309" t="inlineStr">
        <is>
          <t>LUDVIKA</t>
        </is>
      </c>
      <c r="H309" t="inlineStr">
        <is>
          <t>Bergvik skog väst AB</t>
        </is>
      </c>
      <c r="I309" t="n">
        <v>1.1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55151-2025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45968</v>
      </c>
      <c r="E310" s="1" t="n">
        <v>46311</v>
      </c>
      <c r="F310" t="inlineStr">
        <is>
          <t>DALARNAS LÄN</t>
        </is>
      </c>
      <c r="G310" t="inlineStr">
        <is>
          <t>LUDVIKA</t>
        </is>
      </c>
      <c r="H310" t="inlineStr">
        <is>
          <t>Bergvik skog väst AB</t>
        </is>
      </c>
      <c r="I310" t="n">
        <v>10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22000-2022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44711</v>
      </c>
      <c r="E311" s="1" t="n">
        <v>46311</v>
      </c>
      <c r="F311" t="inlineStr">
        <is>
          <t>DALARNAS LÄN</t>
        </is>
      </c>
      <c r="G311" t="inlineStr">
        <is>
          <t>LUDVIKA</t>
        </is>
      </c>
      <c r="H311" t="inlineStr">
        <is>
          <t>Bergvik skog väst AB</t>
        </is>
      </c>
      <c r="I311" t="n">
        <v>2.1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48589-2023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45208</v>
      </c>
      <c r="E312" s="1" t="n">
        <v>46311</v>
      </c>
      <c r="F312" t="inlineStr">
        <is>
          <t>DALARNAS LÄN</t>
        </is>
      </c>
      <c r="G312" t="inlineStr">
        <is>
          <t>LUDVIKA</t>
        </is>
      </c>
      <c r="H312" t="inlineStr">
        <is>
          <t>Naturvårdsverket</t>
        </is>
      </c>
      <c r="I312" t="n">
        <v>0.7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5673-2023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44960</v>
      </c>
      <c r="E313" s="1" t="n">
        <v>46311</v>
      </c>
      <c r="F313" t="inlineStr">
        <is>
          <t>DALARNAS LÄN</t>
        </is>
      </c>
      <c r="G313" t="inlineStr">
        <is>
          <t>LUDVIKA</t>
        </is>
      </c>
      <c r="H313" t="inlineStr">
        <is>
          <t>Naturvårdsverket</t>
        </is>
      </c>
      <c r="I313" t="n">
        <v>0.7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33673-2022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44789</v>
      </c>
      <c r="E314" s="1" t="n">
        <v>46311</v>
      </c>
      <c r="F314" t="inlineStr">
        <is>
          <t>DALARNAS LÄN</t>
        </is>
      </c>
      <c r="G314" t="inlineStr">
        <is>
          <t>LUDVIKA</t>
        </is>
      </c>
      <c r="I314" t="n">
        <v>1.5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52466-2023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45225</v>
      </c>
      <c r="E315" s="1" t="n">
        <v>46311</v>
      </c>
      <c r="F315" t="inlineStr">
        <is>
          <t>DALARNAS LÄN</t>
        </is>
      </c>
      <c r="G315" t="inlineStr">
        <is>
          <t>LUDVIKA</t>
        </is>
      </c>
      <c r="H315" t="inlineStr">
        <is>
          <t>Bergvik skog väst AB</t>
        </is>
      </c>
      <c r="I315" t="n">
        <v>3.6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56203-2024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45624</v>
      </c>
      <c r="E316" s="1" t="n">
        <v>46311</v>
      </c>
      <c r="F316" t="inlineStr">
        <is>
          <t>DALARNAS LÄN</t>
        </is>
      </c>
      <c r="G316" t="inlineStr">
        <is>
          <t>LUDVIKA</t>
        </is>
      </c>
      <c r="I316" t="n">
        <v>2.3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39437-2023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45166</v>
      </c>
      <c r="E317" s="1" t="n">
        <v>46311</v>
      </c>
      <c r="F317" t="inlineStr">
        <is>
          <t>DALARNAS LÄN</t>
        </is>
      </c>
      <c r="G317" t="inlineStr">
        <is>
          <t>LUDVIKA</t>
        </is>
      </c>
      <c r="H317" t="inlineStr">
        <is>
          <t>Bergvik skog väst AB</t>
        </is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51043-2024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45603</v>
      </c>
      <c r="E318" s="1" t="n">
        <v>46311</v>
      </c>
      <c r="F318" t="inlineStr">
        <is>
          <t>DALARNAS LÄN</t>
        </is>
      </c>
      <c r="G318" t="inlineStr">
        <is>
          <t>LUDVIKA</t>
        </is>
      </c>
      <c r="H318" t="inlineStr">
        <is>
          <t>Bergvik skog väst AB</t>
        </is>
      </c>
      <c r="I318" t="n">
        <v>17.9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57217-2024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45629</v>
      </c>
      <c r="E319" s="1" t="n">
        <v>46311</v>
      </c>
      <c r="F319" t="inlineStr">
        <is>
          <t>DALARNAS LÄN</t>
        </is>
      </c>
      <c r="G319" t="inlineStr">
        <is>
          <t>LUDVIKA</t>
        </is>
      </c>
      <c r="H319" t="inlineStr">
        <is>
          <t>Bergvik skog väst AB</t>
        </is>
      </c>
      <c r="I319" t="n">
        <v>17.3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52912-2025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45954</v>
      </c>
      <c r="E320" s="1" t="n">
        <v>46311</v>
      </c>
      <c r="F320" t="inlineStr">
        <is>
          <t>DALARNAS LÄN</t>
        </is>
      </c>
      <c r="G320" t="inlineStr">
        <is>
          <t>LUDVIKA</t>
        </is>
      </c>
      <c r="I320" t="n">
        <v>9.800000000000001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59186-2025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45988</v>
      </c>
      <c r="E321" s="1" t="n">
        <v>46311</v>
      </c>
      <c r="F321" t="inlineStr">
        <is>
          <t>DALARNAS LÄN</t>
        </is>
      </c>
      <c r="G321" t="inlineStr">
        <is>
          <t>LUDVIKA</t>
        </is>
      </c>
      <c r="H321" t="inlineStr">
        <is>
          <t>Bergvik skog väst AB</t>
        </is>
      </c>
      <c r="I321" t="n">
        <v>20.5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36338-2025</t>
        </is>
      </c>
      <c r="B322" t="inlineStr">
        <is>
          <t>avverkningsanmälan</t>
        </is>
      </c>
      <c r="C322" t="inlineStr">
        <is>
          <t>Avverkning för att bevara och utveckla /försöksver</t>
        </is>
      </c>
      <c r="D322" s="1" t="n">
        <v>45868</v>
      </c>
      <c r="E322" s="1" t="n">
        <v>46311</v>
      </c>
      <c r="F322" t="inlineStr">
        <is>
          <t>DALARNAS LÄN</t>
        </is>
      </c>
      <c r="G322" t="inlineStr">
        <is>
          <t>LUDVIKA</t>
        </is>
      </c>
      <c r="I322" t="n">
        <v>0.2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55323-2025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45971</v>
      </c>
      <c r="E323" s="1" t="n">
        <v>46311</v>
      </c>
      <c r="F323" t="inlineStr">
        <is>
          <t>DALARNAS LÄN</t>
        </is>
      </c>
      <c r="G323" t="inlineStr">
        <is>
          <t>LUDVIKA</t>
        </is>
      </c>
      <c r="H323" t="inlineStr">
        <is>
          <t>Bergvik skog väst AB</t>
        </is>
      </c>
      <c r="I323" t="n">
        <v>25.7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56445-2024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45625</v>
      </c>
      <c r="E324" s="1" t="n">
        <v>46311</v>
      </c>
      <c r="F324" t="inlineStr">
        <is>
          <t>DALARNAS LÄN</t>
        </is>
      </c>
      <c r="G324" t="inlineStr">
        <is>
          <t>LUDVIKA</t>
        </is>
      </c>
      <c r="I324" t="n">
        <v>2.1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32224-2025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45835</v>
      </c>
      <c r="E325" s="1" t="n">
        <v>46311</v>
      </c>
      <c r="F325" t="inlineStr">
        <is>
          <t>DALARNAS LÄN</t>
        </is>
      </c>
      <c r="G325" t="inlineStr">
        <is>
          <t>LUDVIKA</t>
        </is>
      </c>
      <c r="H325" t="inlineStr">
        <is>
          <t>Bergvik skog väst AB</t>
        </is>
      </c>
      <c r="I325" t="n">
        <v>1.4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42996-2025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45909</v>
      </c>
      <c r="E326" s="1" t="n">
        <v>46311</v>
      </c>
      <c r="F326" t="inlineStr">
        <is>
          <t>DALARNAS LÄN</t>
        </is>
      </c>
      <c r="G326" t="inlineStr">
        <is>
          <t>LUDVIKA</t>
        </is>
      </c>
      <c r="I326" t="n">
        <v>0.5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21741-2022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44708</v>
      </c>
      <c r="E327" s="1" t="n">
        <v>46311</v>
      </c>
      <c r="F327" t="inlineStr">
        <is>
          <t>DALARNAS LÄN</t>
        </is>
      </c>
      <c r="G327" t="inlineStr">
        <is>
          <t>LUDVIKA</t>
        </is>
      </c>
      <c r="H327" t="inlineStr">
        <is>
          <t>Bergvik skog väst AB</t>
        </is>
      </c>
      <c r="I327" t="n">
        <v>2.7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18724-2022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44687</v>
      </c>
      <c r="E328" s="1" t="n">
        <v>46311</v>
      </c>
      <c r="F328" t="inlineStr">
        <is>
          <t>DALARNAS LÄN</t>
        </is>
      </c>
      <c r="G328" t="inlineStr">
        <is>
          <t>LUDVIKA</t>
        </is>
      </c>
      <c r="I328" t="n">
        <v>4.3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918-2024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45301</v>
      </c>
      <c r="E329" s="1" t="n">
        <v>46311</v>
      </c>
      <c r="F329" t="inlineStr">
        <is>
          <t>DALARNAS LÄN</t>
        </is>
      </c>
      <c r="G329" t="inlineStr">
        <is>
          <t>LUDVIKA</t>
        </is>
      </c>
      <c r="I329" t="n">
        <v>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49114-2023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45210</v>
      </c>
      <c r="E330" s="1" t="n">
        <v>46311</v>
      </c>
      <c r="F330" t="inlineStr">
        <is>
          <t>DALARNAS LÄN</t>
        </is>
      </c>
      <c r="G330" t="inlineStr">
        <is>
          <t>LUDVIKA</t>
        </is>
      </c>
      <c r="H330" t="inlineStr">
        <is>
          <t>Naturvårdsverket</t>
        </is>
      </c>
      <c r="I330" t="n">
        <v>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45060-2022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44841</v>
      </c>
      <c r="E331" s="1" t="n">
        <v>46311</v>
      </c>
      <c r="F331" t="inlineStr">
        <is>
          <t>DALARNAS LÄN</t>
        </is>
      </c>
      <c r="G331" t="inlineStr">
        <is>
          <t>LUDVIKA</t>
        </is>
      </c>
      <c r="I331" t="n">
        <v>1.1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33345-2024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45519</v>
      </c>
      <c r="E332" s="1" t="n">
        <v>46311</v>
      </c>
      <c r="F332" t="inlineStr">
        <is>
          <t>DALARNAS LÄN</t>
        </is>
      </c>
      <c r="G332" t="inlineStr">
        <is>
          <t>LUDVIKA</t>
        </is>
      </c>
      <c r="I332" t="n">
        <v>0.5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48774-2024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45593</v>
      </c>
      <c r="E333" s="1" t="n">
        <v>46311</v>
      </c>
      <c r="F333" t="inlineStr">
        <is>
          <t>DALARNAS LÄN</t>
        </is>
      </c>
      <c r="G333" t="inlineStr">
        <is>
          <t>LUDVIKA</t>
        </is>
      </c>
      <c r="H333" t="inlineStr">
        <is>
          <t>Bergvik skog väst AB</t>
        </is>
      </c>
      <c r="I333" t="n">
        <v>5.7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16768-2025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45754</v>
      </c>
      <c r="E334" s="1" t="n">
        <v>46311</v>
      </c>
      <c r="F334" t="inlineStr">
        <is>
          <t>DALARNAS LÄN</t>
        </is>
      </c>
      <c r="G334" t="inlineStr">
        <is>
          <t>LUDVIKA</t>
        </is>
      </c>
      <c r="H334" t="inlineStr">
        <is>
          <t>Naturvårdsverket</t>
        </is>
      </c>
      <c r="I334" t="n">
        <v>4.8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35353-2024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45531</v>
      </c>
      <c r="E335" s="1" t="n">
        <v>46311</v>
      </c>
      <c r="F335" t="inlineStr">
        <is>
          <t>DALARNAS LÄN</t>
        </is>
      </c>
      <c r="G335" t="inlineStr">
        <is>
          <t>LUDVIKA</t>
        </is>
      </c>
      <c r="H335" t="inlineStr">
        <is>
          <t>Bergvik skog väst AB</t>
        </is>
      </c>
      <c r="I335" t="n">
        <v>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61054-2024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45645</v>
      </c>
      <c r="E336" s="1" t="n">
        <v>46311</v>
      </c>
      <c r="F336" t="inlineStr">
        <is>
          <t>DALARNAS LÄN</t>
        </is>
      </c>
      <c r="G336" t="inlineStr">
        <is>
          <t>LUDVIKA</t>
        </is>
      </c>
      <c r="H336" t="inlineStr">
        <is>
          <t>Bergvik skog väst AB</t>
        </is>
      </c>
      <c r="I336" t="n">
        <v>0.9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21145-2023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45062</v>
      </c>
      <c r="E337" s="1" t="n">
        <v>46311</v>
      </c>
      <c r="F337" t="inlineStr">
        <is>
          <t>DALARNAS LÄN</t>
        </is>
      </c>
      <c r="G337" t="inlineStr">
        <is>
          <t>LUDVIKA</t>
        </is>
      </c>
      <c r="H337" t="inlineStr">
        <is>
          <t>Bergvik skog väst AB</t>
        </is>
      </c>
      <c r="I337" t="n">
        <v>1.1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42106-2024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45562</v>
      </c>
      <c r="E338" s="1" t="n">
        <v>46311</v>
      </c>
      <c r="F338" t="inlineStr">
        <is>
          <t>DALARNAS LÄN</t>
        </is>
      </c>
      <c r="G338" t="inlineStr">
        <is>
          <t>LUDVIKA</t>
        </is>
      </c>
      <c r="H338" t="inlineStr">
        <is>
          <t>Bergvik skog väst AB</t>
        </is>
      </c>
      <c r="I338" t="n">
        <v>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35708-2025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45860</v>
      </c>
      <c r="E339" s="1" t="n">
        <v>46311</v>
      </c>
      <c r="F339" t="inlineStr">
        <is>
          <t>DALARNAS LÄN</t>
        </is>
      </c>
      <c r="G339" t="inlineStr">
        <is>
          <t>LUDVIKA</t>
        </is>
      </c>
      <c r="H339" t="inlineStr">
        <is>
          <t>Bergvik skog väst AB</t>
        </is>
      </c>
      <c r="I339" t="n">
        <v>2.7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56818-2023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45244</v>
      </c>
      <c r="E340" s="1" t="n">
        <v>46311</v>
      </c>
      <c r="F340" t="inlineStr">
        <is>
          <t>DALARNAS LÄN</t>
        </is>
      </c>
      <c r="G340" t="inlineStr">
        <is>
          <t>LUDVIKA</t>
        </is>
      </c>
      <c r="I340" t="n">
        <v>1.4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41828-2025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45902</v>
      </c>
      <c r="E341" s="1" t="n">
        <v>46311</v>
      </c>
      <c r="F341" t="inlineStr">
        <is>
          <t>DALARNAS LÄN</t>
        </is>
      </c>
      <c r="G341" t="inlineStr">
        <is>
          <t>LUDVIKA</t>
        </is>
      </c>
      <c r="I341" t="n">
        <v>1.7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43145-2025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45910</v>
      </c>
      <c r="E342" s="1" t="n">
        <v>46311</v>
      </c>
      <c r="F342" t="inlineStr">
        <is>
          <t>DALARNAS LÄN</t>
        </is>
      </c>
      <c r="G342" t="inlineStr">
        <is>
          <t>LUDVIKA</t>
        </is>
      </c>
      <c r="H342" t="inlineStr">
        <is>
          <t>Bergvik skog väst AB</t>
        </is>
      </c>
      <c r="I342" t="n">
        <v>2.2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44537-2024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45574</v>
      </c>
      <c r="E343" s="1" t="n">
        <v>46311</v>
      </c>
      <c r="F343" t="inlineStr">
        <is>
          <t>DALARNAS LÄN</t>
        </is>
      </c>
      <c r="G343" t="inlineStr">
        <is>
          <t>LUDVIKA</t>
        </is>
      </c>
      <c r="H343" t="inlineStr">
        <is>
          <t>Bergvik skog väst AB</t>
        </is>
      </c>
      <c r="I343" t="n">
        <v>1.1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37392-2023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45156</v>
      </c>
      <c r="E344" s="1" t="n">
        <v>46311</v>
      </c>
      <c r="F344" t="inlineStr">
        <is>
          <t>DALARNAS LÄN</t>
        </is>
      </c>
      <c r="G344" t="inlineStr">
        <is>
          <t>LUDVIKA</t>
        </is>
      </c>
      <c r="I344" t="n">
        <v>0.5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49060-2023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45210</v>
      </c>
      <c r="E345" s="1" t="n">
        <v>46311</v>
      </c>
      <c r="F345" t="inlineStr">
        <is>
          <t>DALARNAS LÄN</t>
        </is>
      </c>
      <c r="G345" t="inlineStr">
        <is>
          <t>LUDVIKA</t>
        </is>
      </c>
      <c r="H345" t="inlineStr">
        <is>
          <t>Naturvårdsverket</t>
        </is>
      </c>
      <c r="I345" t="n">
        <v>0.8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2890-2026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46037</v>
      </c>
      <c r="E346" s="1" t="n">
        <v>46311</v>
      </c>
      <c r="F346" t="inlineStr">
        <is>
          <t>DALARNAS LÄN</t>
        </is>
      </c>
      <c r="G346" t="inlineStr">
        <is>
          <t>LUDVIKA</t>
        </is>
      </c>
      <c r="I346" t="n">
        <v>3.5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47671-2024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45588</v>
      </c>
      <c r="E347" s="1" t="n">
        <v>46311</v>
      </c>
      <c r="F347" t="inlineStr">
        <is>
          <t>DALARNAS LÄN</t>
        </is>
      </c>
      <c r="G347" t="inlineStr">
        <is>
          <t>LUDVIKA</t>
        </is>
      </c>
      <c r="I347" t="n">
        <v>2.9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51208-2023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45219</v>
      </c>
      <c r="E348" s="1" t="n">
        <v>46311</v>
      </c>
      <c r="F348" t="inlineStr">
        <is>
          <t>DALARNAS LÄN</t>
        </is>
      </c>
      <c r="G348" t="inlineStr">
        <is>
          <t>LUDVIKA</t>
        </is>
      </c>
      <c r="H348" t="inlineStr">
        <is>
          <t>Bergvik skog väst AB</t>
        </is>
      </c>
      <c r="I348" t="n">
        <v>1.1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59206-2023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45253</v>
      </c>
      <c r="E349" s="1" t="n">
        <v>46311</v>
      </c>
      <c r="F349" t="inlineStr">
        <is>
          <t>DALARNAS LÄN</t>
        </is>
      </c>
      <c r="G349" t="inlineStr">
        <is>
          <t>LUDVIKA</t>
        </is>
      </c>
      <c r="H349" t="inlineStr">
        <is>
          <t>Bergvik skog väst AB</t>
        </is>
      </c>
      <c r="I349" t="n">
        <v>2.2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59351-2023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45253</v>
      </c>
      <c r="E350" s="1" t="n">
        <v>46311</v>
      </c>
      <c r="F350" t="inlineStr">
        <is>
          <t>DALARNAS LÄN</t>
        </is>
      </c>
      <c r="G350" t="inlineStr">
        <is>
          <t>LUDVIKA</t>
        </is>
      </c>
      <c r="H350" t="inlineStr">
        <is>
          <t>Bergvik skog väst AB</t>
        </is>
      </c>
      <c r="I350" t="n">
        <v>0.9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43345-2025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45910</v>
      </c>
      <c r="E351" s="1" t="n">
        <v>46311</v>
      </c>
      <c r="F351" t="inlineStr">
        <is>
          <t>DALARNAS LÄN</t>
        </is>
      </c>
      <c r="G351" t="inlineStr">
        <is>
          <t>LUDVIKA</t>
        </is>
      </c>
      <c r="I351" t="n">
        <v>4.6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20789-2026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46141</v>
      </c>
      <c r="E352" s="1" t="n">
        <v>46311</v>
      </c>
      <c r="F352" t="inlineStr">
        <is>
          <t>DALARNAS LÄN</t>
        </is>
      </c>
      <c r="G352" t="inlineStr">
        <is>
          <t>LUDVIKA</t>
        </is>
      </c>
      <c r="H352" t="inlineStr">
        <is>
          <t>Bergvik skog väst AB</t>
        </is>
      </c>
      <c r="I352" t="n">
        <v>1.8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59347-2024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45638</v>
      </c>
      <c r="E353" s="1" t="n">
        <v>46311</v>
      </c>
      <c r="F353" t="inlineStr">
        <is>
          <t>DALARNAS LÄN</t>
        </is>
      </c>
      <c r="G353" t="inlineStr">
        <is>
          <t>LUDVIKA</t>
        </is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60843-2024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45644</v>
      </c>
      <c r="E354" s="1" t="n">
        <v>46311</v>
      </c>
      <c r="F354" t="inlineStr">
        <is>
          <t>DALARNAS LÄN</t>
        </is>
      </c>
      <c r="G354" t="inlineStr">
        <is>
          <t>LUDVIKA</t>
        </is>
      </c>
      <c r="H354" t="inlineStr">
        <is>
          <t>Bergvik skog väst AB</t>
        </is>
      </c>
      <c r="I354" t="n">
        <v>3.4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20778-2026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46141</v>
      </c>
      <c r="E355" s="1" t="n">
        <v>46311</v>
      </c>
      <c r="F355" t="inlineStr">
        <is>
          <t>DALARNAS LÄN</t>
        </is>
      </c>
      <c r="G355" t="inlineStr">
        <is>
          <t>LUDVIKA</t>
        </is>
      </c>
      <c r="H355" t="inlineStr">
        <is>
          <t>Bergvik skog väst AB</t>
        </is>
      </c>
      <c r="I355" t="n">
        <v>0.4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43479-2025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45911</v>
      </c>
      <c r="E356" s="1" t="n">
        <v>46311</v>
      </c>
      <c r="F356" t="inlineStr">
        <is>
          <t>DALARNAS LÄN</t>
        </is>
      </c>
      <c r="G356" t="inlineStr">
        <is>
          <t>LUDVIKA</t>
        </is>
      </c>
      <c r="H356" t="inlineStr">
        <is>
          <t>Bergvik skog väst AB</t>
        </is>
      </c>
      <c r="I356" t="n">
        <v>3.3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43240-2024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45568</v>
      </c>
      <c r="E357" s="1" t="n">
        <v>46311</v>
      </c>
      <c r="F357" t="inlineStr">
        <is>
          <t>DALARNAS LÄN</t>
        </is>
      </c>
      <c r="G357" t="inlineStr">
        <is>
          <t>LUDVIKA</t>
        </is>
      </c>
      <c r="I357" t="n">
        <v>0.9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46185-2024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45581</v>
      </c>
      <c r="E358" s="1" t="n">
        <v>46311</v>
      </c>
      <c r="F358" t="inlineStr">
        <is>
          <t>DALARNAS LÄN</t>
        </is>
      </c>
      <c r="G358" t="inlineStr">
        <is>
          <t>LUDVIKA</t>
        </is>
      </c>
      <c r="H358" t="inlineStr">
        <is>
          <t>Bergvik skog väst AB</t>
        </is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20666-2026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46141</v>
      </c>
      <c r="E359" s="1" t="n">
        <v>46311</v>
      </c>
      <c r="F359" t="inlineStr">
        <is>
          <t>DALARNAS LÄN</t>
        </is>
      </c>
      <c r="G359" t="inlineStr">
        <is>
          <t>LUDVIKA</t>
        </is>
      </c>
      <c r="H359" t="inlineStr">
        <is>
          <t>Bergvik skog väst AB</t>
        </is>
      </c>
      <c r="I359" t="n">
        <v>2.6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20888-2026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46142</v>
      </c>
      <c r="E360" s="1" t="n">
        <v>46311</v>
      </c>
      <c r="F360" t="inlineStr">
        <is>
          <t>DALARNAS LÄN</t>
        </is>
      </c>
      <c r="G360" t="inlineStr">
        <is>
          <t>LUDVIKA</t>
        </is>
      </c>
      <c r="H360" t="inlineStr">
        <is>
          <t>Bergvik skog väst AB</t>
        </is>
      </c>
      <c r="I360" t="n">
        <v>2.1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43473-2025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45911</v>
      </c>
      <c r="E361" s="1" t="n">
        <v>46311</v>
      </c>
      <c r="F361" t="inlineStr">
        <is>
          <t>DALARNAS LÄN</t>
        </is>
      </c>
      <c r="G361" t="inlineStr">
        <is>
          <t>LUDVIKA</t>
        </is>
      </c>
      <c r="H361" t="inlineStr">
        <is>
          <t>Bergvik skog väst AB</t>
        </is>
      </c>
      <c r="I361" t="n">
        <v>1.4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46656-2023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45198</v>
      </c>
      <c r="E362" s="1" t="n">
        <v>46311</v>
      </c>
      <c r="F362" t="inlineStr">
        <is>
          <t>DALARNAS LÄN</t>
        </is>
      </c>
      <c r="G362" t="inlineStr">
        <is>
          <t>LUDVIKA</t>
        </is>
      </c>
      <c r="H362" t="inlineStr">
        <is>
          <t>Bergvik skog väst AB</t>
        </is>
      </c>
      <c r="I362" t="n">
        <v>2.1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20882-2026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46142</v>
      </c>
      <c r="E363" s="1" t="n">
        <v>46311</v>
      </c>
      <c r="F363" t="inlineStr">
        <is>
          <t>DALARNAS LÄN</t>
        </is>
      </c>
      <c r="G363" t="inlineStr">
        <is>
          <t>LUDVIKA</t>
        </is>
      </c>
      <c r="H363" t="inlineStr">
        <is>
          <t>Bergvik skog väst AB</t>
        </is>
      </c>
      <c r="I363" t="n">
        <v>2.5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7683-2026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46062</v>
      </c>
      <c r="E364" s="1" t="n">
        <v>46311</v>
      </c>
      <c r="F364" t="inlineStr">
        <is>
          <t>DALARNAS LÄN</t>
        </is>
      </c>
      <c r="G364" t="inlineStr">
        <is>
          <t>LUDVIKA</t>
        </is>
      </c>
      <c r="H364" t="inlineStr">
        <is>
          <t>Bergvik skog väst AB</t>
        </is>
      </c>
      <c r="I364" t="n">
        <v>1.7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48683-2023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45208</v>
      </c>
      <c r="E365" s="1" t="n">
        <v>46311</v>
      </c>
      <c r="F365" t="inlineStr">
        <is>
          <t>DALARNAS LÄN</t>
        </is>
      </c>
      <c r="G365" t="inlineStr">
        <is>
          <t>LUDVIKA</t>
        </is>
      </c>
      <c r="I365" t="n">
        <v>1.3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43449-2025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45911</v>
      </c>
      <c r="E366" s="1" t="n">
        <v>46311</v>
      </c>
      <c r="F366" t="inlineStr">
        <is>
          <t>DALARNAS LÄN</t>
        </is>
      </c>
      <c r="G366" t="inlineStr">
        <is>
          <t>LUDVIKA</t>
        </is>
      </c>
      <c r="H366" t="inlineStr">
        <is>
          <t>Bergvik skog väst AB</t>
        </is>
      </c>
      <c r="I366" t="n">
        <v>6.2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43348-2025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45910</v>
      </c>
      <c r="E367" s="1" t="n">
        <v>46311</v>
      </c>
      <c r="F367" t="inlineStr">
        <is>
          <t>DALARNAS LÄN</t>
        </is>
      </c>
      <c r="G367" t="inlineStr">
        <is>
          <t>LUDVIKA</t>
        </is>
      </c>
      <c r="I367" t="n">
        <v>4.3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25273-2022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44729</v>
      </c>
      <c r="E368" s="1" t="n">
        <v>46311</v>
      </c>
      <c r="F368" t="inlineStr">
        <is>
          <t>DALARNAS LÄN</t>
        </is>
      </c>
      <c r="G368" t="inlineStr">
        <is>
          <t>LUDVIKA</t>
        </is>
      </c>
      <c r="H368" t="inlineStr">
        <is>
          <t>Bergvik skog väst AB</t>
        </is>
      </c>
      <c r="I368" t="n">
        <v>1.1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21472-2026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46148</v>
      </c>
      <c r="E369" s="1" t="n">
        <v>46311</v>
      </c>
      <c r="F369" t="inlineStr">
        <is>
          <t>DALARNAS LÄN</t>
        </is>
      </c>
      <c r="G369" t="inlineStr">
        <is>
          <t>LUDVIKA</t>
        </is>
      </c>
      <c r="H369" t="inlineStr">
        <is>
          <t>Bergvik skog väst AB</t>
        </is>
      </c>
      <c r="I369" t="n">
        <v>1.7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21798-2026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46150</v>
      </c>
      <c r="E370" s="1" t="n">
        <v>46311</v>
      </c>
      <c r="F370" t="inlineStr">
        <is>
          <t>DALARNAS LÄN</t>
        </is>
      </c>
      <c r="G370" t="inlineStr">
        <is>
          <t>LUDVIKA</t>
        </is>
      </c>
      <c r="H370" t="inlineStr">
        <is>
          <t>Bergvik skog väst AB</t>
        </is>
      </c>
      <c r="I370" t="n">
        <v>4.1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44261-2025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45915</v>
      </c>
      <c r="E371" s="1" t="n">
        <v>46311</v>
      </c>
      <c r="F371" t="inlineStr">
        <is>
          <t>DALARNAS LÄN</t>
        </is>
      </c>
      <c r="G371" t="inlineStr">
        <is>
          <t>LUDVIKA</t>
        </is>
      </c>
      <c r="I371" t="n">
        <v>1.8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21872-2026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46150</v>
      </c>
      <c r="E372" s="1" t="n">
        <v>46311</v>
      </c>
      <c r="F372" t="inlineStr">
        <is>
          <t>DALARNAS LÄN</t>
        </is>
      </c>
      <c r="G372" t="inlineStr">
        <is>
          <t>LUDVIKA</t>
        </is>
      </c>
      <c r="H372" t="inlineStr">
        <is>
          <t>Bergvik skog väst AB</t>
        </is>
      </c>
      <c r="I372" t="n">
        <v>1.2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21462-2026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46148</v>
      </c>
      <c r="E373" s="1" t="n">
        <v>46311</v>
      </c>
      <c r="F373" t="inlineStr">
        <is>
          <t>DALARNAS LÄN</t>
        </is>
      </c>
      <c r="G373" t="inlineStr">
        <is>
          <t>LUDVIKA</t>
        </is>
      </c>
      <c r="H373" t="inlineStr">
        <is>
          <t>Bergvik skog väst AB</t>
        </is>
      </c>
      <c r="I373" t="n">
        <v>3.2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2838-2022</t>
        </is>
      </c>
      <c r="B374" t="inlineStr">
        <is>
          <t>avverkningsanmälan</t>
        </is>
      </c>
      <c r="C374" t="inlineStr">
        <is>
          <t>Avverkning för annat ändamål</t>
        </is>
      </c>
      <c r="D374" s="1" t="n">
        <v>44581</v>
      </c>
      <c r="E374" s="1" t="n">
        <v>46311</v>
      </c>
      <c r="F374" t="inlineStr">
        <is>
          <t>DALARNAS LÄN</t>
        </is>
      </c>
      <c r="G374" t="inlineStr">
        <is>
          <t>LUDVIKA</t>
        </is>
      </c>
      <c r="H374" t="inlineStr">
        <is>
          <t>Bergvik skog väst AB</t>
        </is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57557-2023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45246</v>
      </c>
      <c r="E375" s="1" t="n">
        <v>46311</v>
      </c>
      <c r="F375" t="inlineStr">
        <is>
          <t>DALARNAS LÄN</t>
        </is>
      </c>
      <c r="G375" t="inlineStr">
        <is>
          <t>LUDVIKA</t>
        </is>
      </c>
      <c r="I375" t="n">
        <v>12.7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16807-2025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45754</v>
      </c>
      <c r="E376" s="1" t="n">
        <v>46311</v>
      </c>
      <c r="F376" t="inlineStr">
        <is>
          <t>DALARNAS LÄN</t>
        </is>
      </c>
      <c r="G376" t="inlineStr">
        <is>
          <t>LUDVIKA</t>
        </is>
      </c>
      <c r="H376" t="inlineStr">
        <is>
          <t>Naturvårdsverket</t>
        </is>
      </c>
      <c r="I376" t="n">
        <v>0.6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40142-2022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44820</v>
      </c>
      <c r="E377" s="1" t="n">
        <v>46311</v>
      </c>
      <c r="F377" t="inlineStr">
        <is>
          <t>DALARNAS LÄN</t>
        </is>
      </c>
      <c r="G377" t="inlineStr">
        <is>
          <t>LUDVIKA</t>
        </is>
      </c>
      <c r="H377" t="inlineStr">
        <is>
          <t>Bergvik skog väst AB</t>
        </is>
      </c>
      <c r="I377" t="n">
        <v>1.1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40151-2022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44820</v>
      </c>
      <c r="E378" s="1" t="n">
        <v>46311</v>
      </c>
      <c r="F378" t="inlineStr">
        <is>
          <t>DALARNAS LÄN</t>
        </is>
      </c>
      <c r="G378" t="inlineStr">
        <is>
          <t>LUDVIKA</t>
        </is>
      </c>
      <c r="H378" t="inlineStr">
        <is>
          <t>Bergvik skog väst AB</t>
        </is>
      </c>
      <c r="I378" t="n">
        <v>0.8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15128-2025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45744</v>
      </c>
      <c r="E379" s="1" t="n">
        <v>46311</v>
      </c>
      <c r="F379" t="inlineStr">
        <is>
          <t>DALARNAS LÄN</t>
        </is>
      </c>
      <c r="G379" t="inlineStr">
        <is>
          <t>LUDVIKA</t>
        </is>
      </c>
      <c r="H379" t="inlineStr">
        <is>
          <t>Bergvik skog väst AB</t>
        </is>
      </c>
      <c r="I379" t="n">
        <v>0.5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55972-2025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45973</v>
      </c>
      <c r="E380" s="1" t="n">
        <v>46311</v>
      </c>
      <c r="F380" t="inlineStr">
        <is>
          <t>DALARNAS LÄN</t>
        </is>
      </c>
      <c r="G380" t="inlineStr">
        <is>
          <t>LUDVIKA</t>
        </is>
      </c>
      <c r="H380" t="inlineStr">
        <is>
          <t>Bergvik skog väst AB</t>
        </is>
      </c>
      <c r="I380" t="n">
        <v>3.9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38446-2025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45883</v>
      </c>
      <c r="E381" s="1" t="n">
        <v>46311</v>
      </c>
      <c r="F381" t="inlineStr">
        <is>
          <t>DALARNAS LÄN</t>
        </is>
      </c>
      <c r="G381" t="inlineStr">
        <is>
          <t>LUDVIKA</t>
        </is>
      </c>
      <c r="I381" t="n">
        <v>0.8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4544-2025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45687</v>
      </c>
      <c r="E382" s="1" t="n">
        <v>46311</v>
      </c>
      <c r="F382" t="inlineStr">
        <is>
          <t>DALARNAS LÄN</t>
        </is>
      </c>
      <c r="G382" t="inlineStr">
        <is>
          <t>LUDVIKA</t>
        </is>
      </c>
      <c r="I382" t="n">
        <v>1.9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21002-2026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46142</v>
      </c>
      <c r="E383" s="1" t="n">
        <v>46311</v>
      </c>
      <c r="F383" t="inlineStr">
        <is>
          <t>DALARNAS LÄN</t>
        </is>
      </c>
      <c r="G383" t="inlineStr">
        <is>
          <t>LUDVIKA</t>
        </is>
      </c>
      <c r="H383" t="inlineStr">
        <is>
          <t>Bergvik skog väst AB</t>
        </is>
      </c>
      <c r="I383" t="n">
        <v>8.9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22580-2026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46155</v>
      </c>
      <c r="E384" s="1" t="n">
        <v>46311</v>
      </c>
      <c r="F384" t="inlineStr">
        <is>
          <t>DALARNAS LÄN</t>
        </is>
      </c>
      <c r="G384" t="inlineStr">
        <is>
          <t>LUDVIKA</t>
        </is>
      </c>
      <c r="I384" t="n">
        <v>3.2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3170-2025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45679</v>
      </c>
      <c r="E385" s="1" t="n">
        <v>46311</v>
      </c>
      <c r="F385" t="inlineStr">
        <is>
          <t>DALARNAS LÄN</t>
        </is>
      </c>
      <c r="G385" t="inlineStr">
        <is>
          <t>LUDVIKA</t>
        </is>
      </c>
      <c r="I385" t="n">
        <v>5.4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18421-2025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45762</v>
      </c>
      <c r="E386" s="1" t="n">
        <v>46311</v>
      </c>
      <c r="F386" t="inlineStr">
        <is>
          <t>DALARNAS LÄN</t>
        </is>
      </c>
      <c r="G386" t="inlineStr">
        <is>
          <t>LUDVIKA</t>
        </is>
      </c>
      <c r="I386" t="n">
        <v>0.9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22585-2026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46155</v>
      </c>
      <c r="E387" s="1" t="n">
        <v>46311</v>
      </c>
      <c r="F387" t="inlineStr">
        <is>
          <t>DALARNAS LÄN</t>
        </is>
      </c>
      <c r="G387" t="inlineStr">
        <is>
          <t>LUDVIKA</t>
        </is>
      </c>
      <c r="H387" t="inlineStr">
        <is>
          <t>Bergvik skog väst AB</t>
        </is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22464-2026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46155</v>
      </c>
      <c r="E388" s="1" t="n">
        <v>46311</v>
      </c>
      <c r="F388" t="inlineStr">
        <is>
          <t>DALARNAS LÄN</t>
        </is>
      </c>
      <c r="G388" t="inlineStr">
        <is>
          <t>LUDVIKA</t>
        </is>
      </c>
      <c r="H388" t="inlineStr">
        <is>
          <t>Bergvik skog väst AB</t>
        </is>
      </c>
      <c r="I388" t="n">
        <v>9.800000000000001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22538-2026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46155</v>
      </c>
      <c r="E389" s="1" t="n">
        <v>46311</v>
      </c>
      <c r="F389" t="inlineStr">
        <is>
          <t>DALARNAS LÄN</t>
        </is>
      </c>
      <c r="G389" t="inlineStr">
        <is>
          <t>LUDVIKA</t>
        </is>
      </c>
      <c r="H389" t="inlineStr">
        <is>
          <t>Bergvik skog väst AB</t>
        </is>
      </c>
      <c r="I389" t="n">
        <v>1.6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44690-2025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45917</v>
      </c>
      <c r="E390" s="1" t="n">
        <v>46311</v>
      </c>
      <c r="F390" t="inlineStr">
        <is>
          <t>DALARNAS LÄN</t>
        </is>
      </c>
      <c r="G390" t="inlineStr">
        <is>
          <t>LUDVIKA</t>
        </is>
      </c>
      <c r="I390" t="n">
        <v>1.6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16843-2026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46113</v>
      </c>
      <c r="E391" s="1" t="n">
        <v>46311</v>
      </c>
      <c r="F391" t="inlineStr">
        <is>
          <t>DALARNAS LÄN</t>
        </is>
      </c>
      <c r="G391" t="inlineStr">
        <is>
          <t>LUDVIKA</t>
        </is>
      </c>
      <c r="I391" t="n">
        <v>3.9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31270-2022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44771</v>
      </c>
      <c r="E392" s="1" t="n">
        <v>46311</v>
      </c>
      <c r="F392" t="inlineStr">
        <is>
          <t>DALARNAS LÄN</t>
        </is>
      </c>
      <c r="G392" t="inlineStr">
        <is>
          <t>LUDVIKA</t>
        </is>
      </c>
      <c r="I392" t="n">
        <v>1.2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22813-2026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46160</v>
      </c>
      <c r="E393" s="1" t="n">
        <v>46311</v>
      </c>
      <c r="F393" t="inlineStr">
        <is>
          <t>DALARNAS LÄN</t>
        </is>
      </c>
      <c r="G393" t="inlineStr">
        <is>
          <t>LUDVIKA</t>
        </is>
      </c>
      <c r="H393" t="inlineStr">
        <is>
          <t>Naturvårdsverket</t>
        </is>
      </c>
      <c r="I393" t="n">
        <v>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22830-2026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46160</v>
      </c>
      <c r="E394" s="1" t="n">
        <v>46311</v>
      </c>
      <c r="F394" t="inlineStr">
        <is>
          <t>DALARNAS LÄN</t>
        </is>
      </c>
      <c r="G394" t="inlineStr">
        <is>
          <t>LUDVIKA</t>
        </is>
      </c>
      <c r="H394" t="inlineStr">
        <is>
          <t>Bergvik skog väst AB</t>
        </is>
      </c>
      <c r="I394" t="n">
        <v>3.4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61309-2022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44915</v>
      </c>
      <c r="E395" s="1" t="n">
        <v>46311</v>
      </c>
      <c r="F395" t="inlineStr">
        <is>
          <t>DALARNAS LÄN</t>
        </is>
      </c>
      <c r="G395" t="inlineStr">
        <is>
          <t>LUDVIKA</t>
        </is>
      </c>
      <c r="H395" t="inlineStr">
        <is>
          <t>Bergvik skog väst AB</t>
        </is>
      </c>
      <c r="I395" t="n">
        <v>2.3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23082-2026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46161</v>
      </c>
      <c r="E396" s="1" t="n">
        <v>46311</v>
      </c>
      <c r="F396" t="inlineStr">
        <is>
          <t>DALARNAS LÄN</t>
        </is>
      </c>
      <c r="G396" t="inlineStr">
        <is>
          <t>LUDVIKA</t>
        </is>
      </c>
      <c r="H396" t="inlineStr">
        <is>
          <t>Bergvik skog väst AB</t>
        </is>
      </c>
      <c r="I396" t="n">
        <v>2.1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48740-2022</t>
        </is>
      </c>
      <c r="B397" t="inlineStr">
        <is>
          <t>avverkningsanmälan</t>
        </is>
      </c>
      <c r="C397" t="inlineStr">
        <is>
          <t>Avverkning för annat ändamål</t>
        </is>
      </c>
      <c r="D397" s="1" t="n">
        <v>44859</v>
      </c>
      <c r="E397" s="1" t="n">
        <v>46311</v>
      </c>
      <c r="F397" t="inlineStr">
        <is>
          <t>DALARNAS LÄN</t>
        </is>
      </c>
      <c r="G397" t="inlineStr">
        <is>
          <t>LUDVIKA</t>
        </is>
      </c>
      <c r="H397" t="inlineStr">
        <is>
          <t>Bergvik skog väst AB</t>
        </is>
      </c>
      <c r="I397" t="n">
        <v>0.3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43762-2025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45912</v>
      </c>
      <c r="E398" s="1" t="n">
        <v>46311</v>
      </c>
      <c r="F398" t="inlineStr">
        <is>
          <t>DALARNAS LÄN</t>
        </is>
      </c>
      <c r="G398" t="inlineStr">
        <is>
          <t>LUDVIKA</t>
        </is>
      </c>
      <c r="H398" t="inlineStr">
        <is>
          <t>Bergvik skog väst AB</t>
        </is>
      </c>
      <c r="I398" t="n">
        <v>3.9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46040-2025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45924</v>
      </c>
      <c r="E399" s="1" t="n">
        <v>46311</v>
      </c>
      <c r="F399" t="inlineStr">
        <is>
          <t>DALARNAS LÄN</t>
        </is>
      </c>
      <c r="G399" t="inlineStr">
        <is>
          <t>LUDVIKA</t>
        </is>
      </c>
      <c r="H399" t="inlineStr">
        <is>
          <t>Bergvik skog väst AB</t>
        </is>
      </c>
      <c r="I399" t="n">
        <v>3.8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46024-2025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45924</v>
      </c>
      <c r="E400" s="1" t="n">
        <v>46311</v>
      </c>
      <c r="F400" t="inlineStr">
        <is>
          <t>DALARNAS LÄN</t>
        </is>
      </c>
      <c r="G400" t="inlineStr">
        <is>
          <t>LUDVIKA</t>
        </is>
      </c>
      <c r="H400" t="inlineStr">
        <is>
          <t>Bergvik skog väst AB</t>
        </is>
      </c>
      <c r="I400" t="n">
        <v>1.8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41737-2025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45902</v>
      </c>
      <c r="E401" s="1" t="n">
        <v>46311</v>
      </c>
      <c r="F401" t="inlineStr">
        <is>
          <t>DALARNAS LÄN</t>
        </is>
      </c>
      <c r="G401" t="inlineStr">
        <is>
          <t>LUDVIKA</t>
        </is>
      </c>
      <c r="H401" t="inlineStr">
        <is>
          <t>Bergvik skog väst AB</t>
        </is>
      </c>
      <c r="I401" t="n">
        <v>1.9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45940-2025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45924</v>
      </c>
      <c r="E402" s="1" t="n">
        <v>46311</v>
      </c>
      <c r="F402" t="inlineStr">
        <is>
          <t>DALARNAS LÄN</t>
        </is>
      </c>
      <c r="G402" t="inlineStr">
        <is>
          <t>LUDVIKA</t>
        </is>
      </c>
      <c r="H402" t="inlineStr">
        <is>
          <t>Bergvik skog väst AB</t>
        </is>
      </c>
      <c r="I402" t="n">
        <v>4.5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46317-2025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45925</v>
      </c>
      <c r="E403" s="1" t="n">
        <v>46311</v>
      </c>
      <c r="F403" t="inlineStr">
        <is>
          <t>DALARNAS LÄN</t>
        </is>
      </c>
      <c r="G403" t="inlineStr">
        <is>
          <t>LUDVIKA</t>
        </is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46598-2025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45926</v>
      </c>
      <c r="E404" s="1" t="n">
        <v>46311</v>
      </c>
      <c r="F404" t="inlineStr">
        <is>
          <t>DALARNAS LÄN</t>
        </is>
      </c>
      <c r="G404" t="inlineStr">
        <is>
          <t>LUDVIKA</t>
        </is>
      </c>
      <c r="H404" t="inlineStr">
        <is>
          <t>Bergvik skog väst AB</t>
        </is>
      </c>
      <c r="I404" t="n">
        <v>0.4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56621-2023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45243</v>
      </c>
      <c r="E405" s="1" t="n">
        <v>46311</v>
      </c>
      <c r="F405" t="inlineStr">
        <is>
          <t>DALARNAS LÄN</t>
        </is>
      </c>
      <c r="G405" t="inlineStr">
        <is>
          <t>LUDVIKA</t>
        </is>
      </c>
      <c r="I405" t="n">
        <v>0.5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46517-2025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45926</v>
      </c>
      <c r="E406" s="1" t="n">
        <v>46311</v>
      </c>
      <c r="F406" t="inlineStr">
        <is>
          <t>DALARNAS LÄN</t>
        </is>
      </c>
      <c r="G406" t="inlineStr">
        <is>
          <t>LUDVIKA</t>
        </is>
      </c>
      <c r="H406" t="inlineStr">
        <is>
          <t>Bergvik skog väst AB</t>
        </is>
      </c>
      <c r="I406" t="n">
        <v>2.4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53996-2024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45616</v>
      </c>
      <c r="E407" s="1" t="n">
        <v>46311</v>
      </c>
      <c r="F407" t="inlineStr">
        <is>
          <t>DALARNAS LÄN</t>
        </is>
      </c>
      <c r="G407" t="inlineStr">
        <is>
          <t>LUDVIKA</t>
        </is>
      </c>
      <c r="H407" t="inlineStr">
        <is>
          <t>Bergvik skog väst AB</t>
        </is>
      </c>
      <c r="I407" t="n">
        <v>1.5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23097-2025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45791</v>
      </c>
      <c r="E408" s="1" t="n">
        <v>46311</v>
      </c>
      <c r="F408" t="inlineStr">
        <is>
          <t>DALARNAS LÄN</t>
        </is>
      </c>
      <c r="G408" t="inlineStr">
        <is>
          <t>LUDVIKA</t>
        </is>
      </c>
      <c r="H408" t="inlineStr">
        <is>
          <t>Bergvik skog väst AB</t>
        </is>
      </c>
      <c r="I408" t="n">
        <v>1.8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46603-2025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45926</v>
      </c>
      <c r="E409" s="1" t="n">
        <v>46311</v>
      </c>
      <c r="F409" t="inlineStr">
        <is>
          <t>DALARNAS LÄN</t>
        </is>
      </c>
      <c r="G409" t="inlineStr">
        <is>
          <t>LUDVIKA</t>
        </is>
      </c>
      <c r="H409" t="inlineStr">
        <is>
          <t>Bergvik skog väst AB</t>
        </is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64171-2023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45279</v>
      </c>
      <c r="E410" s="1" t="n">
        <v>46311</v>
      </c>
      <c r="F410" t="inlineStr">
        <is>
          <t>DALARNAS LÄN</t>
        </is>
      </c>
      <c r="G410" t="inlineStr">
        <is>
          <t>LUDVIKA</t>
        </is>
      </c>
      <c r="I410" t="n">
        <v>8.6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923-2024</t>
        </is>
      </c>
      <c r="B411" t="inlineStr">
        <is>
          <t>avverkningsanmälan</t>
        </is>
      </c>
      <c r="C411" t="inlineStr">
        <is>
          <t>Avverkning för annat ändamål</t>
        </is>
      </c>
      <c r="D411" s="1" t="n">
        <v>45301</v>
      </c>
      <c r="E411" s="1" t="n">
        <v>46311</v>
      </c>
      <c r="F411" t="inlineStr">
        <is>
          <t>DALARNAS LÄN</t>
        </is>
      </c>
      <c r="G411" t="inlineStr">
        <is>
          <t>LUDVIKA</t>
        </is>
      </c>
      <c r="I411" t="n">
        <v>0.3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24021-2026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46167</v>
      </c>
      <c r="E412" s="1" t="n">
        <v>46311</v>
      </c>
      <c r="F412" t="inlineStr">
        <is>
          <t>DALARNAS LÄN</t>
        </is>
      </c>
      <c r="G412" t="inlineStr">
        <is>
          <t>LUDVIKA</t>
        </is>
      </c>
      <c r="H412" t="inlineStr">
        <is>
          <t>Bergvik skog väst AB</t>
        </is>
      </c>
      <c r="I412" t="n">
        <v>1.2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31380-2025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45833</v>
      </c>
      <c r="E413" s="1" t="n">
        <v>46311</v>
      </c>
      <c r="F413" t="inlineStr">
        <is>
          <t>DALARNAS LÄN</t>
        </is>
      </c>
      <c r="G413" t="inlineStr">
        <is>
          <t>LUDVIKA</t>
        </is>
      </c>
      <c r="I413" t="n">
        <v>2.6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31818-2025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45834</v>
      </c>
      <c r="E414" s="1" t="n">
        <v>46311</v>
      </c>
      <c r="F414" t="inlineStr">
        <is>
          <t>DALARNAS LÄN</t>
        </is>
      </c>
      <c r="G414" t="inlineStr">
        <is>
          <t>LUDVIKA</t>
        </is>
      </c>
      <c r="I414" t="n">
        <v>2.5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20427-2025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45775</v>
      </c>
      <c r="E415" s="1" t="n">
        <v>46311</v>
      </c>
      <c r="F415" t="inlineStr">
        <is>
          <t>DALARNAS LÄN</t>
        </is>
      </c>
      <c r="G415" t="inlineStr">
        <is>
          <t>LUDVIKA</t>
        </is>
      </c>
      <c r="H415" t="inlineStr">
        <is>
          <t>Bergvik skog väst AB</t>
        </is>
      </c>
      <c r="I415" t="n">
        <v>4.2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2979-2026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46038</v>
      </c>
      <c r="E416" s="1" t="n">
        <v>46311</v>
      </c>
      <c r="F416" t="inlineStr">
        <is>
          <t>DALARNAS LÄN</t>
        </is>
      </c>
      <c r="G416" t="inlineStr">
        <is>
          <t>LUDVIKA</t>
        </is>
      </c>
      <c r="I416" t="n">
        <v>1.4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24768-2026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46171</v>
      </c>
      <c r="E417" s="1" t="n">
        <v>46311</v>
      </c>
      <c r="F417" t="inlineStr">
        <is>
          <t>DALARNAS LÄN</t>
        </is>
      </c>
      <c r="G417" t="inlineStr">
        <is>
          <t>LUDVIKA</t>
        </is>
      </c>
      <c r="H417" t="inlineStr">
        <is>
          <t>Naturvårdsverket</t>
        </is>
      </c>
      <c r="I417" t="n">
        <v>4.8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53620-2022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44879</v>
      </c>
      <c r="E418" s="1" t="n">
        <v>46311</v>
      </c>
      <c r="F418" t="inlineStr">
        <is>
          <t>DALARNAS LÄN</t>
        </is>
      </c>
      <c r="G418" t="inlineStr">
        <is>
          <t>LUDVIKA</t>
        </is>
      </c>
      <c r="I418" t="n">
        <v>3.7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24776-2026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46171</v>
      </c>
      <c r="E419" s="1" t="n">
        <v>46311</v>
      </c>
      <c r="F419" t="inlineStr">
        <is>
          <t>DALARNAS LÄN</t>
        </is>
      </c>
      <c r="G419" t="inlineStr">
        <is>
          <t>LUDVIKA</t>
        </is>
      </c>
      <c r="H419" t="inlineStr">
        <is>
          <t>Naturvårdsverket</t>
        </is>
      </c>
      <c r="I419" t="n">
        <v>3.2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24682-2026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46171</v>
      </c>
      <c r="E420" s="1" t="n">
        <v>46311</v>
      </c>
      <c r="F420" t="inlineStr">
        <is>
          <t>DALARNAS LÄN</t>
        </is>
      </c>
      <c r="G420" t="inlineStr">
        <is>
          <t>LUDVIKA</t>
        </is>
      </c>
      <c r="I420" t="n">
        <v>3.2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25193-2026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46175</v>
      </c>
      <c r="E421" s="1" t="n">
        <v>46311</v>
      </c>
      <c r="F421" t="inlineStr">
        <is>
          <t>DALARNAS LÄN</t>
        </is>
      </c>
      <c r="G421" t="inlineStr">
        <is>
          <t>LUDVIKA</t>
        </is>
      </c>
      <c r="I421" t="n">
        <v>2.8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7238-2023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44970</v>
      </c>
      <c r="E422" s="1" t="n">
        <v>46311</v>
      </c>
      <c r="F422" t="inlineStr">
        <is>
          <t>DALARNAS LÄN</t>
        </is>
      </c>
      <c r="G422" t="inlineStr">
        <is>
          <t>LUDVIKA</t>
        </is>
      </c>
      <c r="H422" t="inlineStr">
        <is>
          <t>Övriga Aktiebolag</t>
        </is>
      </c>
      <c r="I422" t="n">
        <v>3.1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24670-2026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46171</v>
      </c>
      <c r="E423" s="1" t="n">
        <v>46311</v>
      </c>
      <c r="F423" t="inlineStr">
        <is>
          <t>DALARNAS LÄN</t>
        </is>
      </c>
      <c r="G423" t="inlineStr">
        <is>
          <t>LUDVIKA</t>
        </is>
      </c>
      <c r="H423" t="inlineStr">
        <is>
          <t>Bergvik skog väst AB</t>
        </is>
      </c>
      <c r="I423" t="n">
        <v>1.6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73703-2021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44552</v>
      </c>
      <c r="E424" s="1" t="n">
        <v>46311</v>
      </c>
      <c r="F424" t="inlineStr">
        <is>
          <t>DALARNAS LÄN</t>
        </is>
      </c>
      <c r="G424" t="inlineStr">
        <is>
          <t>LUDVIKA</t>
        </is>
      </c>
      <c r="I424" t="n">
        <v>0.5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24687-2026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46171</v>
      </c>
      <c r="E425" s="1" t="n">
        <v>46311</v>
      </c>
      <c r="F425" t="inlineStr">
        <is>
          <t>DALARNAS LÄN</t>
        </is>
      </c>
      <c r="G425" t="inlineStr">
        <is>
          <t>LUDVIKA</t>
        </is>
      </c>
      <c r="H425" t="inlineStr">
        <is>
          <t>Bergvik skog väst AB</t>
        </is>
      </c>
      <c r="I425" t="n">
        <v>13.2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24609-2026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46171</v>
      </c>
      <c r="E426" s="1" t="n">
        <v>46311</v>
      </c>
      <c r="F426" t="inlineStr">
        <is>
          <t>DALARNAS LÄN</t>
        </is>
      </c>
      <c r="G426" t="inlineStr">
        <is>
          <t>LUDVIKA</t>
        </is>
      </c>
      <c r="H426" t="inlineStr">
        <is>
          <t>Bergvik skog väst AB</t>
        </is>
      </c>
      <c r="I426" t="n">
        <v>1.3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24678-2026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46171</v>
      </c>
      <c r="E427" s="1" t="n">
        <v>46311</v>
      </c>
      <c r="F427" t="inlineStr">
        <is>
          <t>DALARNAS LÄN</t>
        </is>
      </c>
      <c r="G427" t="inlineStr">
        <is>
          <t>LUDVIKA</t>
        </is>
      </c>
      <c r="H427" t="inlineStr">
        <is>
          <t>Bergvik skog väst AB</t>
        </is>
      </c>
      <c r="I427" t="n">
        <v>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23515-2026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46163</v>
      </c>
      <c r="E428" s="1" t="n">
        <v>46311</v>
      </c>
      <c r="F428" t="inlineStr">
        <is>
          <t>DALARNAS LÄN</t>
        </is>
      </c>
      <c r="G428" t="inlineStr">
        <is>
          <t>LUDVIKA</t>
        </is>
      </c>
      <c r="H428" t="inlineStr">
        <is>
          <t>Bergvik skog väst AB</t>
        </is>
      </c>
      <c r="I428" t="n">
        <v>1.6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24673-2026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46171</v>
      </c>
      <c r="E429" s="1" t="n">
        <v>46311</v>
      </c>
      <c r="F429" t="inlineStr">
        <is>
          <t>DALARNAS LÄN</t>
        </is>
      </c>
      <c r="G429" t="inlineStr">
        <is>
          <t>LUDVIKA</t>
        </is>
      </c>
      <c r="H429" t="inlineStr">
        <is>
          <t>Bergvik skog väst AB</t>
        </is>
      </c>
      <c r="I429" t="n">
        <v>1.5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25320-2026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46176</v>
      </c>
      <c r="E430" s="1" t="n">
        <v>46311</v>
      </c>
      <c r="F430" t="inlineStr">
        <is>
          <t>DALARNAS LÄN</t>
        </is>
      </c>
      <c r="G430" t="inlineStr">
        <is>
          <t>LUDVIKA</t>
        </is>
      </c>
      <c r="H430" t="inlineStr">
        <is>
          <t>Bergvik skog väst AB</t>
        </is>
      </c>
      <c r="I430" t="n">
        <v>8.1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23917-2026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46167</v>
      </c>
      <c r="E431" s="1" t="n">
        <v>46311</v>
      </c>
      <c r="F431" t="inlineStr">
        <is>
          <t>DALARNAS LÄN</t>
        </is>
      </c>
      <c r="G431" t="inlineStr">
        <is>
          <t>LUDVIKA</t>
        </is>
      </c>
      <c r="H431" t="inlineStr">
        <is>
          <t>Bergvik skog väst AB</t>
        </is>
      </c>
      <c r="I431" t="n">
        <v>6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49166-2025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45938</v>
      </c>
      <c r="E432" s="1" t="n">
        <v>46311</v>
      </c>
      <c r="F432" t="inlineStr">
        <is>
          <t>DALARNAS LÄN</t>
        </is>
      </c>
      <c r="G432" t="inlineStr">
        <is>
          <t>LUDVIKA</t>
        </is>
      </c>
      <c r="H432" t="inlineStr">
        <is>
          <t>Bergvik skog väst AB</t>
        </is>
      </c>
      <c r="I432" t="n">
        <v>2.5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25299-2022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44730</v>
      </c>
      <c r="E433" s="1" t="n">
        <v>46311</v>
      </c>
      <c r="F433" t="inlineStr">
        <is>
          <t>DALARNAS LÄN</t>
        </is>
      </c>
      <c r="G433" t="inlineStr">
        <is>
          <t>LUDVIKA</t>
        </is>
      </c>
      <c r="H433" t="inlineStr">
        <is>
          <t>Bergvik skog väst AB</t>
        </is>
      </c>
      <c r="I433" t="n">
        <v>1.1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5970-2022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44599</v>
      </c>
      <c r="E434" s="1" t="n">
        <v>46311</v>
      </c>
      <c r="F434" t="inlineStr">
        <is>
          <t>DALARNAS LÄN</t>
        </is>
      </c>
      <c r="G434" t="inlineStr">
        <is>
          <t>LUDVIKA</t>
        </is>
      </c>
      <c r="I434" t="n">
        <v>8.4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20969-2026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46142</v>
      </c>
      <c r="E435" s="1" t="n">
        <v>46311</v>
      </c>
      <c r="F435" t="inlineStr">
        <is>
          <t>DALARNAS LÄN</t>
        </is>
      </c>
      <c r="G435" t="inlineStr">
        <is>
          <t>LUDVIKA</t>
        </is>
      </c>
      <c r="H435" t="inlineStr">
        <is>
          <t>Bergvik skog väst AB</t>
        </is>
      </c>
      <c r="I435" t="n">
        <v>16.9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48642-2022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44859</v>
      </c>
      <c r="E436" s="1" t="n">
        <v>46311</v>
      </c>
      <c r="F436" t="inlineStr">
        <is>
          <t>DALARNAS LÄN</t>
        </is>
      </c>
      <c r="G436" t="inlineStr">
        <is>
          <t>LUDVIKA</t>
        </is>
      </c>
      <c r="H436" t="inlineStr">
        <is>
          <t>Naturvårdsverket</t>
        </is>
      </c>
      <c r="I436" t="n">
        <v>1.5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5672-2023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44960</v>
      </c>
      <c r="E437" s="1" t="n">
        <v>46311</v>
      </c>
      <c r="F437" t="inlineStr">
        <is>
          <t>DALARNAS LÄN</t>
        </is>
      </c>
      <c r="G437" t="inlineStr">
        <is>
          <t>LUDVIKA</t>
        </is>
      </c>
      <c r="H437" t="inlineStr">
        <is>
          <t>Naturvårdsverket</t>
        </is>
      </c>
      <c r="I437" t="n">
        <v>2.7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26382-2026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46183</v>
      </c>
      <c r="E438" s="1" t="n">
        <v>46311</v>
      </c>
      <c r="F438" t="inlineStr">
        <is>
          <t>DALARNAS LÄN</t>
        </is>
      </c>
      <c r="G438" t="inlineStr">
        <is>
          <t>LUDVIKA</t>
        </is>
      </c>
      <c r="H438" t="inlineStr">
        <is>
          <t>Bergvik skog väst AB</t>
        </is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23617-2026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46163</v>
      </c>
      <c r="E439" s="1" t="n">
        <v>46311</v>
      </c>
      <c r="F439" t="inlineStr">
        <is>
          <t>DALARNAS LÄN</t>
        </is>
      </c>
      <c r="G439" t="inlineStr">
        <is>
          <t>LUDVIKA</t>
        </is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46074-2023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45196</v>
      </c>
      <c r="E440" s="1" t="n">
        <v>46311</v>
      </c>
      <c r="F440" t="inlineStr">
        <is>
          <t>DALARNAS LÄN</t>
        </is>
      </c>
      <c r="G440" t="inlineStr">
        <is>
          <t>LUDVIKA</t>
        </is>
      </c>
      <c r="H440" t="inlineStr">
        <is>
          <t>Bergvik skog väst AB</t>
        </is>
      </c>
      <c r="I440" t="n">
        <v>0.6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26888-2026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46185</v>
      </c>
      <c r="E441" s="1" t="n">
        <v>46311</v>
      </c>
      <c r="F441" t="inlineStr">
        <is>
          <t>DALARNAS LÄN</t>
        </is>
      </c>
      <c r="G441" t="inlineStr">
        <is>
          <t>LUDVIKA</t>
        </is>
      </c>
      <c r="H441" t="inlineStr">
        <is>
          <t>Bergvik skog väst AB</t>
        </is>
      </c>
      <c r="I441" t="n">
        <v>17.5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48288-2023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45205</v>
      </c>
      <c r="E442" s="1" t="n">
        <v>46311</v>
      </c>
      <c r="F442" t="inlineStr">
        <is>
          <t>DALARNAS LÄN</t>
        </is>
      </c>
      <c r="G442" t="inlineStr">
        <is>
          <t>LUDVIKA</t>
        </is>
      </c>
      <c r="H442" t="inlineStr">
        <is>
          <t>Bergvik skog väst AB</t>
        </is>
      </c>
      <c r="I442" t="n">
        <v>1.2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26902-2026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46185</v>
      </c>
      <c r="E443" s="1" t="n">
        <v>46311</v>
      </c>
      <c r="F443" t="inlineStr">
        <is>
          <t>DALARNAS LÄN</t>
        </is>
      </c>
      <c r="G443" t="inlineStr">
        <is>
          <t>LUDVIKA</t>
        </is>
      </c>
      <c r="H443" t="inlineStr">
        <is>
          <t>Bergvik skog väst AB</t>
        </is>
      </c>
      <c r="I443" t="n">
        <v>2.1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27609-2026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46190</v>
      </c>
      <c r="E444" s="1" t="n">
        <v>46311</v>
      </c>
      <c r="F444" t="inlineStr">
        <is>
          <t>DALARNAS LÄN</t>
        </is>
      </c>
      <c r="G444" t="inlineStr">
        <is>
          <t>LUDVIKA</t>
        </is>
      </c>
      <c r="H444" t="inlineStr">
        <is>
          <t>Bergvik skog väst AB</t>
        </is>
      </c>
      <c r="I444" t="n">
        <v>3.4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27611-2026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46190</v>
      </c>
      <c r="E445" s="1" t="n">
        <v>46311</v>
      </c>
      <c r="F445" t="inlineStr">
        <is>
          <t>DALARNAS LÄN</t>
        </is>
      </c>
      <c r="G445" t="inlineStr">
        <is>
          <t>LUDVIKA</t>
        </is>
      </c>
      <c r="H445" t="inlineStr">
        <is>
          <t>Bergvik skog väst AB</t>
        </is>
      </c>
      <c r="I445" t="n">
        <v>2.7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27613-2026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46190</v>
      </c>
      <c r="E446" s="1" t="n">
        <v>46311</v>
      </c>
      <c r="F446" t="inlineStr">
        <is>
          <t>DALARNAS LÄN</t>
        </is>
      </c>
      <c r="G446" t="inlineStr">
        <is>
          <t>LUDVIKA</t>
        </is>
      </c>
      <c r="H446" t="inlineStr">
        <is>
          <t>Bergvik skog väst AB</t>
        </is>
      </c>
      <c r="I446" t="n">
        <v>1.7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49874-2025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45940</v>
      </c>
      <c r="E447" s="1" t="n">
        <v>46311</v>
      </c>
      <c r="F447" t="inlineStr">
        <is>
          <t>DALARNAS LÄN</t>
        </is>
      </c>
      <c r="G447" t="inlineStr">
        <is>
          <t>LUDVIKA</t>
        </is>
      </c>
      <c r="H447" t="inlineStr">
        <is>
          <t>Bergvik skog väst AB</t>
        </is>
      </c>
      <c r="I447" t="n">
        <v>1.1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49879-2025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45940</v>
      </c>
      <c r="E448" s="1" t="n">
        <v>46311</v>
      </c>
      <c r="F448" t="inlineStr">
        <is>
          <t>DALARNAS LÄN</t>
        </is>
      </c>
      <c r="G448" t="inlineStr">
        <is>
          <t>LUDVIKA</t>
        </is>
      </c>
      <c r="H448" t="inlineStr">
        <is>
          <t>Bergvik skog väst AB</t>
        </is>
      </c>
      <c r="I448" t="n">
        <v>2.3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49893-2025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45940</v>
      </c>
      <c r="E449" s="1" t="n">
        <v>46311</v>
      </c>
      <c r="F449" t="inlineStr">
        <is>
          <t>DALARNAS LÄN</t>
        </is>
      </c>
      <c r="G449" t="inlineStr">
        <is>
          <t>LUDVIKA</t>
        </is>
      </c>
      <c r="H449" t="inlineStr">
        <is>
          <t>Bergvik skog väst AB</t>
        </is>
      </c>
      <c r="I449" t="n">
        <v>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26574-2026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46183</v>
      </c>
      <c r="E450" s="1" t="n">
        <v>46311</v>
      </c>
      <c r="F450" t="inlineStr">
        <is>
          <t>DALARNAS LÄN</t>
        </is>
      </c>
      <c r="G450" t="inlineStr">
        <is>
          <t>LUDVIKA</t>
        </is>
      </c>
      <c r="H450" t="inlineStr">
        <is>
          <t>Bergvik skog väst AB</t>
        </is>
      </c>
      <c r="I450" t="n">
        <v>20.6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27554-2026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46190</v>
      </c>
      <c r="E451" s="1" t="n">
        <v>46311</v>
      </c>
      <c r="F451" t="inlineStr">
        <is>
          <t>DALARNAS LÄN</t>
        </is>
      </c>
      <c r="G451" t="inlineStr">
        <is>
          <t>LUDVIKA</t>
        </is>
      </c>
      <c r="H451" t="inlineStr">
        <is>
          <t>Bergvik skog väst AB</t>
        </is>
      </c>
      <c r="I451" t="n">
        <v>1.1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49035-2024</t>
        </is>
      </c>
      <c r="B452" t="inlineStr">
        <is>
          <t>avverkningsanmälan</t>
        </is>
      </c>
      <c r="C452" t="inlineStr">
        <is>
          <t>Avverkning för att bevara och utveckla /försöksver</t>
        </is>
      </c>
      <c r="D452" s="1" t="n">
        <v>45594</v>
      </c>
      <c r="E452" s="1" t="n">
        <v>46311</v>
      </c>
      <c r="F452" t="inlineStr">
        <is>
          <t>DALARNAS LÄN</t>
        </is>
      </c>
      <c r="G452" t="inlineStr">
        <is>
          <t>LUDVIKA</t>
        </is>
      </c>
      <c r="H452" t="inlineStr">
        <is>
          <t>Naturvårdsverket</t>
        </is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49043-2024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45594</v>
      </c>
      <c r="E453" s="1" t="n">
        <v>46311</v>
      </c>
      <c r="F453" t="inlineStr">
        <is>
          <t>DALARNAS LÄN</t>
        </is>
      </c>
      <c r="G453" t="inlineStr">
        <is>
          <t>LUDVIKA</t>
        </is>
      </c>
      <c r="H453" t="inlineStr">
        <is>
          <t>Naturvårdsverket</t>
        </is>
      </c>
      <c r="I453" t="n">
        <v>2.3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27853-2026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46191</v>
      </c>
      <c r="E454" s="1" t="n">
        <v>46311</v>
      </c>
      <c r="F454" t="inlineStr">
        <is>
          <t>DALARNAS LÄN</t>
        </is>
      </c>
      <c r="G454" t="inlineStr">
        <is>
          <t>LUDVIKA</t>
        </is>
      </c>
      <c r="I454" t="n">
        <v>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18708-2023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45043</v>
      </c>
      <c r="E455" s="1" t="n">
        <v>46311</v>
      </c>
      <c r="F455" t="inlineStr">
        <is>
          <t>DALARNAS LÄN</t>
        </is>
      </c>
      <c r="G455" t="inlineStr">
        <is>
          <t>LUDVIKA</t>
        </is>
      </c>
      <c r="H455" t="inlineStr">
        <is>
          <t>Bergvik skog väst AB</t>
        </is>
      </c>
      <c r="I455" t="n">
        <v>1.1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990-2026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46030</v>
      </c>
      <c r="E456" s="1" t="n">
        <v>46311</v>
      </c>
      <c r="F456" t="inlineStr">
        <is>
          <t>DALARNAS LÄN</t>
        </is>
      </c>
      <c r="G456" t="inlineStr">
        <is>
          <t>LUDVIKA</t>
        </is>
      </c>
      <c r="I456" t="n">
        <v>1.6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59050-2022</t>
        </is>
      </c>
      <c r="B457" t="inlineStr">
        <is>
          <t>avverkningsanmälan</t>
        </is>
      </c>
      <c r="C457" t="inlineStr">
        <is>
          <t>Avverkning för annat ändamål</t>
        </is>
      </c>
      <c r="D457" s="1" t="n">
        <v>44903</v>
      </c>
      <c r="E457" s="1" t="n">
        <v>46311</v>
      </c>
      <c r="F457" t="inlineStr">
        <is>
          <t>DALARNAS LÄN</t>
        </is>
      </c>
      <c r="G457" t="inlineStr">
        <is>
          <t>LUDVIKA</t>
        </is>
      </c>
      <c r="I457" t="n">
        <v>2.8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22817-2026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46160</v>
      </c>
      <c r="E458" s="1" t="n">
        <v>46311</v>
      </c>
      <c r="F458" t="inlineStr">
        <is>
          <t>DALARNAS LÄN</t>
        </is>
      </c>
      <c r="G458" t="inlineStr">
        <is>
          <t>LUDVIKA</t>
        </is>
      </c>
      <c r="H458" t="inlineStr">
        <is>
          <t>Bergvik skog väst AB</t>
        </is>
      </c>
      <c r="I458" t="n">
        <v>1.9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7243-2023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44970</v>
      </c>
      <c r="E459" s="1" t="n">
        <v>46311</v>
      </c>
      <c r="F459" t="inlineStr">
        <is>
          <t>DALARNAS LÄN</t>
        </is>
      </c>
      <c r="G459" t="inlineStr">
        <is>
          <t>LUDVIKA</t>
        </is>
      </c>
      <c r="H459" t="inlineStr">
        <is>
          <t>Övriga Aktiebolag</t>
        </is>
      </c>
      <c r="I459" t="n">
        <v>0.5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21032-2026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46146</v>
      </c>
      <c r="E460" s="1" t="n">
        <v>46311</v>
      </c>
      <c r="F460" t="inlineStr">
        <is>
          <t>DALARNAS LÄN</t>
        </is>
      </c>
      <c r="G460" t="inlineStr">
        <is>
          <t>LUDVIKA</t>
        </is>
      </c>
      <c r="H460" t="inlineStr">
        <is>
          <t>Bergvik skog väst AB</t>
        </is>
      </c>
      <c r="I460" t="n">
        <v>1.1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21034-2026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46146</v>
      </c>
      <c r="E461" s="1" t="n">
        <v>46311</v>
      </c>
      <c r="F461" t="inlineStr">
        <is>
          <t>DALARNAS LÄN</t>
        </is>
      </c>
      <c r="G461" t="inlineStr">
        <is>
          <t>LUDVIKA</t>
        </is>
      </c>
      <c r="H461" t="inlineStr">
        <is>
          <t>Bergvik skog väst AB</t>
        </is>
      </c>
      <c r="I461" t="n">
        <v>2.7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22824-2026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46160</v>
      </c>
      <c r="E462" s="1" t="n">
        <v>46311</v>
      </c>
      <c r="F462" t="inlineStr">
        <is>
          <t>DALARNAS LÄN</t>
        </is>
      </c>
      <c r="G462" t="inlineStr">
        <is>
          <t>LUDVIKA</t>
        </is>
      </c>
      <c r="H462" t="inlineStr">
        <is>
          <t>Naturvårdsverket</t>
        </is>
      </c>
      <c r="I462" t="n">
        <v>9.9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22806-2026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46160</v>
      </c>
      <c r="E463" s="1" t="n">
        <v>46311</v>
      </c>
      <c r="F463" t="inlineStr">
        <is>
          <t>DALARNAS LÄN</t>
        </is>
      </c>
      <c r="G463" t="inlineStr">
        <is>
          <t>LUDVIKA</t>
        </is>
      </c>
      <c r="H463" t="inlineStr">
        <is>
          <t>Bergvik skog väst AB</t>
        </is>
      </c>
      <c r="I463" t="n">
        <v>0.7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22821-2026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46160</v>
      </c>
      <c r="E464" s="1" t="n">
        <v>46311</v>
      </c>
      <c r="F464" t="inlineStr">
        <is>
          <t>DALARNAS LÄN</t>
        </is>
      </c>
      <c r="G464" t="inlineStr">
        <is>
          <t>LUDVIKA</t>
        </is>
      </c>
      <c r="H464" t="inlineStr">
        <is>
          <t>Naturvårdsverket</t>
        </is>
      </c>
      <c r="I464" t="n">
        <v>1.2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28714-2026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46198</v>
      </c>
      <c r="E465" s="1" t="n">
        <v>46311</v>
      </c>
      <c r="F465" t="inlineStr">
        <is>
          <t>DALARNAS LÄN</t>
        </is>
      </c>
      <c r="G465" t="inlineStr">
        <is>
          <t>LUDVIKA</t>
        </is>
      </c>
      <c r="H465" t="inlineStr">
        <is>
          <t>Bergvik skog väst AB</t>
        </is>
      </c>
      <c r="I465" t="n">
        <v>3.8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50444-2025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45944</v>
      </c>
      <c r="E466" s="1" t="n">
        <v>46311</v>
      </c>
      <c r="F466" t="inlineStr">
        <is>
          <t>DALARNAS LÄN</t>
        </is>
      </c>
      <c r="G466" t="inlineStr">
        <is>
          <t>LUDVIKA</t>
        </is>
      </c>
      <c r="I466" t="n">
        <v>2.7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24693-2026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46171</v>
      </c>
      <c r="E467" s="1" t="n">
        <v>46311</v>
      </c>
      <c r="F467" t="inlineStr">
        <is>
          <t>DALARNAS LÄN</t>
        </is>
      </c>
      <c r="G467" t="inlineStr">
        <is>
          <t>LUDVIKA</t>
        </is>
      </c>
      <c r="H467" t="inlineStr">
        <is>
          <t>Naturvårdsverket</t>
        </is>
      </c>
      <c r="I467" t="n">
        <v>10.4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38170-2023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45161</v>
      </c>
      <c r="E468" s="1" t="n">
        <v>46311</v>
      </c>
      <c r="F468" t="inlineStr">
        <is>
          <t>DALARNAS LÄN</t>
        </is>
      </c>
      <c r="G468" t="inlineStr">
        <is>
          <t>LUDVIKA</t>
        </is>
      </c>
      <c r="H468" t="inlineStr">
        <is>
          <t>Bergvik skog väst AB</t>
        </is>
      </c>
      <c r="I468" t="n">
        <v>1.3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42128-2024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45562</v>
      </c>
      <c r="E469" s="1" t="n">
        <v>46311</v>
      </c>
      <c r="F469" t="inlineStr">
        <is>
          <t>DALARNAS LÄN</t>
        </is>
      </c>
      <c r="G469" t="inlineStr">
        <is>
          <t>LUDVIKA</t>
        </is>
      </c>
      <c r="I469" t="n">
        <v>3.1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22611-2026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46155</v>
      </c>
      <c r="E470" s="1" t="n">
        <v>46311</v>
      </c>
      <c r="F470" t="inlineStr">
        <is>
          <t>DALARNAS LÄN</t>
        </is>
      </c>
      <c r="G470" t="inlineStr">
        <is>
          <t>LUDVIKA</t>
        </is>
      </c>
      <c r="H470" t="inlineStr">
        <is>
          <t>Bergvik skog väst AB</t>
        </is>
      </c>
      <c r="I470" t="n">
        <v>10.1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56346-2022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44890</v>
      </c>
      <c r="E471" s="1" t="n">
        <v>46311</v>
      </c>
      <c r="F471" t="inlineStr">
        <is>
          <t>DALARNAS LÄN</t>
        </is>
      </c>
      <c r="G471" t="inlineStr">
        <is>
          <t>LUDVIKA</t>
        </is>
      </c>
      <c r="H471" t="inlineStr">
        <is>
          <t>Bergvik skog väst AB</t>
        </is>
      </c>
      <c r="I471" t="n">
        <v>1.2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27608-2026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46190</v>
      </c>
      <c r="E472" s="1" t="n">
        <v>46311</v>
      </c>
      <c r="F472" t="inlineStr">
        <is>
          <t>DALARNAS LÄN</t>
        </is>
      </c>
      <c r="G472" t="inlineStr">
        <is>
          <t>LUDVIKA</t>
        </is>
      </c>
      <c r="H472" t="inlineStr">
        <is>
          <t>Bergvik skog väst AB</t>
        </is>
      </c>
      <c r="I472" t="n">
        <v>4.2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29791-2026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46205</v>
      </c>
      <c r="E473" s="1" t="n">
        <v>46311</v>
      </c>
      <c r="F473" t="inlineStr">
        <is>
          <t>DALARNAS LÄN</t>
        </is>
      </c>
      <c r="G473" t="inlineStr">
        <is>
          <t>LUDVIKA</t>
        </is>
      </c>
      <c r="H473" t="inlineStr">
        <is>
          <t>Naturvårdsverket</t>
        </is>
      </c>
      <c r="I473" t="n">
        <v>8.300000000000001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11237-2024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45371</v>
      </c>
      <c r="E474" s="1" t="n">
        <v>46311</v>
      </c>
      <c r="F474" t="inlineStr">
        <is>
          <t>DALARNAS LÄN</t>
        </is>
      </c>
      <c r="G474" t="inlineStr">
        <is>
          <t>LUDVIKA</t>
        </is>
      </c>
      <c r="I474" t="n">
        <v>20.8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56672-2023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45243</v>
      </c>
      <c r="E475" s="1" t="n">
        <v>46311</v>
      </c>
      <c r="F475" t="inlineStr">
        <is>
          <t>DALARNAS LÄN</t>
        </is>
      </c>
      <c r="G475" t="inlineStr">
        <is>
          <t>LUDVIKA</t>
        </is>
      </c>
      <c r="I475" t="n">
        <v>2.9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11632-2024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45373</v>
      </c>
      <c r="E476" s="1" t="n">
        <v>46311</v>
      </c>
      <c r="F476" t="inlineStr">
        <is>
          <t>DALARNAS LÄN</t>
        </is>
      </c>
      <c r="G476" t="inlineStr">
        <is>
          <t>LUDVIKA</t>
        </is>
      </c>
      <c r="I476" t="n">
        <v>5.1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20974-2026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46142</v>
      </c>
      <c r="E477" s="1" t="n">
        <v>46311</v>
      </c>
      <c r="F477" t="inlineStr">
        <is>
          <t>DALARNAS LÄN</t>
        </is>
      </c>
      <c r="G477" t="inlineStr">
        <is>
          <t>LUDVIKA</t>
        </is>
      </c>
      <c r="H477" t="inlineStr">
        <is>
          <t>Bergvik skog väst AB</t>
        </is>
      </c>
      <c r="I477" t="n">
        <v>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23871-2026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46167</v>
      </c>
      <c r="E478" s="1" t="n">
        <v>46311</v>
      </c>
      <c r="F478" t="inlineStr">
        <is>
          <t>DALARNAS LÄN</t>
        </is>
      </c>
      <c r="G478" t="inlineStr">
        <is>
          <t>LUDVIKA</t>
        </is>
      </c>
      <c r="H478" t="inlineStr">
        <is>
          <t>Kommuner</t>
        </is>
      </c>
      <c r="I478" t="n">
        <v>1.3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30106-2026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46206</v>
      </c>
      <c r="E479" s="1" t="n">
        <v>46311</v>
      </c>
      <c r="F479" t="inlineStr">
        <is>
          <t>DALARNAS LÄN</t>
        </is>
      </c>
      <c r="G479" t="inlineStr">
        <is>
          <t>LUDVIKA</t>
        </is>
      </c>
      <c r="H479" t="inlineStr">
        <is>
          <t>Bergvik skog väst AB</t>
        </is>
      </c>
      <c r="I479" t="n">
        <v>1.5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51865-2025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45952</v>
      </c>
      <c r="E480" s="1" t="n">
        <v>46311</v>
      </c>
      <c r="F480" t="inlineStr">
        <is>
          <t>DALARNAS LÄN</t>
        </is>
      </c>
      <c r="G480" t="inlineStr">
        <is>
          <t>LUDVIKA</t>
        </is>
      </c>
      <c r="I480" t="n">
        <v>0.4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30113-2026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46206</v>
      </c>
      <c r="E481" s="1" t="n">
        <v>46311</v>
      </c>
      <c r="F481" t="inlineStr">
        <is>
          <t>DALARNAS LÄN</t>
        </is>
      </c>
      <c r="G481" t="inlineStr">
        <is>
          <t>LUDVIKA</t>
        </is>
      </c>
      <c r="H481" t="inlineStr">
        <is>
          <t>Bergvik skog väst AB</t>
        </is>
      </c>
      <c r="I481" t="n">
        <v>1.5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57969-2024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45631</v>
      </c>
      <c r="E482" s="1" t="n">
        <v>46311</v>
      </c>
      <c r="F482" t="inlineStr">
        <is>
          <t>DALARNAS LÄN</t>
        </is>
      </c>
      <c r="G482" t="inlineStr">
        <is>
          <t>LUDVIKA</t>
        </is>
      </c>
      <c r="H482" t="inlineStr">
        <is>
          <t>Bergvik skog väst AB</t>
        </is>
      </c>
      <c r="I482" t="n">
        <v>2.2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41668-2023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45176</v>
      </c>
      <c r="E483" s="1" t="n">
        <v>46311</v>
      </c>
      <c r="F483" t="inlineStr">
        <is>
          <t>DALARNAS LÄN</t>
        </is>
      </c>
      <c r="G483" t="inlineStr">
        <is>
          <t>LUDVIKA</t>
        </is>
      </c>
      <c r="I483" t="n">
        <v>1.4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20411-2023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45056</v>
      </c>
      <c r="E484" s="1" t="n">
        <v>46311</v>
      </c>
      <c r="F484" t="inlineStr">
        <is>
          <t>DALARNAS LÄN</t>
        </is>
      </c>
      <c r="G484" t="inlineStr">
        <is>
          <t>LUDVIKA</t>
        </is>
      </c>
      <c r="H484" t="inlineStr">
        <is>
          <t>Bergvik skog väst AB</t>
        </is>
      </c>
      <c r="I484" t="n">
        <v>1.9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28062-2026</t>
        </is>
      </c>
      <c r="B485" t="inlineStr">
        <is>
          <t>avverkningsanmälan</t>
        </is>
      </c>
      <c r="C485" t="inlineStr">
        <is>
          <t>Avverkning för annat ändamål</t>
        </is>
      </c>
      <c r="D485" s="1" t="n">
        <v>46195</v>
      </c>
      <c r="E485" s="1" t="n">
        <v>46311</v>
      </c>
      <c r="F485" t="inlineStr">
        <is>
          <t>DALARNAS LÄN</t>
        </is>
      </c>
      <c r="G485" t="inlineStr">
        <is>
          <t>LUDVIKA</t>
        </is>
      </c>
      <c r="H485" t="inlineStr">
        <is>
          <t>Bergvik skog väst AB</t>
        </is>
      </c>
      <c r="I485" t="n">
        <v>3.5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39400-2023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45166</v>
      </c>
      <c r="E486" s="1" t="n">
        <v>46311</v>
      </c>
      <c r="F486" t="inlineStr">
        <is>
          <t>DALARNAS LÄN</t>
        </is>
      </c>
      <c r="G486" t="inlineStr">
        <is>
          <t>LUDVIKA</t>
        </is>
      </c>
      <c r="H486" t="inlineStr">
        <is>
          <t>Bergvik skog väst AB</t>
        </is>
      </c>
      <c r="I486" t="n">
        <v>1.1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52552-2025</t>
        </is>
      </c>
      <c r="B487" t="inlineStr">
        <is>
          <t>avverkningsanmälan</t>
        </is>
      </c>
      <c r="C487" t="inlineStr">
        <is>
          <t>Avverkning för annat ändamål</t>
        </is>
      </c>
      <c r="D487" s="1" t="n">
        <v>45954</v>
      </c>
      <c r="E487" s="1" t="n">
        <v>46311</v>
      </c>
      <c r="F487" t="inlineStr">
        <is>
          <t>DALARNAS LÄN</t>
        </is>
      </c>
      <c r="G487" t="inlineStr">
        <is>
          <t>LUDVIKA</t>
        </is>
      </c>
      <c r="I487" t="n">
        <v>0.7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52484-2025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45954</v>
      </c>
      <c r="E488" s="1" t="n">
        <v>46311</v>
      </c>
      <c r="F488" t="inlineStr">
        <is>
          <t>DALARNAS LÄN</t>
        </is>
      </c>
      <c r="G488" t="inlineStr">
        <is>
          <t>LUDVIKA</t>
        </is>
      </c>
      <c r="H488" t="inlineStr">
        <is>
          <t>Bergvik skog väst AB</t>
        </is>
      </c>
      <c r="I488" t="n">
        <v>3.1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52504-2025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45954</v>
      </c>
      <c r="E489" s="1" t="n">
        <v>46311</v>
      </c>
      <c r="F489" t="inlineStr">
        <is>
          <t>DALARNAS LÄN</t>
        </is>
      </c>
      <c r="G489" t="inlineStr">
        <is>
          <t>LUDVIKA</t>
        </is>
      </c>
      <c r="H489" t="inlineStr">
        <is>
          <t>Bergvik skog väst AB</t>
        </is>
      </c>
      <c r="I489" t="n">
        <v>9.300000000000001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52459-2025</t>
        </is>
      </c>
      <c r="B490" t="inlineStr">
        <is>
          <t>avverkningsanmälan</t>
        </is>
      </c>
      <c r="C490" t="inlineStr">
        <is>
          <t>Avverkning för annat ändamål</t>
        </is>
      </c>
      <c r="D490" s="1" t="n">
        <v>45954</v>
      </c>
      <c r="E490" s="1" t="n">
        <v>46311</v>
      </c>
      <c r="F490" t="inlineStr">
        <is>
          <t>DALARNAS LÄN</t>
        </is>
      </c>
      <c r="G490" t="inlineStr">
        <is>
          <t>LUDVIKA</t>
        </is>
      </c>
      <c r="H490" t="inlineStr">
        <is>
          <t>Övriga Aktiebolag</t>
        </is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52491-2025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45954</v>
      </c>
      <c r="E491" s="1" t="n">
        <v>46311</v>
      </c>
      <c r="F491" t="inlineStr">
        <is>
          <t>DALARNAS LÄN</t>
        </is>
      </c>
      <c r="G491" t="inlineStr">
        <is>
          <t>LUDVIKA</t>
        </is>
      </c>
      <c r="H491" t="inlineStr">
        <is>
          <t>Bergvik skog väst AB</t>
        </is>
      </c>
      <c r="I491" t="n">
        <v>0.6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52900-2025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45954</v>
      </c>
      <c r="E492" s="1" t="n">
        <v>46311</v>
      </c>
      <c r="F492" t="inlineStr">
        <is>
          <t>DALARNAS LÄN</t>
        </is>
      </c>
      <c r="G492" t="inlineStr">
        <is>
          <t>LUDVIKA</t>
        </is>
      </c>
      <c r="I492" t="n">
        <v>8.300000000000001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52530-2025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45954</v>
      </c>
      <c r="E493" s="1" t="n">
        <v>46311</v>
      </c>
      <c r="F493" t="inlineStr">
        <is>
          <t>DALARNAS LÄN</t>
        </is>
      </c>
      <c r="G493" t="inlineStr">
        <is>
          <t>LUDVIKA</t>
        </is>
      </c>
      <c r="H493" t="inlineStr">
        <is>
          <t>Bergvik skog väst AB</t>
        </is>
      </c>
      <c r="I493" t="n">
        <v>1.7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52427-2025</t>
        </is>
      </c>
      <c r="B494" t="inlineStr">
        <is>
          <t>avverkningsanmälan</t>
        </is>
      </c>
      <c r="C494" t="inlineStr">
        <is>
          <t>Avverkning för annat ändamål</t>
        </is>
      </c>
      <c r="D494" s="1" t="n">
        <v>45954</v>
      </c>
      <c r="E494" s="1" t="n">
        <v>46311</v>
      </c>
      <c r="F494" t="inlineStr">
        <is>
          <t>DALARNAS LÄN</t>
        </is>
      </c>
      <c r="G494" t="inlineStr">
        <is>
          <t>LUDVIKA</t>
        </is>
      </c>
      <c r="I494" t="n">
        <v>1.6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28838-2026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46198</v>
      </c>
      <c r="E495" s="1" t="n">
        <v>46311</v>
      </c>
      <c r="F495" t="inlineStr">
        <is>
          <t>DALARNAS LÄN</t>
        </is>
      </c>
      <c r="G495" t="inlineStr">
        <is>
          <t>LUDVIKA</t>
        </is>
      </c>
      <c r="H495" t="inlineStr">
        <is>
          <t>Bergvik skog väst AB</t>
        </is>
      </c>
      <c r="I495" t="n">
        <v>1.4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28792-2026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46198</v>
      </c>
      <c r="E496" s="1" t="n">
        <v>46311</v>
      </c>
      <c r="F496" t="inlineStr">
        <is>
          <t>DALARNAS LÄN</t>
        </is>
      </c>
      <c r="G496" t="inlineStr">
        <is>
          <t>LUDVIKA</t>
        </is>
      </c>
      <c r="H496" t="inlineStr">
        <is>
          <t>Bergvik skog väst AB</t>
        </is>
      </c>
      <c r="I496" t="n">
        <v>1.4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28132-2026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46195</v>
      </c>
      <c r="E497" s="1" t="n">
        <v>46311</v>
      </c>
      <c r="F497" t="inlineStr">
        <is>
          <t>DALARNAS LÄN</t>
        </is>
      </c>
      <c r="G497" t="inlineStr">
        <is>
          <t>LUDVIKA</t>
        </is>
      </c>
      <c r="H497" t="inlineStr">
        <is>
          <t>Bergvik skog väst AB</t>
        </is>
      </c>
      <c r="I497" t="n">
        <v>3.9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22276-2026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46154</v>
      </c>
      <c r="E498" s="1" t="n">
        <v>46311</v>
      </c>
      <c r="F498" t="inlineStr">
        <is>
          <t>DALARNAS LÄN</t>
        </is>
      </c>
      <c r="G498" t="inlineStr">
        <is>
          <t>LUDVIKA</t>
        </is>
      </c>
      <c r="H498" t="inlineStr">
        <is>
          <t>Bergvik skog väst AB</t>
        </is>
      </c>
      <c r="I498" t="n">
        <v>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28801-2026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46198</v>
      </c>
      <c r="E499" s="1" t="n">
        <v>46311</v>
      </c>
      <c r="F499" t="inlineStr">
        <is>
          <t>DALARNAS LÄN</t>
        </is>
      </c>
      <c r="G499" t="inlineStr">
        <is>
          <t>LUDVIKA</t>
        </is>
      </c>
      <c r="H499" t="inlineStr">
        <is>
          <t>Bergvik skog väst AB</t>
        </is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30113-2023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45110</v>
      </c>
      <c r="E500" s="1" t="n">
        <v>46311</v>
      </c>
      <c r="F500" t="inlineStr">
        <is>
          <t>DALARNAS LÄN</t>
        </is>
      </c>
      <c r="G500" t="inlineStr">
        <is>
          <t>LUDVIKA</t>
        </is>
      </c>
      <c r="I500" t="n">
        <v>3.3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27989-2026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46195</v>
      </c>
      <c r="E501" s="1" t="n">
        <v>46311</v>
      </c>
      <c r="F501" t="inlineStr">
        <is>
          <t>DALARNAS LÄN</t>
        </is>
      </c>
      <c r="G501" t="inlineStr">
        <is>
          <t>LUDVIKA</t>
        </is>
      </c>
      <c r="H501" t="inlineStr">
        <is>
          <t>Bergvik skog väst AB</t>
        </is>
      </c>
      <c r="I501" t="n">
        <v>0.5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28054-2026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46195</v>
      </c>
      <c r="E502" s="1" t="n">
        <v>46311</v>
      </c>
      <c r="F502" t="inlineStr">
        <is>
          <t>DALARNAS LÄN</t>
        </is>
      </c>
      <c r="G502" t="inlineStr">
        <is>
          <t>LUDVIKA</t>
        </is>
      </c>
      <c r="H502" t="inlineStr">
        <is>
          <t>Bergvik skog väst AB</t>
        </is>
      </c>
      <c r="I502" t="n">
        <v>2.4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28061-2026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46195</v>
      </c>
      <c r="E503" s="1" t="n">
        <v>46311</v>
      </c>
      <c r="F503" t="inlineStr">
        <is>
          <t>DALARNAS LÄN</t>
        </is>
      </c>
      <c r="G503" t="inlineStr">
        <is>
          <t>LUDVIKA</t>
        </is>
      </c>
      <c r="H503" t="inlineStr">
        <is>
          <t>Bergvik skog väst AB</t>
        </is>
      </c>
      <c r="I503" t="n">
        <v>0.4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52724-2025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45957</v>
      </c>
      <c r="E504" s="1" t="n">
        <v>46311</v>
      </c>
      <c r="F504" t="inlineStr">
        <is>
          <t>DALARNAS LÄN</t>
        </is>
      </c>
      <c r="G504" t="inlineStr">
        <is>
          <t>LUDVIKA</t>
        </is>
      </c>
      <c r="H504" t="inlineStr">
        <is>
          <t>Bergvik skog väst AB</t>
        </is>
      </c>
      <c r="I504" t="n">
        <v>3.1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28162-2026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46195</v>
      </c>
      <c r="E505" s="1" t="n">
        <v>46311</v>
      </c>
      <c r="F505" t="inlineStr">
        <is>
          <t>DALARNAS LÄN</t>
        </is>
      </c>
      <c r="G505" t="inlineStr">
        <is>
          <t>LUDVIKA</t>
        </is>
      </c>
      <c r="H505" t="inlineStr">
        <is>
          <t>Bergvik skog väst AB</t>
        </is>
      </c>
      <c r="I505" t="n">
        <v>1.3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20973-2026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46142</v>
      </c>
      <c r="E506" s="1" t="n">
        <v>46311</v>
      </c>
      <c r="F506" t="inlineStr">
        <is>
          <t>DALARNAS LÄN</t>
        </is>
      </c>
      <c r="G506" t="inlineStr">
        <is>
          <t>LUDVIKA</t>
        </is>
      </c>
      <c r="H506" t="inlineStr">
        <is>
          <t>Bergvik skog väst AB</t>
        </is>
      </c>
      <c r="I506" t="n">
        <v>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28067-2026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46195</v>
      </c>
      <c r="E507" s="1" t="n">
        <v>46311</v>
      </c>
      <c r="F507" t="inlineStr">
        <is>
          <t>DALARNAS LÄN</t>
        </is>
      </c>
      <c r="G507" t="inlineStr">
        <is>
          <t>LUDVIKA</t>
        </is>
      </c>
      <c r="H507" t="inlineStr">
        <is>
          <t>Bergvik skog väst AB</t>
        </is>
      </c>
      <c r="I507" t="n">
        <v>0.7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28116-2026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46195</v>
      </c>
      <c r="E508" s="1" t="n">
        <v>46311</v>
      </c>
      <c r="F508" t="inlineStr">
        <is>
          <t>DALARNAS LÄN</t>
        </is>
      </c>
      <c r="G508" t="inlineStr">
        <is>
          <t>LUDVIKA</t>
        </is>
      </c>
      <c r="H508" t="inlineStr">
        <is>
          <t>Bergvik skog väst AB</t>
        </is>
      </c>
      <c r="I508" t="n">
        <v>3.1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28158-2026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46195</v>
      </c>
      <c r="E509" s="1" t="n">
        <v>46311</v>
      </c>
      <c r="F509" t="inlineStr">
        <is>
          <t>DALARNAS LÄN</t>
        </is>
      </c>
      <c r="G509" t="inlineStr">
        <is>
          <t>LUDVIKA</t>
        </is>
      </c>
      <c r="H509" t="inlineStr">
        <is>
          <t>Bergvik skog väst AB</t>
        </is>
      </c>
      <c r="I509" t="n">
        <v>0.8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4173-2025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45685</v>
      </c>
      <c r="E510" s="1" t="n">
        <v>46311</v>
      </c>
      <c r="F510" t="inlineStr">
        <is>
          <t>DALARNAS LÄN</t>
        </is>
      </c>
      <c r="G510" t="inlineStr">
        <is>
          <t>LUDVIKA</t>
        </is>
      </c>
      <c r="I510" t="n">
        <v>0.9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28045-2026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46195</v>
      </c>
      <c r="E511" s="1" t="n">
        <v>46311</v>
      </c>
      <c r="F511" t="inlineStr">
        <is>
          <t>DALARNAS LÄN</t>
        </is>
      </c>
      <c r="G511" t="inlineStr">
        <is>
          <t>LUDVIKA</t>
        </is>
      </c>
      <c r="H511" t="inlineStr">
        <is>
          <t>Bergvik skog väst AB</t>
        </is>
      </c>
      <c r="I511" t="n">
        <v>2.8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28073-2026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46195</v>
      </c>
      <c r="E512" s="1" t="n">
        <v>46311</v>
      </c>
      <c r="F512" t="inlineStr">
        <is>
          <t>DALARNAS LÄN</t>
        </is>
      </c>
      <c r="G512" t="inlineStr">
        <is>
          <t>LUDVIKA</t>
        </is>
      </c>
      <c r="H512" t="inlineStr">
        <is>
          <t>Bergvik skog väst AB</t>
        </is>
      </c>
      <c r="I512" t="n">
        <v>3.1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31227-2026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46217</v>
      </c>
      <c r="E513" s="1" t="n">
        <v>46311</v>
      </c>
      <c r="F513" t="inlineStr">
        <is>
          <t>DALARNAS LÄN</t>
        </is>
      </c>
      <c r="G513" t="inlineStr">
        <is>
          <t>LUDVIKA</t>
        </is>
      </c>
      <c r="H513" t="inlineStr">
        <is>
          <t>Bergvik skog väst AB</t>
        </is>
      </c>
      <c r="I513" t="n">
        <v>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39519-2024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45551</v>
      </c>
      <c r="E514" s="1" t="n">
        <v>46311</v>
      </c>
      <c r="F514" t="inlineStr">
        <is>
          <t>DALARNAS LÄN</t>
        </is>
      </c>
      <c r="G514" t="inlineStr">
        <is>
          <t>LUDVIKA</t>
        </is>
      </c>
      <c r="I514" t="n">
        <v>0.5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31299-2026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46218</v>
      </c>
      <c r="E515" s="1" t="n">
        <v>46311</v>
      </c>
      <c r="F515" t="inlineStr">
        <is>
          <t>DALARNAS LÄN</t>
        </is>
      </c>
      <c r="G515" t="inlineStr">
        <is>
          <t>LUDVIKA</t>
        </is>
      </c>
      <c r="H515" t="inlineStr">
        <is>
          <t>Bergvik skog väst AB</t>
        </is>
      </c>
      <c r="I515" t="n">
        <v>15.8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31350-2026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46219</v>
      </c>
      <c r="E516" s="1" t="n">
        <v>46311</v>
      </c>
      <c r="F516" t="inlineStr">
        <is>
          <t>DALARNAS LÄN</t>
        </is>
      </c>
      <c r="G516" t="inlineStr">
        <is>
          <t>LUDVIKA</t>
        </is>
      </c>
      <c r="H516" t="inlineStr">
        <is>
          <t>Bergvik skog väst AB</t>
        </is>
      </c>
      <c r="I516" t="n">
        <v>2.6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52556-2025</t>
        </is>
      </c>
      <c r="B517" t="inlineStr">
        <is>
          <t>avverkningsanmälan</t>
        </is>
      </c>
      <c r="C517" t="inlineStr">
        <is>
          <t>Avverkning för annat ändamål</t>
        </is>
      </c>
      <c r="D517" s="1" t="n">
        <v>45954</v>
      </c>
      <c r="E517" s="1" t="n">
        <v>46311</v>
      </c>
      <c r="F517" t="inlineStr">
        <is>
          <t>DALARNAS LÄN</t>
        </is>
      </c>
      <c r="G517" t="inlineStr">
        <is>
          <t>LUDVIKA</t>
        </is>
      </c>
      <c r="I517" t="n">
        <v>0.3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6975-2023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44967</v>
      </c>
      <c r="E518" s="1" t="n">
        <v>46311</v>
      </c>
      <c r="F518" t="inlineStr">
        <is>
          <t>DALARNAS LÄN</t>
        </is>
      </c>
      <c r="G518" t="inlineStr">
        <is>
          <t>LUDVIKA</t>
        </is>
      </c>
      <c r="I518" t="n">
        <v>2.1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52838-2025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45957</v>
      </c>
      <c r="E519" s="1" t="n">
        <v>46311</v>
      </c>
      <c r="F519" t="inlineStr">
        <is>
          <t>DALARNAS LÄN</t>
        </is>
      </c>
      <c r="G519" t="inlineStr">
        <is>
          <t>LUDVIKA</t>
        </is>
      </c>
      <c r="H519" t="inlineStr">
        <is>
          <t>Bergvik skog väst AB</t>
        </is>
      </c>
      <c r="I519" t="n">
        <v>0.9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40125-2024</t>
        </is>
      </c>
      <c r="B520" t="inlineStr">
        <is>
          <t>avverkningsanmälan</t>
        </is>
      </c>
      <c r="C520" t="inlineStr">
        <is>
          <t>Avverkning för annat ändamål</t>
        </is>
      </c>
      <c r="D520" s="1" t="n">
        <v>45554</v>
      </c>
      <c r="E520" s="1" t="n">
        <v>46311</v>
      </c>
      <c r="F520" t="inlineStr">
        <is>
          <t>DALARNAS LÄN</t>
        </is>
      </c>
      <c r="G520" t="inlineStr">
        <is>
          <t>LUDVIKA</t>
        </is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31646-2026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46225</v>
      </c>
      <c r="E521" s="1" t="n">
        <v>46311</v>
      </c>
      <c r="F521" t="inlineStr">
        <is>
          <t>DALARNAS LÄN</t>
        </is>
      </c>
      <c r="G521" t="inlineStr">
        <is>
          <t>LUDVIKA</t>
        </is>
      </c>
      <c r="H521" t="inlineStr">
        <is>
          <t>Bergvik skog väst AB</t>
        </is>
      </c>
      <c r="I521" t="n">
        <v>4.2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33839-2024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45520</v>
      </c>
      <c r="E522" s="1" t="n">
        <v>46311</v>
      </c>
      <c r="F522" t="inlineStr">
        <is>
          <t>DALARNAS LÄN</t>
        </is>
      </c>
      <c r="G522" t="inlineStr">
        <is>
          <t>LUDVIKA</t>
        </is>
      </c>
      <c r="I522" t="n">
        <v>0.5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39828-2025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45891</v>
      </c>
      <c r="E523" s="1" t="n">
        <v>46311</v>
      </c>
      <c r="F523" t="inlineStr">
        <is>
          <t>DALARNAS LÄN</t>
        </is>
      </c>
      <c r="G523" t="inlineStr">
        <is>
          <t>LUDVIKA</t>
        </is>
      </c>
      <c r="H523" t="inlineStr">
        <is>
          <t>Bergvik skog väst AB</t>
        </is>
      </c>
      <c r="I523" t="n">
        <v>0.8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39772-2025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45891</v>
      </c>
      <c r="E524" s="1" t="n">
        <v>46311</v>
      </c>
      <c r="F524" t="inlineStr">
        <is>
          <t>DALARNAS LÄN</t>
        </is>
      </c>
      <c r="G524" t="inlineStr">
        <is>
          <t>LUDVIKA</t>
        </is>
      </c>
      <c r="H524" t="inlineStr">
        <is>
          <t>Bergvik skog väst AB</t>
        </is>
      </c>
      <c r="I524" t="n">
        <v>14.1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29114-2024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45481</v>
      </c>
      <c r="E525" s="1" t="n">
        <v>46311</v>
      </c>
      <c r="F525" t="inlineStr">
        <is>
          <t>DALARNAS LÄN</t>
        </is>
      </c>
      <c r="G525" t="inlineStr">
        <is>
          <t>LUDVIKA</t>
        </is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478-2024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45297</v>
      </c>
      <c r="E526" s="1" t="n">
        <v>46311</v>
      </c>
      <c r="F526" t="inlineStr">
        <is>
          <t>DALARNAS LÄN</t>
        </is>
      </c>
      <c r="G526" t="inlineStr">
        <is>
          <t>LUDVIKA</t>
        </is>
      </c>
      <c r="I526" t="n">
        <v>3.2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54035-2025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45963</v>
      </c>
      <c r="E527" s="1" t="n">
        <v>46311</v>
      </c>
      <c r="F527" t="inlineStr">
        <is>
          <t>DALARNAS LÄN</t>
        </is>
      </c>
      <c r="G527" t="inlineStr">
        <is>
          <t>LUDVIKA</t>
        </is>
      </c>
      <c r="H527" t="inlineStr">
        <is>
          <t>Bergvik skog väst AB</t>
        </is>
      </c>
      <c r="I527" t="n">
        <v>2.5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46029-2025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45924</v>
      </c>
      <c r="E528" s="1" t="n">
        <v>46311</v>
      </c>
      <c r="F528" t="inlineStr">
        <is>
          <t>DALARNAS LÄN</t>
        </is>
      </c>
      <c r="G528" t="inlineStr">
        <is>
          <t>LUDVIKA</t>
        </is>
      </c>
      <c r="H528" t="inlineStr">
        <is>
          <t>Bergvik skog väst AB</t>
        </is>
      </c>
      <c r="I528" t="n">
        <v>1.3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51015-2023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45218</v>
      </c>
      <c r="E529" s="1" t="n">
        <v>46311</v>
      </c>
      <c r="F529" t="inlineStr">
        <is>
          <t>DALARNAS LÄN</t>
        </is>
      </c>
      <c r="G529" t="inlineStr">
        <is>
          <t>LUDVIKA</t>
        </is>
      </c>
      <c r="I529" t="n">
        <v>5.9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31776-2026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46230</v>
      </c>
      <c r="E530" s="1" t="n">
        <v>46311</v>
      </c>
      <c r="F530" t="inlineStr">
        <is>
          <t>DALARNAS LÄN</t>
        </is>
      </c>
      <c r="G530" t="inlineStr">
        <is>
          <t>LUDVIKA</t>
        </is>
      </c>
      <c r="H530" t="inlineStr">
        <is>
          <t>Bergvik skog väst AB</t>
        </is>
      </c>
      <c r="I530" t="n">
        <v>3.1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36820-2026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46272</v>
      </c>
      <c r="E531" s="1" t="n">
        <v>46311</v>
      </c>
      <c r="F531" t="inlineStr">
        <is>
          <t>DALARNAS LÄN</t>
        </is>
      </c>
      <c r="G531" t="inlineStr">
        <is>
          <t>LUDVIKA</t>
        </is>
      </c>
      <c r="I531" t="n">
        <v>0.9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30210-2026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46206</v>
      </c>
      <c r="E532" s="1" t="n">
        <v>46311</v>
      </c>
      <c r="F532" t="inlineStr">
        <is>
          <t>DALARNAS LÄN</t>
        </is>
      </c>
      <c r="G532" t="inlineStr">
        <is>
          <t>LUDVIKA</t>
        </is>
      </c>
      <c r="H532" t="inlineStr">
        <is>
          <t>Naturvårdsverket</t>
        </is>
      </c>
      <c r="I532" t="n">
        <v>1.4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37052-2026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46273</v>
      </c>
      <c r="E533" s="1" t="n">
        <v>46311</v>
      </c>
      <c r="F533" t="inlineStr">
        <is>
          <t>DALARNAS LÄN</t>
        </is>
      </c>
      <c r="G533" t="inlineStr">
        <is>
          <t>LUDVIKA</t>
        </is>
      </c>
      <c r="I533" t="n">
        <v>8.5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60660-2024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45644</v>
      </c>
      <c r="E534" s="1" t="n">
        <v>46311</v>
      </c>
      <c r="F534" t="inlineStr">
        <is>
          <t>DALARNAS LÄN</t>
        </is>
      </c>
      <c r="G534" t="inlineStr">
        <is>
          <t>LUDVIKA</t>
        </is>
      </c>
      <c r="I534" t="n">
        <v>0.7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31778-2026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46230</v>
      </c>
      <c r="E535" s="1" t="n">
        <v>46311</v>
      </c>
      <c r="F535" t="inlineStr">
        <is>
          <t>DALARNAS LÄN</t>
        </is>
      </c>
      <c r="G535" t="inlineStr">
        <is>
          <t>LUDVIKA</t>
        </is>
      </c>
      <c r="H535" t="inlineStr">
        <is>
          <t>Bergvik skog väst AB</t>
        </is>
      </c>
      <c r="I535" t="n">
        <v>3.6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42346-2025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45904</v>
      </c>
      <c r="E536" s="1" t="n">
        <v>46311</v>
      </c>
      <c r="F536" t="inlineStr">
        <is>
          <t>DALARNAS LÄN</t>
        </is>
      </c>
      <c r="G536" t="inlineStr">
        <is>
          <t>LUDVIKA</t>
        </is>
      </c>
      <c r="I536" t="n">
        <v>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37015-2026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46273</v>
      </c>
      <c r="E537" s="1" t="n">
        <v>46311</v>
      </c>
      <c r="F537" t="inlineStr">
        <is>
          <t>DALARNAS LÄN</t>
        </is>
      </c>
      <c r="G537" t="inlineStr">
        <is>
          <t>LUDVIKA</t>
        </is>
      </c>
      <c r="H537" t="inlineStr">
        <is>
          <t>Bergvik skog väst AB</t>
        </is>
      </c>
      <c r="I537" t="n">
        <v>2.2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37033-2026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46273</v>
      </c>
      <c r="E538" s="1" t="n">
        <v>46311</v>
      </c>
      <c r="F538" t="inlineStr">
        <is>
          <t>DALARNAS LÄN</t>
        </is>
      </c>
      <c r="G538" t="inlineStr">
        <is>
          <t>LUDVIKA</t>
        </is>
      </c>
      <c r="H538" t="inlineStr">
        <is>
          <t>Bergvik skog väst AB</t>
        </is>
      </c>
      <c r="I538" t="n">
        <v>10.1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37000-2026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46273</v>
      </c>
      <c r="E539" s="1" t="n">
        <v>46311</v>
      </c>
      <c r="F539" t="inlineStr">
        <is>
          <t>DALARNAS LÄN</t>
        </is>
      </c>
      <c r="G539" t="inlineStr">
        <is>
          <t>LUDVIKA</t>
        </is>
      </c>
      <c r="H539" t="inlineStr">
        <is>
          <t>Bergvik skog väst AB</t>
        </is>
      </c>
      <c r="I539" t="n">
        <v>1.9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54673-2025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45966</v>
      </c>
      <c r="E540" s="1" t="n">
        <v>46311</v>
      </c>
      <c r="F540" t="inlineStr">
        <is>
          <t>DALARNAS LÄN</t>
        </is>
      </c>
      <c r="G540" t="inlineStr">
        <is>
          <t>LUDVIKA</t>
        </is>
      </c>
      <c r="H540" t="inlineStr">
        <is>
          <t>Bergvik skog väst AB</t>
        </is>
      </c>
      <c r="I540" t="n">
        <v>5.8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54375-2025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45965</v>
      </c>
      <c r="E541" s="1" t="n">
        <v>46311</v>
      </c>
      <c r="F541" t="inlineStr">
        <is>
          <t>DALARNAS LÄN</t>
        </is>
      </c>
      <c r="G541" t="inlineStr">
        <is>
          <t>LUDVIKA</t>
        </is>
      </c>
      <c r="H541" t="inlineStr">
        <is>
          <t>Bergvik skog väst AB</t>
        </is>
      </c>
      <c r="I541" t="n">
        <v>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54341-2025</t>
        </is>
      </c>
      <c r="B542" t="inlineStr">
        <is>
          <t>avverkningsanmälan</t>
        </is>
      </c>
      <c r="C542" t="inlineStr">
        <is>
          <t>Avverkning för annat ändamål</t>
        </is>
      </c>
      <c r="D542" s="1" t="n">
        <v>45965</v>
      </c>
      <c r="E542" s="1" t="n">
        <v>46311</v>
      </c>
      <c r="F542" t="inlineStr">
        <is>
          <t>DALARNAS LÄN</t>
        </is>
      </c>
      <c r="G542" t="inlineStr">
        <is>
          <t>LUDVIKA</t>
        </is>
      </c>
      <c r="I542" t="n">
        <v>0.6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53048-2024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45611</v>
      </c>
      <c r="E543" s="1" t="n">
        <v>46311</v>
      </c>
      <c r="F543" t="inlineStr">
        <is>
          <t>DALARNAS LÄN</t>
        </is>
      </c>
      <c r="G543" t="inlineStr">
        <is>
          <t>LUDVIKA</t>
        </is>
      </c>
      <c r="H543" t="inlineStr">
        <is>
          <t>Bergvik skog väst AB</t>
        </is>
      </c>
      <c r="I543" t="n">
        <v>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37359-2026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46275</v>
      </c>
      <c r="E544" s="1" t="n">
        <v>46311</v>
      </c>
      <c r="F544" t="inlineStr">
        <is>
          <t>DALARNAS LÄN</t>
        </is>
      </c>
      <c r="G544" t="inlineStr">
        <is>
          <t>LUDVIKA</t>
        </is>
      </c>
      <c r="I544" t="n">
        <v>1.7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50777-2024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45602</v>
      </c>
      <c r="E545" s="1" t="n">
        <v>46311</v>
      </c>
      <c r="F545" t="inlineStr">
        <is>
          <t>DALARNAS LÄN</t>
        </is>
      </c>
      <c r="G545" t="inlineStr">
        <is>
          <t>LUDVIKA</t>
        </is>
      </c>
      <c r="I545" t="n">
        <v>1.3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55211-2025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45968</v>
      </c>
      <c r="E546" s="1" t="n">
        <v>46311</v>
      </c>
      <c r="F546" t="inlineStr">
        <is>
          <t>DALARNAS LÄN</t>
        </is>
      </c>
      <c r="G546" t="inlineStr">
        <is>
          <t>LUDVIKA</t>
        </is>
      </c>
      <c r="H546" t="inlineStr">
        <is>
          <t>Bergvik skog väst AB</t>
        </is>
      </c>
      <c r="I546" t="n">
        <v>11.5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37626-2026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46276</v>
      </c>
      <c r="E547" s="1" t="n">
        <v>46311</v>
      </c>
      <c r="F547" t="inlineStr">
        <is>
          <t>DALARNAS LÄN</t>
        </is>
      </c>
      <c r="G547" t="inlineStr">
        <is>
          <t>LUDVIKA</t>
        </is>
      </c>
      <c r="I547" t="n">
        <v>1.1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37957-2026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46280</v>
      </c>
      <c r="E548" s="1" t="n">
        <v>46311</v>
      </c>
      <c r="F548" t="inlineStr">
        <is>
          <t>DALARNAS LÄN</t>
        </is>
      </c>
      <c r="G548" t="inlineStr">
        <is>
          <t>LUDVIKA</t>
        </is>
      </c>
      <c r="H548" t="inlineStr">
        <is>
          <t>Bergvik skog väst AB</t>
        </is>
      </c>
      <c r="I548" t="n">
        <v>2.8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37706-2026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46279</v>
      </c>
      <c r="E549" s="1" t="n">
        <v>46311</v>
      </c>
      <c r="F549" t="inlineStr">
        <is>
          <t>DALARNAS LÄN</t>
        </is>
      </c>
      <c r="G549" t="inlineStr">
        <is>
          <t>LUDVIKA</t>
        </is>
      </c>
      <c r="H549" t="inlineStr">
        <is>
          <t>Bergvik skog väst AB</t>
        </is>
      </c>
      <c r="I549" t="n">
        <v>1.4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37719-2026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46279</v>
      </c>
      <c r="E550" s="1" t="n">
        <v>46311</v>
      </c>
      <c r="F550" t="inlineStr">
        <is>
          <t>DALARNAS LÄN</t>
        </is>
      </c>
      <c r="G550" t="inlineStr">
        <is>
          <t>LUDVIKA</t>
        </is>
      </c>
      <c r="H550" t="inlineStr">
        <is>
          <t>Bergvik skog väst AB</t>
        </is>
      </c>
      <c r="I550" t="n">
        <v>5.3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55646-2025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45972</v>
      </c>
      <c r="E551" s="1" t="n">
        <v>46311</v>
      </c>
      <c r="F551" t="inlineStr">
        <is>
          <t>DALARNAS LÄN</t>
        </is>
      </c>
      <c r="G551" t="inlineStr">
        <is>
          <t>LUDVIKA</t>
        </is>
      </c>
      <c r="H551" t="inlineStr">
        <is>
          <t>Bergvik skog väst AB</t>
        </is>
      </c>
      <c r="I551" t="n">
        <v>2.7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32016-2026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46233</v>
      </c>
      <c r="E552" s="1" t="n">
        <v>46311</v>
      </c>
      <c r="F552" t="inlineStr">
        <is>
          <t>DALARNAS LÄN</t>
        </is>
      </c>
      <c r="G552" t="inlineStr">
        <is>
          <t>LUDVIKA</t>
        </is>
      </c>
      <c r="H552" t="inlineStr">
        <is>
          <t>Bergvik skog väst AB</t>
        </is>
      </c>
      <c r="I552" t="n">
        <v>3.9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28507-2023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45103</v>
      </c>
      <c r="E553" s="1" t="n">
        <v>46311</v>
      </c>
      <c r="F553" t="inlineStr">
        <is>
          <t>DALARNAS LÄN</t>
        </is>
      </c>
      <c r="G553" t="inlineStr">
        <is>
          <t>LUDVIKA</t>
        </is>
      </c>
      <c r="I553" t="n">
        <v>2.4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37955-2026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46280</v>
      </c>
      <c r="E554" s="1" t="n">
        <v>46311</v>
      </c>
      <c r="F554" t="inlineStr">
        <is>
          <t>DALARNAS LÄN</t>
        </is>
      </c>
      <c r="G554" t="inlineStr">
        <is>
          <t>LUDVIKA</t>
        </is>
      </c>
      <c r="H554" t="inlineStr">
        <is>
          <t>Bergvik skog väst AB</t>
        </is>
      </c>
      <c r="I554" t="n">
        <v>7.7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55554-2025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45971</v>
      </c>
      <c r="E555" s="1" t="n">
        <v>46311</v>
      </c>
      <c r="F555" t="inlineStr">
        <is>
          <t>DALARNAS LÄN</t>
        </is>
      </c>
      <c r="G555" t="inlineStr">
        <is>
          <t>LUDVIKA</t>
        </is>
      </c>
      <c r="H555" t="inlineStr">
        <is>
          <t>Bergvik skog väst AB</t>
        </is>
      </c>
      <c r="I555" t="n">
        <v>8.699999999999999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55559-2025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45971</v>
      </c>
      <c r="E556" s="1" t="n">
        <v>46311</v>
      </c>
      <c r="F556" t="inlineStr">
        <is>
          <t>DALARNAS LÄN</t>
        </is>
      </c>
      <c r="G556" t="inlineStr">
        <is>
          <t>LUDVIKA</t>
        </is>
      </c>
      <c r="H556" t="inlineStr">
        <is>
          <t>Bergvik skog väst AB</t>
        </is>
      </c>
      <c r="I556" t="n">
        <v>9.4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55426-2025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45971</v>
      </c>
      <c r="E557" s="1" t="n">
        <v>46311</v>
      </c>
      <c r="F557" t="inlineStr">
        <is>
          <t>DALARNAS LÄN</t>
        </is>
      </c>
      <c r="G557" t="inlineStr">
        <is>
          <t>LUDVIKA</t>
        </is>
      </c>
      <c r="H557" t="inlineStr">
        <is>
          <t>Bergvik skog väst AB</t>
        </is>
      </c>
      <c r="I557" t="n">
        <v>5.3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55450-2025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45971</v>
      </c>
      <c r="E558" s="1" t="n">
        <v>46311</v>
      </c>
      <c r="F558" t="inlineStr">
        <is>
          <t>DALARNAS LÄN</t>
        </is>
      </c>
      <c r="G558" t="inlineStr">
        <is>
          <t>LUDVIKA</t>
        </is>
      </c>
      <c r="H558" t="inlineStr">
        <is>
          <t>Bergvik skog väst AB</t>
        </is>
      </c>
      <c r="I558" t="n">
        <v>5.6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37702-2026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46279</v>
      </c>
      <c r="E559" s="1" t="n">
        <v>46311</v>
      </c>
      <c r="F559" t="inlineStr">
        <is>
          <t>DALARNAS LÄN</t>
        </is>
      </c>
      <c r="G559" t="inlineStr">
        <is>
          <t>LUDVIKA</t>
        </is>
      </c>
      <c r="H559" t="inlineStr">
        <is>
          <t>Bergvik skog väst AB</t>
        </is>
      </c>
      <c r="I559" t="n">
        <v>2.4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56249-2025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45974</v>
      </c>
      <c r="E560" s="1" t="n">
        <v>46311</v>
      </c>
      <c r="F560" t="inlineStr">
        <is>
          <t>DALARNAS LÄN</t>
        </is>
      </c>
      <c r="G560" t="inlineStr">
        <is>
          <t>LUDVIKA</t>
        </is>
      </c>
      <c r="H560" t="inlineStr">
        <is>
          <t>Bergvik skog väst AB</t>
        </is>
      </c>
      <c r="I560" t="n">
        <v>5.9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3470-2025</t>
        </is>
      </c>
      <c r="B561" t="inlineStr">
        <is>
          <t>avverkningsanmälan</t>
        </is>
      </c>
      <c r="C561" t="inlineStr">
        <is>
          <t>Avverkning för att bevara och utveckla /försöksver</t>
        </is>
      </c>
      <c r="D561" s="1" t="n">
        <v>45680</v>
      </c>
      <c r="E561" s="1" t="n">
        <v>46311</v>
      </c>
      <c r="F561" t="inlineStr">
        <is>
          <t>DALARNAS LÄN</t>
        </is>
      </c>
      <c r="G561" t="inlineStr">
        <is>
          <t>LUDVIKA</t>
        </is>
      </c>
      <c r="I561" t="n">
        <v>0.7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38160-2026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46281</v>
      </c>
      <c r="E562" s="1" t="n">
        <v>46311</v>
      </c>
      <c r="F562" t="inlineStr">
        <is>
          <t>DALARNAS LÄN</t>
        </is>
      </c>
      <c r="G562" t="inlineStr">
        <is>
          <t>LUDVIKA</t>
        </is>
      </c>
      <c r="H562" t="inlineStr">
        <is>
          <t>Bergvik skog väst AB</t>
        </is>
      </c>
      <c r="I562" t="n">
        <v>4.3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56178-2025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45974</v>
      </c>
      <c r="E563" s="1" t="n">
        <v>46311</v>
      </c>
      <c r="F563" t="inlineStr">
        <is>
          <t>DALARNAS LÄN</t>
        </is>
      </c>
      <c r="G563" t="inlineStr">
        <is>
          <t>LUDVIKA</t>
        </is>
      </c>
      <c r="H563" t="inlineStr">
        <is>
          <t>Bergvik skog väst AB</t>
        </is>
      </c>
      <c r="I563" t="n">
        <v>1.7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56002-2025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45973</v>
      </c>
      <c r="E564" s="1" t="n">
        <v>46311</v>
      </c>
      <c r="F564" t="inlineStr">
        <is>
          <t>DALARNAS LÄN</t>
        </is>
      </c>
      <c r="G564" t="inlineStr">
        <is>
          <t>LUDVIKA</t>
        </is>
      </c>
      <c r="H564" t="inlineStr">
        <is>
          <t>Bergvik skog väst AB</t>
        </is>
      </c>
      <c r="I564" t="n">
        <v>4.9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56219-2025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45974</v>
      </c>
      <c r="E565" s="1" t="n">
        <v>46311</v>
      </c>
      <c r="F565" t="inlineStr">
        <is>
          <t>DALARNAS LÄN</t>
        </is>
      </c>
      <c r="G565" t="inlineStr">
        <is>
          <t>LUDVIKA</t>
        </is>
      </c>
      <c r="H565" t="inlineStr">
        <is>
          <t>Bergvik skog väst AB</t>
        </is>
      </c>
      <c r="I565" t="n">
        <v>4.9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55944-2025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45973</v>
      </c>
      <c r="E566" s="1" t="n">
        <v>46311</v>
      </c>
      <c r="F566" t="inlineStr">
        <is>
          <t>DALARNAS LÄN</t>
        </is>
      </c>
      <c r="G566" t="inlineStr">
        <is>
          <t>LUDVIKA</t>
        </is>
      </c>
      <c r="H566" t="inlineStr">
        <is>
          <t>Bergvik skog väst AB</t>
        </is>
      </c>
      <c r="I566" t="n">
        <v>4.8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38357-2026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46282</v>
      </c>
      <c r="E567" s="1" t="n">
        <v>46311</v>
      </c>
      <c r="F567" t="inlineStr">
        <is>
          <t>DALARNAS LÄN</t>
        </is>
      </c>
      <c r="G567" t="inlineStr">
        <is>
          <t>LUDVIKA</t>
        </is>
      </c>
      <c r="H567" t="inlineStr">
        <is>
          <t>Naturvårdsverket</t>
        </is>
      </c>
      <c r="I567" t="n">
        <v>1.4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56030-2025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45973</v>
      </c>
      <c r="E568" s="1" t="n">
        <v>46311</v>
      </c>
      <c r="F568" t="inlineStr">
        <is>
          <t>DALARNAS LÄN</t>
        </is>
      </c>
      <c r="G568" t="inlineStr">
        <is>
          <t>LUDVIKA</t>
        </is>
      </c>
      <c r="H568" t="inlineStr">
        <is>
          <t>Bergvik skog väst AB</t>
        </is>
      </c>
      <c r="I568" t="n">
        <v>6.3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55932-2025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45973</v>
      </c>
      <c r="E569" s="1" t="n">
        <v>46311</v>
      </c>
      <c r="F569" t="inlineStr">
        <is>
          <t>DALARNAS LÄN</t>
        </is>
      </c>
      <c r="G569" t="inlineStr">
        <is>
          <t>LUDVIKA</t>
        </is>
      </c>
      <c r="H569" t="inlineStr">
        <is>
          <t>Bergvik skog väst AB</t>
        </is>
      </c>
      <c r="I569" t="n">
        <v>2.4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56316-2025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45974</v>
      </c>
      <c r="E570" s="1" t="n">
        <v>46311</v>
      </c>
      <c r="F570" t="inlineStr">
        <is>
          <t>DALARNAS LÄN</t>
        </is>
      </c>
      <c r="G570" t="inlineStr">
        <is>
          <t>LUDVIKA</t>
        </is>
      </c>
      <c r="H570" t="inlineStr">
        <is>
          <t>Bergvik skog väst AB</t>
        </is>
      </c>
      <c r="I570" t="n">
        <v>2.1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56155-2025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45974</v>
      </c>
      <c r="E571" s="1" t="n">
        <v>46311</v>
      </c>
      <c r="F571" t="inlineStr">
        <is>
          <t>DALARNAS LÄN</t>
        </is>
      </c>
      <c r="G571" t="inlineStr">
        <is>
          <t>LUDVIKA</t>
        </is>
      </c>
      <c r="H571" t="inlineStr">
        <is>
          <t>Bergvik skog väst AB</t>
        </is>
      </c>
      <c r="I571" t="n">
        <v>6.9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56650-2025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45975</v>
      </c>
      <c r="E572" s="1" t="n">
        <v>46311</v>
      </c>
      <c r="F572" t="inlineStr">
        <is>
          <t>DALARNAS LÄN</t>
        </is>
      </c>
      <c r="G572" t="inlineStr">
        <is>
          <t>LUDVIKA</t>
        </is>
      </c>
      <c r="H572" t="inlineStr">
        <is>
          <t>Bergvik skog väst AB</t>
        </is>
      </c>
      <c r="I572" t="n">
        <v>7.2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45544-2024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45579</v>
      </c>
      <c r="E573" s="1" t="n">
        <v>46311</v>
      </c>
      <c r="F573" t="inlineStr">
        <is>
          <t>DALARNAS LÄN</t>
        </is>
      </c>
      <c r="G573" t="inlineStr">
        <is>
          <t>LUDVIKA</t>
        </is>
      </c>
      <c r="I573" t="n">
        <v>1.5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45547-2024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45579</v>
      </c>
      <c r="E574" s="1" t="n">
        <v>46311</v>
      </c>
      <c r="F574" t="inlineStr">
        <is>
          <t>DALARNAS LÄN</t>
        </is>
      </c>
      <c r="G574" t="inlineStr">
        <is>
          <t>LUDVIKA</t>
        </is>
      </c>
      <c r="I574" t="n">
        <v>2.5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32752-2026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46241</v>
      </c>
      <c r="E575" s="1" t="n">
        <v>46311</v>
      </c>
      <c r="F575" t="inlineStr">
        <is>
          <t>DALARNAS LÄN</t>
        </is>
      </c>
      <c r="G575" t="inlineStr">
        <is>
          <t>LUDVIKA</t>
        </is>
      </c>
      <c r="H575" t="inlineStr">
        <is>
          <t>Bergvik skog väst AB</t>
        </is>
      </c>
      <c r="I575" t="n">
        <v>0.7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32757-2026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46241</v>
      </c>
      <c r="E576" s="1" t="n">
        <v>46311</v>
      </c>
      <c r="F576" t="inlineStr">
        <is>
          <t>DALARNAS LÄN</t>
        </is>
      </c>
      <c r="G576" t="inlineStr">
        <is>
          <t>LUDVIKA</t>
        </is>
      </c>
      <c r="H576" t="inlineStr">
        <is>
          <t>Bergvik skog väst AB</t>
        </is>
      </c>
      <c r="I576" t="n">
        <v>2.9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32749-2026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46241</v>
      </c>
      <c r="E577" s="1" t="n">
        <v>46311</v>
      </c>
      <c r="F577" t="inlineStr">
        <is>
          <t>DALARNAS LÄN</t>
        </is>
      </c>
      <c r="G577" t="inlineStr">
        <is>
          <t>LUDVIKA</t>
        </is>
      </c>
      <c r="I577" t="n">
        <v>3.3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38638-2026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46283</v>
      </c>
      <c r="E578" s="1" t="n">
        <v>46311</v>
      </c>
      <c r="F578" t="inlineStr">
        <is>
          <t>DALARNAS LÄN</t>
        </is>
      </c>
      <c r="G578" t="inlineStr">
        <is>
          <t>LUDVIKA</t>
        </is>
      </c>
      <c r="H578" t="inlineStr">
        <is>
          <t>Bergvik skog väst AB</t>
        </is>
      </c>
      <c r="I578" t="n">
        <v>4.6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38620-2026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46283</v>
      </c>
      <c r="E579" s="1" t="n">
        <v>46311</v>
      </c>
      <c r="F579" t="inlineStr">
        <is>
          <t>DALARNAS LÄN</t>
        </is>
      </c>
      <c r="G579" t="inlineStr">
        <is>
          <t>LUDVIKA</t>
        </is>
      </c>
      <c r="H579" t="inlineStr">
        <is>
          <t>Naturvårdsverket</t>
        </is>
      </c>
      <c r="I579" t="n">
        <v>2.7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32780-2026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46241</v>
      </c>
      <c r="E580" s="1" t="n">
        <v>46311</v>
      </c>
      <c r="F580" t="inlineStr">
        <is>
          <t>DALARNAS LÄN</t>
        </is>
      </c>
      <c r="G580" t="inlineStr">
        <is>
          <t>LUDVIKA</t>
        </is>
      </c>
      <c r="H580" t="inlineStr">
        <is>
          <t>Bergvik skog väst AB</t>
        </is>
      </c>
      <c r="I580" t="n">
        <v>2.2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32755-2026</t>
        </is>
      </c>
      <c r="B581" t="inlineStr">
        <is>
          <t>avverkningsanmälan</t>
        </is>
      </c>
      <c r="C581" t="inlineStr">
        <is>
          <t>Föryngringsavverkning</t>
        </is>
      </c>
      <c r="D581" s="1" t="n">
        <v>46241</v>
      </c>
      <c r="E581" s="1" t="n">
        <v>46311</v>
      </c>
      <c r="F581" t="inlineStr">
        <is>
          <t>DALARNAS LÄN</t>
        </is>
      </c>
      <c r="G581" t="inlineStr">
        <is>
          <t>LUDVIKA</t>
        </is>
      </c>
      <c r="H581" t="inlineStr">
        <is>
          <t>Bergvik skog väst AB</t>
        </is>
      </c>
      <c r="I581" t="n">
        <v>1.3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38656-2026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46283</v>
      </c>
      <c r="E582" s="1" t="n">
        <v>46311</v>
      </c>
      <c r="F582" t="inlineStr">
        <is>
          <t>DALARNAS LÄN</t>
        </is>
      </c>
      <c r="G582" t="inlineStr">
        <is>
          <t>LUDVIKA</t>
        </is>
      </c>
      <c r="H582" t="inlineStr">
        <is>
          <t>Bergvik skog väst AB</t>
        </is>
      </c>
      <c r="I582" t="n">
        <v>4.6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38661-2026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46283</v>
      </c>
      <c r="E583" s="1" t="n">
        <v>46311</v>
      </c>
      <c r="F583" t="inlineStr">
        <is>
          <t>DALARNAS LÄN</t>
        </is>
      </c>
      <c r="G583" t="inlineStr">
        <is>
          <t>LUDVIKA</t>
        </is>
      </c>
      <c r="H583" t="inlineStr">
        <is>
          <t>Bergvik skog väst AB</t>
        </is>
      </c>
      <c r="I583" t="n">
        <v>6.5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39093-2026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46287</v>
      </c>
      <c r="E584" s="1" t="n">
        <v>46311</v>
      </c>
      <c r="F584" t="inlineStr">
        <is>
          <t>DALARNAS LÄN</t>
        </is>
      </c>
      <c r="G584" t="inlineStr">
        <is>
          <t>LUDVIKA</t>
        </is>
      </c>
      <c r="H584" t="inlineStr">
        <is>
          <t>Bergvik skog väst AB</t>
        </is>
      </c>
      <c r="I584" t="n">
        <v>1.3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3277-2024</t>
        </is>
      </c>
      <c r="B585" t="inlineStr">
        <is>
          <t>avverkningsanmälan</t>
        </is>
      </c>
      <c r="C585" t="inlineStr">
        <is>
          <t>Avverkning för annat ändamål</t>
        </is>
      </c>
      <c r="D585" s="1" t="n">
        <v>45317</v>
      </c>
      <c r="E585" s="1" t="n">
        <v>46311</v>
      </c>
      <c r="F585" t="inlineStr">
        <is>
          <t>DALARNAS LÄN</t>
        </is>
      </c>
      <c r="G585" t="inlineStr">
        <is>
          <t>LUDVIKA</t>
        </is>
      </c>
      <c r="I585" t="n">
        <v>0.3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39104-2026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46287</v>
      </c>
      <c r="E586" s="1" t="n">
        <v>46311</v>
      </c>
      <c r="F586" t="inlineStr">
        <is>
          <t>DALARNAS LÄN</t>
        </is>
      </c>
      <c r="G586" t="inlineStr">
        <is>
          <t>LUDVIKA</t>
        </is>
      </c>
      <c r="H586" t="inlineStr">
        <is>
          <t>Bergvik skog väst AB</t>
        </is>
      </c>
      <c r="I586" t="n">
        <v>20.2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12497-2024</t>
        </is>
      </c>
      <c r="B587" t="inlineStr">
        <is>
          <t>avverkningsanmälan</t>
        </is>
      </c>
      <c r="C587" t="inlineStr">
        <is>
          <t>Avverkning för annat ändamål</t>
        </is>
      </c>
      <c r="D587" s="1" t="n">
        <v>45379</v>
      </c>
      <c r="E587" s="1" t="n">
        <v>46311</v>
      </c>
      <c r="F587" t="inlineStr">
        <is>
          <t>DALARNAS LÄN</t>
        </is>
      </c>
      <c r="G587" t="inlineStr">
        <is>
          <t>LUDVIKA</t>
        </is>
      </c>
      <c r="H587" t="inlineStr">
        <is>
          <t>Naturvårdsverket</t>
        </is>
      </c>
      <c r="I587" t="n">
        <v>0.4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39435-2026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46288</v>
      </c>
      <c r="E588" s="1" t="n">
        <v>46311</v>
      </c>
      <c r="F588" t="inlineStr">
        <is>
          <t>DALARNAS LÄN</t>
        </is>
      </c>
      <c r="G588" t="inlineStr">
        <is>
          <t>LUDVIKA</t>
        </is>
      </c>
      <c r="I588" t="n">
        <v>2.2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49805-2023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45212</v>
      </c>
      <c r="E589" s="1" t="n">
        <v>46311</v>
      </c>
      <c r="F589" t="inlineStr">
        <is>
          <t>DALARNAS LÄN</t>
        </is>
      </c>
      <c r="G589" t="inlineStr">
        <is>
          <t>LUDVIKA</t>
        </is>
      </c>
      <c r="I589" t="n">
        <v>1.9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57870-2025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45981</v>
      </c>
      <c r="E590" s="1" t="n">
        <v>46311</v>
      </c>
      <c r="F590" t="inlineStr">
        <is>
          <t>DALARNAS LÄN</t>
        </is>
      </c>
      <c r="G590" t="inlineStr">
        <is>
          <t>LUDVIKA</t>
        </is>
      </c>
      <c r="H590" t="inlineStr">
        <is>
          <t>Bergvik skog väst AB</t>
        </is>
      </c>
      <c r="I590" t="n">
        <v>0.7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33419-2026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46247</v>
      </c>
      <c r="E591" s="1" t="n">
        <v>46311</v>
      </c>
      <c r="F591" t="inlineStr">
        <is>
          <t>DALARNAS LÄN</t>
        </is>
      </c>
      <c r="G591" t="inlineStr">
        <is>
          <t>LUDVIKA</t>
        </is>
      </c>
      <c r="H591" t="inlineStr">
        <is>
          <t>Bergvik skog väst AB</t>
        </is>
      </c>
      <c r="I591" t="n">
        <v>3.7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39855-2026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46290</v>
      </c>
      <c r="E592" s="1" t="n">
        <v>46311</v>
      </c>
      <c r="F592" t="inlineStr">
        <is>
          <t>DALARNAS LÄN</t>
        </is>
      </c>
      <c r="G592" t="inlineStr">
        <is>
          <t>LUDVIKA</t>
        </is>
      </c>
      <c r="H592" t="inlineStr">
        <is>
          <t>Bergvik skog väst AB</t>
        </is>
      </c>
      <c r="I592" t="n">
        <v>6.6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33373-2026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46247</v>
      </c>
      <c r="E593" s="1" t="n">
        <v>46311</v>
      </c>
      <c r="F593" t="inlineStr">
        <is>
          <t>DALARNAS LÄN</t>
        </is>
      </c>
      <c r="G593" t="inlineStr">
        <is>
          <t>LUDVIKA</t>
        </is>
      </c>
      <c r="I593" t="n">
        <v>4.5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38869-2026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46286</v>
      </c>
      <c r="E594" s="1" t="n">
        <v>46311</v>
      </c>
      <c r="F594" t="inlineStr">
        <is>
          <t>DALARNAS LÄN</t>
        </is>
      </c>
      <c r="G594" t="inlineStr">
        <is>
          <t>LUDVIKA</t>
        </is>
      </c>
      <c r="H594" t="inlineStr">
        <is>
          <t>Bergvik skog väst AB</t>
        </is>
      </c>
      <c r="I594" t="n">
        <v>2.8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61384-2024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45646</v>
      </c>
      <c r="E595" s="1" t="n">
        <v>46311</v>
      </c>
      <c r="F595" t="inlineStr">
        <is>
          <t>DALARNAS LÄN</t>
        </is>
      </c>
      <c r="G595" t="inlineStr">
        <is>
          <t>LUDVIKA</t>
        </is>
      </c>
      <c r="I595" t="n">
        <v>0.7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3280-2024</t>
        </is>
      </c>
      <c r="B596" t="inlineStr">
        <is>
          <t>avverkningsanmälan</t>
        </is>
      </c>
      <c r="C596" t="inlineStr">
        <is>
          <t>Avverkning för annat ändamål</t>
        </is>
      </c>
      <c r="D596" s="1" t="n">
        <v>45317</v>
      </c>
      <c r="E596" s="1" t="n">
        <v>46311</v>
      </c>
      <c r="F596" t="inlineStr">
        <is>
          <t>DALARNAS LÄN</t>
        </is>
      </c>
      <c r="G596" t="inlineStr">
        <is>
          <t>LUDVIKA</t>
        </is>
      </c>
      <c r="I596" t="n">
        <v>0.4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39789-2026</t>
        </is>
      </c>
      <c r="B597" t="inlineStr">
        <is>
          <t>avverkningsanmälan</t>
        </is>
      </c>
      <c r="C597" t="inlineStr">
        <is>
          <t>Föryngringsavverkning</t>
        </is>
      </c>
      <c r="D597" s="1" t="n">
        <v>46290</v>
      </c>
      <c r="E597" s="1" t="n">
        <v>46311</v>
      </c>
      <c r="F597" t="inlineStr">
        <is>
          <t>DALARNAS LÄN</t>
        </is>
      </c>
      <c r="G597" t="inlineStr">
        <is>
          <t>LUDVIKA</t>
        </is>
      </c>
      <c r="H597" t="inlineStr">
        <is>
          <t>Naturvårdsverket</t>
        </is>
      </c>
      <c r="I597" t="n">
        <v>2.1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29780-2024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45485</v>
      </c>
      <c r="E598" s="1" t="n">
        <v>46311</v>
      </c>
      <c r="F598" t="inlineStr">
        <is>
          <t>DALARNAS LÄN</t>
        </is>
      </c>
      <c r="G598" t="inlineStr">
        <is>
          <t>LUDVIKA</t>
        </is>
      </c>
      <c r="H598" t="inlineStr">
        <is>
          <t>Bergvik skog väst AB</t>
        </is>
      </c>
      <c r="I598" t="n">
        <v>1.2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14881-2025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45743</v>
      </c>
      <c r="E599" s="1" t="n">
        <v>46311</v>
      </c>
      <c r="F599" t="inlineStr">
        <is>
          <t>DALARNAS LÄN</t>
        </is>
      </c>
      <c r="G599" t="inlineStr">
        <is>
          <t>LUDVIKA</t>
        </is>
      </c>
      <c r="I599" t="n">
        <v>0.5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47086-2025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45929</v>
      </c>
      <c r="E600" s="1" t="n">
        <v>46311</v>
      </c>
      <c r="F600" t="inlineStr">
        <is>
          <t>DALARNAS LÄN</t>
        </is>
      </c>
      <c r="G600" t="inlineStr">
        <is>
          <t>LUDVIKA</t>
        </is>
      </c>
      <c r="H600" t="inlineStr">
        <is>
          <t>Bergvik skog väst AB</t>
        </is>
      </c>
      <c r="I600" t="n">
        <v>1.6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47032-2025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45929</v>
      </c>
      <c r="E601" s="1" t="n">
        <v>46311</v>
      </c>
      <c r="F601" t="inlineStr">
        <is>
          <t>DALARNAS LÄN</t>
        </is>
      </c>
      <c r="G601" t="inlineStr">
        <is>
          <t>LUDVIKA</t>
        </is>
      </c>
      <c r="H601" t="inlineStr">
        <is>
          <t>Bergvik skog väst AB</t>
        </is>
      </c>
      <c r="I601" t="n">
        <v>1.9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59171-2025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45988</v>
      </c>
      <c r="E602" s="1" t="n">
        <v>46311</v>
      </c>
      <c r="F602" t="inlineStr">
        <is>
          <t>DALARNAS LÄN</t>
        </is>
      </c>
      <c r="G602" t="inlineStr">
        <is>
          <t>LUDVIKA</t>
        </is>
      </c>
      <c r="H602" t="inlineStr">
        <is>
          <t>Bergvik skog väst AB</t>
        </is>
      </c>
      <c r="I602" t="n">
        <v>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38831-2026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46286</v>
      </c>
      <c r="E603" s="1" t="n">
        <v>46311</v>
      </c>
      <c r="F603" t="inlineStr">
        <is>
          <t>DALARNAS LÄN</t>
        </is>
      </c>
      <c r="G603" t="inlineStr">
        <is>
          <t>LUDVIKA</t>
        </is>
      </c>
      <c r="H603" t="inlineStr">
        <is>
          <t>Bergvik skog väst AB</t>
        </is>
      </c>
      <c r="I603" t="n">
        <v>4.3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59176-2025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45988</v>
      </c>
      <c r="E604" s="1" t="n">
        <v>46311</v>
      </c>
      <c r="F604" t="inlineStr">
        <is>
          <t>DALARNAS LÄN</t>
        </is>
      </c>
      <c r="G604" t="inlineStr">
        <is>
          <t>LUDVIKA</t>
        </is>
      </c>
      <c r="H604" t="inlineStr">
        <is>
          <t>Bergvik skog väst AB</t>
        </is>
      </c>
      <c r="I604" t="n">
        <v>10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39879-2026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46290</v>
      </c>
      <c r="E605" s="1" t="n">
        <v>46311</v>
      </c>
      <c r="F605" t="inlineStr">
        <is>
          <t>DALARNAS LÄN</t>
        </is>
      </c>
      <c r="G605" t="inlineStr">
        <is>
          <t>LUDVIKA</t>
        </is>
      </c>
      <c r="H605" t="inlineStr">
        <is>
          <t>Naturvårdsverket</t>
        </is>
      </c>
      <c r="I605" t="n">
        <v>3.1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39878-2026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46290</v>
      </c>
      <c r="E606" s="1" t="n">
        <v>46311</v>
      </c>
      <c r="F606" t="inlineStr">
        <is>
          <t>DALARNAS LÄN</t>
        </is>
      </c>
      <c r="G606" t="inlineStr">
        <is>
          <t>LUDVIKA</t>
        </is>
      </c>
      <c r="H606" t="inlineStr">
        <is>
          <t>Bergvik skog väst AB</t>
        </is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40431-2026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46294</v>
      </c>
      <c r="E607" s="1" t="n">
        <v>46311</v>
      </c>
      <c r="F607" t="inlineStr">
        <is>
          <t>DALARNAS LÄN</t>
        </is>
      </c>
      <c r="G607" t="inlineStr">
        <is>
          <t>LUDVIKA</t>
        </is>
      </c>
      <c r="H607" t="inlineStr">
        <is>
          <t>Bergvik skog väst AB</t>
        </is>
      </c>
      <c r="I607" t="n">
        <v>6.7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42985-2025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45909</v>
      </c>
      <c r="E608" s="1" t="n">
        <v>46311</v>
      </c>
      <c r="F608" t="inlineStr">
        <is>
          <t>DALARNAS LÄN</t>
        </is>
      </c>
      <c r="G608" t="inlineStr">
        <is>
          <t>LUDVIKA</t>
        </is>
      </c>
      <c r="I608" t="n">
        <v>1.7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33689-2026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46248</v>
      </c>
      <c r="E609" s="1" t="n">
        <v>46311</v>
      </c>
      <c r="F609" t="inlineStr">
        <is>
          <t>DALARNAS LÄN</t>
        </is>
      </c>
      <c r="G609" t="inlineStr">
        <is>
          <t>LUDVIKA</t>
        </is>
      </c>
      <c r="I609" t="n">
        <v>5.5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59435-2025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45989</v>
      </c>
      <c r="E610" s="1" t="n">
        <v>46311</v>
      </c>
      <c r="F610" t="inlineStr">
        <is>
          <t>DALARNAS LÄN</t>
        </is>
      </c>
      <c r="G610" t="inlineStr">
        <is>
          <t>LUDVIKA</t>
        </is>
      </c>
      <c r="I610" t="n">
        <v>1.1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59444-2025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45989</v>
      </c>
      <c r="E611" s="1" t="n">
        <v>46311</v>
      </c>
      <c r="F611" t="inlineStr">
        <is>
          <t>DALARNAS LÄN</t>
        </is>
      </c>
      <c r="G611" t="inlineStr">
        <is>
          <t>LUDVIKA</t>
        </is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59530-2025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45989</v>
      </c>
      <c r="E612" s="1" t="n">
        <v>46311</v>
      </c>
      <c r="F612" t="inlineStr">
        <is>
          <t>DALARNAS LÄN</t>
        </is>
      </c>
      <c r="G612" t="inlineStr">
        <is>
          <t>LUDVIKA</t>
        </is>
      </c>
      <c r="H612" t="inlineStr">
        <is>
          <t>Bergvik skog väst AB</t>
        </is>
      </c>
      <c r="I612" t="n">
        <v>7.8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59439-2025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45989</v>
      </c>
      <c r="E613" s="1" t="n">
        <v>46311</v>
      </c>
      <c r="F613" t="inlineStr">
        <is>
          <t>DALARNAS LÄN</t>
        </is>
      </c>
      <c r="G613" t="inlineStr">
        <is>
          <t>LUDVIKA</t>
        </is>
      </c>
      <c r="I613" t="n">
        <v>2.6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21891-2025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45784</v>
      </c>
      <c r="E614" s="1" t="n">
        <v>46311</v>
      </c>
      <c r="F614" t="inlineStr">
        <is>
          <t>DALARNAS LÄN</t>
        </is>
      </c>
      <c r="G614" t="inlineStr">
        <is>
          <t>LUDVIKA</t>
        </is>
      </c>
      <c r="I614" t="n">
        <v>1.1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21893-2025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45784</v>
      </c>
      <c r="E615" s="1" t="n">
        <v>46311</v>
      </c>
      <c r="F615" t="inlineStr">
        <is>
          <t>DALARNAS LÄN</t>
        </is>
      </c>
      <c r="G615" t="inlineStr">
        <is>
          <t>LUDVIKA</t>
        </is>
      </c>
      <c r="I615" t="n">
        <v>1.4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38359-2024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45545</v>
      </c>
      <c r="E616" s="1" t="n">
        <v>46311</v>
      </c>
      <c r="F616" t="inlineStr">
        <is>
          <t>DALARNAS LÄN</t>
        </is>
      </c>
      <c r="G616" t="inlineStr">
        <is>
          <t>LUDVIKA</t>
        </is>
      </c>
      <c r="I616" t="n">
        <v>2.4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40438-2026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46294</v>
      </c>
      <c r="E617" s="1" t="n">
        <v>46311</v>
      </c>
      <c r="F617" t="inlineStr">
        <is>
          <t>DALARNAS LÄN</t>
        </is>
      </c>
      <c r="G617" t="inlineStr">
        <is>
          <t>LUDVIKA</t>
        </is>
      </c>
      <c r="H617" t="inlineStr">
        <is>
          <t>Bergvik skog väst AB</t>
        </is>
      </c>
      <c r="I617" t="n">
        <v>0.6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40445-2026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46294</v>
      </c>
      <c r="E618" s="1" t="n">
        <v>46311</v>
      </c>
      <c r="F618" t="inlineStr">
        <is>
          <t>DALARNAS LÄN</t>
        </is>
      </c>
      <c r="G618" t="inlineStr">
        <is>
          <t>LUDVIKA</t>
        </is>
      </c>
      <c r="H618" t="inlineStr">
        <is>
          <t>Bergvik skog väst AB</t>
        </is>
      </c>
      <c r="I618" t="n">
        <v>4.5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40392-2026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46294</v>
      </c>
      <c r="E619" s="1" t="n">
        <v>46311</v>
      </c>
      <c r="F619" t="inlineStr">
        <is>
          <t>DALARNAS LÄN</t>
        </is>
      </c>
      <c r="G619" t="inlineStr">
        <is>
          <t>LUDVIKA</t>
        </is>
      </c>
      <c r="H619" t="inlineStr">
        <is>
          <t>Bergvik skog väst AB</t>
        </is>
      </c>
      <c r="I619" t="n">
        <v>4.4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40384-2026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46294</v>
      </c>
      <c r="E620" s="1" t="n">
        <v>46311</v>
      </c>
      <c r="F620" t="inlineStr">
        <is>
          <t>DALARNAS LÄN</t>
        </is>
      </c>
      <c r="G620" t="inlineStr">
        <is>
          <t>LUDVIKA</t>
        </is>
      </c>
      <c r="H620" t="inlineStr">
        <is>
          <t>Bergvik skog väst AB</t>
        </is>
      </c>
      <c r="I620" t="n">
        <v>1.4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42421-2024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45565</v>
      </c>
      <c r="E621" s="1" t="n">
        <v>46311</v>
      </c>
      <c r="F621" t="inlineStr">
        <is>
          <t>DALARNAS LÄN</t>
        </is>
      </c>
      <c r="G621" t="inlineStr">
        <is>
          <t>LUDVIKA</t>
        </is>
      </c>
      <c r="I621" t="n">
        <v>5.3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24712-2024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45460</v>
      </c>
      <c r="E622" s="1" t="n">
        <v>46311</v>
      </c>
      <c r="F622" t="inlineStr">
        <is>
          <t>DALARNAS LÄN</t>
        </is>
      </c>
      <c r="G622" t="inlineStr">
        <is>
          <t>LUDVIKA</t>
        </is>
      </c>
      <c r="I622" t="n">
        <v>4.2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53602-2023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45230</v>
      </c>
      <c r="E623" s="1" t="n">
        <v>46311</v>
      </c>
      <c r="F623" t="inlineStr">
        <is>
          <t>DALARNAS LÄN</t>
        </is>
      </c>
      <c r="G623" t="inlineStr">
        <is>
          <t>LUDVIKA</t>
        </is>
      </c>
      <c r="H623" t="inlineStr">
        <is>
          <t>Bergvik skog väst AB</t>
        </is>
      </c>
      <c r="I623" t="n">
        <v>4.9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60454-2025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45995</v>
      </c>
      <c r="E624" s="1" t="n">
        <v>46311</v>
      </c>
      <c r="F624" t="inlineStr">
        <is>
          <t>DALARNAS LÄN</t>
        </is>
      </c>
      <c r="G624" t="inlineStr">
        <is>
          <t>LUDVIKA</t>
        </is>
      </c>
      <c r="I624" t="n">
        <v>7.2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60452-2025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45995</v>
      </c>
      <c r="E625" s="1" t="n">
        <v>46311</v>
      </c>
      <c r="F625" t="inlineStr">
        <is>
          <t>DALARNAS LÄN</t>
        </is>
      </c>
      <c r="G625" t="inlineStr">
        <is>
          <t>LUDVIKA</t>
        </is>
      </c>
      <c r="H625" t="inlineStr">
        <is>
          <t>Bergvik skog väst AB</t>
        </is>
      </c>
      <c r="I625" t="n">
        <v>1.7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60455-2025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45995</v>
      </c>
      <c r="E626" s="1" t="n">
        <v>46311</v>
      </c>
      <c r="F626" t="inlineStr">
        <is>
          <t>DALARNAS LÄN</t>
        </is>
      </c>
      <c r="G626" t="inlineStr">
        <is>
          <t>LUDVIKA</t>
        </is>
      </c>
      <c r="H626" t="inlineStr">
        <is>
          <t>Bergvik skog väst AB</t>
        </is>
      </c>
      <c r="I626" t="n">
        <v>0.5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46095-2024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45581</v>
      </c>
      <c r="E627" s="1" t="n">
        <v>46311</v>
      </c>
      <c r="F627" t="inlineStr">
        <is>
          <t>DALARNAS LÄN</t>
        </is>
      </c>
      <c r="G627" t="inlineStr">
        <is>
          <t>LUDVIKA</t>
        </is>
      </c>
      <c r="H627" t="inlineStr">
        <is>
          <t>Bergvik skog väst AB</t>
        </is>
      </c>
      <c r="I627" t="n">
        <v>2.1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52359-2024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45609</v>
      </c>
      <c r="E628" s="1" t="n">
        <v>46311</v>
      </c>
      <c r="F628" t="inlineStr">
        <is>
          <t>DALARNAS LÄN</t>
        </is>
      </c>
      <c r="G628" t="inlineStr">
        <is>
          <t>LUDVIKA</t>
        </is>
      </c>
      <c r="H628" t="inlineStr">
        <is>
          <t>Bergvik skog väst AB</t>
        </is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61502-2025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46001</v>
      </c>
      <c r="E629" s="1" t="n">
        <v>46311</v>
      </c>
      <c r="F629" t="inlineStr">
        <is>
          <t>DALARNAS LÄN</t>
        </is>
      </c>
      <c r="G629" t="inlineStr">
        <is>
          <t>LUDVIKA</t>
        </is>
      </c>
      <c r="H629" t="inlineStr">
        <is>
          <t>Bergvik skog väst AB</t>
        </is>
      </c>
      <c r="I629" t="n">
        <v>4.9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61505-2025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46001</v>
      </c>
      <c r="E630" s="1" t="n">
        <v>46311</v>
      </c>
      <c r="F630" t="inlineStr">
        <is>
          <t>DALARNAS LÄN</t>
        </is>
      </c>
      <c r="G630" t="inlineStr">
        <is>
          <t>LUDVIKA</t>
        </is>
      </c>
      <c r="H630" t="inlineStr">
        <is>
          <t>Bergvik skog väst AB</t>
        </is>
      </c>
      <c r="I630" t="n">
        <v>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46093-2024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45581</v>
      </c>
      <c r="E631" s="1" t="n">
        <v>46311</v>
      </c>
      <c r="F631" t="inlineStr">
        <is>
          <t>DALARNAS LÄN</t>
        </is>
      </c>
      <c r="G631" t="inlineStr">
        <is>
          <t>LUDVIKA</t>
        </is>
      </c>
      <c r="H631" t="inlineStr">
        <is>
          <t>Bergvik skog väst AB</t>
        </is>
      </c>
      <c r="I631" t="n">
        <v>3.5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62561-2025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46007</v>
      </c>
      <c r="E632" s="1" t="n">
        <v>46311</v>
      </c>
      <c r="F632" t="inlineStr">
        <is>
          <t>DALARNAS LÄN</t>
        </is>
      </c>
      <c r="G632" t="inlineStr">
        <is>
          <t>LUDVIKA</t>
        </is>
      </c>
      <c r="H632" t="inlineStr">
        <is>
          <t>Bergvik skog väst AB</t>
        </is>
      </c>
      <c r="I632" t="n">
        <v>1.9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62704-2025</t>
        </is>
      </c>
      <c r="B633" t="inlineStr">
        <is>
          <t>avverkningsanmälan</t>
        </is>
      </c>
      <c r="C633" t="inlineStr">
        <is>
          <t>Föryngringsavverkning</t>
        </is>
      </c>
      <c r="D633" s="1" t="n">
        <v>46008</v>
      </c>
      <c r="E633" s="1" t="n">
        <v>46311</v>
      </c>
      <c r="F633" t="inlineStr">
        <is>
          <t>DALARNAS LÄN</t>
        </is>
      </c>
      <c r="G633" t="inlineStr">
        <is>
          <t>LUDVIKA</t>
        </is>
      </c>
      <c r="H633" t="inlineStr">
        <is>
          <t>Bergvik skog väst AB</t>
        </is>
      </c>
      <c r="I633" t="n">
        <v>0.5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62367-2025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46007</v>
      </c>
      <c r="E634" s="1" t="n">
        <v>46311</v>
      </c>
      <c r="F634" t="inlineStr">
        <is>
          <t>DALARNAS LÄN</t>
        </is>
      </c>
      <c r="G634" t="inlineStr">
        <is>
          <t>LUDVIKA</t>
        </is>
      </c>
      <c r="H634" t="inlineStr">
        <is>
          <t>Bergvik skog väst AB</t>
        </is>
      </c>
      <c r="I634" t="n">
        <v>2.7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62842-2025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46008</v>
      </c>
      <c r="E635" s="1" t="n">
        <v>46311</v>
      </c>
      <c r="F635" t="inlineStr">
        <is>
          <t>DALARNAS LÄN</t>
        </is>
      </c>
      <c r="G635" t="inlineStr">
        <is>
          <t>LUDVIKA</t>
        </is>
      </c>
      <c r="H635" t="inlineStr">
        <is>
          <t>Bergvik skog väst AB</t>
        </is>
      </c>
      <c r="I635" t="n">
        <v>1.6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62824-2025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46008</v>
      </c>
      <c r="E636" s="1" t="n">
        <v>46311</v>
      </c>
      <c r="F636" t="inlineStr">
        <is>
          <t>DALARNAS LÄN</t>
        </is>
      </c>
      <c r="G636" t="inlineStr">
        <is>
          <t>LUDVIKA</t>
        </is>
      </c>
      <c r="H636" t="inlineStr">
        <is>
          <t>Bergvik skog väst AB</t>
        </is>
      </c>
      <c r="I636" t="n">
        <v>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62695-2025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46008</v>
      </c>
      <c r="E637" s="1" t="n">
        <v>46311</v>
      </c>
      <c r="F637" t="inlineStr">
        <is>
          <t>DALARNAS LÄN</t>
        </is>
      </c>
      <c r="G637" t="inlineStr">
        <is>
          <t>LUDVIKA</t>
        </is>
      </c>
      <c r="H637" t="inlineStr">
        <is>
          <t>Bergvik skog väst AB</t>
        </is>
      </c>
      <c r="I637" t="n">
        <v>1.4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62838-2025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46008</v>
      </c>
      <c r="E638" s="1" t="n">
        <v>46311</v>
      </c>
      <c r="F638" t="inlineStr">
        <is>
          <t>DALARNAS LÄN</t>
        </is>
      </c>
      <c r="G638" t="inlineStr">
        <is>
          <t>LUDVIKA</t>
        </is>
      </c>
      <c r="H638" t="inlineStr">
        <is>
          <t>Bergvik skog väst AB</t>
        </is>
      </c>
      <c r="I638" t="n">
        <v>1.9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33914-2023</t>
        </is>
      </c>
      <c r="B639" t="inlineStr">
        <is>
          <t>avverkningsanmälan</t>
        </is>
      </c>
      <c r="C639" t="inlineStr">
        <is>
          <t>Föryngringsavverkning</t>
        </is>
      </c>
      <c r="D639" s="1" t="n">
        <v>45134</v>
      </c>
      <c r="E639" s="1" t="n">
        <v>46311</v>
      </c>
      <c r="F639" t="inlineStr">
        <is>
          <t>DALARNAS LÄN</t>
        </is>
      </c>
      <c r="G639" t="inlineStr">
        <is>
          <t>LUDVIKA</t>
        </is>
      </c>
      <c r="H639" t="inlineStr">
        <is>
          <t>Bergvik skog väst AB</t>
        </is>
      </c>
      <c r="I639" t="n">
        <v>2.6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22606-2025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45789</v>
      </c>
      <c r="E640" s="1" t="n">
        <v>46311</v>
      </c>
      <c r="F640" t="inlineStr">
        <is>
          <t>DALARNAS LÄN</t>
        </is>
      </c>
      <c r="G640" t="inlineStr">
        <is>
          <t>LUDVIKA</t>
        </is>
      </c>
      <c r="H640" t="inlineStr">
        <is>
          <t>Bergvik skog väst AB</t>
        </is>
      </c>
      <c r="I640" t="n">
        <v>3.9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22610-2025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45789</v>
      </c>
      <c r="E641" s="1" t="n">
        <v>46311</v>
      </c>
      <c r="F641" t="inlineStr">
        <is>
          <t>DALARNAS LÄN</t>
        </is>
      </c>
      <c r="G641" t="inlineStr">
        <is>
          <t>LUDVIKA</t>
        </is>
      </c>
      <c r="H641" t="inlineStr">
        <is>
          <t>Bergvik skog väst AB</t>
        </is>
      </c>
      <c r="I641" t="n">
        <v>14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50240-2024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45600</v>
      </c>
      <c r="E642" s="1" t="n">
        <v>46311</v>
      </c>
      <c r="F642" t="inlineStr">
        <is>
          <t>DALARNAS LÄN</t>
        </is>
      </c>
      <c r="G642" t="inlineStr">
        <is>
          <t>LUDVIKA</t>
        </is>
      </c>
      <c r="I642" t="n">
        <v>2.2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36066-2024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45533</v>
      </c>
      <c r="E643" s="1" t="n">
        <v>46311</v>
      </c>
      <c r="F643" t="inlineStr">
        <is>
          <t>DALARNAS LÄN</t>
        </is>
      </c>
      <c r="G643" t="inlineStr">
        <is>
          <t>LUDVIKA</t>
        </is>
      </c>
      <c r="H643" t="inlineStr">
        <is>
          <t>Bergvik skog väst AB</t>
        </is>
      </c>
      <c r="I643" t="n">
        <v>2.1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34584-2026</t>
        </is>
      </c>
      <c r="B644" t="inlineStr">
        <is>
          <t>avverkningsanmälan</t>
        </is>
      </c>
      <c r="C644" t="inlineStr">
        <is>
          <t>Föryngringsavverkning</t>
        </is>
      </c>
      <c r="D644" s="1" t="n">
        <v>46255</v>
      </c>
      <c r="E644" s="1" t="n">
        <v>46311</v>
      </c>
      <c r="F644" t="inlineStr">
        <is>
          <t>DALARNAS LÄN</t>
        </is>
      </c>
      <c r="G644" t="inlineStr">
        <is>
          <t>LUDVIKA</t>
        </is>
      </c>
      <c r="H644" t="inlineStr">
        <is>
          <t>Bergvik skog väst AB</t>
        </is>
      </c>
      <c r="I644" t="n">
        <v>2.1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43702-2024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45569</v>
      </c>
      <c r="E645" s="1" t="n">
        <v>46311</v>
      </c>
      <c r="F645" t="inlineStr">
        <is>
          <t>DALARNAS LÄN</t>
        </is>
      </c>
      <c r="G645" t="inlineStr">
        <is>
          <t>LUDVIKA</t>
        </is>
      </c>
      <c r="H645" t="inlineStr">
        <is>
          <t>Bergvik skog väst AB</t>
        </is>
      </c>
      <c r="I645" t="n">
        <v>1.9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62688-2025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46008</v>
      </c>
      <c r="E646" s="1" t="n">
        <v>46311</v>
      </c>
      <c r="F646" t="inlineStr">
        <is>
          <t>DALARNAS LÄN</t>
        </is>
      </c>
      <c r="G646" t="inlineStr">
        <is>
          <t>LUDVIKA</t>
        </is>
      </c>
      <c r="H646" t="inlineStr">
        <is>
          <t>Bergvik skog väst AB</t>
        </is>
      </c>
      <c r="I646" t="n">
        <v>0.8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62706-2025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46008</v>
      </c>
      <c r="E647" s="1" t="n">
        <v>46311</v>
      </c>
      <c r="F647" t="inlineStr">
        <is>
          <t>DALARNAS LÄN</t>
        </is>
      </c>
      <c r="G647" t="inlineStr">
        <is>
          <t>LUDVIKA</t>
        </is>
      </c>
      <c r="H647" t="inlineStr">
        <is>
          <t>Bergvik skog väst AB</t>
        </is>
      </c>
      <c r="I647" t="n">
        <v>0.5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34638-2026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46255</v>
      </c>
      <c r="E648" s="1" t="n">
        <v>46311</v>
      </c>
      <c r="F648" t="inlineStr">
        <is>
          <t>DALARNAS LÄN</t>
        </is>
      </c>
      <c r="G648" t="inlineStr">
        <is>
          <t>LUDVIKA</t>
        </is>
      </c>
      <c r="H648" t="inlineStr">
        <is>
          <t>Bergvik skog väst AB</t>
        </is>
      </c>
      <c r="I648" t="n">
        <v>1.3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62845-2025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46008</v>
      </c>
      <c r="E649" s="1" t="n">
        <v>46311</v>
      </c>
      <c r="F649" t="inlineStr">
        <is>
          <t>DALARNAS LÄN</t>
        </is>
      </c>
      <c r="G649" t="inlineStr">
        <is>
          <t>LUDVIKA</t>
        </is>
      </c>
      <c r="H649" t="inlineStr">
        <is>
          <t>Bergvik skog väst AB</t>
        </is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22599-2025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45789</v>
      </c>
      <c r="E650" s="1" t="n">
        <v>46311</v>
      </c>
      <c r="F650" t="inlineStr">
        <is>
          <t>DALARNAS LÄN</t>
        </is>
      </c>
      <c r="G650" t="inlineStr">
        <is>
          <t>LUDVIKA</t>
        </is>
      </c>
      <c r="H650" t="inlineStr">
        <is>
          <t>Bergvik skog väst AB</t>
        </is>
      </c>
      <c r="I650" t="n">
        <v>2.7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34631-2026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46255</v>
      </c>
      <c r="E651" s="1" t="n">
        <v>46311</v>
      </c>
      <c r="F651" t="inlineStr">
        <is>
          <t>DALARNAS LÄN</t>
        </is>
      </c>
      <c r="G651" t="inlineStr">
        <is>
          <t>LUDVIKA</t>
        </is>
      </c>
      <c r="H651" t="inlineStr">
        <is>
          <t>Bergvik skog väst AB</t>
        </is>
      </c>
      <c r="I651" t="n">
        <v>2.8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22594-2025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45789</v>
      </c>
      <c r="E652" s="1" t="n">
        <v>46311</v>
      </c>
      <c r="F652" t="inlineStr">
        <is>
          <t>DALARNAS LÄN</t>
        </is>
      </c>
      <c r="G652" t="inlineStr">
        <is>
          <t>LUDVIKA</t>
        </is>
      </c>
      <c r="H652" t="inlineStr">
        <is>
          <t>Bergvik skog väst AB</t>
        </is>
      </c>
      <c r="I652" t="n">
        <v>3.1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34550-2026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46255</v>
      </c>
      <c r="E653" s="1" t="n">
        <v>46311</v>
      </c>
      <c r="F653" t="inlineStr">
        <is>
          <t>DALARNAS LÄN</t>
        </is>
      </c>
      <c r="G653" t="inlineStr">
        <is>
          <t>LUDVIKA</t>
        </is>
      </c>
      <c r="H653" t="inlineStr">
        <is>
          <t>Bergvik skog väst AB</t>
        </is>
      </c>
      <c r="I653" t="n">
        <v>1.6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47233-2024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45586</v>
      </c>
      <c r="E654" s="1" t="n">
        <v>46311</v>
      </c>
      <c r="F654" t="inlineStr">
        <is>
          <t>DALARNAS LÄN</t>
        </is>
      </c>
      <c r="G654" t="inlineStr">
        <is>
          <t>LUDVIKA</t>
        </is>
      </c>
      <c r="I654" t="n">
        <v>9.5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46107-2024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45581</v>
      </c>
      <c r="E655" s="1" t="n">
        <v>46311</v>
      </c>
      <c r="F655" t="inlineStr">
        <is>
          <t>DALARNAS LÄN</t>
        </is>
      </c>
      <c r="G655" t="inlineStr">
        <is>
          <t>LUDVIKA</t>
        </is>
      </c>
      <c r="H655" t="inlineStr">
        <is>
          <t>Bergvik skog väst AB</t>
        </is>
      </c>
      <c r="I655" t="n">
        <v>1.4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63222-2025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46010</v>
      </c>
      <c r="E656" s="1" t="n">
        <v>46311</v>
      </c>
      <c r="F656" t="inlineStr">
        <is>
          <t>DALARNAS LÄN</t>
        </is>
      </c>
      <c r="G656" t="inlineStr">
        <is>
          <t>LUDVIKA</t>
        </is>
      </c>
      <c r="H656" t="inlineStr">
        <is>
          <t>Bergvik skog väst AB</t>
        </is>
      </c>
      <c r="I656" t="n">
        <v>2.6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63215-2025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46010</v>
      </c>
      <c r="E657" s="1" t="n">
        <v>46311</v>
      </c>
      <c r="F657" t="inlineStr">
        <is>
          <t>DALARNAS LÄN</t>
        </is>
      </c>
      <c r="G657" t="inlineStr">
        <is>
          <t>LUDVIKA</t>
        </is>
      </c>
      <c r="H657" t="inlineStr">
        <is>
          <t>Bergvik skog väst AB</t>
        </is>
      </c>
      <c r="I657" t="n">
        <v>4.5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41539-2024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45560</v>
      </c>
      <c r="E658" s="1" t="n">
        <v>46311</v>
      </c>
      <c r="F658" t="inlineStr">
        <is>
          <t>DALARNAS LÄN</t>
        </is>
      </c>
      <c r="G658" t="inlineStr">
        <is>
          <t>LUDVIKA</t>
        </is>
      </c>
      <c r="H658" t="inlineStr">
        <is>
          <t>Bergvik skog väst AB</t>
        </is>
      </c>
      <c r="I658" t="n">
        <v>1.9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23088-2025</t>
        </is>
      </c>
      <c r="B659" t="inlineStr">
        <is>
          <t>avverkningsanmälan</t>
        </is>
      </c>
      <c r="C659" t="inlineStr">
        <is>
          <t>Föryngringsavverkning</t>
        </is>
      </c>
      <c r="D659" s="1" t="n">
        <v>45791</v>
      </c>
      <c r="E659" s="1" t="n">
        <v>46311</v>
      </c>
      <c r="F659" t="inlineStr">
        <is>
          <t>DALARNAS LÄN</t>
        </is>
      </c>
      <c r="G659" t="inlineStr">
        <is>
          <t>LUDVIKA</t>
        </is>
      </c>
      <c r="H659" t="inlineStr">
        <is>
          <t>Bergvik skog väst AB</t>
        </is>
      </c>
      <c r="I659" t="n">
        <v>0.6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17913-2026</t>
        </is>
      </c>
      <c r="B660" t="inlineStr">
        <is>
          <t>avverkningsanmälan</t>
        </is>
      </c>
      <c r="C660" t="inlineStr">
        <is>
          <t>Föryngringsavverkning</t>
        </is>
      </c>
      <c r="D660" s="1" t="n">
        <v>46122</v>
      </c>
      <c r="E660" s="1" t="n">
        <v>46311</v>
      </c>
      <c r="F660" t="inlineStr">
        <is>
          <t>DALARNAS LÄN</t>
        </is>
      </c>
      <c r="G660" t="inlineStr">
        <is>
          <t>LUDVIKA</t>
        </is>
      </c>
      <c r="H660" t="inlineStr">
        <is>
          <t>Bergvik skog väst AB</t>
        </is>
      </c>
      <c r="I660" t="n">
        <v>4.1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62930-2025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46009</v>
      </c>
      <c r="E661" s="1" t="n">
        <v>46311</v>
      </c>
      <c r="F661" t="inlineStr">
        <is>
          <t>DALARNAS LÄN</t>
        </is>
      </c>
      <c r="G661" t="inlineStr">
        <is>
          <t>LUDVIKA</t>
        </is>
      </c>
      <c r="H661" t="inlineStr">
        <is>
          <t>Bergvik skog väst AB</t>
        </is>
      </c>
      <c r="I661" t="n">
        <v>1.1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22686-2025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45786</v>
      </c>
      <c r="E662" s="1" t="n">
        <v>46311</v>
      </c>
      <c r="F662" t="inlineStr">
        <is>
          <t>DALARNAS LÄN</t>
        </is>
      </c>
      <c r="G662" t="inlineStr">
        <is>
          <t>LUDVIKA</t>
        </is>
      </c>
      <c r="I662" t="n">
        <v>2.1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62945-2025</t>
        </is>
      </c>
      <c r="B663" t="inlineStr">
        <is>
          <t>avverkningsanmälan</t>
        </is>
      </c>
      <c r="C663" t="inlineStr">
        <is>
          <t>Avverkning för annat ändamål</t>
        </is>
      </c>
      <c r="D663" s="1" t="n">
        <v>46009</v>
      </c>
      <c r="E663" s="1" t="n">
        <v>46311</v>
      </c>
      <c r="F663" t="inlineStr">
        <is>
          <t>DALARNAS LÄN</t>
        </is>
      </c>
      <c r="G663" t="inlineStr">
        <is>
          <t>LUDVIKA</t>
        </is>
      </c>
      <c r="I663" t="n">
        <v>0.6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34558-2026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46255</v>
      </c>
      <c r="E664" s="1" t="n">
        <v>46311</v>
      </c>
      <c r="F664" t="inlineStr">
        <is>
          <t>DALARNAS LÄN</t>
        </is>
      </c>
      <c r="G664" t="inlineStr">
        <is>
          <t>LUDVIKA</t>
        </is>
      </c>
      <c r="H664" t="inlineStr">
        <is>
          <t>Bergvik skog väst AB</t>
        </is>
      </c>
      <c r="I664" t="n">
        <v>1.3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34280-2024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45524</v>
      </c>
      <c r="E665" s="1" t="n">
        <v>46311</v>
      </c>
      <c r="F665" t="inlineStr">
        <is>
          <t>DALARNAS LÄN</t>
        </is>
      </c>
      <c r="G665" t="inlineStr">
        <is>
          <t>LUDVIKA</t>
        </is>
      </c>
      <c r="H665" t="inlineStr">
        <is>
          <t>Bergvik skog väst AB</t>
        </is>
      </c>
      <c r="I665" t="n">
        <v>2.3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34599-2026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46255</v>
      </c>
      <c r="E666" s="1" t="n">
        <v>46311</v>
      </c>
      <c r="F666" t="inlineStr">
        <is>
          <t>DALARNAS LÄN</t>
        </is>
      </c>
      <c r="G666" t="inlineStr">
        <is>
          <t>LUDVIKA</t>
        </is>
      </c>
      <c r="H666" t="inlineStr">
        <is>
          <t>Bergvik skog väst AB</t>
        </is>
      </c>
      <c r="I666" t="n">
        <v>1.1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23443-2024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45453</v>
      </c>
      <c r="E667" s="1" t="n">
        <v>46311</v>
      </c>
      <c r="F667" t="inlineStr">
        <is>
          <t>DALARNAS LÄN</t>
        </is>
      </c>
      <c r="G667" t="inlineStr">
        <is>
          <t>LUDVIKA</t>
        </is>
      </c>
      <c r="H667" t="inlineStr">
        <is>
          <t>Bergvik skog väst AB</t>
        </is>
      </c>
      <c r="I667" t="n">
        <v>3.2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37549-2024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45541</v>
      </c>
      <c r="E668" s="1" t="n">
        <v>46311</v>
      </c>
      <c r="F668" t="inlineStr">
        <is>
          <t>DALARNAS LÄN</t>
        </is>
      </c>
      <c r="G668" t="inlineStr">
        <is>
          <t>LUDVIKA</t>
        </is>
      </c>
      <c r="H668" t="inlineStr">
        <is>
          <t>Bergvik skog väst AB</t>
        </is>
      </c>
      <c r="I668" t="n">
        <v>3.1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34632-2026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46255</v>
      </c>
      <c r="E669" s="1" t="n">
        <v>46311</v>
      </c>
      <c r="F669" t="inlineStr">
        <is>
          <t>DALARNAS LÄN</t>
        </is>
      </c>
      <c r="G669" t="inlineStr">
        <is>
          <t>LUDVIKA</t>
        </is>
      </c>
      <c r="H669" t="inlineStr">
        <is>
          <t>Bergvik skog väst AB</t>
        </is>
      </c>
      <c r="I669" t="n">
        <v>5.2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24027-2025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45796</v>
      </c>
      <c r="E670" s="1" t="n">
        <v>46311</v>
      </c>
      <c r="F670" t="inlineStr">
        <is>
          <t>DALARNAS LÄN</t>
        </is>
      </c>
      <c r="G670" t="inlineStr">
        <is>
          <t>LUDVIKA</t>
        </is>
      </c>
      <c r="H670" t="inlineStr">
        <is>
          <t>Bergvik skog väst AB</t>
        </is>
      </c>
      <c r="I670" t="n">
        <v>0.8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41443-2026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46301</v>
      </c>
      <c r="E671" s="1" t="n">
        <v>46311</v>
      </c>
      <c r="F671" t="inlineStr">
        <is>
          <t>DALARNAS LÄN</t>
        </is>
      </c>
      <c r="G671" t="inlineStr">
        <is>
          <t>LUDVIKA</t>
        </is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34796-2026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46258</v>
      </c>
      <c r="E672" s="1" t="n">
        <v>46311</v>
      </c>
      <c r="F672" t="inlineStr">
        <is>
          <t>DALARNAS LÄN</t>
        </is>
      </c>
      <c r="G672" t="inlineStr">
        <is>
          <t>LUDVIKA</t>
        </is>
      </c>
      <c r="H672" t="inlineStr">
        <is>
          <t>Bergvik skog väst AB</t>
        </is>
      </c>
      <c r="I672" t="n">
        <v>2.1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61278-2022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44915</v>
      </c>
      <c r="E673" s="1" t="n">
        <v>46311</v>
      </c>
      <c r="F673" t="inlineStr">
        <is>
          <t>DALARNAS LÄN</t>
        </is>
      </c>
      <c r="G673" t="inlineStr">
        <is>
          <t>LUDVIKA</t>
        </is>
      </c>
      <c r="H673" t="inlineStr">
        <is>
          <t>Bergvik skog väst AB</t>
        </is>
      </c>
      <c r="I673" t="n">
        <v>2.2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30977-2024</t>
        </is>
      </c>
      <c r="B674" t="inlineStr">
        <is>
          <t>avverkningsanmälan</t>
        </is>
      </c>
      <c r="C674" t="inlineStr">
        <is>
          <t>Avverkning för annat ändamål</t>
        </is>
      </c>
      <c r="D674" s="1" t="n">
        <v>45499</v>
      </c>
      <c r="E674" s="1" t="n">
        <v>46311</v>
      </c>
      <c r="F674" t="inlineStr">
        <is>
          <t>DALARNAS LÄN</t>
        </is>
      </c>
      <c r="G674" t="inlineStr">
        <is>
          <t>LUDVIKA</t>
        </is>
      </c>
      <c r="I674" t="n">
        <v>3.3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34147-2026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46253</v>
      </c>
      <c r="E675" s="1" t="n">
        <v>46311</v>
      </c>
      <c r="F675" t="inlineStr">
        <is>
          <t>DALARNAS LÄN</t>
        </is>
      </c>
      <c r="G675" t="inlineStr">
        <is>
          <t>LUDVIKA</t>
        </is>
      </c>
      <c r="H675" t="inlineStr">
        <is>
          <t>Bergvik skog väst AB</t>
        </is>
      </c>
      <c r="I675" t="n">
        <v>4.2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23117-2025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45791</v>
      </c>
      <c r="E676" s="1" t="n">
        <v>46311</v>
      </c>
      <c r="F676" t="inlineStr">
        <is>
          <t>DALARNAS LÄN</t>
        </is>
      </c>
      <c r="G676" t="inlineStr">
        <is>
          <t>LUDVIKA</t>
        </is>
      </c>
      <c r="H676" t="inlineStr">
        <is>
          <t>Bergvik skog väst AB</t>
        </is>
      </c>
      <c r="I676" t="n">
        <v>1.5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20642-2025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45776</v>
      </c>
      <c r="E677" s="1" t="n">
        <v>46311</v>
      </c>
      <c r="F677" t="inlineStr">
        <is>
          <t>DALARNAS LÄN</t>
        </is>
      </c>
      <c r="G677" t="inlineStr">
        <is>
          <t>LUDVIKA</t>
        </is>
      </c>
      <c r="I677" t="n">
        <v>0.8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23137-2025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45791</v>
      </c>
      <c r="E678" s="1" t="n">
        <v>46311</v>
      </c>
      <c r="F678" t="inlineStr">
        <is>
          <t>DALARNAS LÄN</t>
        </is>
      </c>
      <c r="G678" t="inlineStr">
        <is>
          <t>LUDVIKA</t>
        </is>
      </c>
      <c r="H678" t="inlineStr">
        <is>
          <t>Bergvik skog väst AB</t>
        </is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23139-2025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45791</v>
      </c>
      <c r="E679" s="1" t="n">
        <v>46311</v>
      </c>
      <c r="F679" t="inlineStr">
        <is>
          <t>DALARNAS LÄN</t>
        </is>
      </c>
      <c r="G679" t="inlineStr">
        <is>
          <t>LUDVIKA</t>
        </is>
      </c>
      <c r="H679" t="inlineStr">
        <is>
          <t>Bergvik skog väst AB</t>
        </is>
      </c>
      <c r="I679" t="n">
        <v>0.8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34780-2026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46258</v>
      </c>
      <c r="E680" s="1" t="n">
        <v>46311</v>
      </c>
      <c r="F680" t="inlineStr">
        <is>
          <t>DALARNAS LÄN</t>
        </is>
      </c>
      <c r="G680" t="inlineStr">
        <is>
          <t>LUDVIKA</t>
        </is>
      </c>
      <c r="H680" t="inlineStr">
        <is>
          <t>Bergvik skog väst AB</t>
        </is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661-2026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46029</v>
      </c>
      <c r="E681" s="1" t="n">
        <v>46311</v>
      </c>
      <c r="F681" t="inlineStr">
        <is>
          <t>DALARNAS LÄN</t>
        </is>
      </c>
      <c r="G681" t="inlineStr">
        <is>
          <t>LUDVIKA</t>
        </is>
      </c>
      <c r="H681" t="inlineStr">
        <is>
          <t>Övriga Aktiebolag</t>
        </is>
      </c>
      <c r="I681" t="n">
        <v>3.4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19677-2025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45770</v>
      </c>
      <c r="E682" s="1" t="n">
        <v>46311</v>
      </c>
      <c r="F682" t="inlineStr">
        <is>
          <t>DALARNAS LÄN</t>
        </is>
      </c>
      <c r="G682" t="inlineStr">
        <is>
          <t>LUDVIKA</t>
        </is>
      </c>
      <c r="I682" t="n">
        <v>1.8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33397-2026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46247</v>
      </c>
      <c r="E683" s="1" t="n">
        <v>46311</v>
      </c>
      <c r="F683" t="inlineStr">
        <is>
          <t>DALARNAS LÄN</t>
        </is>
      </c>
      <c r="G683" t="inlineStr">
        <is>
          <t>LUDVIKA</t>
        </is>
      </c>
      <c r="H683" t="inlineStr">
        <is>
          <t>Bergvik skog väst AB</t>
        </is>
      </c>
      <c r="I683" t="n">
        <v>1.8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29734-2026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46204</v>
      </c>
      <c r="E684" s="1" t="n">
        <v>46311</v>
      </c>
      <c r="F684" t="inlineStr">
        <is>
          <t>DALARNAS LÄN</t>
        </is>
      </c>
      <c r="G684" t="inlineStr">
        <is>
          <t>LUDVIKA</t>
        </is>
      </c>
      <c r="H684" t="inlineStr">
        <is>
          <t>Bergvik skog väst AB</t>
        </is>
      </c>
      <c r="I684" t="n">
        <v>3.5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35179-2026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46260</v>
      </c>
      <c r="E685" s="1" t="n">
        <v>46311</v>
      </c>
      <c r="F685" t="inlineStr">
        <is>
          <t>DALARNAS LÄN</t>
        </is>
      </c>
      <c r="G685" t="inlineStr">
        <is>
          <t>LUDVIKA</t>
        </is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35105-2026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46260</v>
      </c>
      <c r="E686" s="1" t="n">
        <v>46311</v>
      </c>
      <c r="F686" t="inlineStr">
        <is>
          <t>DALARNAS LÄN</t>
        </is>
      </c>
      <c r="G686" t="inlineStr">
        <is>
          <t>LUDVIKA</t>
        </is>
      </c>
      <c r="I686" t="n">
        <v>0.3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61799-2025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46002</v>
      </c>
      <c r="E687" s="1" t="n">
        <v>46311</v>
      </c>
      <c r="F687" t="inlineStr">
        <is>
          <t>DALARNAS LÄN</t>
        </is>
      </c>
      <c r="G687" t="inlineStr">
        <is>
          <t>LUDVIKA</t>
        </is>
      </c>
      <c r="H687" t="inlineStr">
        <is>
          <t>Bergvik skog väst AB</t>
        </is>
      </c>
      <c r="I687" t="n">
        <v>1.2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31393-2026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46220</v>
      </c>
      <c r="E688" s="1" t="n">
        <v>46311</v>
      </c>
      <c r="F688" t="inlineStr">
        <is>
          <t>DALARNAS LÄN</t>
        </is>
      </c>
      <c r="G688" t="inlineStr">
        <is>
          <t>LUDVIKA</t>
        </is>
      </c>
      <c r="H688" t="inlineStr">
        <is>
          <t>Naturvårdsverket</t>
        </is>
      </c>
      <c r="I688" t="n">
        <v>4.7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38921-2025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45887</v>
      </c>
      <c r="E689" s="1" t="n">
        <v>46311</v>
      </c>
      <c r="F689" t="inlineStr">
        <is>
          <t>DALARNAS LÄN</t>
        </is>
      </c>
      <c r="G689" t="inlineStr">
        <is>
          <t>LUDVIKA</t>
        </is>
      </c>
      <c r="H689" t="inlineStr">
        <is>
          <t>Bergvik skog väst AB</t>
        </is>
      </c>
      <c r="I689" t="n">
        <v>3.2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53981-2025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45961</v>
      </c>
      <c r="E690" s="1" t="n">
        <v>46311</v>
      </c>
      <c r="F690" t="inlineStr">
        <is>
          <t>DALARNAS LÄN</t>
        </is>
      </c>
      <c r="G690" t="inlineStr">
        <is>
          <t>LUDVIKA</t>
        </is>
      </c>
      <c r="H690" t="inlineStr">
        <is>
          <t>Bergvik skog väst AB</t>
        </is>
      </c>
      <c r="I690" t="n">
        <v>0.9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53979-2025</t>
        </is>
      </c>
      <c r="B691" t="inlineStr">
        <is>
          <t>avverkningsanmälan</t>
        </is>
      </c>
      <c r="C691" t="inlineStr">
        <is>
          <t>Föryngringsavverkning</t>
        </is>
      </c>
      <c r="D691" s="1" t="n">
        <v>45961</v>
      </c>
      <c r="E691" s="1" t="n">
        <v>46311</v>
      </c>
      <c r="F691" t="inlineStr">
        <is>
          <t>DALARNAS LÄN</t>
        </is>
      </c>
      <c r="G691" t="inlineStr">
        <is>
          <t>LUDVIKA</t>
        </is>
      </c>
      <c r="H691" t="inlineStr">
        <is>
          <t>Bergvik skog väst AB</t>
        </is>
      </c>
      <c r="I691" t="n">
        <v>4.9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35648-2026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46265</v>
      </c>
      <c r="E692" s="1" t="n">
        <v>46311</v>
      </c>
      <c r="F692" t="inlineStr">
        <is>
          <t>DALARNAS LÄN</t>
        </is>
      </c>
      <c r="G692" t="inlineStr">
        <is>
          <t>LUDVIKA</t>
        </is>
      </c>
      <c r="H692" t="inlineStr">
        <is>
          <t>Bergvik skog väst AB</t>
        </is>
      </c>
      <c r="I692" t="n">
        <v>4.4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42335-2026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46307</v>
      </c>
      <c r="E693" s="1" t="n">
        <v>46311</v>
      </c>
      <c r="F693" t="inlineStr">
        <is>
          <t>DALARNAS LÄN</t>
        </is>
      </c>
      <c r="G693" t="inlineStr">
        <is>
          <t>LUDVIKA</t>
        </is>
      </c>
      <c r="H693" t="inlineStr">
        <is>
          <t>Bergvik skog väst AB</t>
        </is>
      </c>
      <c r="I693" t="n">
        <v>9.699999999999999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38868-2026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46286</v>
      </c>
      <c r="E694" s="1" t="n">
        <v>46311</v>
      </c>
      <c r="F694" t="inlineStr">
        <is>
          <t>DALARNAS LÄN</t>
        </is>
      </c>
      <c r="G694" t="inlineStr">
        <is>
          <t>LUDVIKA</t>
        </is>
      </c>
      <c r="H694" t="inlineStr">
        <is>
          <t>Bergvik skog väst AB</t>
        </is>
      </c>
      <c r="I694" t="n">
        <v>1.8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56615-2025</t>
        </is>
      </c>
      <c r="B695" t="inlineStr">
        <is>
          <t>avverkningsanmälan</t>
        </is>
      </c>
      <c r="C695" t="inlineStr">
        <is>
          <t>Avverkning för att bevara och utveckla /försöksver</t>
        </is>
      </c>
      <c r="D695" s="1" t="n">
        <v>45975</v>
      </c>
      <c r="E695" s="1" t="n">
        <v>46311</v>
      </c>
      <c r="F695" t="inlineStr">
        <is>
          <t>DALARNAS LÄN</t>
        </is>
      </c>
      <c r="G695" t="inlineStr">
        <is>
          <t>LUDVIKA</t>
        </is>
      </c>
      <c r="H695" t="inlineStr">
        <is>
          <t>Bergvik skog väst AB</t>
        </is>
      </c>
      <c r="I695" t="n">
        <v>1.7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49669-2024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45596</v>
      </c>
      <c r="E696" s="1" t="n">
        <v>46311</v>
      </c>
      <c r="F696" t="inlineStr">
        <is>
          <t>DALARNAS LÄN</t>
        </is>
      </c>
      <c r="G696" t="inlineStr">
        <is>
          <t>LUDVIKA</t>
        </is>
      </c>
      <c r="H696" t="inlineStr">
        <is>
          <t>Bergvik skog väst AB</t>
        </is>
      </c>
      <c r="I696" t="n">
        <v>2.9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35837-2026</t>
        </is>
      </c>
      <c r="B697" t="inlineStr">
        <is>
          <t>avverkningsanmälan</t>
        </is>
      </c>
      <c r="C697" t="inlineStr">
        <is>
          <t>Föryngringsavverkning</t>
        </is>
      </c>
      <c r="D697" s="1" t="n">
        <v>46265</v>
      </c>
      <c r="E697" s="1" t="n">
        <v>46311</v>
      </c>
      <c r="F697" t="inlineStr">
        <is>
          <t>DALARNAS LÄN</t>
        </is>
      </c>
      <c r="G697" t="inlineStr">
        <is>
          <t>LUDVIKA</t>
        </is>
      </c>
      <c r="H697" t="inlineStr">
        <is>
          <t>Kyrkan</t>
        </is>
      </c>
      <c r="I697" t="n">
        <v>3.9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35490-2026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46262</v>
      </c>
      <c r="E698" s="1" t="n">
        <v>46311</v>
      </c>
      <c r="F698" t="inlineStr">
        <is>
          <t>DALARNAS LÄN</t>
        </is>
      </c>
      <c r="G698" t="inlineStr">
        <is>
          <t>LUDVIKA</t>
        </is>
      </c>
      <c r="H698" t="inlineStr">
        <is>
          <t>Bergvik skog väst AB</t>
        </is>
      </c>
      <c r="I698" t="n">
        <v>19.9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42345-2026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46307</v>
      </c>
      <c r="E699" s="1" t="n">
        <v>46311</v>
      </c>
      <c r="F699" t="inlineStr">
        <is>
          <t>DALARNAS LÄN</t>
        </is>
      </c>
      <c r="G699" t="inlineStr">
        <is>
          <t>LUDVIKA</t>
        </is>
      </c>
      <c r="H699" t="inlineStr">
        <is>
          <t>Bergvik skog väst AB</t>
        </is>
      </c>
      <c r="I699" t="n">
        <v>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35103-2026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46260</v>
      </c>
      <c r="E700" s="1" t="n">
        <v>46311</v>
      </c>
      <c r="F700" t="inlineStr">
        <is>
          <t>DALARNAS LÄN</t>
        </is>
      </c>
      <c r="G700" t="inlineStr">
        <is>
          <t>LUDVIKA</t>
        </is>
      </c>
      <c r="I700" t="n">
        <v>1.1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39777-2026</t>
        </is>
      </c>
      <c r="B701" t="inlineStr">
        <is>
          <t>avverkningsanmälan</t>
        </is>
      </c>
      <c r="C701" t="inlineStr">
        <is>
          <t>Föryngringsavverkning</t>
        </is>
      </c>
      <c r="D701" s="1" t="n">
        <v>46290</v>
      </c>
      <c r="E701" s="1" t="n">
        <v>46311</v>
      </c>
      <c r="F701" t="inlineStr">
        <is>
          <t>DALARNAS LÄN</t>
        </is>
      </c>
      <c r="G701" t="inlineStr">
        <is>
          <t>LUDVIKA</t>
        </is>
      </c>
      <c r="H701" t="inlineStr">
        <is>
          <t>Bergvik skog väst AB</t>
        </is>
      </c>
      <c r="I701" t="n">
        <v>12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39854-2026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46290</v>
      </c>
      <c r="E702" s="1" t="n">
        <v>46311</v>
      </c>
      <c r="F702" t="inlineStr">
        <is>
          <t>DALARNAS LÄN</t>
        </is>
      </c>
      <c r="G702" t="inlineStr">
        <is>
          <t>LUDVIKA</t>
        </is>
      </c>
      <c r="H702" t="inlineStr">
        <is>
          <t>Bergvik skog väst AB</t>
        </is>
      </c>
      <c r="I702" t="n">
        <v>4.6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30813-2025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45831</v>
      </c>
      <c r="E703" s="1" t="n">
        <v>46311</v>
      </c>
      <c r="F703" t="inlineStr">
        <is>
          <t>DALARNAS LÄN</t>
        </is>
      </c>
      <c r="G703" t="inlineStr">
        <is>
          <t>LUDVIKA</t>
        </is>
      </c>
      <c r="I703" t="n">
        <v>0.9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36073-2026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46267</v>
      </c>
      <c r="E704" s="1" t="n">
        <v>46311</v>
      </c>
      <c r="F704" t="inlineStr">
        <is>
          <t>DALARNAS LÄN</t>
        </is>
      </c>
      <c r="G704" t="inlineStr">
        <is>
          <t>LUDVIKA</t>
        </is>
      </c>
      <c r="H704" t="inlineStr">
        <is>
          <t>Bergvik skog väst AB</t>
        </is>
      </c>
      <c r="I704" t="n">
        <v>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36126-2026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46267</v>
      </c>
      <c r="E705" s="1" t="n">
        <v>46311</v>
      </c>
      <c r="F705" t="inlineStr">
        <is>
          <t>DALARNAS LÄN</t>
        </is>
      </c>
      <c r="G705" t="inlineStr">
        <is>
          <t>LUDVIKA</t>
        </is>
      </c>
      <c r="H705" t="inlineStr">
        <is>
          <t>Bergvik skog väst AB</t>
        </is>
      </c>
      <c r="I705" t="n">
        <v>1.7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52230-2023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45224</v>
      </c>
      <c r="E706" s="1" t="n">
        <v>46311</v>
      </c>
      <c r="F706" t="inlineStr">
        <is>
          <t>DALARNAS LÄN</t>
        </is>
      </c>
      <c r="G706" t="inlineStr">
        <is>
          <t>LUDVIKA</t>
        </is>
      </c>
      <c r="I706" t="n">
        <v>3.5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62368-2025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46007</v>
      </c>
      <c r="E707" s="1" t="n">
        <v>46311</v>
      </c>
      <c r="F707" t="inlineStr">
        <is>
          <t>DALARNAS LÄN</t>
        </is>
      </c>
      <c r="G707" t="inlineStr">
        <is>
          <t>LUDVIKA</t>
        </is>
      </c>
      <c r="H707" t="inlineStr">
        <is>
          <t>Bergvik skog väst AB</t>
        </is>
      </c>
      <c r="I707" t="n">
        <v>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42743-2026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46309</v>
      </c>
      <c r="E708" s="1" t="n">
        <v>46311</v>
      </c>
      <c r="F708" t="inlineStr">
        <is>
          <t>DALARNAS LÄN</t>
        </is>
      </c>
      <c r="G708" t="inlineStr">
        <is>
          <t>LUDVIKA</t>
        </is>
      </c>
      <c r="I708" t="n">
        <v>1.1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36065-2026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46267</v>
      </c>
      <c r="E709" s="1" t="n">
        <v>46311</v>
      </c>
      <c r="F709" t="inlineStr">
        <is>
          <t>DALARNAS LÄN</t>
        </is>
      </c>
      <c r="G709" t="inlineStr">
        <is>
          <t>LUDVIKA</t>
        </is>
      </c>
      <c r="I709" t="n">
        <v>8.5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S 2837-2023</t>
        </is>
      </c>
      <c r="B710" t="inlineStr">
        <is>
          <t>samrådsanmälan</t>
        </is>
      </c>
      <c r="C710" t="inlineStr">
        <is>
          <t>Annan skogsbruksåtgärd</t>
        </is>
      </c>
      <c r="D710" s="1" t="n">
        <v>45167</v>
      </c>
      <c r="E710" s="1" t="n">
        <v>46311</v>
      </c>
      <c r="F710" t="inlineStr">
        <is>
          <t>DALARNAS LÄN</t>
        </is>
      </c>
      <c r="G710" t="inlineStr">
        <is>
          <t>LUDVIKA</t>
        </is>
      </c>
      <c r="H710" t="inlineStr">
        <is>
          <t>Bergvik skog väst AB</t>
        </is>
      </c>
      <c r="I710" t="n">
        <v>4.4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S 1122-2023</t>
        </is>
      </c>
      <c r="B711" t="inlineStr">
        <is>
          <t>samrådsanmälan</t>
        </is>
      </c>
      <c r="C711" t="inlineStr">
        <is>
          <t>Skogsgödsling</t>
        </is>
      </c>
      <c r="D711" s="1" t="n">
        <v>45015</v>
      </c>
      <c r="E711" s="1" t="n">
        <v>46311</v>
      </c>
      <c r="F711" t="inlineStr">
        <is>
          <t>DALARNAS LÄN</t>
        </is>
      </c>
      <c r="G711" t="inlineStr">
        <is>
          <t>LUDVIKA</t>
        </is>
      </c>
      <c r="H711" t="inlineStr">
        <is>
          <t>Bergvik skog väst AB</t>
        </is>
      </c>
      <c r="I711" t="n">
        <v>115.7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S 3660-2023</t>
        </is>
      </c>
      <c r="B712" t="inlineStr">
        <is>
          <t>samrådsanmälan</t>
        </is>
      </c>
      <c r="C712" t="inlineStr">
        <is>
          <t>Annan skogsbruksåtgärd</t>
        </is>
      </c>
      <c r="D712" s="1" t="n">
        <v>45216</v>
      </c>
      <c r="E712" s="1" t="n">
        <v>46311</v>
      </c>
      <c r="F712" t="inlineStr">
        <is>
          <t>DALARNAS LÄN</t>
        </is>
      </c>
      <c r="G712" t="inlineStr">
        <is>
          <t>LUDVIKA</t>
        </is>
      </c>
      <c r="H712" t="inlineStr">
        <is>
          <t>Bergvik skog väst AB</t>
        </is>
      </c>
      <c r="I712" t="n">
        <v>5.9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S 1246-2024</t>
        </is>
      </c>
      <c r="B713" t="inlineStr">
        <is>
          <t>samrådsanmälan</t>
        </is>
      </c>
      <c r="C713" t="inlineStr">
        <is>
          <t>Skogsgödsling</t>
        </is>
      </c>
      <c r="D713" s="1" t="n">
        <v>45400</v>
      </c>
      <c r="E713" s="1" t="n">
        <v>46311</v>
      </c>
      <c r="F713" t="inlineStr">
        <is>
          <t>DALARNAS LÄN</t>
        </is>
      </c>
      <c r="G713" t="inlineStr">
        <is>
          <t>LUDVIKA</t>
        </is>
      </c>
      <c r="H713" t="inlineStr">
        <is>
          <t>Bergvik skog väst AB</t>
        </is>
      </c>
      <c r="I713" t="n">
        <v>35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S 1096-2024</t>
        </is>
      </c>
      <c r="B714" t="inlineStr">
        <is>
          <t>samrådsanmälan</t>
        </is>
      </c>
      <c r="C714" t="inlineStr">
        <is>
          <t>Skogsgödsling</t>
        </is>
      </c>
      <c r="D714" s="1" t="n">
        <v>45391</v>
      </c>
      <c r="E714" s="1" t="n">
        <v>46311</v>
      </c>
      <c r="F714" t="inlineStr">
        <is>
          <t>DALARNAS LÄN</t>
        </is>
      </c>
      <c r="G714" t="inlineStr">
        <is>
          <t>LUDVIKA</t>
        </is>
      </c>
      <c r="H714" t="inlineStr">
        <is>
          <t>Bergvik skog väst AB</t>
        </is>
      </c>
      <c r="I714" t="n">
        <v>26.7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S 4863-2022</t>
        </is>
      </c>
      <c r="B715" t="inlineStr">
        <is>
          <t>samrådsanmälan</t>
        </is>
      </c>
      <c r="C715" t="inlineStr">
        <is>
          <t>Annan skogsbruksåtgärd</t>
        </is>
      </c>
      <c r="D715" s="1" t="n">
        <v>44805</v>
      </c>
      <c r="E715" s="1" t="n">
        <v>46311</v>
      </c>
      <c r="F715" t="inlineStr">
        <is>
          <t>DALARNAS LÄN</t>
        </is>
      </c>
      <c r="G715" t="inlineStr">
        <is>
          <t>LUDVIKA</t>
        </is>
      </c>
      <c r="H715" t="inlineStr">
        <is>
          <t>Bergvik skog väst AB</t>
        </is>
      </c>
      <c r="I715" t="n">
        <v>5.7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S 1113-2023</t>
        </is>
      </c>
      <c r="B716" t="inlineStr">
        <is>
          <t>samrådsanmälan</t>
        </is>
      </c>
      <c r="C716" t="inlineStr">
        <is>
          <t>Skogsgödsling</t>
        </is>
      </c>
      <c r="D716" s="1" t="n">
        <v>45015</v>
      </c>
      <c r="E716" s="1" t="n">
        <v>46311</v>
      </c>
      <c r="F716" t="inlineStr">
        <is>
          <t>DALARNAS LÄN</t>
        </is>
      </c>
      <c r="G716" t="inlineStr">
        <is>
          <t>LUDVIKA</t>
        </is>
      </c>
      <c r="H716" t="inlineStr">
        <is>
          <t>Bergvik skog väst AB</t>
        </is>
      </c>
      <c r="I716" t="n">
        <v>37.9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>
      <c r="A717" t="inlineStr">
        <is>
          <t>S 1815-2026</t>
        </is>
      </c>
      <c r="B717" t="inlineStr">
        <is>
          <t>samrådsanmälan</t>
        </is>
      </c>
      <c r="C717" t="inlineStr">
        <is>
          <t>Annan skogsbruksåtgärd</t>
        </is>
      </c>
      <c r="D717" s="1" t="n">
        <v>46190</v>
      </c>
      <c r="E717" s="1" t="n">
        <v>46311</v>
      </c>
      <c r="F717" t="inlineStr">
        <is>
          <t>DALARNAS LÄN</t>
        </is>
      </c>
      <c r="G717" t="inlineStr">
        <is>
          <t>LUDVIKA</t>
        </is>
      </c>
      <c r="H717" t="inlineStr">
        <is>
          <t>Bergvik skog väst AB</t>
        </is>
      </c>
      <c r="I717" t="n">
        <v>1.6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2026-10-16T02:17:36Z</dcterms:created>
  <dcterms:modified xmlns:dcterms="http://purl.org/dc/terms/" xmlns:xsi="http://www.w3.org/2001/XMLSchema-instance" xsi:type="dcterms:W3CDTF">2026-10-16T02:17:36Z</dcterms:modified>
</cp:coreProperties>
</file>
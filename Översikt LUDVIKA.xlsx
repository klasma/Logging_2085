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45473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45473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45473</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45473</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45473</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45473</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45473</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45473</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45473</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45473</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45473</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45473</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45473</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69138-2020</t>
        </is>
      </c>
      <c r="B15" s="1" t="n">
        <v>44188</v>
      </c>
      <c r="C15" s="1" t="n">
        <v>45473</v>
      </c>
      <c r="D15" t="inlineStr">
        <is>
          <t>DALARNAS LÄN</t>
        </is>
      </c>
      <c r="E15" t="inlineStr">
        <is>
          <t>LUDVIKA</t>
        </is>
      </c>
      <c r="G15" t="n">
        <v>6.7</v>
      </c>
      <c r="H15" t="n">
        <v>0</v>
      </c>
      <c r="I15" t="n">
        <v>3</v>
      </c>
      <c r="J15" t="n">
        <v>0</v>
      </c>
      <c r="K15" t="n">
        <v>0</v>
      </c>
      <c r="L15" t="n">
        <v>0</v>
      </c>
      <c r="M15" t="n">
        <v>0</v>
      </c>
      <c r="N15" t="n">
        <v>0</v>
      </c>
      <c r="O15" t="n">
        <v>0</v>
      </c>
      <c r="P15" t="n">
        <v>0</v>
      </c>
      <c r="Q15" t="n">
        <v>3</v>
      </c>
      <c r="R15" s="2" t="inlineStr">
        <is>
          <t>Rödgul trumpetsvamp
Svavelriska
Tibast</t>
        </is>
      </c>
      <c r="S15">
        <f>HYPERLINK("https://klasma.github.io/Logging_2085/artfynd/A 69138-2020 artfynd.xlsx", "A 69138-2020")</f>
        <v/>
      </c>
      <c r="T15">
        <f>HYPERLINK("https://klasma.github.io/Logging_2085/kartor/A 69138-2020 karta.png", "A 69138-2020")</f>
        <v/>
      </c>
      <c r="V15">
        <f>HYPERLINK("https://klasma.github.io/Logging_2085/klagomål/A 69138-2020 FSC-klagomål.docx", "A 69138-2020")</f>
        <v/>
      </c>
      <c r="W15">
        <f>HYPERLINK("https://klasma.github.io/Logging_2085/klagomålsmail/A 69138-2020 FSC-klagomål mail.docx", "A 69138-2020")</f>
        <v/>
      </c>
      <c r="X15">
        <f>HYPERLINK("https://klasma.github.io/Logging_2085/tillsyn/A 69138-2020 tillsynsbegäran.docx", "A 69138-2020")</f>
        <v/>
      </c>
      <c r="Y15">
        <f>HYPERLINK("https://klasma.github.io/Logging_2085/tillsynsmail/A 69138-2020 tillsynsbegäran mail.docx", "A 69138-2020")</f>
        <v/>
      </c>
    </row>
    <row r="16" ht="15" customHeight="1">
      <c r="A16" t="inlineStr">
        <is>
          <t>A 28119-2023</t>
        </is>
      </c>
      <c r="B16" s="1" t="n">
        <v>45099</v>
      </c>
      <c r="C16" s="1" t="n">
        <v>45473</v>
      </c>
      <c r="D16" t="inlineStr">
        <is>
          <t>DALARNAS LÄN</t>
        </is>
      </c>
      <c r="E16" t="inlineStr">
        <is>
          <t>LUDVIKA</t>
        </is>
      </c>
      <c r="F16" t="inlineStr">
        <is>
          <t>Bergvik skog väst AB</t>
        </is>
      </c>
      <c r="G16" t="n">
        <v>7.8</v>
      </c>
      <c r="H16" t="n">
        <v>1</v>
      </c>
      <c r="I16" t="n">
        <v>1</v>
      </c>
      <c r="J16" t="n">
        <v>1</v>
      </c>
      <c r="K16" t="n">
        <v>0</v>
      </c>
      <c r="L16" t="n">
        <v>0</v>
      </c>
      <c r="M16" t="n">
        <v>0</v>
      </c>
      <c r="N16" t="n">
        <v>0</v>
      </c>
      <c r="O16" t="n">
        <v>1</v>
      </c>
      <c r="P16" t="n">
        <v>0</v>
      </c>
      <c r="Q16" t="n">
        <v>3</v>
      </c>
      <c r="R16" s="2" t="inlineStr">
        <is>
          <t>Skorpgelélav
Bårdlav
Nattviol</t>
        </is>
      </c>
      <c r="S16">
        <f>HYPERLINK("https://klasma.github.io/Logging_2085/artfynd/A 28119-2023 artfynd.xlsx", "A 28119-2023")</f>
        <v/>
      </c>
      <c r="T16">
        <f>HYPERLINK("https://klasma.github.io/Logging_2085/kartor/A 28119-2023 karta.png", "A 28119-2023")</f>
        <v/>
      </c>
      <c r="V16">
        <f>HYPERLINK("https://klasma.github.io/Logging_2085/klagomål/A 28119-2023 FSC-klagomål.docx", "A 28119-2023")</f>
        <v/>
      </c>
      <c r="W16">
        <f>HYPERLINK("https://klasma.github.io/Logging_2085/klagomålsmail/A 28119-2023 FSC-klagomål mail.docx", "A 28119-2023")</f>
        <v/>
      </c>
      <c r="X16">
        <f>HYPERLINK("https://klasma.github.io/Logging_2085/tillsyn/A 28119-2023 tillsynsbegäran.docx", "A 28119-2023")</f>
        <v/>
      </c>
      <c r="Y16">
        <f>HYPERLINK("https://klasma.github.io/Logging_2085/tillsynsmail/A 28119-2023 tillsynsbegäran mail.docx", "A 28119-2023")</f>
        <v/>
      </c>
    </row>
    <row r="17" ht="15" customHeight="1">
      <c r="A17" t="inlineStr">
        <is>
          <t>A 32643-2023</t>
        </is>
      </c>
      <c r="B17" s="1" t="n">
        <v>45121</v>
      </c>
      <c r="C17" s="1" t="n">
        <v>45473</v>
      </c>
      <c r="D17" t="inlineStr">
        <is>
          <t>DALARNAS LÄN</t>
        </is>
      </c>
      <c r="E17" t="inlineStr">
        <is>
          <t>LUDVIKA</t>
        </is>
      </c>
      <c r="F17" t="inlineStr">
        <is>
          <t>Bergvik skog väst AB</t>
        </is>
      </c>
      <c r="G17" t="n">
        <v>12.2</v>
      </c>
      <c r="H17" t="n">
        <v>1</v>
      </c>
      <c r="I17" t="n">
        <v>2</v>
      </c>
      <c r="J17" t="n">
        <v>1</v>
      </c>
      <c r="K17" t="n">
        <v>0</v>
      </c>
      <c r="L17" t="n">
        <v>0</v>
      </c>
      <c r="M17" t="n">
        <v>0</v>
      </c>
      <c r="N17" t="n">
        <v>0</v>
      </c>
      <c r="O17" t="n">
        <v>1</v>
      </c>
      <c r="P17" t="n">
        <v>0</v>
      </c>
      <c r="Q17" t="n">
        <v>3</v>
      </c>
      <c r="R17" s="2" t="inlineStr">
        <is>
          <t>Spillkråka
Aprikosfingersvamp
Honungsvaxskivling</t>
        </is>
      </c>
      <c r="S17">
        <f>HYPERLINK("https://klasma.github.io/Logging_2085/artfynd/A 32643-2023 artfynd.xlsx", "A 32643-2023")</f>
        <v/>
      </c>
      <c r="T17">
        <f>HYPERLINK("https://klasma.github.io/Logging_2085/kartor/A 32643-2023 karta.png", "A 32643-2023")</f>
        <v/>
      </c>
      <c r="V17">
        <f>HYPERLINK("https://klasma.github.io/Logging_2085/klagomål/A 32643-2023 FSC-klagomål.docx", "A 32643-2023")</f>
        <v/>
      </c>
      <c r="W17">
        <f>HYPERLINK("https://klasma.github.io/Logging_2085/klagomålsmail/A 32643-2023 FSC-klagomål mail.docx", "A 32643-2023")</f>
        <v/>
      </c>
      <c r="X17">
        <f>HYPERLINK("https://klasma.github.io/Logging_2085/tillsyn/A 32643-2023 tillsynsbegäran.docx", "A 32643-2023")</f>
        <v/>
      </c>
      <c r="Y17">
        <f>HYPERLINK("https://klasma.github.io/Logging_2085/tillsynsmail/A 32643-2023 tillsynsbegäran mail.docx", "A 32643-2023")</f>
        <v/>
      </c>
      <c r="Z17">
        <f>HYPERLINK("https://klasma.github.io/Logging_2085/fåglar/A 32643-2023 prioriterade fågelarter.docx", "A 32643-2023")</f>
        <v/>
      </c>
    </row>
    <row r="18" ht="15" customHeight="1">
      <c r="A18" t="inlineStr">
        <is>
          <t>A 7704-2020</t>
        </is>
      </c>
      <c r="B18" s="1" t="n">
        <v>43872</v>
      </c>
      <c r="C18" s="1" t="n">
        <v>45473</v>
      </c>
      <c r="D18" t="inlineStr">
        <is>
          <t>DALARNAS LÄN</t>
        </is>
      </c>
      <c r="E18" t="inlineStr">
        <is>
          <t>LUDVIKA</t>
        </is>
      </c>
      <c r="G18" t="n">
        <v>3.4</v>
      </c>
      <c r="H18" t="n">
        <v>1</v>
      </c>
      <c r="I18" t="n">
        <v>1</v>
      </c>
      <c r="J18" t="n">
        <v>0</v>
      </c>
      <c r="K18" t="n">
        <v>0</v>
      </c>
      <c r="L18" t="n">
        <v>0</v>
      </c>
      <c r="M18" t="n">
        <v>0</v>
      </c>
      <c r="N18" t="n">
        <v>0</v>
      </c>
      <c r="O18" t="n">
        <v>0</v>
      </c>
      <c r="P18" t="n">
        <v>0</v>
      </c>
      <c r="Q18" t="n">
        <v>2</v>
      </c>
      <c r="R18" s="2" t="inlineStr">
        <is>
          <t>Svavelriska
Blåsippa</t>
        </is>
      </c>
      <c r="S18">
        <f>HYPERLINK("https://klasma.github.io/Logging_2085/artfynd/A 7704-2020 artfynd.xlsx", "A 7704-2020")</f>
        <v/>
      </c>
      <c r="T18">
        <f>HYPERLINK("https://klasma.github.io/Logging_2085/kartor/A 7704-2020 karta.png", "A 7704-2020")</f>
        <v/>
      </c>
      <c r="V18">
        <f>HYPERLINK("https://klasma.github.io/Logging_2085/klagomål/A 7704-2020 FSC-klagomål.docx", "A 7704-2020")</f>
        <v/>
      </c>
      <c r="W18">
        <f>HYPERLINK("https://klasma.github.io/Logging_2085/klagomålsmail/A 7704-2020 FSC-klagomål mail.docx", "A 7704-2020")</f>
        <v/>
      </c>
      <c r="X18">
        <f>HYPERLINK("https://klasma.github.io/Logging_2085/tillsyn/A 7704-2020 tillsynsbegäran.docx", "A 7704-2020")</f>
        <v/>
      </c>
      <c r="Y18">
        <f>HYPERLINK("https://klasma.github.io/Logging_2085/tillsynsmail/A 7704-2020 tillsynsbegäran mail.docx", "A 7704-2020")</f>
        <v/>
      </c>
    </row>
    <row r="19" ht="15" customHeight="1">
      <c r="A19" t="inlineStr">
        <is>
          <t>A 7849-2020</t>
        </is>
      </c>
      <c r="B19" s="1" t="n">
        <v>43873</v>
      </c>
      <c r="C19" s="1" t="n">
        <v>45473</v>
      </c>
      <c r="D19" t="inlineStr">
        <is>
          <t>DALARNAS LÄN</t>
        </is>
      </c>
      <c r="E19" t="inlineStr">
        <is>
          <t>LUDVIKA</t>
        </is>
      </c>
      <c r="F19" t="inlineStr">
        <is>
          <t>Naturvårdsverket</t>
        </is>
      </c>
      <c r="G19" t="n">
        <v>1.3</v>
      </c>
      <c r="H19" t="n">
        <v>1</v>
      </c>
      <c r="I19" t="n">
        <v>1</v>
      </c>
      <c r="J19" t="n">
        <v>0</v>
      </c>
      <c r="K19" t="n">
        <v>1</v>
      </c>
      <c r="L19" t="n">
        <v>0</v>
      </c>
      <c r="M19" t="n">
        <v>0</v>
      </c>
      <c r="N19" t="n">
        <v>0</v>
      </c>
      <c r="O19" t="n">
        <v>1</v>
      </c>
      <c r="P19" t="n">
        <v>1</v>
      </c>
      <c r="Q19" t="n">
        <v>2</v>
      </c>
      <c r="R19" s="2" t="inlineStr">
        <is>
          <t>Knärot
Myskbock</t>
        </is>
      </c>
      <c r="S19">
        <f>HYPERLINK("https://klasma.github.io/Logging_2085/artfynd/A 7849-2020 artfynd.xlsx", "A 7849-2020")</f>
        <v/>
      </c>
      <c r="T19">
        <f>HYPERLINK("https://klasma.github.io/Logging_2085/kartor/A 7849-2020 karta.png", "A 7849-2020")</f>
        <v/>
      </c>
      <c r="U19">
        <f>HYPERLINK("https://klasma.github.io/Logging_2085/knärot/A 7849-2020 karta knärot.png", "A 7849-2020")</f>
        <v/>
      </c>
      <c r="V19">
        <f>HYPERLINK("https://klasma.github.io/Logging_2085/klagomål/A 7849-2020 FSC-klagomål.docx", "A 7849-2020")</f>
        <v/>
      </c>
      <c r="W19">
        <f>HYPERLINK("https://klasma.github.io/Logging_2085/klagomålsmail/A 7849-2020 FSC-klagomål mail.docx", "A 7849-2020")</f>
        <v/>
      </c>
      <c r="X19">
        <f>HYPERLINK("https://klasma.github.io/Logging_2085/tillsyn/A 7849-2020 tillsynsbegäran.docx", "A 7849-2020")</f>
        <v/>
      </c>
      <c r="Y19">
        <f>HYPERLINK("https://klasma.github.io/Logging_2085/tillsynsmail/A 7849-2020 tillsynsbegäran mail.docx", "A 7849-2020")</f>
        <v/>
      </c>
    </row>
    <row r="20" ht="15" customHeight="1">
      <c r="A20" t="inlineStr">
        <is>
          <t>A 21885-2021</t>
        </is>
      </c>
      <c r="B20" s="1" t="n">
        <v>44322</v>
      </c>
      <c r="C20" s="1" t="n">
        <v>45473</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45473</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45473</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45473</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45473</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45473</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49390-2023</t>
        </is>
      </c>
      <c r="B26" s="1" t="n">
        <v>45211</v>
      </c>
      <c r="C26" s="1" t="n">
        <v>45473</v>
      </c>
      <c r="D26" t="inlineStr">
        <is>
          <t>DALARNAS LÄN</t>
        </is>
      </c>
      <c r="E26" t="inlineStr">
        <is>
          <t>LUDVIKA</t>
        </is>
      </c>
      <c r="F26" t="inlineStr">
        <is>
          <t>Bergvik skog väst AB</t>
        </is>
      </c>
      <c r="G26" t="n">
        <v>12.7</v>
      </c>
      <c r="H26" t="n">
        <v>0</v>
      </c>
      <c r="I26" t="n">
        <v>2</v>
      </c>
      <c r="J26" t="n">
        <v>0</v>
      </c>
      <c r="K26" t="n">
        <v>0</v>
      </c>
      <c r="L26" t="n">
        <v>0</v>
      </c>
      <c r="M26" t="n">
        <v>0</v>
      </c>
      <c r="N26" t="n">
        <v>0</v>
      </c>
      <c r="O26" t="n">
        <v>0</v>
      </c>
      <c r="P26" t="n">
        <v>0</v>
      </c>
      <c r="Q26" t="n">
        <v>2</v>
      </c>
      <c r="R26" s="2" t="inlineStr">
        <is>
          <t>Sotriska
Svart trolldruva</t>
        </is>
      </c>
      <c r="S26">
        <f>HYPERLINK("https://klasma.github.io/Logging_2085/artfynd/A 49390-2023 artfynd.xlsx", "A 49390-2023")</f>
        <v/>
      </c>
      <c r="T26">
        <f>HYPERLINK("https://klasma.github.io/Logging_2085/kartor/A 49390-2023 karta.png", "A 49390-2023")</f>
        <v/>
      </c>
      <c r="V26">
        <f>HYPERLINK("https://klasma.github.io/Logging_2085/klagomål/A 49390-2023 FSC-klagomål.docx", "A 49390-2023")</f>
        <v/>
      </c>
      <c r="W26">
        <f>HYPERLINK("https://klasma.github.io/Logging_2085/klagomålsmail/A 49390-2023 FSC-klagomål mail.docx", "A 49390-2023")</f>
        <v/>
      </c>
      <c r="X26">
        <f>HYPERLINK("https://klasma.github.io/Logging_2085/tillsyn/A 49390-2023 tillsynsbegäran.docx", "A 49390-2023")</f>
        <v/>
      </c>
      <c r="Y26">
        <f>HYPERLINK("https://klasma.github.io/Logging_2085/tillsynsmail/A 49390-2023 tillsynsbegäran mail.docx", "A 49390-2023")</f>
        <v/>
      </c>
    </row>
    <row r="27" ht="15" customHeight="1">
      <c r="A27" t="inlineStr">
        <is>
          <t>A 25448-2024</t>
        </is>
      </c>
      <c r="B27" s="1" t="n">
        <v>45463</v>
      </c>
      <c r="C27" s="1" t="n">
        <v>45473</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21672-2019</t>
        </is>
      </c>
      <c r="B28" s="1" t="n">
        <v>43581</v>
      </c>
      <c r="C28" s="1" t="n">
        <v>45473</v>
      </c>
      <c r="D28" t="inlineStr">
        <is>
          <t>DALARNAS LÄN</t>
        </is>
      </c>
      <c r="E28" t="inlineStr">
        <is>
          <t>LUDVIKA</t>
        </is>
      </c>
      <c r="G28" t="n">
        <v>6.3</v>
      </c>
      <c r="H28" t="n">
        <v>1</v>
      </c>
      <c r="I28" t="n">
        <v>0</v>
      </c>
      <c r="J28" t="n">
        <v>0</v>
      </c>
      <c r="K28" t="n">
        <v>0</v>
      </c>
      <c r="L28" t="n">
        <v>1</v>
      </c>
      <c r="M28" t="n">
        <v>0</v>
      </c>
      <c r="N28" t="n">
        <v>0</v>
      </c>
      <c r="O28" t="n">
        <v>1</v>
      </c>
      <c r="P28" t="n">
        <v>1</v>
      </c>
      <c r="Q28" t="n">
        <v>1</v>
      </c>
      <c r="R28" s="2" t="inlineStr">
        <is>
          <t>Mosippa</t>
        </is>
      </c>
      <c r="S28">
        <f>HYPERLINK("https://klasma.github.io/Logging_2085/artfynd/A 21672-2019 artfynd.xlsx", "A 21672-2019")</f>
        <v/>
      </c>
      <c r="T28">
        <f>HYPERLINK("https://klasma.github.io/Logging_2085/kartor/A 21672-2019 karta.png", "A 21672-2019")</f>
        <v/>
      </c>
      <c r="V28">
        <f>HYPERLINK("https://klasma.github.io/Logging_2085/klagomål/A 21672-2019 FSC-klagomål.docx", "A 21672-2019")</f>
        <v/>
      </c>
      <c r="W28">
        <f>HYPERLINK("https://klasma.github.io/Logging_2085/klagomålsmail/A 21672-2019 FSC-klagomål mail.docx", "A 21672-2019")</f>
        <v/>
      </c>
      <c r="X28">
        <f>HYPERLINK("https://klasma.github.io/Logging_2085/tillsyn/A 21672-2019 tillsynsbegäran.docx", "A 21672-2019")</f>
        <v/>
      </c>
      <c r="Y28">
        <f>HYPERLINK("https://klasma.github.io/Logging_2085/tillsynsmail/A 21672-2019 tillsynsbegäran mail.docx", "A 21672-2019")</f>
        <v/>
      </c>
    </row>
    <row r="29" ht="15" customHeight="1">
      <c r="A29" t="inlineStr">
        <is>
          <t>A 27562-2020</t>
        </is>
      </c>
      <c r="B29" s="1" t="n">
        <v>43993</v>
      </c>
      <c r="C29" s="1" t="n">
        <v>45473</v>
      </c>
      <c r="D29" t="inlineStr">
        <is>
          <t>DALARNAS LÄN</t>
        </is>
      </c>
      <c r="E29" t="inlineStr">
        <is>
          <t>LUDVIKA</t>
        </is>
      </c>
      <c r="F29" t="inlineStr">
        <is>
          <t>Bergvik skog väst AB</t>
        </is>
      </c>
      <c r="G29" t="n">
        <v>2</v>
      </c>
      <c r="H29" t="n">
        <v>0</v>
      </c>
      <c r="I29" t="n">
        <v>1</v>
      </c>
      <c r="J29" t="n">
        <v>0</v>
      </c>
      <c r="K29" t="n">
        <v>0</v>
      </c>
      <c r="L29" t="n">
        <v>0</v>
      </c>
      <c r="M29" t="n">
        <v>0</v>
      </c>
      <c r="N29" t="n">
        <v>0</v>
      </c>
      <c r="O29" t="n">
        <v>0</v>
      </c>
      <c r="P29" t="n">
        <v>0</v>
      </c>
      <c r="Q29" t="n">
        <v>1</v>
      </c>
      <c r="R29" s="2" t="inlineStr">
        <is>
          <t>Skinnlav</t>
        </is>
      </c>
      <c r="S29">
        <f>HYPERLINK("https://klasma.github.io/Logging_2085/artfynd/A 27562-2020 artfynd.xlsx", "A 27562-2020")</f>
        <v/>
      </c>
      <c r="T29">
        <f>HYPERLINK("https://klasma.github.io/Logging_2085/kartor/A 27562-2020 karta.png", "A 27562-2020")</f>
        <v/>
      </c>
      <c r="V29">
        <f>HYPERLINK("https://klasma.github.io/Logging_2085/klagomål/A 27562-2020 FSC-klagomål.docx", "A 27562-2020")</f>
        <v/>
      </c>
      <c r="W29">
        <f>HYPERLINK("https://klasma.github.io/Logging_2085/klagomålsmail/A 27562-2020 FSC-klagomål mail.docx", "A 27562-2020")</f>
        <v/>
      </c>
      <c r="X29">
        <f>HYPERLINK("https://klasma.github.io/Logging_2085/tillsyn/A 27562-2020 tillsynsbegäran.docx", "A 27562-2020")</f>
        <v/>
      </c>
      <c r="Y29">
        <f>HYPERLINK("https://klasma.github.io/Logging_2085/tillsynsmail/A 27562-2020 tillsynsbegäran mail.docx", "A 27562-2020")</f>
        <v/>
      </c>
    </row>
    <row r="30" ht="15" customHeight="1">
      <c r="A30" t="inlineStr">
        <is>
          <t>A 64068-2020</t>
        </is>
      </c>
      <c r="B30" s="1" t="n">
        <v>44167</v>
      </c>
      <c r="C30" s="1" t="n">
        <v>45473</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69166-2020</t>
        </is>
      </c>
      <c r="B31" s="1" t="n">
        <v>44188</v>
      </c>
      <c r="C31" s="1" t="n">
        <v>45473</v>
      </c>
      <c r="D31" t="inlineStr">
        <is>
          <t>DALARNAS LÄN</t>
        </is>
      </c>
      <c r="E31" t="inlineStr">
        <is>
          <t>LUDVIKA</t>
        </is>
      </c>
      <c r="F31" t="inlineStr">
        <is>
          <t>Kommuner</t>
        </is>
      </c>
      <c r="G31" t="n">
        <v>4.9</v>
      </c>
      <c r="H31" t="n">
        <v>1</v>
      </c>
      <c r="I31" t="n">
        <v>0</v>
      </c>
      <c r="J31" t="n">
        <v>0</v>
      </c>
      <c r="K31" t="n">
        <v>0</v>
      </c>
      <c r="L31" t="n">
        <v>0</v>
      </c>
      <c r="M31" t="n">
        <v>0</v>
      </c>
      <c r="N31" t="n">
        <v>0</v>
      </c>
      <c r="O31" t="n">
        <v>0</v>
      </c>
      <c r="P31" t="n">
        <v>0</v>
      </c>
      <c r="Q31" t="n">
        <v>1</v>
      </c>
      <c r="R31" s="2" t="inlineStr">
        <is>
          <t>Fläcknycklar</t>
        </is>
      </c>
      <c r="S31">
        <f>HYPERLINK("https://klasma.github.io/Logging_2085/artfynd/A 69166-2020 artfynd.xlsx", "A 69166-2020")</f>
        <v/>
      </c>
      <c r="T31">
        <f>HYPERLINK("https://klasma.github.io/Logging_2085/kartor/A 69166-2020 karta.png", "A 69166-2020")</f>
        <v/>
      </c>
      <c r="V31">
        <f>HYPERLINK("https://klasma.github.io/Logging_2085/klagomål/A 69166-2020 FSC-klagomål.docx", "A 69166-2020")</f>
        <v/>
      </c>
      <c r="W31">
        <f>HYPERLINK("https://klasma.github.io/Logging_2085/klagomålsmail/A 69166-2020 FSC-klagomål mail.docx", "A 69166-2020")</f>
        <v/>
      </c>
      <c r="X31">
        <f>HYPERLINK("https://klasma.github.io/Logging_2085/tillsyn/A 69166-2020 tillsynsbegäran.docx", "A 69166-2020")</f>
        <v/>
      </c>
      <c r="Y31">
        <f>HYPERLINK("https://klasma.github.io/Logging_2085/tillsynsmail/A 69166-2020 tillsynsbegäran mail.docx", "A 69166-2020")</f>
        <v/>
      </c>
    </row>
    <row r="32" ht="15" customHeight="1">
      <c r="A32" t="inlineStr">
        <is>
          <t>A 38674-2021</t>
        </is>
      </c>
      <c r="B32" s="1" t="n">
        <v>44410</v>
      </c>
      <c r="C32" s="1" t="n">
        <v>45473</v>
      </c>
      <c r="D32" t="inlineStr">
        <is>
          <t>DALARNAS LÄN</t>
        </is>
      </c>
      <c r="E32" t="inlineStr">
        <is>
          <t>LUDVIKA</t>
        </is>
      </c>
      <c r="G32" t="n">
        <v>6.3</v>
      </c>
      <c r="H32" t="n">
        <v>0</v>
      </c>
      <c r="I32" t="n">
        <v>0</v>
      </c>
      <c r="J32" t="n">
        <v>1</v>
      </c>
      <c r="K32" t="n">
        <v>0</v>
      </c>
      <c r="L32" t="n">
        <v>0</v>
      </c>
      <c r="M32" t="n">
        <v>0</v>
      </c>
      <c r="N32" t="n">
        <v>0</v>
      </c>
      <c r="O32" t="n">
        <v>1</v>
      </c>
      <c r="P32" t="n">
        <v>0</v>
      </c>
      <c r="Q32" t="n">
        <v>1</v>
      </c>
      <c r="R32" s="2" t="inlineStr">
        <is>
          <t>Dvärgbägarlav</t>
        </is>
      </c>
      <c r="S32">
        <f>HYPERLINK("https://klasma.github.io/Logging_2085/artfynd/A 38674-2021 artfynd.xlsx", "A 38674-2021")</f>
        <v/>
      </c>
      <c r="T32">
        <f>HYPERLINK("https://klasma.github.io/Logging_2085/kartor/A 38674-2021 karta.png", "A 38674-2021")</f>
        <v/>
      </c>
      <c r="V32">
        <f>HYPERLINK("https://klasma.github.io/Logging_2085/klagomål/A 38674-2021 FSC-klagomål.docx", "A 38674-2021")</f>
        <v/>
      </c>
      <c r="W32">
        <f>HYPERLINK("https://klasma.github.io/Logging_2085/klagomålsmail/A 38674-2021 FSC-klagomål mail.docx", "A 38674-2021")</f>
        <v/>
      </c>
      <c r="X32">
        <f>HYPERLINK("https://klasma.github.io/Logging_2085/tillsyn/A 38674-2021 tillsynsbegäran.docx", "A 38674-2021")</f>
        <v/>
      </c>
      <c r="Y32">
        <f>HYPERLINK("https://klasma.github.io/Logging_2085/tillsynsmail/A 38674-2021 tillsynsbegäran mail.docx", "A 38674-2021")</f>
        <v/>
      </c>
    </row>
    <row r="33" ht="15" customHeight="1">
      <c r="A33" t="inlineStr">
        <is>
          <t>A 50052-2021</t>
        </is>
      </c>
      <c r="B33" s="1" t="n">
        <v>44456</v>
      </c>
      <c r="C33" s="1" t="n">
        <v>45473</v>
      </c>
      <c r="D33" t="inlineStr">
        <is>
          <t>DALARNAS LÄN</t>
        </is>
      </c>
      <c r="E33" t="inlineStr">
        <is>
          <t>LUDVIKA</t>
        </is>
      </c>
      <c r="F33" t="inlineStr">
        <is>
          <t>Bergvik skog väst AB</t>
        </is>
      </c>
      <c r="G33" t="n">
        <v>2</v>
      </c>
      <c r="H33" t="n">
        <v>1</v>
      </c>
      <c r="I33" t="n">
        <v>0</v>
      </c>
      <c r="J33" t="n">
        <v>0</v>
      </c>
      <c r="K33" t="n">
        <v>0</v>
      </c>
      <c r="L33" t="n">
        <v>0</v>
      </c>
      <c r="M33" t="n">
        <v>0</v>
      </c>
      <c r="N33" t="n">
        <v>0</v>
      </c>
      <c r="O33" t="n">
        <v>0</v>
      </c>
      <c r="P33" t="n">
        <v>0</v>
      </c>
      <c r="Q33" t="n">
        <v>1</v>
      </c>
      <c r="R33" s="2" t="inlineStr">
        <is>
          <t>Buskmus</t>
        </is>
      </c>
      <c r="S33">
        <f>HYPERLINK("https://klasma.github.io/Logging_2085/artfynd/A 50052-2021 artfynd.xlsx", "A 50052-2021")</f>
        <v/>
      </c>
      <c r="T33">
        <f>HYPERLINK("https://klasma.github.io/Logging_2085/kartor/A 50052-2021 karta.png", "A 50052-2021")</f>
        <v/>
      </c>
      <c r="V33">
        <f>HYPERLINK("https://klasma.github.io/Logging_2085/klagomål/A 50052-2021 FSC-klagomål.docx", "A 50052-2021")</f>
        <v/>
      </c>
      <c r="W33">
        <f>HYPERLINK("https://klasma.github.io/Logging_2085/klagomålsmail/A 50052-2021 FSC-klagomål mail.docx", "A 50052-2021")</f>
        <v/>
      </c>
      <c r="X33">
        <f>HYPERLINK("https://klasma.github.io/Logging_2085/tillsyn/A 50052-2021 tillsynsbegäran.docx", "A 50052-2021")</f>
        <v/>
      </c>
      <c r="Y33">
        <f>HYPERLINK("https://klasma.github.io/Logging_2085/tillsynsmail/A 50052-2021 tillsynsbegäran mail.docx", "A 50052-2021")</f>
        <v/>
      </c>
    </row>
    <row r="34" ht="15" customHeight="1">
      <c r="A34" t="inlineStr">
        <is>
          <t>A 72858-2021</t>
        </is>
      </c>
      <c r="B34" s="1" t="n">
        <v>44547</v>
      </c>
      <c r="C34" s="1" t="n">
        <v>45473</v>
      </c>
      <c r="D34" t="inlineStr">
        <is>
          <t>DALARNAS LÄN</t>
        </is>
      </c>
      <c r="E34" t="inlineStr">
        <is>
          <t>LUDVIKA</t>
        </is>
      </c>
      <c r="F34" t="inlineStr">
        <is>
          <t>Kommuner</t>
        </is>
      </c>
      <c r="G34" t="n">
        <v>7</v>
      </c>
      <c r="H34" t="n">
        <v>0</v>
      </c>
      <c r="I34" t="n">
        <v>0</v>
      </c>
      <c r="J34" t="n">
        <v>0</v>
      </c>
      <c r="K34" t="n">
        <v>1</v>
      </c>
      <c r="L34" t="n">
        <v>0</v>
      </c>
      <c r="M34" t="n">
        <v>0</v>
      </c>
      <c r="N34" t="n">
        <v>0</v>
      </c>
      <c r="O34" t="n">
        <v>1</v>
      </c>
      <c r="P34" t="n">
        <v>1</v>
      </c>
      <c r="Q34" t="n">
        <v>1</v>
      </c>
      <c r="R34" s="2" t="inlineStr">
        <is>
          <t>Rynkskinn</t>
        </is>
      </c>
      <c r="S34">
        <f>HYPERLINK("https://klasma.github.io/Logging_2085/artfynd/A 72858-2021 artfynd.xlsx", "A 72858-2021")</f>
        <v/>
      </c>
      <c r="T34">
        <f>HYPERLINK("https://klasma.github.io/Logging_2085/kartor/A 72858-2021 karta.png", "A 72858-2021")</f>
        <v/>
      </c>
      <c r="V34">
        <f>HYPERLINK("https://klasma.github.io/Logging_2085/klagomål/A 72858-2021 FSC-klagomål.docx", "A 72858-2021")</f>
        <v/>
      </c>
      <c r="W34">
        <f>HYPERLINK("https://klasma.github.io/Logging_2085/klagomålsmail/A 72858-2021 FSC-klagomål mail.docx", "A 72858-2021")</f>
        <v/>
      </c>
      <c r="X34">
        <f>HYPERLINK("https://klasma.github.io/Logging_2085/tillsyn/A 72858-2021 tillsynsbegäran.docx", "A 72858-2021")</f>
        <v/>
      </c>
      <c r="Y34">
        <f>HYPERLINK("https://klasma.github.io/Logging_2085/tillsynsmail/A 72858-2021 tillsynsbegäran mail.docx", "A 72858-2021")</f>
        <v/>
      </c>
    </row>
    <row r="35" ht="15" customHeight="1">
      <c r="A35" t="inlineStr">
        <is>
          <t>A 74401-2021</t>
        </is>
      </c>
      <c r="B35" s="1" t="n">
        <v>44560</v>
      </c>
      <c r="C35" s="1" t="n">
        <v>45473</v>
      </c>
      <c r="D35" t="inlineStr">
        <is>
          <t>DALARNAS LÄN</t>
        </is>
      </c>
      <c r="E35" t="inlineStr">
        <is>
          <t>LUDVIKA</t>
        </is>
      </c>
      <c r="F35" t="inlineStr">
        <is>
          <t>Kommuner</t>
        </is>
      </c>
      <c r="G35" t="n">
        <v>0.6</v>
      </c>
      <c r="H35" t="n">
        <v>0</v>
      </c>
      <c r="I35" t="n">
        <v>1</v>
      </c>
      <c r="J35" t="n">
        <v>0</v>
      </c>
      <c r="K35" t="n">
        <v>0</v>
      </c>
      <c r="L35" t="n">
        <v>0</v>
      </c>
      <c r="M35" t="n">
        <v>0</v>
      </c>
      <c r="N35" t="n">
        <v>0</v>
      </c>
      <c r="O35" t="n">
        <v>0</v>
      </c>
      <c r="P35" t="n">
        <v>0</v>
      </c>
      <c r="Q35" t="n">
        <v>1</v>
      </c>
      <c r="R35" s="2" t="inlineStr">
        <is>
          <t>Gullgröppa</t>
        </is>
      </c>
      <c r="S35">
        <f>HYPERLINK("https://klasma.github.io/Logging_2085/artfynd/A 74401-2021 artfynd.xlsx", "A 74401-2021")</f>
        <v/>
      </c>
      <c r="T35">
        <f>HYPERLINK("https://klasma.github.io/Logging_2085/kartor/A 74401-2021 karta.png", "A 74401-2021")</f>
        <v/>
      </c>
      <c r="V35">
        <f>HYPERLINK("https://klasma.github.io/Logging_2085/klagomål/A 74401-2021 FSC-klagomål.docx", "A 74401-2021")</f>
        <v/>
      </c>
      <c r="W35">
        <f>HYPERLINK("https://klasma.github.io/Logging_2085/klagomålsmail/A 74401-2021 FSC-klagomål mail.docx", "A 74401-2021")</f>
        <v/>
      </c>
      <c r="X35">
        <f>HYPERLINK("https://klasma.github.io/Logging_2085/tillsyn/A 74401-2021 tillsynsbegäran.docx", "A 74401-2021")</f>
        <v/>
      </c>
      <c r="Y35">
        <f>HYPERLINK("https://klasma.github.io/Logging_2085/tillsynsmail/A 74401-2021 tillsynsbegäran mail.docx", "A 74401-2021")</f>
        <v/>
      </c>
    </row>
    <row r="36" ht="15" customHeight="1">
      <c r="A36" t="inlineStr">
        <is>
          <t>A 927-2022</t>
        </is>
      </c>
      <c r="B36" s="1" t="n">
        <v>44571</v>
      </c>
      <c r="C36" s="1" t="n">
        <v>45473</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19512-2022</t>
        </is>
      </c>
      <c r="B37" s="1" t="n">
        <v>44693</v>
      </c>
      <c r="C37" s="1" t="n">
        <v>45473</v>
      </c>
      <c r="D37" t="inlineStr">
        <is>
          <t>DALARNAS LÄN</t>
        </is>
      </c>
      <c r="E37" t="inlineStr">
        <is>
          <t>LUDVIKA</t>
        </is>
      </c>
      <c r="F37" t="inlineStr">
        <is>
          <t>Bergvik skog väst AB</t>
        </is>
      </c>
      <c r="G37" t="n">
        <v>2.8</v>
      </c>
      <c r="H37" t="n">
        <v>0</v>
      </c>
      <c r="I37" t="n">
        <v>1</v>
      </c>
      <c r="J37" t="n">
        <v>0</v>
      </c>
      <c r="K37" t="n">
        <v>0</v>
      </c>
      <c r="L37" t="n">
        <v>0</v>
      </c>
      <c r="M37" t="n">
        <v>0</v>
      </c>
      <c r="N37" t="n">
        <v>0</v>
      </c>
      <c r="O37" t="n">
        <v>0</v>
      </c>
      <c r="P37" t="n">
        <v>0</v>
      </c>
      <c r="Q37" t="n">
        <v>1</v>
      </c>
      <c r="R37" s="2" t="inlineStr">
        <is>
          <t>Nästlav</t>
        </is>
      </c>
      <c r="S37">
        <f>HYPERLINK("https://klasma.github.io/Logging_2085/artfynd/A 19512-2022 artfynd.xlsx", "A 19512-2022")</f>
        <v/>
      </c>
      <c r="T37">
        <f>HYPERLINK("https://klasma.github.io/Logging_2085/kartor/A 19512-2022 karta.png", "A 19512-2022")</f>
        <v/>
      </c>
      <c r="V37">
        <f>HYPERLINK("https://klasma.github.io/Logging_2085/klagomål/A 19512-2022 FSC-klagomål.docx", "A 19512-2022")</f>
        <v/>
      </c>
      <c r="W37">
        <f>HYPERLINK("https://klasma.github.io/Logging_2085/klagomålsmail/A 19512-2022 FSC-klagomål mail.docx", "A 19512-2022")</f>
        <v/>
      </c>
      <c r="X37">
        <f>HYPERLINK("https://klasma.github.io/Logging_2085/tillsyn/A 19512-2022 tillsynsbegäran.docx", "A 19512-2022")</f>
        <v/>
      </c>
      <c r="Y37">
        <f>HYPERLINK("https://klasma.github.io/Logging_2085/tillsynsmail/A 19512-2022 tillsynsbegäran mail.docx", "A 19512-2022")</f>
        <v/>
      </c>
    </row>
    <row r="38" ht="15" customHeight="1">
      <c r="A38" t="inlineStr">
        <is>
          <t>A 19717-2022</t>
        </is>
      </c>
      <c r="B38" s="1" t="n">
        <v>44694</v>
      </c>
      <c r="C38" s="1" t="n">
        <v>45473</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21499-2022</t>
        </is>
      </c>
      <c r="B39" s="1" t="n">
        <v>44706</v>
      </c>
      <c r="C39" s="1" t="n">
        <v>45473</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41028-2022</t>
        </is>
      </c>
      <c r="B40" s="1" t="n">
        <v>44825</v>
      </c>
      <c r="C40" s="1" t="n">
        <v>45473</v>
      </c>
      <c r="D40" t="inlineStr">
        <is>
          <t>DALARNAS LÄN</t>
        </is>
      </c>
      <c r="E40" t="inlineStr">
        <is>
          <t>LUDVIKA</t>
        </is>
      </c>
      <c r="F40" t="inlineStr">
        <is>
          <t>Naturvårdsverket</t>
        </is>
      </c>
      <c r="G40" t="n">
        <v>8.300000000000001</v>
      </c>
      <c r="H40" t="n">
        <v>0</v>
      </c>
      <c r="I40" t="n">
        <v>0</v>
      </c>
      <c r="J40" t="n">
        <v>1</v>
      </c>
      <c r="K40" t="n">
        <v>0</v>
      </c>
      <c r="L40" t="n">
        <v>0</v>
      </c>
      <c r="M40" t="n">
        <v>0</v>
      </c>
      <c r="N40" t="n">
        <v>0</v>
      </c>
      <c r="O40" t="n">
        <v>1</v>
      </c>
      <c r="P40" t="n">
        <v>0</v>
      </c>
      <c r="Q40" t="n">
        <v>1</v>
      </c>
      <c r="R40" s="2" t="inlineStr">
        <is>
          <t>Vårtsporigt stålskinn</t>
        </is>
      </c>
      <c r="S40">
        <f>HYPERLINK("https://klasma.github.io/Logging_2085/artfynd/A 41028-2022 artfynd.xlsx", "A 41028-2022")</f>
        <v/>
      </c>
      <c r="T40">
        <f>HYPERLINK("https://klasma.github.io/Logging_2085/kartor/A 41028-2022 karta.png", "A 41028-2022")</f>
        <v/>
      </c>
      <c r="V40">
        <f>HYPERLINK("https://klasma.github.io/Logging_2085/klagomål/A 41028-2022 FSC-klagomål.docx", "A 41028-2022")</f>
        <v/>
      </c>
      <c r="W40">
        <f>HYPERLINK("https://klasma.github.io/Logging_2085/klagomålsmail/A 41028-2022 FSC-klagomål mail.docx", "A 41028-2022")</f>
        <v/>
      </c>
      <c r="X40">
        <f>HYPERLINK("https://klasma.github.io/Logging_2085/tillsyn/A 41028-2022 tillsynsbegäran.docx", "A 41028-2022")</f>
        <v/>
      </c>
      <c r="Y40">
        <f>HYPERLINK("https://klasma.github.io/Logging_2085/tillsynsmail/A 41028-2022 tillsynsbegäran mail.docx", "A 41028-2022")</f>
        <v/>
      </c>
    </row>
    <row r="41" ht="15" customHeight="1">
      <c r="A41" t="inlineStr">
        <is>
          <t>A 42758-2022</t>
        </is>
      </c>
      <c r="B41" s="1" t="n">
        <v>44832</v>
      </c>
      <c r="C41" s="1" t="n">
        <v>45473</v>
      </c>
      <c r="D41" t="inlineStr">
        <is>
          <t>DALARNAS LÄN</t>
        </is>
      </c>
      <c r="E41" t="inlineStr">
        <is>
          <t>LUDVIKA</t>
        </is>
      </c>
      <c r="F41" t="inlineStr">
        <is>
          <t>Bergvik skog väst AB</t>
        </is>
      </c>
      <c r="G41" t="n">
        <v>1.6</v>
      </c>
      <c r="H41" t="n">
        <v>0</v>
      </c>
      <c r="I41" t="n">
        <v>0</v>
      </c>
      <c r="J41" t="n">
        <v>0</v>
      </c>
      <c r="K41" t="n">
        <v>1</v>
      </c>
      <c r="L41" t="n">
        <v>0</v>
      </c>
      <c r="M41" t="n">
        <v>0</v>
      </c>
      <c r="N41" t="n">
        <v>0</v>
      </c>
      <c r="O41" t="n">
        <v>1</v>
      </c>
      <c r="P41" t="n">
        <v>1</v>
      </c>
      <c r="Q41" t="n">
        <v>1</v>
      </c>
      <c r="R41" s="2" t="inlineStr">
        <is>
          <t>Aspgelélav</t>
        </is>
      </c>
      <c r="S41">
        <f>HYPERLINK("https://klasma.github.io/Logging_2085/artfynd/A 42758-2022 artfynd.xlsx", "A 42758-2022")</f>
        <v/>
      </c>
      <c r="T41">
        <f>HYPERLINK("https://klasma.github.io/Logging_2085/kartor/A 42758-2022 karta.png", "A 42758-2022")</f>
        <v/>
      </c>
      <c r="V41">
        <f>HYPERLINK("https://klasma.github.io/Logging_2085/klagomål/A 42758-2022 FSC-klagomål.docx", "A 42758-2022")</f>
        <v/>
      </c>
      <c r="W41">
        <f>HYPERLINK("https://klasma.github.io/Logging_2085/klagomålsmail/A 42758-2022 FSC-klagomål mail.docx", "A 42758-2022")</f>
        <v/>
      </c>
      <c r="X41">
        <f>HYPERLINK("https://klasma.github.io/Logging_2085/tillsyn/A 42758-2022 tillsynsbegäran.docx", "A 42758-2022")</f>
        <v/>
      </c>
      <c r="Y41">
        <f>HYPERLINK("https://klasma.github.io/Logging_2085/tillsynsmail/A 42758-2022 tillsynsbegäran mail.docx", "A 42758-2022")</f>
        <v/>
      </c>
    </row>
    <row r="42" ht="15" customHeight="1">
      <c r="A42" t="inlineStr">
        <is>
          <t>A 52452-2022</t>
        </is>
      </c>
      <c r="B42" s="1" t="n">
        <v>44874</v>
      </c>
      <c r="C42" s="1" t="n">
        <v>45473</v>
      </c>
      <c r="D42" t="inlineStr">
        <is>
          <t>DALARNAS LÄN</t>
        </is>
      </c>
      <c r="E42" t="inlineStr">
        <is>
          <t>LUDVIKA</t>
        </is>
      </c>
      <c r="F42" t="inlineStr">
        <is>
          <t>Bergvik skog väst AB</t>
        </is>
      </c>
      <c r="G42" t="n">
        <v>1.9</v>
      </c>
      <c r="H42" t="n">
        <v>0</v>
      </c>
      <c r="I42" t="n">
        <v>0</v>
      </c>
      <c r="J42" t="n">
        <v>1</v>
      </c>
      <c r="K42" t="n">
        <v>0</v>
      </c>
      <c r="L42" t="n">
        <v>0</v>
      </c>
      <c r="M42" t="n">
        <v>0</v>
      </c>
      <c r="N42" t="n">
        <v>0</v>
      </c>
      <c r="O42" t="n">
        <v>1</v>
      </c>
      <c r="P42" t="n">
        <v>0</v>
      </c>
      <c r="Q42" t="n">
        <v>1</v>
      </c>
      <c r="R42" s="2" t="inlineStr">
        <is>
          <t>Garnlav</t>
        </is>
      </c>
      <c r="S42">
        <f>HYPERLINK("https://klasma.github.io/Logging_2085/artfynd/A 52452-2022 artfynd.xlsx", "A 52452-2022")</f>
        <v/>
      </c>
      <c r="T42">
        <f>HYPERLINK("https://klasma.github.io/Logging_2085/kartor/A 52452-2022 karta.png", "A 52452-2022")</f>
        <v/>
      </c>
      <c r="V42">
        <f>HYPERLINK("https://klasma.github.io/Logging_2085/klagomål/A 52452-2022 FSC-klagomål.docx", "A 52452-2022")</f>
        <v/>
      </c>
      <c r="W42">
        <f>HYPERLINK("https://klasma.github.io/Logging_2085/klagomålsmail/A 52452-2022 FSC-klagomål mail.docx", "A 52452-2022")</f>
        <v/>
      </c>
      <c r="X42">
        <f>HYPERLINK("https://klasma.github.io/Logging_2085/tillsyn/A 52452-2022 tillsynsbegäran.docx", "A 52452-2022")</f>
        <v/>
      </c>
      <c r="Y42">
        <f>HYPERLINK("https://klasma.github.io/Logging_2085/tillsynsmail/A 52452-2022 tillsynsbegäran mail.docx", "A 52452-2022")</f>
        <v/>
      </c>
    </row>
    <row r="43" ht="15" customHeight="1">
      <c r="A43" t="inlineStr">
        <is>
          <t>A 55550-2022</t>
        </is>
      </c>
      <c r="B43" s="1" t="n">
        <v>44888</v>
      </c>
      <c r="C43" s="1" t="n">
        <v>45473</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17310-2023</t>
        </is>
      </c>
      <c r="B44" s="1" t="n">
        <v>45035</v>
      </c>
      <c r="C44" s="1" t="n">
        <v>45473</v>
      </c>
      <c r="D44" t="inlineStr">
        <is>
          <t>DALARNAS LÄN</t>
        </is>
      </c>
      <c r="E44" t="inlineStr">
        <is>
          <t>LUDVIKA</t>
        </is>
      </c>
      <c r="G44" t="n">
        <v>10.2</v>
      </c>
      <c r="H44" t="n">
        <v>0</v>
      </c>
      <c r="I44" t="n">
        <v>0</v>
      </c>
      <c r="J44" t="n">
        <v>1</v>
      </c>
      <c r="K44" t="n">
        <v>0</v>
      </c>
      <c r="L44" t="n">
        <v>0</v>
      </c>
      <c r="M44" t="n">
        <v>0</v>
      </c>
      <c r="N44" t="n">
        <v>0</v>
      </c>
      <c r="O44" t="n">
        <v>1</v>
      </c>
      <c r="P44" t="n">
        <v>0</v>
      </c>
      <c r="Q44" t="n">
        <v>1</v>
      </c>
      <c r="R44" s="2" t="inlineStr">
        <is>
          <t>Barrpraktbagge</t>
        </is>
      </c>
      <c r="S44">
        <f>HYPERLINK("https://klasma.github.io/Logging_2085/artfynd/A 17310-2023 artfynd.xlsx", "A 17310-2023")</f>
        <v/>
      </c>
      <c r="T44">
        <f>HYPERLINK("https://klasma.github.io/Logging_2085/kartor/A 17310-2023 karta.png", "A 17310-2023")</f>
        <v/>
      </c>
      <c r="V44">
        <f>HYPERLINK("https://klasma.github.io/Logging_2085/klagomål/A 17310-2023 FSC-klagomål.docx", "A 17310-2023")</f>
        <v/>
      </c>
      <c r="W44">
        <f>HYPERLINK("https://klasma.github.io/Logging_2085/klagomålsmail/A 17310-2023 FSC-klagomål mail.docx", "A 17310-2023")</f>
        <v/>
      </c>
      <c r="X44">
        <f>HYPERLINK("https://klasma.github.io/Logging_2085/tillsyn/A 17310-2023 tillsynsbegäran.docx", "A 17310-2023")</f>
        <v/>
      </c>
      <c r="Y44">
        <f>HYPERLINK("https://klasma.github.io/Logging_2085/tillsynsmail/A 17310-2023 tillsynsbegäran mail.docx", "A 17310-2023")</f>
        <v/>
      </c>
    </row>
    <row r="45" ht="15" customHeight="1">
      <c r="A45" t="inlineStr">
        <is>
          <t>A 18298-2023</t>
        </is>
      </c>
      <c r="B45" s="1" t="n">
        <v>45041</v>
      </c>
      <c r="C45" s="1" t="n">
        <v>45473</v>
      </c>
      <c r="D45" t="inlineStr">
        <is>
          <t>DALARNAS LÄN</t>
        </is>
      </c>
      <c r="E45" t="inlineStr">
        <is>
          <t>LUDVIKA</t>
        </is>
      </c>
      <c r="G45" t="n">
        <v>3.4</v>
      </c>
      <c r="H45" t="n">
        <v>1</v>
      </c>
      <c r="I45" t="n">
        <v>0</v>
      </c>
      <c r="J45" t="n">
        <v>0</v>
      </c>
      <c r="K45" t="n">
        <v>0</v>
      </c>
      <c r="L45" t="n">
        <v>0</v>
      </c>
      <c r="M45" t="n">
        <v>0</v>
      </c>
      <c r="N45" t="n">
        <v>0</v>
      </c>
      <c r="O45" t="n">
        <v>0</v>
      </c>
      <c r="P45" t="n">
        <v>0</v>
      </c>
      <c r="Q45" t="n">
        <v>1</v>
      </c>
      <c r="R45" s="2" t="inlineStr">
        <is>
          <t>Fläcknycklar</t>
        </is>
      </c>
      <c r="S45">
        <f>HYPERLINK("https://klasma.github.io/Logging_2085/artfynd/A 18298-2023 artfynd.xlsx", "A 18298-2023")</f>
        <v/>
      </c>
      <c r="T45">
        <f>HYPERLINK("https://klasma.github.io/Logging_2085/kartor/A 18298-2023 karta.png", "A 18298-2023")</f>
        <v/>
      </c>
      <c r="V45">
        <f>HYPERLINK("https://klasma.github.io/Logging_2085/klagomål/A 18298-2023 FSC-klagomål.docx", "A 18298-2023")</f>
        <v/>
      </c>
      <c r="W45">
        <f>HYPERLINK("https://klasma.github.io/Logging_2085/klagomålsmail/A 18298-2023 FSC-klagomål mail.docx", "A 18298-2023")</f>
        <v/>
      </c>
      <c r="X45">
        <f>HYPERLINK("https://klasma.github.io/Logging_2085/tillsyn/A 18298-2023 tillsynsbegäran.docx", "A 18298-2023")</f>
        <v/>
      </c>
      <c r="Y45">
        <f>HYPERLINK("https://klasma.github.io/Logging_2085/tillsynsmail/A 18298-2023 tillsynsbegäran mail.docx", "A 18298-2023")</f>
        <v/>
      </c>
    </row>
    <row r="46" ht="15" customHeight="1">
      <c r="A46" t="inlineStr">
        <is>
          <t>A 25588-2023</t>
        </is>
      </c>
      <c r="B46" s="1" t="n">
        <v>45089</v>
      </c>
      <c r="C46" s="1" t="n">
        <v>45473</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26850-2023</t>
        </is>
      </c>
      <c r="B47" s="1" t="n">
        <v>45093</v>
      </c>
      <c r="C47" s="1" t="n">
        <v>45473</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29144-2023</t>
        </is>
      </c>
      <c r="B48" s="1" t="n">
        <v>45105</v>
      </c>
      <c r="C48" s="1" t="n">
        <v>45473</v>
      </c>
      <c r="D48" t="inlineStr">
        <is>
          <t>DALARNAS LÄN</t>
        </is>
      </c>
      <c r="E48" t="inlineStr">
        <is>
          <t>LUDVIKA</t>
        </is>
      </c>
      <c r="F48" t="inlineStr">
        <is>
          <t>Allmännings- och besparingsskogar</t>
        </is>
      </c>
      <c r="G48" t="n">
        <v>7.2</v>
      </c>
      <c r="H48" t="n">
        <v>1</v>
      </c>
      <c r="I48" t="n">
        <v>0</v>
      </c>
      <c r="J48" t="n">
        <v>0</v>
      </c>
      <c r="K48" t="n">
        <v>1</v>
      </c>
      <c r="L48" t="n">
        <v>0</v>
      </c>
      <c r="M48" t="n">
        <v>0</v>
      </c>
      <c r="N48" t="n">
        <v>0</v>
      </c>
      <c r="O48" t="n">
        <v>1</v>
      </c>
      <c r="P48" t="n">
        <v>1</v>
      </c>
      <c r="Q48" t="n">
        <v>1</v>
      </c>
      <c r="R48" s="2" t="inlineStr">
        <is>
          <t>Knärot</t>
        </is>
      </c>
      <c r="S48">
        <f>HYPERLINK("https://klasma.github.io/Logging_2085/artfynd/A 29144-2023 artfynd.xlsx", "A 29144-2023")</f>
        <v/>
      </c>
      <c r="T48">
        <f>HYPERLINK("https://klasma.github.io/Logging_2085/kartor/A 29144-2023 karta.png", "A 29144-2023")</f>
        <v/>
      </c>
      <c r="U48">
        <f>HYPERLINK("https://klasma.github.io/Logging_2085/knärot/A 29144-2023 karta knärot.png", "A 29144-2023")</f>
        <v/>
      </c>
      <c r="V48">
        <f>HYPERLINK("https://klasma.github.io/Logging_2085/klagomål/A 29144-2023 FSC-klagomål.docx", "A 29144-2023")</f>
        <v/>
      </c>
      <c r="W48">
        <f>HYPERLINK("https://klasma.github.io/Logging_2085/klagomålsmail/A 29144-2023 FSC-klagomål mail.docx", "A 29144-2023")</f>
        <v/>
      </c>
      <c r="X48">
        <f>HYPERLINK("https://klasma.github.io/Logging_2085/tillsyn/A 29144-2023 tillsynsbegäran.docx", "A 29144-2023")</f>
        <v/>
      </c>
      <c r="Y48">
        <f>HYPERLINK("https://klasma.github.io/Logging_2085/tillsynsmail/A 29144-2023 tillsynsbegäran mail.docx", "A 29144-2023")</f>
        <v/>
      </c>
    </row>
    <row r="49" ht="15" customHeight="1">
      <c r="A49" t="inlineStr">
        <is>
          <t>A 30053-2023</t>
        </is>
      </c>
      <c r="B49" s="1" t="n">
        <v>45110</v>
      </c>
      <c r="C49" s="1" t="n">
        <v>45473</v>
      </c>
      <c r="D49" t="inlineStr">
        <is>
          <t>DALARNAS LÄN</t>
        </is>
      </c>
      <c r="E49" t="inlineStr">
        <is>
          <t>LUDVIKA</t>
        </is>
      </c>
      <c r="F49" t="inlineStr">
        <is>
          <t>Bergvik skog väst AB</t>
        </is>
      </c>
      <c r="G49" t="n">
        <v>6.8</v>
      </c>
      <c r="H49" t="n">
        <v>0</v>
      </c>
      <c r="I49" t="n">
        <v>0</v>
      </c>
      <c r="J49" t="n">
        <v>1</v>
      </c>
      <c r="K49" t="n">
        <v>0</v>
      </c>
      <c r="L49" t="n">
        <v>0</v>
      </c>
      <c r="M49" t="n">
        <v>0</v>
      </c>
      <c r="N49" t="n">
        <v>0</v>
      </c>
      <c r="O49" t="n">
        <v>1</v>
      </c>
      <c r="P49" t="n">
        <v>0</v>
      </c>
      <c r="Q49" t="n">
        <v>1</v>
      </c>
      <c r="R49" s="2" t="inlineStr">
        <is>
          <t>Garnlav</t>
        </is>
      </c>
      <c r="S49">
        <f>HYPERLINK("https://klasma.github.io/Logging_2085/artfynd/A 30053-2023 artfynd.xlsx", "A 30053-2023")</f>
        <v/>
      </c>
      <c r="T49">
        <f>HYPERLINK("https://klasma.github.io/Logging_2085/kartor/A 30053-2023 karta.png", "A 30053-2023")</f>
        <v/>
      </c>
      <c r="V49">
        <f>HYPERLINK("https://klasma.github.io/Logging_2085/klagomål/A 30053-2023 FSC-klagomål.docx", "A 30053-2023")</f>
        <v/>
      </c>
      <c r="W49">
        <f>HYPERLINK("https://klasma.github.io/Logging_2085/klagomålsmail/A 30053-2023 FSC-klagomål mail.docx", "A 30053-2023")</f>
        <v/>
      </c>
      <c r="X49">
        <f>HYPERLINK("https://klasma.github.io/Logging_2085/tillsyn/A 30053-2023 tillsynsbegäran.docx", "A 30053-2023")</f>
        <v/>
      </c>
      <c r="Y49">
        <f>HYPERLINK("https://klasma.github.io/Logging_2085/tillsynsmail/A 30053-2023 tillsynsbegäran mail.docx", "A 30053-2023")</f>
        <v/>
      </c>
    </row>
    <row r="50" ht="15" customHeight="1">
      <c r="A50" t="inlineStr">
        <is>
          <t>A 33055-2023</t>
        </is>
      </c>
      <c r="B50" s="1" t="n">
        <v>45126</v>
      </c>
      <c r="C50" s="1" t="n">
        <v>45473</v>
      </c>
      <c r="D50" t="inlineStr">
        <is>
          <t>DALARNAS LÄN</t>
        </is>
      </c>
      <c r="E50" t="inlineStr">
        <is>
          <t>LUDVIKA</t>
        </is>
      </c>
      <c r="F50" t="inlineStr">
        <is>
          <t>Bergvik skog väst AB</t>
        </is>
      </c>
      <c r="G50" t="n">
        <v>6</v>
      </c>
      <c r="H50" t="n">
        <v>0</v>
      </c>
      <c r="I50" t="n">
        <v>1</v>
      </c>
      <c r="J50" t="n">
        <v>0</v>
      </c>
      <c r="K50" t="n">
        <v>0</v>
      </c>
      <c r="L50" t="n">
        <v>0</v>
      </c>
      <c r="M50" t="n">
        <v>0</v>
      </c>
      <c r="N50" t="n">
        <v>0</v>
      </c>
      <c r="O50" t="n">
        <v>0</v>
      </c>
      <c r="P50" t="n">
        <v>0</v>
      </c>
      <c r="Q50" t="n">
        <v>1</v>
      </c>
      <c r="R50" s="2" t="inlineStr">
        <is>
          <t>Vedticka</t>
        </is>
      </c>
      <c r="S50">
        <f>HYPERLINK("https://klasma.github.io/Logging_2085/artfynd/A 33055-2023 artfynd.xlsx", "A 33055-2023")</f>
        <v/>
      </c>
      <c r="T50">
        <f>HYPERLINK("https://klasma.github.io/Logging_2085/kartor/A 33055-2023 karta.png", "A 33055-2023")</f>
        <v/>
      </c>
      <c r="V50">
        <f>HYPERLINK("https://klasma.github.io/Logging_2085/klagomål/A 33055-2023 FSC-klagomål.docx", "A 33055-2023")</f>
        <v/>
      </c>
      <c r="W50">
        <f>HYPERLINK("https://klasma.github.io/Logging_2085/klagomålsmail/A 33055-2023 FSC-klagomål mail.docx", "A 33055-2023")</f>
        <v/>
      </c>
      <c r="X50">
        <f>HYPERLINK("https://klasma.github.io/Logging_2085/tillsyn/A 33055-2023 tillsynsbegäran.docx", "A 33055-2023")</f>
        <v/>
      </c>
      <c r="Y50">
        <f>HYPERLINK("https://klasma.github.io/Logging_2085/tillsynsmail/A 33055-2023 tillsynsbegäran mail.docx", "A 33055-2023")</f>
        <v/>
      </c>
    </row>
    <row r="51" ht="15" customHeight="1">
      <c r="A51" t="inlineStr">
        <is>
          <t>A 34539-2023</t>
        </is>
      </c>
      <c r="B51" s="1" t="n">
        <v>45140</v>
      </c>
      <c r="C51" s="1" t="n">
        <v>45473</v>
      </c>
      <c r="D51" t="inlineStr">
        <is>
          <t>DALARNAS LÄN</t>
        </is>
      </c>
      <c r="E51" t="inlineStr">
        <is>
          <t>LUDVIKA</t>
        </is>
      </c>
      <c r="F51" t="inlineStr">
        <is>
          <t>Bergvik skog väst AB</t>
        </is>
      </c>
      <c r="G51" t="n">
        <v>6.1</v>
      </c>
      <c r="H51" t="n">
        <v>1</v>
      </c>
      <c r="I51" t="n">
        <v>0</v>
      </c>
      <c r="J51" t="n">
        <v>0</v>
      </c>
      <c r="K51" t="n">
        <v>0</v>
      </c>
      <c r="L51" t="n">
        <v>0</v>
      </c>
      <c r="M51" t="n">
        <v>0</v>
      </c>
      <c r="N51" t="n">
        <v>0</v>
      </c>
      <c r="O51" t="n">
        <v>0</v>
      </c>
      <c r="P51" t="n">
        <v>0</v>
      </c>
      <c r="Q51" t="n">
        <v>1</v>
      </c>
      <c r="R51" s="2" t="inlineStr">
        <is>
          <t>Gullviva</t>
        </is>
      </c>
      <c r="S51">
        <f>HYPERLINK("https://klasma.github.io/Logging_2085/artfynd/A 34539-2023 artfynd.xlsx", "A 34539-2023")</f>
        <v/>
      </c>
      <c r="T51">
        <f>HYPERLINK("https://klasma.github.io/Logging_2085/kartor/A 34539-2023 karta.png", "A 34539-2023")</f>
        <v/>
      </c>
      <c r="V51">
        <f>HYPERLINK("https://klasma.github.io/Logging_2085/klagomål/A 34539-2023 FSC-klagomål.docx", "A 34539-2023")</f>
        <v/>
      </c>
      <c r="W51">
        <f>HYPERLINK("https://klasma.github.io/Logging_2085/klagomålsmail/A 34539-2023 FSC-klagomål mail.docx", "A 34539-2023")</f>
        <v/>
      </c>
      <c r="X51">
        <f>HYPERLINK("https://klasma.github.io/Logging_2085/tillsyn/A 34539-2023 tillsynsbegäran.docx", "A 34539-2023")</f>
        <v/>
      </c>
      <c r="Y51">
        <f>HYPERLINK("https://klasma.github.io/Logging_2085/tillsynsmail/A 34539-2023 tillsynsbegäran mail.docx", "A 34539-2023")</f>
        <v/>
      </c>
    </row>
    <row r="52" ht="15" customHeight="1">
      <c r="A52" t="inlineStr">
        <is>
          <t>A 36559-2023</t>
        </is>
      </c>
      <c r="B52" s="1" t="n">
        <v>45153</v>
      </c>
      <c r="C52" s="1" t="n">
        <v>45473</v>
      </c>
      <c r="D52" t="inlineStr">
        <is>
          <t>DALARNAS LÄN</t>
        </is>
      </c>
      <c r="E52" t="inlineStr">
        <is>
          <t>LUDVIKA</t>
        </is>
      </c>
      <c r="F52" t="inlineStr">
        <is>
          <t>Bergvik skog väst AB</t>
        </is>
      </c>
      <c r="G52" t="n">
        <v>34.7</v>
      </c>
      <c r="H52" t="n">
        <v>0</v>
      </c>
      <c r="I52" t="n">
        <v>0</v>
      </c>
      <c r="J52" t="n">
        <v>1</v>
      </c>
      <c r="K52" t="n">
        <v>0</v>
      </c>
      <c r="L52" t="n">
        <v>0</v>
      </c>
      <c r="M52" t="n">
        <v>0</v>
      </c>
      <c r="N52" t="n">
        <v>0</v>
      </c>
      <c r="O52" t="n">
        <v>1</v>
      </c>
      <c r="P52" t="n">
        <v>0</v>
      </c>
      <c r="Q52" t="n">
        <v>1</v>
      </c>
      <c r="R52" s="2" t="inlineStr">
        <is>
          <t>Garnlav</t>
        </is>
      </c>
      <c r="S52">
        <f>HYPERLINK("https://klasma.github.io/Logging_2085/artfynd/A 36559-2023 artfynd.xlsx", "A 36559-2023")</f>
        <v/>
      </c>
      <c r="T52">
        <f>HYPERLINK("https://klasma.github.io/Logging_2085/kartor/A 36559-2023 karta.png", "A 36559-2023")</f>
        <v/>
      </c>
      <c r="V52">
        <f>HYPERLINK("https://klasma.github.io/Logging_2085/klagomål/A 36559-2023 FSC-klagomål.docx", "A 36559-2023")</f>
        <v/>
      </c>
      <c r="W52">
        <f>HYPERLINK("https://klasma.github.io/Logging_2085/klagomålsmail/A 36559-2023 FSC-klagomål mail.docx", "A 36559-2023")</f>
        <v/>
      </c>
      <c r="X52">
        <f>HYPERLINK("https://klasma.github.io/Logging_2085/tillsyn/A 36559-2023 tillsynsbegäran.docx", "A 36559-2023")</f>
        <v/>
      </c>
      <c r="Y52">
        <f>HYPERLINK("https://klasma.github.io/Logging_2085/tillsynsmail/A 36559-2023 tillsynsbegäran mail.docx", "A 36559-2023")</f>
        <v/>
      </c>
    </row>
    <row r="53" ht="15" customHeight="1">
      <c r="A53" t="inlineStr">
        <is>
          <t>A 42089-2023</t>
        </is>
      </c>
      <c r="B53" s="1" t="n">
        <v>45177</v>
      </c>
      <c r="C53" s="1" t="n">
        <v>45473</v>
      </c>
      <c r="D53" t="inlineStr">
        <is>
          <t>DALARNAS LÄN</t>
        </is>
      </c>
      <c r="E53" t="inlineStr">
        <is>
          <t>LUDVIKA</t>
        </is>
      </c>
      <c r="F53" t="inlineStr">
        <is>
          <t>Bergvik skog väst AB</t>
        </is>
      </c>
      <c r="G53" t="n">
        <v>2.5</v>
      </c>
      <c r="H53" t="n">
        <v>0</v>
      </c>
      <c r="I53" t="n">
        <v>0</v>
      </c>
      <c r="J53" t="n">
        <v>1</v>
      </c>
      <c r="K53" t="n">
        <v>0</v>
      </c>
      <c r="L53" t="n">
        <v>0</v>
      </c>
      <c r="M53" t="n">
        <v>0</v>
      </c>
      <c r="N53" t="n">
        <v>0</v>
      </c>
      <c r="O53" t="n">
        <v>1</v>
      </c>
      <c r="P53" t="n">
        <v>0</v>
      </c>
      <c r="Q53" t="n">
        <v>1</v>
      </c>
      <c r="R53" s="2" t="inlineStr">
        <is>
          <t>Ullticka</t>
        </is>
      </c>
      <c r="S53">
        <f>HYPERLINK("https://klasma.github.io/Logging_2085/artfynd/A 42089-2023 artfynd.xlsx", "A 42089-2023")</f>
        <v/>
      </c>
      <c r="T53">
        <f>HYPERLINK("https://klasma.github.io/Logging_2085/kartor/A 42089-2023 karta.png", "A 42089-2023")</f>
        <v/>
      </c>
      <c r="V53">
        <f>HYPERLINK("https://klasma.github.io/Logging_2085/klagomål/A 42089-2023 FSC-klagomål.docx", "A 42089-2023")</f>
        <v/>
      </c>
      <c r="W53">
        <f>HYPERLINK("https://klasma.github.io/Logging_2085/klagomålsmail/A 42089-2023 FSC-klagomål mail.docx", "A 42089-2023")</f>
        <v/>
      </c>
      <c r="X53">
        <f>HYPERLINK("https://klasma.github.io/Logging_2085/tillsyn/A 42089-2023 tillsynsbegäran.docx", "A 42089-2023")</f>
        <v/>
      </c>
      <c r="Y53">
        <f>HYPERLINK("https://klasma.github.io/Logging_2085/tillsynsmail/A 42089-2023 tillsynsbegäran mail.docx", "A 42089-2023")</f>
        <v/>
      </c>
    </row>
    <row r="54" ht="15" customHeight="1">
      <c r="A54" t="inlineStr">
        <is>
          <t>A 44578-2023</t>
        </is>
      </c>
      <c r="B54" s="1" t="n">
        <v>45189</v>
      </c>
      <c r="C54" s="1" t="n">
        <v>45473</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45473</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45473</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9998-2024</t>
        </is>
      </c>
      <c r="B57" s="1" t="n">
        <v>45363</v>
      </c>
      <c r="C57" s="1" t="n">
        <v>45473</v>
      </c>
      <c r="D57" t="inlineStr">
        <is>
          <t>DALARNAS LÄN</t>
        </is>
      </c>
      <c r="E57" t="inlineStr">
        <is>
          <t>LUDVIKA</t>
        </is>
      </c>
      <c r="G57" t="n">
        <v>8.199999999999999</v>
      </c>
      <c r="H57" t="n">
        <v>1</v>
      </c>
      <c r="I57" t="n">
        <v>0</v>
      </c>
      <c r="J57" t="n">
        <v>0</v>
      </c>
      <c r="K57" t="n">
        <v>0</v>
      </c>
      <c r="L57" t="n">
        <v>0</v>
      </c>
      <c r="M57" t="n">
        <v>0</v>
      </c>
      <c r="N57" t="n">
        <v>0</v>
      </c>
      <c r="O57" t="n">
        <v>0</v>
      </c>
      <c r="P57" t="n">
        <v>0</v>
      </c>
      <c r="Q57" t="n">
        <v>1</v>
      </c>
      <c r="R57" s="2" t="inlineStr">
        <is>
          <t>Tjäder</t>
        </is>
      </c>
      <c r="S57">
        <f>HYPERLINK("https://klasma.github.io/Logging_2085/artfynd/A 9998-2024 artfynd.xlsx", "A 9998-2024")</f>
        <v/>
      </c>
      <c r="T57">
        <f>HYPERLINK("https://klasma.github.io/Logging_2085/kartor/A 9998-2024 karta.png", "A 9998-2024")</f>
        <v/>
      </c>
      <c r="V57">
        <f>HYPERLINK("https://klasma.github.io/Logging_2085/klagomål/A 9998-2024 FSC-klagomål.docx", "A 9998-2024")</f>
        <v/>
      </c>
      <c r="W57">
        <f>HYPERLINK("https://klasma.github.io/Logging_2085/klagomålsmail/A 9998-2024 FSC-klagomål mail.docx", "A 9998-2024")</f>
        <v/>
      </c>
      <c r="X57">
        <f>HYPERLINK("https://klasma.github.io/Logging_2085/tillsyn/A 9998-2024 tillsynsbegäran.docx", "A 9998-2024")</f>
        <v/>
      </c>
      <c r="Y57">
        <f>HYPERLINK("https://klasma.github.io/Logging_2085/tillsynsmail/A 9998-2024 tillsynsbegäran mail.docx", "A 9998-2024")</f>
        <v/>
      </c>
      <c r="Z57">
        <f>HYPERLINK("https://klasma.github.io/Logging_2085/fåglar/A 9998-2024 prioriterade fågelarter.docx", "A 9998-2024")</f>
        <v/>
      </c>
    </row>
    <row r="58" ht="15" customHeight="1">
      <c r="A58" t="inlineStr">
        <is>
          <t>A 11705-2024</t>
        </is>
      </c>
      <c r="B58" s="1" t="n">
        <v>45373</v>
      </c>
      <c r="C58" s="1" t="n">
        <v>45473</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17947-2019</t>
        </is>
      </c>
      <c r="B59" s="1" t="n">
        <v>43557</v>
      </c>
      <c r="C59" s="1" t="n">
        <v>45473</v>
      </c>
      <c r="D59" t="inlineStr">
        <is>
          <t>DALARNAS LÄN</t>
        </is>
      </c>
      <c r="E59" t="inlineStr">
        <is>
          <t>LUDVIKA</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19571-2019</t>
        </is>
      </c>
      <c r="B60" s="1" t="n">
        <v>43566</v>
      </c>
      <c r="C60" s="1" t="n">
        <v>45473</v>
      </c>
      <c r="D60" t="inlineStr">
        <is>
          <t>DALARNAS LÄN</t>
        </is>
      </c>
      <c r="E60" t="inlineStr">
        <is>
          <t>LUDVIKA</t>
        </is>
      </c>
      <c r="G60" t="n">
        <v>3.7</v>
      </c>
      <c r="H60" t="n">
        <v>0</v>
      </c>
      <c r="I60" t="n">
        <v>0</v>
      </c>
      <c r="J60" t="n">
        <v>0</v>
      </c>
      <c r="K60" t="n">
        <v>0</v>
      </c>
      <c r="L60" t="n">
        <v>0</v>
      </c>
      <c r="M60" t="n">
        <v>0</v>
      </c>
      <c r="N60" t="n">
        <v>0</v>
      </c>
      <c r="O60" t="n">
        <v>0</v>
      </c>
      <c r="P60" t="n">
        <v>0</v>
      </c>
      <c r="Q60" t="n">
        <v>0</v>
      </c>
      <c r="R60" s="2" t="inlineStr"/>
    </row>
    <row r="61" ht="15" customHeight="1">
      <c r="A61" t="inlineStr">
        <is>
          <t>A 23351-2019</t>
        </is>
      </c>
      <c r="B61" s="1" t="n">
        <v>43593</v>
      </c>
      <c r="C61" s="1" t="n">
        <v>45473</v>
      </c>
      <c r="D61" t="inlineStr">
        <is>
          <t>DALARNAS LÄN</t>
        </is>
      </c>
      <c r="E61" t="inlineStr">
        <is>
          <t>LUDVIKA</t>
        </is>
      </c>
      <c r="G61" t="n">
        <v>3.3</v>
      </c>
      <c r="H61" t="n">
        <v>0</v>
      </c>
      <c r="I61" t="n">
        <v>0</v>
      </c>
      <c r="J61" t="n">
        <v>0</v>
      </c>
      <c r="K61" t="n">
        <v>0</v>
      </c>
      <c r="L61" t="n">
        <v>0</v>
      </c>
      <c r="M61" t="n">
        <v>0</v>
      </c>
      <c r="N61" t="n">
        <v>0</v>
      </c>
      <c r="O61" t="n">
        <v>0</v>
      </c>
      <c r="P61" t="n">
        <v>0</v>
      </c>
      <c r="Q61" t="n">
        <v>0</v>
      </c>
      <c r="R61" s="2" t="inlineStr"/>
    </row>
    <row r="62" ht="15" customHeight="1">
      <c r="A62" t="inlineStr">
        <is>
          <t>A 23487-2019</t>
        </is>
      </c>
      <c r="B62" s="1" t="n">
        <v>43594</v>
      </c>
      <c r="C62" s="1" t="n">
        <v>45473</v>
      </c>
      <c r="D62" t="inlineStr">
        <is>
          <t>DALARNAS LÄN</t>
        </is>
      </c>
      <c r="E62" t="inlineStr">
        <is>
          <t>LUDVIKA</t>
        </is>
      </c>
      <c r="G62" t="n">
        <v>2.5</v>
      </c>
      <c r="H62" t="n">
        <v>0</v>
      </c>
      <c r="I62" t="n">
        <v>0</v>
      </c>
      <c r="J62" t="n">
        <v>0</v>
      </c>
      <c r="K62" t="n">
        <v>0</v>
      </c>
      <c r="L62" t="n">
        <v>0</v>
      </c>
      <c r="M62" t="n">
        <v>0</v>
      </c>
      <c r="N62" t="n">
        <v>0</v>
      </c>
      <c r="O62" t="n">
        <v>0</v>
      </c>
      <c r="P62" t="n">
        <v>0</v>
      </c>
      <c r="Q62" t="n">
        <v>0</v>
      </c>
      <c r="R62" s="2" t="inlineStr"/>
    </row>
    <row r="63" ht="15" customHeight="1">
      <c r="A63" t="inlineStr">
        <is>
          <t>A 24629-2019</t>
        </is>
      </c>
      <c r="B63" s="1" t="n">
        <v>43601</v>
      </c>
      <c r="C63" s="1" t="n">
        <v>45473</v>
      </c>
      <c r="D63" t="inlineStr">
        <is>
          <t>DALARNAS LÄN</t>
        </is>
      </c>
      <c r="E63" t="inlineStr">
        <is>
          <t>LUDVIKA</t>
        </is>
      </c>
      <c r="G63" t="n">
        <v>3</v>
      </c>
      <c r="H63" t="n">
        <v>0</v>
      </c>
      <c r="I63" t="n">
        <v>0</v>
      </c>
      <c r="J63" t="n">
        <v>0</v>
      </c>
      <c r="K63" t="n">
        <v>0</v>
      </c>
      <c r="L63" t="n">
        <v>0</v>
      </c>
      <c r="M63" t="n">
        <v>0</v>
      </c>
      <c r="N63" t="n">
        <v>0</v>
      </c>
      <c r="O63" t="n">
        <v>0</v>
      </c>
      <c r="P63" t="n">
        <v>0</v>
      </c>
      <c r="Q63" t="n">
        <v>0</v>
      </c>
      <c r="R63" s="2" t="inlineStr"/>
    </row>
    <row r="64" ht="15" customHeight="1">
      <c r="A64" t="inlineStr">
        <is>
          <t>A 25116-2019</t>
        </is>
      </c>
      <c r="B64" s="1" t="n">
        <v>43605</v>
      </c>
      <c r="C64" s="1" t="n">
        <v>45473</v>
      </c>
      <c r="D64" t="inlineStr">
        <is>
          <t>DALARNAS LÄN</t>
        </is>
      </c>
      <c r="E64" t="inlineStr">
        <is>
          <t>LUDVIKA</t>
        </is>
      </c>
      <c r="G64" t="n">
        <v>3</v>
      </c>
      <c r="H64" t="n">
        <v>0</v>
      </c>
      <c r="I64" t="n">
        <v>0</v>
      </c>
      <c r="J64" t="n">
        <v>0</v>
      </c>
      <c r="K64" t="n">
        <v>0</v>
      </c>
      <c r="L64" t="n">
        <v>0</v>
      </c>
      <c r="M64" t="n">
        <v>0</v>
      </c>
      <c r="N64" t="n">
        <v>0</v>
      </c>
      <c r="O64" t="n">
        <v>0</v>
      </c>
      <c r="P64" t="n">
        <v>0</v>
      </c>
      <c r="Q64" t="n">
        <v>0</v>
      </c>
      <c r="R64" s="2" t="inlineStr"/>
    </row>
    <row r="65" ht="15" customHeight="1">
      <c r="A65" t="inlineStr">
        <is>
          <t>A 27005-2019</t>
        </is>
      </c>
      <c r="B65" s="1" t="n">
        <v>43614</v>
      </c>
      <c r="C65" s="1" t="n">
        <v>45473</v>
      </c>
      <c r="D65" t="inlineStr">
        <is>
          <t>DALARNAS LÄN</t>
        </is>
      </c>
      <c r="E65" t="inlineStr">
        <is>
          <t>LUDVIKA</t>
        </is>
      </c>
      <c r="F65" t="inlineStr">
        <is>
          <t>Bergvik skog väst AB</t>
        </is>
      </c>
      <c r="G65" t="n">
        <v>22.4</v>
      </c>
      <c r="H65" t="n">
        <v>0</v>
      </c>
      <c r="I65" t="n">
        <v>0</v>
      </c>
      <c r="J65" t="n">
        <v>0</v>
      </c>
      <c r="K65" t="n">
        <v>0</v>
      </c>
      <c r="L65" t="n">
        <v>0</v>
      </c>
      <c r="M65" t="n">
        <v>0</v>
      </c>
      <c r="N65" t="n">
        <v>0</v>
      </c>
      <c r="O65" t="n">
        <v>0</v>
      </c>
      <c r="P65" t="n">
        <v>0</v>
      </c>
      <c r="Q65" t="n">
        <v>0</v>
      </c>
      <c r="R65" s="2" t="inlineStr"/>
    </row>
    <row r="66" ht="15" customHeight="1">
      <c r="A66" t="inlineStr">
        <is>
          <t>A 29027-2019</t>
        </is>
      </c>
      <c r="B66" s="1" t="n">
        <v>43628</v>
      </c>
      <c r="C66" s="1" t="n">
        <v>45473</v>
      </c>
      <c r="D66" t="inlineStr">
        <is>
          <t>DALARNAS LÄN</t>
        </is>
      </c>
      <c r="E66" t="inlineStr">
        <is>
          <t>LUDVIKA</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30233-2019</t>
        </is>
      </c>
      <c r="B67" s="1" t="n">
        <v>43630</v>
      </c>
      <c r="C67" s="1" t="n">
        <v>45473</v>
      </c>
      <c r="D67" t="inlineStr">
        <is>
          <t>DALARNAS LÄN</t>
        </is>
      </c>
      <c r="E67" t="inlineStr">
        <is>
          <t>LUDVIKA</t>
        </is>
      </c>
      <c r="G67" t="n">
        <v>0.3</v>
      </c>
      <c r="H67" t="n">
        <v>0</v>
      </c>
      <c r="I67" t="n">
        <v>0</v>
      </c>
      <c r="J67" t="n">
        <v>0</v>
      </c>
      <c r="K67" t="n">
        <v>0</v>
      </c>
      <c r="L67" t="n">
        <v>0</v>
      </c>
      <c r="M67" t="n">
        <v>0</v>
      </c>
      <c r="N67" t="n">
        <v>0</v>
      </c>
      <c r="O67" t="n">
        <v>0</v>
      </c>
      <c r="P67" t="n">
        <v>0</v>
      </c>
      <c r="Q67" t="n">
        <v>0</v>
      </c>
      <c r="R67" s="2" t="inlineStr"/>
    </row>
    <row r="68" ht="15" customHeight="1">
      <c r="A68" t="inlineStr">
        <is>
          <t>A 30102-2019</t>
        </is>
      </c>
      <c r="B68" s="1" t="n">
        <v>43630</v>
      </c>
      <c r="C68" s="1" t="n">
        <v>45473</v>
      </c>
      <c r="D68" t="inlineStr">
        <is>
          <t>DALARNAS LÄN</t>
        </is>
      </c>
      <c r="E68" t="inlineStr">
        <is>
          <t>LUDVIKA</t>
        </is>
      </c>
      <c r="G68" t="n">
        <v>2.3</v>
      </c>
      <c r="H68" t="n">
        <v>0</v>
      </c>
      <c r="I68" t="n">
        <v>0</v>
      </c>
      <c r="J68" t="n">
        <v>0</v>
      </c>
      <c r="K68" t="n">
        <v>0</v>
      </c>
      <c r="L68" t="n">
        <v>0</v>
      </c>
      <c r="M68" t="n">
        <v>0</v>
      </c>
      <c r="N68" t="n">
        <v>0</v>
      </c>
      <c r="O68" t="n">
        <v>0</v>
      </c>
      <c r="P68" t="n">
        <v>0</v>
      </c>
      <c r="Q68" t="n">
        <v>0</v>
      </c>
      <c r="R68" s="2" t="inlineStr"/>
    </row>
    <row r="69" ht="15" customHeight="1">
      <c r="A69" t="inlineStr">
        <is>
          <t>A 30121-2019</t>
        </is>
      </c>
      <c r="B69" s="1" t="n">
        <v>43630</v>
      </c>
      <c r="C69" s="1" t="n">
        <v>45473</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30040-2019</t>
        </is>
      </c>
      <c r="B70" s="1" t="n">
        <v>43633</v>
      </c>
      <c r="C70" s="1" t="n">
        <v>45473</v>
      </c>
      <c r="D70" t="inlineStr">
        <is>
          <t>DALARNAS LÄN</t>
        </is>
      </c>
      <c r="E70" t="inlineStr">
        <is>
          <t>LUDVIKA</t>
        </is>
      </c>
      <c r="G70" t="n">
        <v>8.800000000000001</v>
      </c>
      <c r="H70" t="n">
        <v>0</v>
      </c>
      <c r="I70" t="n">
        <v>0</v>
      </c>
      <c r="J70" t="n">
        <v>0</v>
      </c>
      <c r="K70" t="n">
        <v>0</v>
      </c>
      <c r="L70" t="n">
        <v>0</v>
      </c>
      <c r="M70" t="n">
        <v>0</v>
      </c>
      <c r="N70" t="n">
        <v>0</v>
      </c>
      <c r="O70" t="n">
        <v>0</v>
      </c>
      <c r="P70" t="n">
        <v>0</v>
      </c>
      <c r="Q70" t="n">
        <v>0</v>
      </c>
      <c r="R70" s="2" t="inlineStr"/>
    </row>
    <row r="71" ht="15" customHeight="1">
      <c r="A71" t="inlineStr">
        <is>
          <t>A 30887-2019</t>
        </is>
      </c>
      <c r="B71" s="1" t="n">
        <v>43636</v>
      </c>
      <c r="C71" s="1" t="n">
        <v>45473</v>
      </c>
      <c r="D71" t="inlineStr">
        <is>
          <t>DALARNAS LÄN</t>
        </is>
      </c>
      <c r="E71" t="inlineStr">
        <is>
          <t>LUDVIKA</t>
        </is>
      </c>
      <c r="F71" t="inlineStr">
        <is>
          <t>Bergvik skog väst AB</t>
        </is>
      </c>
      <c r="G71" t="n">
        <v>5.5</v>
      </c>
      <c r="H71" t="n">
        <v>0</v>
      </c>
      <c r="I71" t="n">
        <v>0</v>
      </c>
      <c r="J71" t="n">
        <v>0</v>
      </c>
      <c r="K71" t="n">
        <v>0</v>
      </c>
      <c r="L71" t="n">
        <v>0</v>
      </c>
      <c r="M71" t="n">
        <v>0</v>
      </c>
      <c r="N71" t="n">
        <v>0</v>
      </c>
      <c r="O71" t="n">
        <v>0</v>
      </c>
      <c r="P71" t="n">
        <v>0</v>
      </c>
      <c r="Q71" t="n">
        <v>0</v>
      </c>
      <c r="R71" s="2" t="inlineStr"/>
    </row>
    <row r="72" ht="15" customHeight="1">
      <c r="A72" t="inlineStr">
        <is>
          <t>A 33194-2019</t>
        </is>
      </c>
      <c r="B72" s="1" t="n">
        <v>43649</v>
      </c>
      <c r="C72" s="1" t="n">
        <v>45473</v>
      </c>
      <c r="D72" t="inlineStr">
        <is>
          <t>DALARNAS LÄN</t>
        </is>
      </c>
      <c r="E72" t="inlineStr">
        <is>
          <t>LUDVIKA</t>
        </is>
      </c>
      <c r="G72" t="n">
        <v>0.4</v>
      </c>
      <c r="H72" t="n">
        <v>0</v>
      </c>
      <c r="I72" t="n">
        <v>0</v>
      </c>
      <c r="J72" t="n">
        <v>0</v>
      </c>
      <c r="K72" t="n">
        <v>0</v>
      </c>
      <c r="L72" t="n">
        <v>0</v>
      </c>
      <c r="M72" t="n">
        <v>0</v>
      </c>
      <c r="N72" t="n">
        <v>0</v>
      </c>
      <c r="O72" t="n">
        <v>0</v>
      </c>
      <c r="P72" t="n">
        <v>0</v>
      </c>
      <c r="Q72" t="n">
        <v>0</v>
      </c>
      <c r="R72" s="2" t="inlineStr"/>
    </row>
    <row r="73" ht="15" customHeight="1">
      <c r="A73" t="inlineStr">
        <is>
          <t>A 34472-2019</t>
        </is>
      </c>
      <c r="B73" s="1" t="n">
        <v>43656</v>
      </c>
      <c r="C73" s="1" t="n">
        <v>45473</v>
      </c>
      <c r="D73" t="inlineStr">
        <is>
          <t>DALARNAS LÄN</t>
        </is>
      </c>
      <c r="E73" t="inlineStr">
        <is>
          <t>LUDVIKA</t>
        </is>
      </c>
      <c r="G73" t="n">
        <v>1.2</v>
      </c>
      <c r="H73" t="n">
        <v>0</v>
      </c>
      <c r="I73" t="n">
        <v>0</v>
      </c>
      <c r="J73" t="n">
        <v>0</v>
      </c>
      <c r="K73" t="n">
        <v>0</v>
      </c>
      <c r="L73" t="n">
        <v>0</v>
      </c>
      <c r="M73" t="n">
        <v>0</v>
      </c>
      <c r="N73" t="n">
        <v>0</v>
      </c>
      <c r="O73" t="n">
        <v>0</v>
      </c>
      <c r="P73" t="n">
        <v>0</v>
      </c>
      <c r="Q73" t="n">
        <v>0</v>
      </c>
      <c r="R73" s="2" t="inlineStr"/>
    </row>
    <row r="74" ht="15" customHeight="1">
      <c r="A74" t="inlineStr">
        <is>
          <t>A 35230-2019</t>
        </is>
      </c>
      <c r="B74" s="1" t="n">
        <v>43662</v>
      </c>
      <c r="C74" s="1" t="n">
        <v>45473</v>
      </c>
      <c r="D74" t="inlineStr">
        <is>
          <t>DALARNAS LÄN</t>
        </is>
      </c>
      <c r="E74" t="inlineStr">
        <is>
          <t>LUDVIKA</t>
        </is>
      </c>
      <c r="G74" t="n">
        <v>0.4</v>
      </c>
      <c r="H74" t="n">
        <v>0</v>
      </c>
      <c r="I74" t="n">
        <v>0</v>
      </c>
      <c r="J74" t="n">
        <v>0</v>
      </c>
      <c r="K74" t="n">
        <v>0</v>
      </c>
      <c r="L74" t="n">
        <v>0</v>
      </c>
      <c r="M74" t="n">
        <v>0</v>
      </c>
      <c r="N74" t="n">
        <v>0</v>
      </c>
      <c r="O74" t="n">
        <v>0</v>
      </c>
      <c r="P74" t="n">
        <v>0</v>
      </c>
      <c r="Q74" t="n">
        <v>0</v>
      </c>
      <c r="R74" s="2" t="inlineStr"/>
    </row>
    <row r="75" ht="15" customHeight="1">
      <c r="A75" t="inlineStr">
        <is>
          <t>A 35634-2019</t>
        </is>
      </c>
      <c r="B75" s="1" t="n">
        <v>43664</v>
      </c>
      <c r="C75" s="1" t="n">
        <v>45473</v>
      </c>
      <c r="D75" t="inlineStr">
        <is>
          <t>DALARNAS LÄN</t>
        </is>
      </c>
      <c r="E75" t="inlineStr">
        <is>
          <t>LUDVIKA</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37612-2019</t>
        </is>
      </c>
      <c r="B76" s="1" t="n">
        <v>43681</v>
      </c>
      <c r="C76" s="1" t="n">
        <v>45473</v>
      </c>
      <c r="D76" t="inlineStr">
        <is>
          <t>DALARNAS LÄN</t>
        </is>
      </c>
      <c r="E76" t="inlineStr">
        <is>
          <t>LUDVIKA</t>
        </is>
      </c>
      <c r="G76" t="n">
        <v>2.7</v>
      </c>
      <c r="H76" t="n">
        <v>0</v>
      </c>
      <c r="I76" t="n">
        <v>0</v>
      </c>
      <c r="J76" t="n">
        <v>0</v>
      </c>
      <c r="K76" t="n">
        <v>0</v>
      </c>
      <c r="L76" t="n">
        <v>0</v>
      </c>
      <c r="M76" t="n">
        <v>0</v>
      </c>
      <c r="N76" t="n">
        <v>0</v>
      </c>
      <c r="O76" t="n">
        <v>0</v>
      </c>
      <c r="P76" t="n">
        <v>0</v>
      </c>
      <c r="Q76" t="n">
        <v>0</v>
      </c>
      <c r="R76" s="2" t="inlineStr"/>
    </row>
    <row r="77" ht="15" customHeight="1">
      <c r="A77" t="inlineStr">
        <is>
          <t>A 40358-2019</t>
        </is>
      </c>
      <c r="B77" s="1" t="n">
        <v>43696</v>
      </c>
      <c r="C77" s="1" t="n">
        <v>45473</v>
      </c>
      <c r="D77" t="inlineStr">
        <is>
          <t>DALARNAS LÄN</t>
        </is>
      </c>
      <c r="E77" t="inlineStr">
        <is>
          <t>LUDVIKA</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41395-2019</t>
        </is>
      </c>
      <c r="B78" s="1" t="n">
        <v>43698</v>
      </c>
      <c r="C78" s="1" t="n">
        <v>45473</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42849-2019</t>
        </is>
      </c>
      <c r="B79" s="1" t="n">
        <v>43700</v>
      </c>
      <c r="C79" s="1" t="n">
        <v>45473</v>
      </c>
      <c r="D79" t="inlineStr">
        <is>
          <t>DALARNAS LÄN</t>
        </is>
      </c>
      <c r="E79" t="inlineStr">
        <is>
          <t>LUDVIKA</t>
        </is>
      </c>
      <c r="G79" t="n">
        <v>1.4</v>
      </c>
      <c r="H79" t="n">
        <v>0</v>
      </c>
      <c r="I79" t="n">
        <v>0</v>
      </c>
      <c r="J79" t="n">
        <v>0</v>
      </c>
      <c r="K79" t="n">
        <v>0</v>
      </c>
      <c r="L79" t="n">
        <v>0</v>
      </c>
      <c r="M79" t="n">
        <v>0</v>
      </c>
      <c r="N79" t="n">
        <v>0</v>
      </c>
      <c r="O79" t="n">
        <v>0</v>
      </c>
      <c r="P79" t="n">
        <v>0</v>
      </c>
      <c r="Q79" t="n">
        <v>0</v>
      </c>
      <c r="R79" s="2" t="inlineStr"/>
    </row>
    <row r="80" ht="15" customHeight="1">
      <c r="A80" t="inlineStr">
        <is>
          <t>A 43074-2019</t>
        </is>
      </c>
      <c r="B80" s="1" t="n">
        <v>43705</v>
      </c>
      <c r="C80" s="1" t="n">
        <v>45473</v>
      </c>
      <c r="D80" t="inlineStr">
        <is>
          <t>DALARNAS LÄN</t>
        </is>
      </c>
      <c r="E80" t="inlineStr">
        <is>
          <t>LUDVIKA</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45480-2019</t>
        </is>
      </c>
      <c r="B81" s="1" t="n">
        <v>43714</v>
      </c>
      <c r="C81" s="1" t="n">
        <v>45473</v>
      </c>
      <c r="D81" t="inlineStr">
        <is>
          <t>DALARNAS LÄN</t>
        </is>
      </c>
      <c r="E81" t="inlineStr">
        <is>
          <t>LUDVIKA</t>
        </is>
      </c>
      <c r="F81" t="inlineStr">
        <is>
          <t>Bergvik skog väst AB</t>
        </is>
      </c>
      <c r="G81" t="n">
        <v>1.9</v>
      </c>
      <c r="H81" t="n">
        <v>0</v>
      </c>
      <c r="I81" t="n">
        <v>0</v>
      </c>
      <c r="J81" t="n">
        <v>0</v>
      </c>
      <c r="K81" t="n">
        <v>0</v>
      </c>
      <c r="L81" t="n">
        <v>0</v>
      </c>
      <c r="M81" t="n">
        <v>0</v>
      </c>
      <c r="N81" t="n">
        <v>0</v>
      </c>
      <c r="O81" t="n">
        <v>0</v>
      </c>
      <c r="P81" t="n">
        <v>0</v>
      </c>
      <c r="Q81" t="n">
        <v>0</v>
      </c>
      <c r="R81" s="2" t="inlineStr"/>
    </row>
    <row r="82" ht="15" customHeight="1">
      <c r="A82" t="inlineStr">
        <is>
          <t>A 47012-2019</t>
        </is>
      </c>
      <c r="B82" s="1" t="n">
        <v>43720</v>
      </c>
      <c r="C82" s="1" t="n">
        <v>45473</v>
      </c>
      <c r="D82" t="inlineStr">
        <is>
          <t>DALARNAS LÄN</t>
        </is>
      </c>
      <c r="E82" t="inlineStr">
        <is>
          <t>LUDVIKA</t>
        </is>
      </c>
      <c r="F82" t="inlineStr">
        <is>
          <t>Kyrkan</t>
        </is>
      </c>
      <c r="G82" t="n">
        <v>2</v>
      </c>
      <c r="H82" t="n">
        <v>0</v>
      </c>
      <c r="I82" t="n">
        <v>0</v>
      </c>
      <c r="J82" t="n">
        <v>0</v>
      </c>
      <c r="K82" t="n">
        <v>0</v>
      </c>
      <c r="L82" t="n">
        <v>0</v>
      </c>
      <c r="M82" t="n">
        <v>0</v>
      </c>
      <c r="N82" t="n">
        <v>0</v>
      </c>
      <c r="O82" t="n">
        <v>0</v>
      </c>
      <c r="P82" t="n">
        <v>0</v>
      </c>
      <c r="Q82" t="n">
        <v>0</v>
      </c>
      <c r="R82" s="2" t="inlineStr"/>
    </row>
    <row r="83" ht="15" customHeight="1">
      <c r="A83" t="inlineStr">
        <is>
          <t>A 49329-2019</t>
        </is>
      </c>
      <c r="B83" s="1" t="n">
        <v>43731</v>
      </c>
      <c r="C83" s="1" t="n">
        <v>45473</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49699-2019</t>
        </is>
      </c>
      <c r="B84" s="1" t="n">
        <v>43733</v>
      </c>
      <c r="C84" s="1" t="n">
        <v>45473</v>
      </c>
      <c r="D84" t="inlineStr">
        <is>
          <t>DALARNAS LÄN</t>
        </is>
      </c>
      <c r="E84" t="inlineStr">
        <is>
          <t>LUDVIKA</t>
        </is>
      </c>
      <c r="G84" t="n">
        <v>2.1</v>
      </c>
      <c r="H84" t="n">
        <v>0</v>
      </c>
      <c r="I84" t="n">
        <v>0</v>
      </c>
      <c r="J84" t="n">
        <v>0</v>
      </c>
      <c r="K84" t="n">
        <v>0</v>
      </c>
      <c r="L84" t="n">
        <v>0</v>
      </c>
      <c r="M84" t="n">
        <v>0</v>
      </c>
      <c r="N84" t="n">
        <v>0</v>
      </c>
      <c r="O84" t="n">
        <v>0</v>
      </c>
      <c r="P84" t="n">
        <v>0</v>
      </c>
      <c r="Q84" t="n">
        <v>0</v>
      </c>
      <c r="R84" s="2" t="inlineStr"/>
    </row>
    <row r="85" ht="15" customHeight="1">
      <c r="A85" t="inlineStr">
        <is>
          <t>A 50024-2019</t>
        </is>
      </c>
      <c r="B85" s="1" t="n">
        <v>43734</v>
      </c>
      <c r="C85" s="1" t="n">
        <v>45473</v>
      </c>
      <c r="D85" t="inlineStr">
        <is>
          <t>DALARNAS LÄN</t>
        </is>
      </c>
      <c r="E85" t="inlineStr">
        <is>
          <t>LUDVIKA</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53038-2019</t>
        </is>
      </c>
      <c r="B86" s="1" t="n">
        <v>43747</v>
      </c>
      <c r="C86" s="1" t="n">
        <v>45473</v>
      </c>
      <c r="D86" t="inlineStr">
        <is>
          <t>DALARNAS LÄN</t>
        </is>
      </c>
      <c r="E86" t="inlineStr">
        <is>
          <t>LUDVIKA</t>
        </is>
      </c>
      <c r="G86" t="n">
        <v>10.6</v>
      </c>
      <c r="H86" t="n">
        <v>0</v>
      </c>
      <c r="I86" t="n">
        <v>0</v>
      </c>
      <c r="J86" t="n">
        <v>0</v>
      </c>
      <c r="K86" t="n">
        <v>0</v>
      </c>
      <c r="L86" t="n">
        <v>0</v>
      </c>
      <c r="M86" t="n">
        <v>0</v>
      </c>
      <c r="N86" t="n">
        <v>0</v>
      </c>
      <c r="O86" t="n">
        <v>0</v>
      </c>
      <c r="P86" t="n">
        <v>0</v>
      </c>
      <c r="Q86" t="n">
        <v>0</v>
      </c>
      <c r="R86" s="2" t="inlineStr"/>
    </row>
    <row r="87" ht="15" customHeight="1">
      <c r="A87" t="inlineStr">
        <is>
          <t>A 59304-2019</t>
        </is>
      </c>
      <c r="B87" s="1" t="n">
        <v>43770</v>
      </c>
      <c r="C87" s="1" t="n">
        <v>45473</v>
      </c>
      <c r="D87" t="inlineStr">
        <is>
          <t>DALARNAS LÄN</t>
        </is>
      </c>
      <c r="E87" t="inlineStr">
        <is>
          <t>LUDVIKA</t>
        </is>
      </c>
      <c r="G87" t="n">
        <v>3.2</v>
      </c>
      <c r="H87" t="n">
        <v>0</v>
      </c>
      <c r="I87" t="n">
        <v>0</v>
      </c>
      <c r="J87" t="n">
        <v>0</v>
      </c>
      <c r="K87" t="n">
        <v>0</v>
      </c>
      <c r="L87" t="n">
        <v>0</v>
      </c>
      <c r="M87" t="n">
        <v>0</v>
      </c>
      <c r="N87" t="n">
        <v>0</v>
      </c>
      <c r="O87" t="n">
        <v>0</v>
      </c>
      <c r="P87" t="n">
        <v>0</v>
      </c>
      <c r="Q87" t="n">
        <v>0</v>
      </c>
      <c r="R87" s="2" t="inlineStr"/>
    </row>
    <row r="88" ht="15" customHeight="1">
      <c r="A88" t="inlineStr">
        <is>
          <t>A 60221-2019</t>
        </is>
      </c>
      <c r="B88" s="1" t="n">
        <v>43780</v>
      </c>
      <c r="C88" s="1" t="n">
        <v>45473</v>
      </c>
      <c r="D88" t="inlineStr">
        <is>
          <t>DALARNAS LÄN</t>
        </is>
      </c>
      <c r="E88" t="inlineStr">
        <is>
          <t>LUDVIKA</t>
        </is>
      </c>
      <c r="G88" t="n">
        <v>3.4</v>
      </c>
      <c r="H88" t="n">
        <v>0</v>
      </c>
      <c r="I88" t="n">
        <v>0</v>
      </c>
      <c r="J88" t="n">
        <v>0</v>
      </c>
      <c r="K88" t="n">
        <v>0</v>
      </c>
      <c r="L88" t="n">
        <v>0</v>
      </c>
      <c r="M88" t="n">
        <v>0</v>
      </c>
      <c r="N88" t="n">
        <v>0</v>
      </c>
      <c r="O88" t="n">
        <v>0</v>
      </c>
      <c r="P88" t="n">
        <v>0</v>
      </c>
      <c r="Q88" t="n">
        <v>0</v>
      </c>
      <c r="R88" s="2" t="inlineStr"/>
    </row>
    <row r="89" ht="15" customHeight="1">
      <c r="A89" t="inlineStr">
        <is>
          <t>A 61027-2019</t>
        </is>
      </c>
      <c r="B89" s="1" t="n">
        <v>43782</v>
      </c>
      <c r="C89" s="1" t="n">
        <v>45473</v>
      </c>
      <c r="D89" t="inlineStr">
        <is>
          <t>DALARNAS LÄN</t>
        </is>
      </c>
      <c r="E89" t="inlineStr">
        <is>
          <t>LUDVIKA</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62356-2019</t>
        </is>
      </c>
      <c r="B90" s="1" t="n">
        <v>43788</v>
      </c>
      <c r="C90" s="1" t="n">
        <v>45473</v>
      </c>
      <c r="D90" t="inlineStr">
        <is>
          <t>DALARNAS LÄN</t>
        </is>
      </c>
      <c r="E90" t="inlineStr">
        <is>
          <t>LUDVIKA</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63149-2019</t>
        </is>
      </c>
      <c r="B91" s="1" t="n">
        <v>43791</v>
      </c>
      <c r="C91" s="1" t="n">
        <v>45473</v>
      </c>
      <c r="D91" t="inlineStr">
        <is>
          <t>DALARNAS LÄN</t>
        </is>
      </c>
      <c r="E91" t="inlineStr">
        <is>
          <t>LUDVIKA</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64300-2019</t>
        </is>
      </c>
      <c r="B92" s="1" t="n">
        <v>43797</v>
      </c>
      <c r="C92" s="1" t="n">
        <v>45473</v>
      </c>
      <c r="D92" t="inlineStr">
        <is>
          <t>DALARNAS LÄN</t>
        </is>
      </c>
      <c r="E92" t="inlineStr">
        <is>
          <t>LUDVIKA</t>
        </is>
      </c>
      <c r="G92" t="n">
        <v>7.2</v>
      </c>
      <c r="H92" t="n">
        <v>0</v>
      </c>
      <c r="I92" t="n">
        <v>0</v>
      </c>
      <c r="J92" t="n">
        <v>0</v>
      </c>
      <c r="K92" t="n">
        <v>0</v>
      </c>
      <c r="L92" t="n">
        <v>0</v>
      </c>
      <c r="M92" t="n">
        <v>0</v>
      </c>
      <c r="N92" t="n">
        <v>0</v>
      </c>
      <c r="O92" t="n">
        <v>0</v>
      </c>
      <c r="P92" t="n">
        <v>0</v>
      </c>
      <c r="Q92" t="n">
        <v>0</v>
      </c>
      <c r="R92" s="2" t="inlineStr"/>
    </row>
    <row r="93" ht="15" customHeight="1">
      <c r="A93" t="inlineStr">
        <is>
          <t>A 64583-2019</t>
        </is>
      </c>
      <c r="B93" s="1" t="n">
        <v>43798</v>
      </c>
      <c r="C93" s="1" t="n">
        <v>45473</v>
      </c>
      <c r="D93" t="inlineStr">
        <is>
          <t>DALARNAS LÄN</t>
        </is>
      </c>
      <c r="E93" t="inlineStr">
        <is>
          <t>LUDVIKA</t>
        </is>
      </c>
      <c r="F93" t="inlineStr">
        <is>
          <t>Bergvik skog väst AB</t>
        </is>
      </c>
      <c r="G93" t="n">
        <v>1.2</v>
      </c>
      <c r="H93" t="n">
        <v>0</v>
      </c>
      <c r="I93" t="n">
        <v>0</v>
      </c>
      <c r="J93" t="n">
        <v>0</v>
      </c>
      <c r="K93" t="n">
        <v>0</v>
      </c>
      <c r="L93" t="n">
        <v>0</v>
      </c>
      <c r="M93" t="n">
        <v>0</v>
      </c>
      <c r="N93" t="n">
        <v>0</v>
      </c>
      <c r="O93" t="n">
        <v>0</v>
      </c>
      <c r="P93" t="n">
        <v>0</v>
      </c>
      <c r="Q93" t="n">
        <v>0</v>
      </c>
      <c r="R93" s="2" t="inlineStr"/>
    </row>
    <row r="94" ht="15" customHeight="1">
      <c r="A94" t="inlineStr">
        <is>
          <t>A 64684-2019</t>
        </is>
      </c>
      <c r="B94" s="1" t="n">
        <v>43798</v>
      </c>
      <c r="C94" s="1" t="n">
        <v>45473</v>
      </c>
      <c r="D94" t="inlineStr">
        <is>
          <t>DALARNAS LÄN</t>
        </is>
      </c>
      <c r="E94" t="inlineStr">
        <is>
          <t>LUDVIKA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64693-2019</t>
        </is>
      </c>
      <c r="B95" s="1" t="n">
        <v>43798</v>
      </c>
      <c r="C95" s="1" t="n">
        <v>45473</v>
      </c>
      <c r="D95" t="inlineStr">
        <is>
          <t>DALARNAS LÄN</t>
        </is>
      </c>
      <c r="E95" t="inlineStr">
        <is>
          <t>LUDVIKA</t>
        </is>
      </c>
      <c r="F95" t="inlineStr">
        <is>
          <t>Bergvik skog väst AB</t>
        </is>
      </c>
      <c r="G95" t="n">
        <v>3.6</v>
      </c>
      <c r="H95" t="n">
        <v>0</v>
      </c>
      <c r="I95" t="n">
        <v>0</v>
      </c>
      <c r="J95" t="n">
        <v>0</v>
      </c>
      <c r="K95" t="n">
        <v>0</v>
      </c>
      <c r="L95" t="n">
        <v>0</v>
      </c>
      <c r="M95" t="n">
        <v>0</v>
      </c>
      <c r="N95" t="n">
        <v>0</v>
      </c>
      <c r="O95" t="n">
        <v>0</v>
      </c>
      <c r="P95" t="n">
        <v>0</v>
      </c>
      <c r="Q95" t="n">
        <v>0</v>
      </c>
      <c r="R95" s="2" t="inlineStr"/>
    </row>
    <row r="96" ht="15" customHeight="1">
      <c r="A96" t="inlineStr">
        <is>
          <t>A 64628-2019</t>
        </is>
      </c>
      <c r="B96" s="1" t="n">
        <v>43798</v>
      </c>
      <c r="C96" s="1" t="n">
        <v>45473</v>
      </c>
      <c r="D96" t="inlineStr">
        <is>
          <t>DALARNAS LÄN</t>
        </is>
      </c>
      <c r="E96" t="inlineStr">
        <is>
          <t>LUDVIKA</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64961-2019</t>
        </is>
      </c>
      <c r="B97" s="1" t="n">
        <v>43801</v>
      </c>
      <c r="C97" s="1" t="n">
        <v>45473</v>
      </c>
      <c r="D97" t="inlineStr">
        <is>
          <t>DALARNAS LÄN</t>
        </is>
      </c>
      <c r="E97" t="inlineStr">
        <is>
          <t>LUDVIKA</t>
        </is>
      </c>
      <c r="G97" t="n">
        <v>1.3</v>
      </c>
      <c r="H97" t="n">
        <v>0</v>
      </c>
      <c r="I97" t="n">
        <v>0</v>
      </c>
      <c r="J97" t="n">
        <v>0</v>
      </c>
      <c r="K97" t="n">
        <v>0</v>
      </c>
      <c r="L97" t="n">
        <v>0</v>
      </c>
      <c r="M97" t="n">
        <v>0</v>
      </c>
      <c r="N97" t="n">
        <v>0</v>
      </c>
      <c r="O97" t="n">
        <v>0</v>
      </c>
      <c r="P97" t="n">
        <v>0</v>
      </c>
      <c r="Q97" t="n">
        <v>0</v>
      </c>
      <c r="R97" s="2" t="inlineStr"/>
    </row>
    <row r="98" ht="15" customHeight="1">
      <c r="A98" t="inlineStr">
        <is>
          <t>A 68226-2019</t>
        </is>
      </c>
      <c r="B98" s="1" t="n">
        <v>43817</v>
      </c>
      <c r="C98" s="1" t="n">
        <v>45473</v>
      </c>
      <c r="D98" t="inlineStr">
        <is>
          <t>DALARNAS LÄN</t>
        </is>
      </c>
      <c r="E98" t="inlineStr">
        <is>
          <t>LUDVIKA</t>
        </is>
      </c>
      <c r="G98" t="n">
        <v>4.4</v>
      </c>
      <c r="H98" t="n">
        <v>0</v>
      </c>
      <c r="I98" t="n">
        <v>0</v>
      </c>
      <c r="J98" t="n">
        <v>0</v>
      </c>
      <c r="K98" t="n">
        <v>0</v>
      </c>
      <c r="L98" t="n">
        <v>0</v>
      </c>
      <c r="M98" t="n">
        <v>0</v>
      </c>
      <c r="N98" t="n">
        <v>0</v>
      </c>
      <c r="O98" t="n">
        <v>0</v>
      </c>
      <c r="P98" t="n">
        <v>0</v>
      </c>
      <c r="Q98" t="n">
        <v>0</v>
      </c>
      <c r="R98" s="2" t="inlineStr"/>
    </row>
    <row r="99" ht="15" customHeight="1">
      <c r="A99" t="inlineStr">
        <is>
          <t>A 68721-2019</t>
        </is>
      </c>
      <c r="B99" s="1" t="n">
        <v>43819</v>
      </c>
      <c r="C99" s="1" t="n">
        <v>45473</v>
      </c>
      <c r="D99" t="inlineStr">
        <is>
          <t>DALARNAS LÄN</t>
        </is>
      </c>
      <c r="E99" t="inlineStr">
        <is>
          <t>LUDVIKA</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2572-2020</t>
        </is>
      </c>
      <c r="B100" s="1" t="n">
        <v>43847</v>
      </c>
      <c r="C100" s="1" t="n">
        <v>45473</v>
      </c>
      <c r="D100" t="inlineStr">
        <is>
          <t>DALARNAS LÄN</t>
        </is>
      </c>
      <c r="E100" t="inlineStr">
        <is>
          <t>LUDVIKA</t>
        </is>
      </c>
      <c r="G100" t="n">
        <v>5.4</v>
      </c>
      <c r="H100" t="n">
        <v>0</v>
      </c>
      <c r="I100" t="n">
        <v>0</v>
      </c>
      <c r="J100" t="n">
        <v>0</v>
      </c>
      <c r="K100" t="n">
        <v>0</v>
      </c>
      <c r="L100" t="n">
        <v>0</v>
      </c>
      <c r="M100" t="n">
        <v>0</v>
      </c>
      <c r="N100" t="n">
        <v>0</v>
      </c>
      <c r="O100" t="n">
        <v>0</v>
      </c>
      <c r="P100" t="n">
        <v>0</v>
      </c>
      <c r="Q100" t="n">
        <v>0</v>
      </c>
      <c r="R100" s="2" t="inlineStr"/>
    </row>
    <row r="101" ht="15" customHeight="1">
      <c r="A101" t="inlineStr">
        <is>
          <t>A 4071-2020</t>
        </is>
      </c>
      <c r="B101" s="1" t="n">
        <v>43847</v>
      </c>
      <c r="C101" s="1" t="n">
        <v>45473</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4611-2020</t>
        </is>
      </c>
      <c r="B102" s="1" t="n">
        <v>43858</v>
      </c>
      <c r="C102" s="1" t="n">
        <v>45473</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5243-2020</t>
        </is>
      </c>
      <c r="B103" s="1" t="n">
        <v>43860</v>
      </c>
      <c r="C103" s="1" t="n">
        <v>45473</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5481-2020</t>
        </is>
      </c>
      <c r="B104" s="1" t="n">
        <v>43861</v>
      </c>
      <c r="C104" s="1" t="n">
        <v>45473</v>
      </c>
      <c r="D104" t="inlineStr">
        <is>
          <t>DALARNAS LÄN</t>
        </is>
      </c>
      <c r="E104" t="inlineStr">
        <is>
          <t>LUDVIKA</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5829-2020</t>
        </is>
      </c>
      <c r="B105" s="1" t="n">
        <v>43861</v>
      </c>
      <c r="C105" s="1" t="n">
        <v>45473</v>
      </c>
      <c r="D105" t="inlineStr">
        <is>
          <t>DALARNAS LÄN</t>
        </is>
      </c>
      <c r="E105" t="inlineStr">
        <is>
          <t>LUDVIKA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6948-2020</t>
        </is>
      </c>
      <c r="B106" s="1" t="n">
        <v>43868</v>
      </c>
      <c r="C106" s="1" t="n">
        <v>45473</v>
      </c>
      <c r="D106" t="inlineStr">
        <is>
          <t>DALARNAS LÄN</t>
        </is>
      </c>
      <c r="E106" t="inlineStr">
        <is>
          <t>LUDVIKA</t>
        </is>
      </c>
      <c r="G106" t="n">
        <v>2.4</v>
      </c>
      <c r="H106" t="n">
        <v>0</v>
      </c>
      <c r="I106" t="n">
        <v>0</v>
      </c>
      <c r="J106" t="n">
        <v>0</v>
      </c>
      <c r="K106" t="n">
        <v>0</v>
      </c>
      <c r="L106" t="n">
        <v>0</v>
      </c>
      <c r="M106" t="n">
        <v>0</v>
      </c>
      <c r="N106" t="n">
        <v>0</v>
      </c>
      <c r="O106" t="n">
        <v>0</v>
      </c>
      <c r="P106" t="n">
        <v>0</v>
      </c>
      <c r="Q106" t="n">
        <v>0</v>
      </c>
      <c r="R106" s="2" t="inlineStr"/>
    </row>
    <row r="107" ht="15" customHeight="1">
      <c r="A107" t="inlineStr">
        <is>
          <t>A 7010-2020</t>
        </is>
      </c>
      <c r="B107" s="1" t="n">
        <v>43868</v>
      </c>
      <c r="C107" s="1" t="n">
        <v>45473</v>
      </c>
      <c r="D107" t="inlineStr">
        <is>
          <t>DALARNAS LÄN</t>
        </is>
      </c>
      <c r="E107" t="inlineStr">
        <is>
          <t>LUDVIKA</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7709-2020</t>
        </is>
      </c>
      <c r="B108" s="1" t="n">
        <v>43872</v>
      </c>
      <c r="C108" s="1" t="n">
        <v>45473</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7851-2020</t>
        </is>
      </c>
      <c r="B109" s="1" t="n">
        <v>43873</v>
      </c>
      <c r="C109" s="1" t="n">
        <v>45473</v>
      </c>
      <c r="D109" t="inlineStr">
        <is>
          <t>DALARNAS LÄN</t>
        </is>
      </c>
      <c r="E109" t="inlineStr">
        <is>
          <t>LUDVIKA</t>
        </is>
      </c>
      <c r="F109" t="inlineStr">
        <is>
          <t>Naturvårdsverket</t>
        </is>
      </c>
      <c r="G109" t="n">
        <v>1.9</v>
      </c>
      <c r="H109" t="n">
        <v>0</v>
      </c>
      <c r="I109" t="n">
        <v>0</v>
      </c>
      <c r="J109" t="n">
        <v>0</v>
      </c>
      <c r="K109" t="n">
        <v>0</v>
      </c>
      <c r="L109" t="n">
        <v>0</v>
      </c>
      <c r="M109" t="n">
        <v>0</v>
      </c>
      <c r="N109" t="n">
        <v>0</v>
      </c>
      <c r="O109" t="n">
        <v>0</v>
      </c>
      <c r="P109" t="n">
        <v>0</v>
      </c>
      <c r="Q109" t="n">
        <v>0</v>
      </c>
      <c r="R109" s="2" t="inlineStr"/>
    </row>
    <row r="110" ht="15" customHeight="1">
      <c r="A110" t="inlineStr">
        <is>
          <t>A 9552-2020</t>
        </is>
      </c>
      <c r="B110" s="1" t="n">
        <v>43881</v>
      </c>
      <c r="C110" s="1" t="n">
        <v>45473</v>
      </c>
      <c r="D110" t="inlineStr">
        <is>
          <t>DALARNAS LÄN</t>
        </is>
      </c>
      <c r="E110" t="inlineStr">
        <is>
          <t>LUDVIKA</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9805-2020</t>
        </is>
      </c>
      <c r="B111" s="1" t="n">
        <v>43881</v>
      </c>
      <c r="C111" s="1" t="n">
        <v>45473</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9932-2020</t>
        </is>
      </c>
      <c r="B112" s="1" t="n">
        <v>43882</v>
      </c>
      <c r="C112" s="1" t="n">
        <v>45473</v>
      </c>
      <c r="D112" t="inlineStr">
        <is>
          <t>DALARNAS LÄN</t>
        </is>
      </c>
      <c r="E112" t="inlineStr">
        <is>
          <t>LUDVIKA</t>
        </is>
      </c>
      <c r="G112" t="n">
        <v>0.6</v>
      </c>
      <c r="H112" t="n">
        <v>0</v>
      </c>
      <c r="I112" t="n">
        <v>0</v>
      </c>
      <c r="J112" t="n">
        <v>0</v>
      </c>
      <c r="K112" t="n">
        <v>0</v>
      </c>
      <c r="L112" t="n">
        <v>0</v>
      </c>
      <c r="M112" t="n">
        <v>0</v>
      </c>
      <c r="N112" t="n">
        <v>0</v>
      </c>
      <c r="O112" t="n">
        <v>0</v>
      </c>
      <c r="P112" t="n">
        <v>0</v>
      </c>
      <c r="Q112" t="n">
        <v>0</v>
      </c>
      <c r="R112" s="2" t="inlineStr"/>
    </row>
    <row r="113" ht="15" customHeight="1">
      <c r="A113" t="inlineStr">
        <is>
          <t>A 10578-2020</t>
        </is>
      </c>
      <c r="B113" s="1" t="n">
        <v>43887</v>
      </c>
      <c r="C113" s="1" t="n">
        <v>45473</v>
      </c>
      <c r="D113" t="inlineStr">
        <is>
          <t>DALARNAS LÄN</t>
        </is>
      </c>
      <c r="E113" t="inlineStr">
        <is>
          <t>LUDVIKA</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10600-2020</t>
        </is>
      </c>
      <c r="B114" s="1" t="n">
        <v>43887</v>
      </c>
      <c r="C114" s="1" t="n">
        <v>45473</v>
      </c>
      <c r="D114" t="inlineStr">
        <is>
          <t>DALARNAS LÄN</t>
        </is>
      </c>
      <c r="E114" t="inlineStr">
        <is>
          <t>LUDVIKA</t>
        </is>
      </c>
      <c r="G114" t="n">
        <v>1.4</v>
      </c>
      <c r="H114" t="n">
        <v>0</v>
      </c>
      <c r="I114" t="n">
        <v>0</v>
      </c>
      <c r="J114" t="n">
        <v>0</v>
      </c>
      <c r="K114" t="n">
        <v>0</v>
      </c>
      <c r="L114" t="n">
        <v>0</v>
      </c>
      <c r="M114" t="n">
        <v>0</v>
      </c>
      <c r="N114" t="n">
        <v>0</v>
      </c>
      <c r="O114" t="n">
        <v>0</v>
      </c>
      <c r="P114" t="n">
        <v>0</v>
      </c>
      <c r="Q114" t="n">
        <v>0</v>
      </c>
      <c r="R114" s="2" t="inlineStr"/>
    </row>
    <row r="115" ht="15" customHeight="1">
      <c r="A115" t="inlineStr">
        <is>
          <t>A 12439-2020</t>
        </is>
      </c>
      <c r="B115" s="1" t="n">
        <v>43892</v>
      </c>
      <c r="C115" s="1" t="n">
        <v>45473</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11207-2020</t>
        </is>
      </c>
      <c r="B116" s="1" t="n">
        <v>43892</v>
      </c>
      <c r="C116" s="1" t="n">
        <v>45473</v>
      </c>
      <c r="D116" t="inlineStr">
        <is>
          <t>DALARNAS LÄN</t>
        </is>
      </c>
      <c r="E116" t="inlineStr">
        <is>
          <t>LUDVIKA</t>
        </is>
      </c>
      <c r="F116" t="inlineStr">
        <is>
          <t>Bergvik skog väst AB</t>
        </is>
      </c>
      <c r="G116" t="n">
        <v>2.5</v>
      </c>
      <c r="H116" t="n">
        <v>0</v>
      </c>
      <c r="I116" t="n">
        <v>0</v>
      </c>
      <c r="J116" t="n">
        <v>0</v>
      </c>
      <c r="K116" t="n">
        <v>0</v>
      </c>
      <c r="L116" t="n">
        <v>0</v>
      </c>
      <c r="M116" t="n">
        <v>0</v>
      </c>
      <c r="N116" t="n">
        <v>0</v>
      </c>
      <c r="O116" t="n">
        <v>0</v>
      </c>
      <c r="P116" t="n">
        <v>0</v>
      </c>
      <c r="Q116" t="n">
        <v>0</v>
      </c>
      <c r="R116" s="2" t="inlineStr"/>
    </row>
    <row r="117" ht="15" customHeight="1">
      <c r="A117" t="inlineStr">
        <is>
          <t>A 11559-2020</t>
        </is>
      </c>
      <c r="B117" s="1" t="n">
        <v>43893</v>
      </c>
      <c r="C117" s="1" t="n">
        <v>45473</v>
      </c>
      <c r="D117" t="inlineStr">
        <is>
          <t>DALARNAS LÄN</t>
        </is>
      </c>
      <c r="E117" t="inlineStr">
        <is>
          <t>LUDVIKA</t>
        </is>
      </c>
      <c r="G117" t="n">
        <v>32.7</v>
      </c>
      <c r="H117" t="n">
        <v>0</v>
      </c>
      <c r="I117" t="n">
        <v>0</v>
      </c>
      <c r="J117" t="n">
        <v>0</v>
      </c>
      <c r="K117" t="n">
        <v>0</v>
      </c>
      <c r="L117" t="n">
        <v>0</v>
      </c>
      <c r="M117" t="n">
        <v>0</v>
      </c>
      <c r="N117" t="n">
        <v>0</v>
      </c>
      <c r="O117" t="n">
        <v>0</v>
      </c>
      <c r="P117" t="n">
        <v>0</v>
      </c>
      <c r="Q117" t="n">
        <v>0</v>
      </c>
      <c r="R117" s="2" t="inlineStr"/>
    </row>
    <row r="118" ht="15" customHeight="1">
      <c r="A118" t="inlineStr">
        <is>
          <t>A 11626-2020</t>
        </is>
      </c>
      <c r="B118" s="1" t="n">
        <v>43893</v>
      </c>
      <c r="C118" s="1" t="n">
        <v>45473</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13483-2020</t>
        </is>
      </c>
      <c r="B119" s="1" t="n">
        <v>43894</v>
      </c>
      <c r="C119" s="1" t="n">
        <v>45473</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12049-2020</t>
        </is>
      </c>
      <c r="B120" s="1" t="n">
        <v>43894</v>
      </c>
      <c r="C120" s="1" t="n">
        <v>45473</v>
      </c>
      <c r="D120" t="inlineStr">
        <is>
          <t>DALARNAS LÄN</t>
        </is>
      </c>
      <c r="E120" t="inlineStr">
        <is>
          <t>LUDVIKA</t>
        </is>
      </c>
      <c r="G120" t="n">
        <v>3</v>
      </c>
      <c r="H120" t="n">
        <v>0</v>
      </c>
      <c r="I120" t="n">
        <v>0</v>
      </c>
      <c r="J120" t="n">
        <v>0</v>
      </c>
      <c r="K120" t="n">
        <v>0</v>
      </c>
      <c r="L120" t="n">
        <v>0</v>
      </c>
      <c r="M120" t="n">
        <v>0</v>
      </c>
      <c r="N120" t="n">
        <v>0</v>
      </c>
      <c r="O120" t="n">
        <v>0</v>
      </c>
      <c r="P120" t="n">
        <v>0</v>
      </c>
      <c r="Q120" t="n">
        <v>0</v>
      </c>
      <c r="R120" s="2" t="inlineStr"/>
    </row>
    <row r="121" ht="15" customHeight="1">
      <c r="A121" t="inlineStr">
        <is>
          <t>A 12223-2020</t>
        </is>
      </c>
      <c r="B121" s="1" t="n">
        <v>43895</v>
      </c>
      <c r="C121" s="1" t="n">
        <v>45473</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12560-2020</t>
        </is>
      </c>
      <c r="B122" s="1" t="n">
        <v>43898</v>
      </c>
      <c r="C122" s="1" t="n">
        <v>45473</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12935-2020</t>
        </is>
      </c>
      <c r="B123" s="1" t="n">
        <v>43900</v>
      </c>
      <c r="C123" s="1" t="n">
        <v>45473</v>
      </c>
      <c r="D123" t="inlineStr">
        <is>
          <t>DALARNAS LÄN</t>
        </is>
      </c>
      <c r="E123" t="inlineStr">
        <is>
          <t>LUDVIKA</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13757-2020</t>
        </is>
      </c>
      <c r="B124" s="1" t="n">
        <v>43903</v>
      </c>
      <c r="C124" s="1" t="n">
        <v>45473</v>
      </c>
      <c r="D124" t="inlineStr">
        <is>
          <t>DALARNAS LÄN</t>
        </is>
      </c>
      <c r="E124" t="inlineStr">
        <is>
          <t>LUDVIKA</t>
        </is>
      </c>
      <c r="F124" t="inlineStr">
        <is>
          <t>Bergvik skog väst AB</t>
        </is>
      </c>
      <c r="G124" t="n">
        <v>3.1</v>
      </c>
      <c r="H124" t="n">
        <v>0</v>
      </c>
      <c r="I124" t="n">
        <v>0</v>
      </c>
      <c r="J124" t="n">
        <v>0</v>
      </c>
      <c r="K124" t="n">
        <v>0</v>
      </c>
      <c r="L124" t="n">
        <v>0</v>
      </c>
      <c r="M124" t="n">
        <v>0</v>
      </c>
      <c r="N124" t="n">
        <v>0</v>
      </c>
      <c r="O124" t="n">
        <v>0</v>
      </c>
      <c r="P124" t="n">
        <v>0</v>
      </c>
      <c r="Q124" t="n">
        <v>0</v>
      </c>
      <c r="R124" s="2" t="inlineStr"/>
    </row>
    <row r="125" ht="15" customHeight="1">
      <c r="A125" t="inlineStr">
        <is>
          <t>A 13767-2020</t>
        </is>
      </c>
      <c r="B125" s="1" t="n">
        <v>43903</v>
      </c>
      <c r="C125" s="1" t="n">
        <v>45473</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14373-2020</t>
        </is>
      </c>
      <c r="B126" s="1" t="n">
        <v>43908</v>
      </c>
      <c r="C126" s="1" t="n">
        <v>45473</v>
      </c>
      <c r="D126" t="inlineStr">
        <is>
          <t>DALARNAS LÄN</t>
        </is>
      </c>
      <c r="E126" t="inlineStr">
        <is>
          <t>LUDVIKA</t>
        </is>
      </c>
      <c r="F126" t="inlineStr">
        <is>
          <t>Bergvik skog väst AB</t>
        </is>
      </c>
      <c r="G126" t="n">
        <v>5.5</v>
      </c>
      <c r="H126" t="n">
        <v>0</v>
      </c>
      <c r="I126" t="n">
        <v>0</v>
      </c>
      <c r="J126" t="n">
        <v>0</v>
      </c>
      <c r="K126" t="n">
        <v>0</v>
      </c>
      <c r="L126" t="n">
        <v>0</v>
      </c>
      <c r="M126" t="n">
        <v>0</v>
      </c>
      <c r="N126" t="n">
        <v>0</v>
      </c>
      <c r="O126" t="n">
        <v>0</v>
      </c>
      <c r="P126" t="n">
        <v>0</v>
      </c>
      <c r="Q126" t="n">
        <v>0</v>
      </c>
      <c r="R126" s="2" t="inlineStr"/>
    </row>
    <row r="127" ht="15" customHeight="1">
      <c r="A127" t="inlineStr">
        <is>
          <t>A 15053-2020</t>
        </is>
      </c>
      <c r="B127" s="1" t="n">
        <v>43910</v>
      </c>
      <c r="C127" s="1" t="n">
        <v>45473</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15861-2020</t>
        </is>
      </c>
      <c r="B128" s="1" t="n">
        <v>43915</v>
      </c>
      <c r="C128" s="1" t="n">
        <v>45473</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16407-2020</t>
        </is>
      </c>
      <c r="B129" s="1" t="n">
        <v>43918</v>
      </c>
      <c r="C129" s="1" t="n">
        <v>45473</v>
      </c>
      <c r="D129" t="inlineStr">
        <is>
          <t>DALARNAS LÄN</t>
        </is>
      </c>
      <c r="E129" t="inlineStr">
        <is>
          <t>LUDVIKA</t>
        </is>
      </c>
      <c r="F129" t="inlineStr">
        <is>
          <t>Bergvik skog väst AB</t>
        </is>
      </c>
      <c r="G129" t="n">
        <v>32.8</v>
      </c>
      <c r="H129" t="n">
        <v>0</v>
      </c>
      <c r="I129" t="n">
        <v>0</v>
      </c>
      <c r="J129" t="n">
        <v>0</v>
      </c>
      <c r="K129" t="n">
        <v>0</v>
      </c>
      <c r="L129" t="n">
        <v>0</v>
      </c>
      <c r="M129" t="n">
        <v>0</v>
      </c>
      <c r="N129" t="n">
        <v>0</v>
      </c>
      <c r="O129" t="n">
        <v>0</v>
      </c>
      <c r="P129" t="n">
        <v>0</v>
      </c>
      <c r="Q129" t="n">
        <v>0</v>
      </c>
      <c r="R129" s="2" t="inlineStr"/>
    </row>
    <row r="130" ht="15" customHeight="1">
      <c r="A130" t="inlineStr">
        <is>
          <t>A 16782-2020</t>
        </is>
      </c>
      <c r="B130" s="1" t="n">
        <v>43921</v>
      </c>
      <c r="C130" s="1" t="n">
        <v>45473</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16781-2020</t>
        </is>
      </c>
      <c r="B131" s="1" t="n">
        <v>43921</v>
      </c>
      <c r="C131" s="1" t="n">
        <v>45473</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17166-2020</t>
        </is>
      </c>
      <c r="B132" s="1" t="n">
        <v>43922</v>
      </c>
      <c r="C132" s="1" t="n">
        <v>45473</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17597-2020</t>
        </is>
      </c>
      <c r="B133" s="1" t="n">
        <v>43923</v>
      </c>
      <c r="C133" s="1" t="n">
        <v>45473</v>
      </c>
      <c r="D133" t="inlineStr">
        <is>
          <t>DALARNAS LÄN</t>
        </is>
      </c>
      <c r="E133" t="inlineStr">
        <is>
          <t>LUDVIKA</t>
        </is>
      </c>
      <c r="F133" t="inlineStr">
        <is>
          <t>Bergvik skog väst AB</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17605-2020</t>
        </is>
      </c>
      <c r="B134" s="1" t="n">
        <v>43923</v>
      </c>
      <c r="C134" s="1" t="n">
        <v>45473</v>
      </c>
      <c r="D134" t="inlineStr">
        <is>
          <t>DALARNAS LÄN</t>
        </is>
      </c>
      <c r="E134" t="inlineStr">
        <is>
          <t>LUDVIKA</t>
        </is>
      </c>
      <c r="F134" t="inlineStr">
        <is>
          <t>Bergvik skog väst AB</t>
        </is>
      </c>
      <c r="G134" t="n">
        <v>4.2</v>
      </c>
      <c r="H134" t="n">
        <v>0</v>
      </c>
      <c r="I134" t="n">
        <v>0</v>
      </c>
      <c r="J134" t="n">
        <v>0</v>
      </c>
      <c r="K134" t="n">
        <v>0</v>
      </c>
      <c r="L134" t="n">
        <v>0</v>
      </c>
      <c r="M134" t="n">
        <v>0</v>
      </c>
      <c r="N134" t="n">
        <v>0</v>
      </c>
      <c r="O134" t="n">
        <v>0</v>
      </c>
      <c r="P134" t="n">
        <v>0</v>
      </c>
      <c r="Q134" t="n">
        <v>0</v>
      </c>
      <c r="R134" s="2" t="inlineStr"/>
    </row>
    <row r="135" ht="15" customHeight="1">
      <c r="A135" t="inlineStr">
        <is>
          <t>A 17602-2020</t>
        </is>
      </c>
      <c r="B135" s="1" t="n">
        <v>43923</v>
      </c>
      <c r="C135" s="1" t="n">
        <v>45473</v>
      </c>
      <c r="D135" t="inlineStr">
        <is>
          <t>DALARNAS LÄN</t>
        </is>
      </c>
      <c r="E135" t="inlineStr">
        <is>
          <t>LUDVIKA</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17603-2020</t>
        </is>
      </c>
      <c r="B136" s="1" t="n">
        <v>43923</v>
      </c>
      <c r="C136" s="1" t="n">
        <v>45473</v>
      </c>
      <c r="D136" t="inlineStr">
        <is>
          <t>DALARNAS LÄN</t>
        </is>
      </c>
      <c r="E136" t="inlineStr">
        <is>
          <t>LUDVIKA</t>
        </is>
      </c>
      <c r="F136" t="inlineStr">
        <is>
          <t>Bergvik skog väst AB</t>
        </is>
      </c>
      <c r="G136" t="n">
        <v>19.9</v>
      </c>
      <c r="H136" t="n">
        <v>0</v>
      </c>
      <c r="I136" t="n">
        <v>0</v>
      </c>
      <c r="J136" t="n">
        <v>0</v>
      </c>
      <c r="K136" t="n">
        <v>0</v>
      </c>
      <c r="L136" t="n">
        <v>0</v>
      </c>
      <c r="M136" t="n">
        <v>0</v>
      </c>
      <c r="N136" t="n">
        <v>0</v>
      </c>
      <c r="O136" t="n">
        <v>0</v>
      </c>
      <c r="P136" t="n">
        <v>0</v>
      </c>
      <c r="Q136" t="n">
        <v>0</v>
      </c>
      <c r="R136" s="2" t="inlineStr"/>
    </row>
    <row r="137" ht="15" customHeight="1">
      <c r="A137" t="inlineStr">
        <is>
          <t>A 17598-2020</t>
        </is>
      </c>
      <c r="B137" s="1" t="n">
        <v>43923</v>
      </c>
      <c r="C137" s="1" t="n">
        <v>45473</v>
      </c>
      <c r="D137" t="inlineStr">
        <is>
          <t>DALARNAS LÄN</t>
        </is>
      </c>
      <c r="E137" t="inlineStr">
        <is>
          <t>LUDVIKA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17344-2020</t>
        </is>
      </c>
      <c r="B138" s="1" t="n">
        <v>43923</v>
      </c>
      <c r="C138" s="1" t="n">
        <v>45473</v>
      </c>
      <c r="D138" t="inlineStr">
        <is>
          <t>DALARNAS LÄN</t>
        </is>
      </c>
      <c r="E138" t="inlineStr">
        <is>
          <t>LUDVIKA</t>
        </is>
      </c>
      <c r="G138" t="n">
        <v>1.6</v>
      </c>
      <c r="H138" t="n">
        <v>0</v>
      </c>
      <c r="I138" t="n">
        <v>0</v>
      </c>
      <c r="J138" t="n">
        <v>0</v>
      </c>
      <c r="K138" t="n">
        <v>0</v>
      </c>
      <c r="L138" t="n">
        <v>0</v>
      </c>
      <c r="M138" t="n">
        <v>0</v>
      </c>
      <c r="N138" t="n">
        <v>0</v>
      </c>
      <c r="O138" t="n">
        <v>0</v>
      </c>
      <c r="P138" t="n">
        <v>0</v>
      </c>
      <c r="Q138" t="n">
        <v>0</v>
      </c>
      <c r="R138" s="2" t="inlineStr"/>
    </row>
    <row r="139" ht="15" customHeight="1">
      <c r="A139" t="inlineStr">
        <is>
          <t>A 17809-2020</t>
        </is>
      </c>
      <c r="B139" s="1" t="n">
        <v>43924</v>
      </c>
      <c r="C139" s="1" t="n">
        <v>45473</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20725-2020</t>
        </is>
      </c>
      <c r="B140" s="1" t="n">
        <v>43949</v>
      </c>
      <c r="C140" s="1" t="n">
        <v>45473</v>
      </c>
      <c r="D140" t="inlineStr">
        <is>
          <t>DALARNAS LÄN</t>
        </is>
      </c>
      <c r="E140" t="inlineStr">
        <is>
          <t>LUDVIKA</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23086-2020</t>
        </is>
      </c>
      <c r="B141" s="1" t="n">
        <v>43965</v>
      </c>
      <c r="C141" s="1" t="n">
        <v>45473</v>
      </c>
      <c r="D141" t="inlineStr">
        <is>
          <t>DALARNAS LÄN</t>
        </is>
      </c>
      <c r="E141" t="inlineStr">
        <is>
          <t>LUDVIKA</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23079-2020</t>
        </is>
      </c>
      <c r="B142" s="1" t="n">
        <v>43965</v>
      </c>
      <c r="C142" s="1" t="n">
        <v>45473</v>
      </c>
      <c r="D142" t="inlineStr">
        <is>
          <t>DALARNAS LÄN</t>
        </is>
      </c>
      <c r="E142" t="inlineStr">
        <is>
          <t>LUDVIKA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23452-2020</t>
        </is>
      </c>
      <c r="B143" s="1" t="n">
        <v>43969</v>
      </c>
      <c r="C143" s="1" t="n">
        <v>45473</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24742-2020</t>
        </is>
      </c>
      <c r="B144" s="1" t="n">
        <v>43978</v>
      </c>
      <c r="C144" s="1" t="n">
        <v>45473</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25450-2020</t>
        </is>
      </c>
      <c r="B145" s="1" t="n">
        <v>43983</v>
      </c>
      <c r="C145" s="1" t="n">
        <v>45473</v>
      </c>
      <c r="D145" t="inlineStr">
        <is>
          <t>DALARNAS LÄN</t>
        </is>
      </c>
      <c r="E145" t="inlineStr">
        <is>
          <t>LUDVIKA</t>
        </is>
      </c>
      <c r="F145" t="inlineStr">
        <is>
          <t>Bergvik skog väst AB</t>
        </is>
      </c>
      <c r="G145" t="n">
        <v>5.8</v>
      </c>
      <c r="H145" t="n">
        <v>0</v>
      </c>
      <c r="I145" t="n">
        <v>0</v>
      </c>
      <c r="J145" t="n">
        <v>0</v>
      </c>
      <c r="K145" t="n">
        <v>0</v>
      </c>
      <c r="L145" t="n">
        <v>0</v>
      </c>
      <c r="M145" t="n">
        <v>0</v>
      </c>
      <c r="N145" t="n">
        <v>0</v>
      </c>
      <c r="O145" t="n">
        <v>0</v>
      </c>
      <c r="P145" t="n">
        <v>0</v>
      </c>
      <c r="Q145" t="n">
        <v>0</v>
      </c>
      <c r="R145" s="2" t="inlineStr"/>
    </row>
    <row r="146" ht="15" customHeight="1">
      <c r="A146" t="inlineStr">
        <is>
          <t>A 25441-2020</t>
        </is>
      </c>
      <c r="B146" s="1" t="n">
        <v>43983</v>
      </c>
      <c r="C146" s="1" t="n">
        <v>45473</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25471-2020</t>
        </is>
      </c>
      <c r="B147" s="1" t="n">
        <v>43983</v>
      </c>
      <c r="C147" s="1" t="n">
        <v>45473</v>
      </c>
      <c r="D147" t="inlineStr">
        <is>
          <t>DALARNAS LÄN</t>
        </is>
      </c>
      <c r="E147" t="inlineStr">
        <is>
          <t>LUDVIKA</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25554-2020</t>
        </is>
      </c>
      <c r="B148" s="1" t="n">
        <v>43983</v>
      </c>
      <c r="C148" s="1" t="n">
        <v>45473</v>
      </c>
      <c r="D148" t="inlineStr">
        <is>
          <t>DALARNAS LÄN</t>
        </is>
      </c>
      <c r="E148" t="inlineStr">
        <is>
          <t>LUDVIKA</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25581-2020</t>
        </is>
      </c>
      <c r="B149" s="1" t="n">
        <v>43983</v>
      </c>
      <c r="C149" s="1" t="n">
        <v>45473</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25458-2020</t>
        </is>
      </c>
      <c r="B150" s="1" t="n">
        <v>43983</v>
      </c>
      <c r="C150" s="1" t="n">
        <v>45473</v>
      </c>
      <c r="D150" t="inlineStr">
        <is>
          <t>DALARNAS LÄN</t>
        </is>
      </c>
      <c r="E150" t="inlineStr">
        <is>
          <t>LUDVIKA</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28524-2020</t>
        </is>
      </c>
      <c r="B151" s="1" t="n">
        <v>43999</v>
      </c>
      <c r="C151" s="1" t="n">
        <v>45473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28802-2020</t>
        </is>
      </c>
      <c r="B152" s="1" t="n">
        <v>44000</v>
      </c>
      <c r="C152" s="1" t="n">
        <v>45473</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28798-2020</t>
        </is>
      </c>
      <c r="B153" s="1" t="n">
        <v>44000</v>
      </c>
      <c r="C153" s="1" t="n">
        <v>45473</v>
      </c>
      <c r="D153" t="inlineStr">
        <is>
          <t>DALARNAS LÄN</t>
        </is>
      </c>
      <c r="E153" t="inlineStr">
        <is>
          <t>LUDVIKA</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29869-2020</t>
        </is>
      </c>
      <c r="B154" s="1" t="n">
        <v>44006</v>
      </c>
      <c r="C154" s="1" t="n">
        <v>45473</v>
      </c>
      <c r="D154" t="inlineStr">
        <is>
          <t>DALARNAS LÄN</t>
        </is>
      </c>
      <c r="E154" t="inlineStr">
        <is>
          <t>LUDVIKA</t>
        </is>
      </c>
      <c r="G154" t="n">
        <v>2.1</v>
      </c>
      <c r="H154" t="n">
        <v>0</v>
      </c>
      <c r="I154" t="n">
        <v>0</v>
      </c>
      <c r="J154" t="n">
        <v>0</v>
      </c>
      <c r="K154" t="n">
        <v>0</v>
      </c>
      <c r="L154" t="n">
        <v>0</v>
      </c>
      <c r="M154" t="n">
        <v>0</v>
      </c>
      <c r="N154" t="n">
        <v>0</v>
      </c>
      <c r="O154" t="n">
        <v>0</v>
      </c>
      <c r="P154" t="n">
        <v>0</v>
      </c>
      <c r="Q154" t="n">
        <v>0</v>
      </c>
      <c r="R154" s="2" t="inlineStr"/>
    </row>
    <row r="155" ht="15" customHeight="1">
      <c r="A155" t="inlineStr">
        <is>
          <t>A 31257-2020</t>
        </is>
      </c>
      <c r="B155" s="1" t="n">
        <v>44012</v>
      </c>
      <c r="C155" s="1" t="n">
        <v>45473</v>
      </c>
      <c r="D155" t="inlineStr">
        <is>
          <t>DALARNAS LÄN</t>
        </is>
      </c>
      <c r="E155" t="inlineStr">
        <is>
          <t>LUDVIKA</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32994-2020</t>
        </is>
      </c>
      <c r="B156" s="1" t="n">
        <v>44020</v>
      </c>
      <c r="C156" s="1" t="n">
        <v>45473</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33357-2020</t>
        </is>
      </c>
      <c r="B157" s="1" t="n">
        <v>44022</v>
      </c>
      <c r="C157" s="1" t="n">
        <v>45473</v>
      </c>
      <c r="D157" t="inlineStr">
        <is>
          <t>DALARNAS LÄN</t>
        </is>
      </c>
      <c r="E157" t="inlineStr">
        <is>
          <t>LUDVIKA</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34915-2020</t>
        </is>
      </c>
      <c r="B158" s="1" t="n">
        <v>44036</v>
      </c>
      <c r="C158" s="1" t="n">
        <v>45473</v>
      </c>
      <c r="D158" t="inlineStr">
        <is>
          <t>DALARNAS LÄN</t>
        </is>
      </c>
      <c r="E158" t="inlineStr">
        <is>
          <t>LUDVIKA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39915-2020</t>
        </is>
      </c>
      <c r="B159" s="1" t="n">
        <v>44067</v>
      </c>
      <c r="C159" s="1" t="n">
        <v>45473</v>
      </c>
      <c r="D159" t="inlineStr">
        <is>
          <t>DALARNAS LÄN</t>
        </is>
      </c>
      <c r="E159" t="inlineStr">
        <is>
          <t>LUDVIKA</t>
        </is>
      </c>
      <c r="F159" t="inlineStr">
        <is>
          <t>Naturvårdsverket</t>
        </is>
      </c>
      <c r="G159" t="n">
        <v>17.7</v>
      </c>
      <c r="H159" t="n">
        <v>0</v>
      </c>
      <c r="I159" t="n">
        <v>0</v>
      </c>
      <c r="J159" t="n">
        <v>0</v>
      </c>
      <c r="K159" t="n">
        <v>0</v>
      </c>
      <c r="L159" t="n">
        <v>0</v>
      </c>
      <c r="M159" t="n">
        <v>0</v>
      </c>
      <c r="N159" t="n">
        <v>0</v>
      </c>
      <c r="O159" t="n">
        <v>0</v>
      </c>
      <c r="P159" t="n">
        <v>0</v>
      </c>
      <c r="Q159" t="n">
        <v>0</v>
      </c>
      <c r="R159" s="2" t="inlineStr"/>
    </row>
    <row r="160" ht="15" customHeight="1">
      <c r="A160" t="inlineStr">
        <is>
          <t>A 40472-2020</t>
        </is>
      </c>
      <c r="B160" s="1" t="n">
        <v>44069</v>
      </c>
      <c r="C160" s="1" t="n">
        <v>45473</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40504-2020</t>
        </is>
      </c>
      <c r="B161" s="1" t="n">
        <v>44069</v>
      </c>
      <c r="C161" s="1" t="n">
        <v>45473</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40978-2020</t>
        </is>
      </c>
      <c r="B162" s="1" t="n">
        <v>44070</v>
      </c>
      <c r="C162" s="1" t="n">
        <v>45473</v>
      </c>
      <c r="D162" t="inlineStr">
        <is>
          <t>DALARNAS LÄN</t>
        </is>
      </c>
      <c r="E162" t="inlineStr">
        <is>
          <t>LUDVIKA</t>
        </is>
      </c>
      <c r="F162" t="inlineStr">
        <is>
          <t>Bergvik skog väst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43162-2020</t>
        </is>
      </c>
      <c r="B163" s="1" t="n">
        <v>44081</v>
      </c>
      <c r="C163" s="1" t="n">
        <v>45473</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44747-2020</t>
        </is>
      </c>
      <c r="B164" s="1" t="n">
        <v>44085</v>
      </c>
      <c r="C164" s="1" t="n">
        <v>45473</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44746-2020</t>
        </is>
      </c>
      <c r="B165" s="1" t="n">
        <v>44085</v>
      </c>
      <c r="C165" s="1" t="n">
        <v>45473</v>
      </c>
      <c r="D165" t="inlineStr">
        <is>
          <t>DALARNAS LÄN</t>
        </is>
      </c>
      <c r="E165" t="inlineStr">
        <is>
          <t>LUDVIKA</t>
        </is>
      </c>
      <c r="F165" t="inlineStr">
        <is>
          <t>Bergvik skog väst AB</t>
        </is>
      </c>
      <c r="G165" t="n">
        <v>3.2</v>
      </c>
      <c r="H165" t="n">
        <v>0</v>
      </c>
      <c r="I165" t="n">
        <v>0</v>
      </c>
      <c r="J165" t="n">
        <v>0</v>
      </c>
      <c r="K165" t="n">
        <v>0</v>
      </c>
      <c r="L165" t="n">
        <v>0</v>
      </c>
      <c r="M165" t="n">
        <v>0</v>
      </c>
      <c r="N165" t="n">
        <v>0</v>
      </c>
      <c r="O165" t="n">
        <v>0</v>
      </c>
      <c r="P165" t="n">
        <v>0</v>
      </c>
      <c r="Q165" t="n">
        <v>0</v>
      </c>
      <c r="R165" s="2" t="inlineStr"/>
    </row>
    <row r="166" ht="15" customHeight="1">
      <c r="A166" t="inlineStr">
        <is>
          <t>A 45390-2020</t>
        </is>
      </c>
      <c r="B166" s="1" t="n">
        <v>44085</v>
      </c>
      <c r="C166" s="1" t="n">
        <v>45473</v>
      </c>
      <c r="D166" t="inlineStr">
        <is>
          <t>DALARNAS LÄN</t>
        </is>
      </c>
      <c r="E166" t="inlineStr">
        <is>
          <t>LUDVIKA</t>
        </is>
      </c>
      <c r="G166" t="n">
        <v>4.4</v>
      </c>
      <c r="H166" t="n">
        <v>0</v>
      </c>
      <c r="I166" t="n">
        <v>0</v>
      </c>
      <c r="J166" t="n">
        <v>0</v>
      </c>
      <c r="K166" t="n">
        <v>0</v>
      </c>
      <c r="L166" t="n">
        <v>0</v>
      </c>
      <c r="M166" t="n">
        <v>0</v>
      </c>
      <c r="N166" t="n">
        <v>0</v>
      </c>
      <c r="O166" t="n">
        <v>0</v>
      </c>
      <c r="P166" t="n">
        <v>0</v>
      </c>
      <c r="Q166" t="n">
        <v>0</v>
      </c>
      <c r="R166" s="2" t="inlineStr"/>
    </row>
    <row r="167" ht="15" customHeight="1">
      <c r="A167" t="inlineStr">
        <is>
          <t>A 44745-2020</t>
        </is>
      </c>
      <c r="B167" s="1" t="n">
        <v>44085</v>
      </c>
      <c r="C167" s="1" t="n">
        <v>45473</v>
      </c>
      <c r="D167" t="inlineStr">
        <is>
          <t>DALARNAS LÄN</t>
        </is>
      </c>
      <c r="E167" t="inlineStr">
        <is>
          <t>LUDVIKA</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45309-2020</t>
        </is>
      </c>
      <c r="B168" s="1" t="n">
        <v>44089</v>
      </c>
      <c r="C168" s="1" t="n">
        <v>45473</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45613-2020</t>
        </is>
      </c>
      <c r="B169" s="1" t="n">
        <v>44090</v>
      </c>
      <c r="C169" s="1" t="n">
        <v>45473</v>
      </c>
      <c r="D169" t="inlineStr">
        <is>
          <t>DALARNAS LÄN</t>
        </is>
      </c>
      <c r="E169" t="inlineStr">
        <is>
          <t>LUDVIKA</t>
        </is>
      </c>
      <c r="F169" t="inlineStr">
        <is>
          <t>Övriga Aktiebolag</t>
        </is>
      </c>
      <c r="G169" t="n">
        <v>0.7</v>
      </c>
      <c r="H169" t="n">
        <v>0</v>
      </c>
      <c r="I169" t="n">
        <v>0</v>
      </c>
      <c r="J169" t="n">
        <v>0</v>
      </c>
      <c r="K169" t="n">
        <v>0</v>
      </c>
      <c r="L169" t="n">
        <v>0</v>
      </c>
      <c r="M169" t="n">
        <v>0</v>
      </c>
      <c r="N169" t="n">
        <v>0</v>
      </c>
      <c r="O169" t="n">
        <v>0</v>
      </c>
      <c r="P169" t="n">
        <v>0</v>
      </c>
      <c r="Q169" t="n">
        <v>0</v>
      </c>
      <c r="R169" s="2" t="inlineStr"/>
    </row>
    <row r="170" ht="15" customHeight="1">
      <c r="A170" t="inlineStr">
        <is>
          <t>A 46252-2020</t>
        </is>
      </c>
      <c r="B170" s="1" t="n">
        <v>44092</v>
      </c>
      <c r="C170" s="1" t="n">
        <v>45473</v>
      </c>
      <c r="D170" t="inlineStr">
        <is>
          <t>DALARNAS LÄN</t>
        </is>
      </c>
      <c r="E170" t="inlineStr">
        <is>
          <t>LUDVIKA</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46268-2020</t>
        </is>
      </c>
      <c r="B171" s="1" t="n">
        <v>44092</v>
      </c>
      <c r="C171" s="1" t="n">
        <v>45473</v>
      </c>
      <c r="D171" t="inlineStr">
        <is>
          <t>DALARNAS LÄN</t>
        </is>
      </c>
      <c r="E171" t="inlineStr">
        <is>
          <t>LUDVIKA</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46329-2020</t>
        </is>
      </c>
      <c r="B172" s="1" t="n">
        <v>44092</v>
      </c>
      <c r="C172" s="1" t="n">
        <v>45473</v>
      </c>
      <c r="D172" t="inlineStr">
        <is>
          <t>DALARNAS LÄN</t>
        </is>
      </c>
      <c r="E172" t="inlineStr">
        <is>
          <t>LUDVIKA</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46147-2020</t>
        </is>
      </c>
      <c r="B173" s="1" t="n">
        <v>44092</v>
      </c>
      <c r="C173" s="1" t="n">
        <v>45473</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46146-2020</t>
        </is>
      </c>
      <c r="B174" s="1" t="n">
        <v>44092</v>
      </c>
      <c r="C174" s="1" t="n">
        <v>45473</v>
      </c>
      <c r="D174" t="inlineStr">
        <is>
          <t>DALARNAS LÄN</t>
        </is>
      </c>
      <c r="E174" t="inlineStr">
        <is>
          <t>LUDVIKA</t>
        </is>
      </c>
      <c r="G174" t="n">
        <v>1.5</v>
      </c>
      <c r="H174" t="n">
        <v>0</v>
      </c>
      <c r="I174" t="n">
        <v>0</v>
      </c>
      <c r="J174" t="n">
        <v>0</v>
      </c>
      <c r="K174" t="n">
        <v>0</v>
      </c>
      <c r="L174" t="n">
        <v>0</v>
      </c>
      <c r="M174" t="n">
        <v>0</v>
      </c>
      <c r="N174" t="n">
        <v>0</v>
      </c>
      <c r="O174" t="n">
        <v>0</v>
      </c>
      <c r="P174" t="n">
        <v>0</v>
      </c>
      <c r="Q174" t="n">
        <v>0</v>
      </c>
      <c r="R174" s="2" t="inlineStr"/>
    </row>
    <row r="175" ht="15" customHeight="1">
      <c r="A175" t="inlineStr">
        <is>
          <t>A 46275-2020</t>
        </is>
      </c>
      <c r="B175" s="1" t="n">
        <v>44092</v>
      </c>
      <c r="C175" s="1" t="n">
        <v>45473</v>
      </c>
      <c r="D175" t="inlineStr">
        <is>
          <t>DALARNAS LÄN</t>
        </is>
      </c>
      <c r="E175" t="inlineStr">
        <is>
          <t>LUDVIKA</t>
        </is>
      </c>
      <c r="F175" t="inlineStr">
        <is>
          <t>Sveaskog</t>
        </is>
      </c>
      <c r="G175" t="n">
        <v>6.1</v>
      </c>
      <c r="H175" t="n">
        <v>0</v>
      </c>
      <c r="I175" t="n">
        <v>0</v>
      </c>
      <c r="J175" t="n">
        <v>0</v>
      </c>
      <c r="K175" t="n">
        <v>0</v>
      </c>
      <c r="L175" t="n">
        <v>0</v>
      </c>
      <c r="M175" t="n">
        <v>0</v>
      </c>
      <c r="N175" t="n">
        <v>0</v>
      </c>
      <c r="O175" t="n">
        <v>0</v>
      </c>
      <c r="P175" t="n">
        <v>0</v>
      </c>
      <c r="Q175" t="n">
        <v>0</v>
      </c>
      <c r="R175" s="2" t="inlineStr"/>
    </row>
    <row r="176" ht="15" customHeight="1">
      <c r="A176" t="inlineStr">
        <is>
          <t>A 46284-2020</t>
        </is>
      </c>
      <c r="B176" s="1" t="n">
        <v>44092</v>
      </c>
      <c r="C176" s="1" t="n">
        <v>45473</v>
      </c>
      <c r="D176" t="inlineStr">
        <is>
          <t>DALARNAS LÄN</t>
        </is>
      </c>
      <c r="E176" t="inlineStr">
        <is>
          <t>LUDVIKA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46369-2020</t>
        </is>
      </c>
      <c r="B177" s="1" t="n">
        <v>44093</v>
      </c>
      <c r="C177" s="1" t="n">
        <v>45473</v>
      </c>
      <c r="D177" t="inlineStr">
        <is>
          <t>DALARNAS LÄN</t>
        </is>
      </c>
      <c r="E177" t="inlineStr">
        <is>
          <t>LUDVIKA</t>
        </is>
      </c>
      <c r="G177" t="n">
        <v>3.8</v>
      </c>
      <c r="H177" t="n">
        <v>0</v>
      </c>
      <c r="I177" t="n">
        <v>0</v>
      </c>
      <c r="J177" t="n">
        <v>0</v>
      </c>
      <c r="K177" t="n">
        <v>0</v>
      </c>
      <c r="L177" t="n">
        <v>0</v>
      </c>
      <c r="M177" t="n">
        <v>0</v>
      </c>
      <c r="N177" t="n">
        <v>0</v>
      </c>
      <c r="O177" t="n">
        <v>0</v>
      </c>
      <c r="P177" t="n">
        <v>0</v>
      </c>
      <c r="Q177" t="n">
        <v>0</v>
      </c>
      <c r="R177" s="2" t="inlineStr"/>
    </row>
    <row r="178" ht="15" customHeight="1">
      <c r="A178" t="inlineStr">
        <is>
          <t>A 47194-2020</t>
        </is>
      </c>
      <c r="B178" s="1" t="n">
        <v>44097</v>
      </c>
      <c r="C178" s="1" t="n">
        <v>45473</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47471-2020</t>
        </is>
      </c>
      <c r="B179" s="1" t="n">
        <v>44097</v>
      </c>
      <c r="C179" s="1" t="n">
        <v>45473</v>
      </c>
      <c r="D179" t="inlineStr">
        <is>
          <t>DALARNAS LÄN</t>
        </is>
      </c>
      <c r="E179" t="inlineStr">
        <is>
          <t>LUDVIKA</t>
        </is>
      </c>
      <c r="G179" t="n">
        <v>0.7</v>
      </c>
      <c r="H179" t="n">
        <v>0</v>
      </c>
      <c r="I179" t="n">
        <v>0</v>
      </c>
      <c r="J179" t="n">
        <v>0</v>
      </c>
      <c r="K179" t="n">
        <v>0</v>
      </c>
      <c r="L179" t="n">
        <v>0</v>
      </c>
      <c r="M179" t="n">
        <v>0</v>
      </c>
      <c r="N179" t="n">
        <v>0</v>
      </c>
      <c r="O179" t="n">
        <v>0</v>
      </c>
      <c r="P179" t="n">
        <v>0</v>
      </c>
      <c r="Q179" t="n">
        <v>0</v>
      </c>
      <c r="R179" s="2" t="inlineStr"/>
    </row>
    <row r="180" ht="15" customHeight="1">
      <c r="A180" t="inlineStr">
        <is>
          <t>A 48557-2020</t>
        </is>
      </c>
      <c r="B180" s="1" t="n">
        <v>44103</v>
      </c>
      <c r="C180" s="1" t="n">
        <v>45473</v>
      </c>
      <c r="D180" t="inlineStr">
        <is>
          <t>DALARNAS LÄN</t>
        </is>
      </c>
      <c r="E180" t="inlineStr">
        <is>
          <t>LUDVIKA</t>
        </is>
      </c>
      <c r="G180" t="n">
        <v>1</v>
      </c>
      <c r="H180" t="n">
        <v>0</v>
      </c>
      <c r="I180" t="n">
        <v>0</v>
      </c>
      <c r="J180" t="n">
        <v>0</v>
      </c>
      <c r="K180" t="n">
        <v>0</v>
      </c>
      <c r="L180" t="n">
        <v>0</v>
      </c>
      <c r="M180" t="n">
        <v>0</v>
      </c>
      <c r="N180" t="n">
        <v>0</v>
      </c>
      <c r="O180" t="n">
        <v>0</v>
      </c>
      <c r="P180" t="n">
        <v>0</v>
      </c>
      <c r="Q180" t="n">
        <v>0</v>
      </c>
      <c r="R180" s="2" t="inlineStr"/>
    </row>
    <row r="181" ht="15" customHeight="1">
      <c r="A181" t="inlineStr">
        <is>
          <t>A 48482-2020</t>
        </is>
      </c>
      <c r="B181" s="1" t="n">
        <v>44103</v>
      </c>
      <c r="C181" s="1" t="n">
        <v>45473</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50146-2020</t>
        </is>
      </c>
      <c r="B182" s="1" t="n">
        <v>44104</v>
      </c>
      <c r="C182" s="1" t="n">
        <v>45473</v>
      </c>
      <c r="D182" t="inlineStr">
        <is>
          <t>DALARNAS LÄN</t>
        </is>
      </c>
      <c r="E182" t="inlineStr">
        <is>
          <t>LUDVIKA</t>
        </is>
      </c>
      <c r="G182" t="n">
        <v>4.7</v>
      </c>
      <c r="H182" t="n">
        <v>0</v>
      </c>
      <c r="I182" t="n">
        <v>0</v>
      </c>
      <c r="J182" t="n">
        <v>0</v>
      </c>
      <c r="K182" t="n">
        <v>0</v>
      </c>
      <c r="L182" t="n">
        <v>0</v>
      </c>
      <c r="M182" t="n">
        <v>0</v>
      </c>
      <c r="N182" t="n">
        <v>0</v>
      </c>
      <c r="O182" t="n">
        <v>0</v>
      </c>
      <c r="P182" t="n">
        <v>0</v>
      </c>
      <c r="Q182" t="n">
        <v>0</v>
      </c>
      <c r="R182" s="2" t="inlineStr"/>
    </row>
    <row r="183" ht="15" customHeight="1">
      <c r="A183" t="inlineStr">
        <is>
          <t>A 51439-2020</t>
        </is>
      </c>
      <c r="B183" s="1" t="n">
        <v>44113</v>
      </c>
      <c r="C183" s="1" t="n">
        <v>45473</v>
      </c>
      <c r="D183" t="inlineStr">
        <is>
          <t>DALARNAS LÄN</t>
        </is>
      </c>
      <c r="E183" t="inlineStr">
        <is>
          <t>LUDVIKA</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51777-2020</t>
        </is>
      </c>
      <c r="B184" s="1" t="n">
        <v>44116</v>
      </c>
      <c r="C184" s="1" t="n">
        <v>45473</v>
      </c>
      <c r="D184" t="inlineStr">
        <is>
          <t>DALARNAS LÄN</t>
        </is>
      </c>
      <c r="E184" t="inlineStr">
        <is>
          <t>LUDVIKA</t>
        </is>
      </c>
      <c r="G184" t="n">
        <v>11.2</v>
      </c>
      <c r="H184" t="n">
        <v>0</v>
      </c>
      <c r="I184" t="n">
        <v>0</v>
      </c>
      <c r="J184" t="n">
        <v>0</v>
      </c>
      <c r="K184" t="n">
        <v>0</v>
      </c>
      <c r="L184" t="n">
        <v>0</v>
      </c>
      <c r="M184" t="n">
        <v>0</v>
      </c>
      <c r="N184" t="n">
        <v>0</v>
      </c>
      <c r="O184" t="n">
        <v>0</v>
      </c>
      <c r="P184" t="n">
        <v>0</v>
      </c>
      <c r="Q184" t="n">
        <v>0</v>
      </c>
      <c r="R184" s="2" t="inlineStr"/>
    </row>
    <row r="185" ht="15" customHeight="1">
      <c r="A185" t="inlineStr">
        <is>
          <t>A 51895-2020</t>
        </is>
      </c>
      <c r="B185" s="1" t="n">
        <v>44116</v>
      </c>
      <c r="C185" s="1" t="n">
        <v>45473</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52425-2020</t>
        </is>
      </c>
      <c r="B186" s="1" t="n">
        <v>44118</v>
      </c>
      <c r="C186" s="1" t="n">
        <v>45473</v>
      </c>
      <c r="D186" t="inlineStr">
        <is>
          <t>DALARNAS LÄN</t>
        </is>
      </c>
      <c r="E186" t="inlineStr">
        <is>
          <t>LUDVIKA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52748-2020</t>
        </is>
      </c>
      <c r="B187" s="1" t="n">
        <v>44119</v>
      </c>
      <c r="C187" s="1" t="n">
        <v>45473</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52853-2020</t>
        </is>
      </c>
      <c r="B188" s="1" t="n">
        <v>44119</v>
      </c>
      <c r="C188" s="1" t="n">
        <v>45473</v>
      </c>
      <c r="D188" t="inlineStr">
        <is>
          <t>DALARNAS LÄN</t>
        </is>
      </c>
      <c r="E188" t="inlineStr">
        <is>
          <t>LUDVIKA</t>
        </is>
      </c>
      <c r="G188" t="n">
        <v>28</v>
      </c>
      <c r="H188" t="n">
        <v>0</v>
      </c>
      <c r="I188" t="n">
        <v>0</v>
      </c>
      <c r="J188" t="n">
        <v>0</v>
      </c>
      <c r="K188" t="n">
        <v>0</v>
      </c>
      <c r="L188" t="n">
        <v>0</v>
      </c>
      <c r="M188" t="n">
        <v>0</v>
      </c>
      <c r="N188" t="n">
        <v>0</v>
      </c>
      <c r="O188" t="n">
        <v>0</v>
      </c>
      <c r="P188" t="n">
        <v>0</v>
      </c>
      <c r="Q188" t="n">
        <v>0</v>
      </c>
      <c r="R188" s="2" t="inlineStr"/>
    </row>
    <row r="189" ht="15" customHeight="1">
      <c r="A189" t="inlineStr">
        <is>
          <t>A 52929-2020</t>
        </is>
      </c>
      <c r="B189" s="1" t="n">
        <v>44120</v>
      </c>
      <c r="C189" s="1" t="n">
        <v>45473</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53960-2020</t>
        </is>
      </c>
      <c r="B190" s="1" t="n">
        <v>44123</v>
      </c>
      <c r="C190" s="1" t="n">
        <v>45473</v>
      </c>
      <c r="D190" t="inlineStr">
        <is>
          <t>DALARNAS LÄN</t>
        </is>
      </c>
      <c r="E190" t="inlineStr">
        <is>
          <t>LUDVIKA</t>
        </is>
      </c>
      <c r="G190" t="n">
        <v>3.5</v>
      </c>
      <c r="H190" t="n">
        <v>0</v>
      </c>
      <c r="I190" t="n">
        <v>0</v>
      </c>
      <c r="J190" t="n">
        <v>0</v>
      </c>
      <c r="K190" t="n">
        <v>0</v>
      </c>
      <c r="L190" t="n">
        <v>0</v>
      </c>
      <c r="M190" t="n">
        <v>0</v>
      </c>
      <c r="N190" t="n">
        <v>0</v>
      </c>
      <c r="O190" t="n">
        <v>0</v>
      </c>
      <c r="P190" t="n">
        <v>0</v>
      </c>
      <c r="Q190" t="n">
        <v>0</v>
      </c>
      <c r="R190" s="2" t="inlineStr"/>
    </row>
    <row r="191" ht="15" customHeight="1">
      <c r="A191" t="inlineStr">
        <is>
          <t>A 53756-2020</t>
        </is>
      </c>
      <c r="B191" s="1" t="n">
        <v>44124</v>
      </c>
      <c r="C191" s="1" t="n">
        <v>45473</v>
      </c>
      <c r="D191" t="inlineStr">
        <is>
          <t>DALARNAS LÄN</t>
        </is>
      </c>
      <c r="E191" t="inlineStr">
        <is>
          <t>LUDVIKA</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54639-2020</t>
        </is>
      </c>
      <c r="B192" s="1" t="n">
        <v>44127</v>
      </c>
      <c r="C192" s="1" t="n">
        <v>45473</v>
      </c>
      <c r="D192" t="inlineStr">
        <is>
          <t>DALARNAS LÄN</t>
        </is>
      </c>
      <c r="E192" t="inlineStr">
        <is>
          <t>LUDVIKA</t>
        </is>
      </c>
      <c r="F192" t="inlineStr">
        <is>
          <t>Övriga Aktiebolag</t>
        </is>
      </c>
      <c r="G192" t="n">
        <v>25.9</v>
      </c>
      <c r="H192" t="n">
        <v>0</v>
      </c>
      <c r="I192" t="n">
        <v>0</v>
      </c>
      <c r="J192" t="n">
        <v>0</v>
      </c>
      <c r="K192" t="n">
        <v>0</v>
      </c>
      <c r="L192" t="n">
        <v>0</v>
      </c>
      <c r="M192" t="n">
        <v>0</v>
      </c>
      <c r="N192" t="n">
        <v>0</v>
      </c>
      <c r="O192" t="n">
        <v>0</v>
      </c>
      <c r="P192" t="n">
        <v>0</v>
      </c>
      <c r="Q192" t="n">
        <v>0</v>
      </c>
      <c r="R192" s="2" t="inlineStr"/>
    </row>
    <row r="193" ht="15" customHeight="1">
      <c r="A193" t="inlineStr">
        <is>
          <t>A 54641-2020</t>
        </is>
      </c>
      <c r="B193" s="1" t="n">
        <v>44127</v>
      </c>
      <c r="C193" s="1" t="n">
        <v>45473</v>
      </c>
      <c r="D193" t="inlineStr">
        <is>
          <t>DALARNAS LÄN</t>
        </is>
      </c>
      <c r="E193" t="inlineStr">
        <is>
          <t>LUDVIKA</t>
        </is>
      </c>
      <c r="F193" t="inlineStr">
        <is>
          <t>Övriga Aktiebolag</t>
        </is>
      </c>
      <c r="G193" t="n">
        <v>38.7</v>
      </c>
      <c r="H193" t="n">
        <v>0</v>
      </c>
      <c r="I193" t="n">
        <v>0</v>
      </c>
      <c r="J193" t="n">
        <v>0</v>
      </c>
      <c r="K193" t="n">
        <v>0</v>
      </c>
      <c r="L193" t="n">
        <v>0</v>
      </c>
      <c r="M193" t="n">
        <v>0</v>
      </c>
      <c r="N193" t="n">
        <v>0</v>
      </c>
      <c r="O193" t="n">
        <v>0</v>
      </c>
      <c r="P193" t="n">
        <v>0</v>
      </c>
      <c r="Q193" t="n">
        <v>0</v>
      </c>
      <c r="R193" s="2" t="inlineStr"/>
    </row>
    <row r="194" ht="15" customHeight="1">
      <c r="A194" t="inlineStr">
        <is>
          <t>A 55646-2020</t>
        </is>
      </c>
      <c r="B194" s="1" t="n">
        <v>44131</v>
      </c>
      <c r="C194" s="1" t="n">
        <v>45473</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61004-2020</t>
        </is>
      </c>
      <c r="B195" s="1" t="n">
        <v>44154</v>
      </c>
      <c r="C195" s="1" t="n">
        <v>45473</v>
      </c>
      <c r="D195" t="inlineStr">
        <is>
          <t>DALARNAS LÄN</t>
        </is>
      </c>
      <c r="E195" t="inlineStr">
        <is>
          <t>LUDVIKA</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60913-2020</t>
        </is>
      </c>
      <c r="B196" s="1" t="n">
        <v>44154</v>
      </c>
      <c r="C196" s="1" t="n">
        <v>45473</v>
      </c>
      <c r="D196" t="inlineStr">
        <is>
          <t>DALARNAS LÄN</t>
        </is>
      </c>
      <c r="E196" t="inlineStr">
        <is>
          <t>LUDVIKA</t>
        </is>
      </c>
      <c r="G196" t="n">
        <v>2.2</v>
      </c>
      <c r="H196" t="n">
        <v>0</v>
      </c>
      <c r="I196" t="n">
        <v>0</v>
      </c>
      <c r="J196" t="n">
        <v>0</v>
      </c>
      <c r="K196" t="n">
        <v>0</v>
      </c>
      <c r="L196" t="n">
        <v>0</v>
      </c>
      <c r="M196" t="n">
        <v>0</v>
      </c>
      <c r="N196" t="n">
        <v>0</v>
      </c>
      <c r="O196" t="n">
        <v>0</v>
      </c>
      <c r="P196" t="n">
        <v>0</v>
      </c>
      <c r="Q196" t="n">
        <v>0</v>
      </c>
      <c r="R196" s="2" t="inlineStr"/>
    </row>
    <row r="197" ht="15" customHeight="1">
      <c r="A197" t="inlineStr">
        <is>
          <t>A 60822-2020</t>
        </is>
      </c>
      <c r="B197" s="1" t="n">
        <v>44154</v>
      </c>
      <c r="C197" s="1" t="n">
        <v>45473</v>
      </c>
      <c r="D197" t="inlineStr">
        <is>
          <t>DALARNAS LÄN</t>
        </is>
      </c>
      <c r="E197" t="inlineStr">
        <is>
          <t>LUDVIKA</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61491-2020</t>
        </is>
      </c>
      <c r="B198" s="1" t="n">
        <v>44154</v>
      </c>
      <c r="C198" s="1" t="n">
        <v>45473</v>
      </c>
      <c r="D198" t="inlineStr">
        <is>
          <t>DALARNAS LÄN</t>
        </is>
      </c>
      <c r="E198" t="inlineStr">
        <is>
          <t>LUDVIKA</t>
        </is>
      </c>
      <c r="G198" t="n">
        <v>1.5</v>
      </c>
      <c r="H198" t="n">
        <v>0</v>
      </c>
      <c r="I198" t="n">
        <v>0</v>
      </c>
      <c r="J198" t="n">
        <v>0</v>
      </c>
      <c r="K198" t="n">
        <v>0</v>
      </c>
      <c r="L198" t="n">
        <v>0</v>
      </c>
      <c r="M198" t="n">
        <v>0</v>
      </c>
      <c r="N198" t="n">
        <v>0</v>
      </c>
      <c r="O198" t="n">
        <v>0</v>
      </c>
      <c r="P198" t="n">
        <v>0</v>
      </c>
      <c r="Q198" t="n">
        <v>0</v>
      </c>
      <c r="R198" s="2" t="inlineStr"/>
    </row>
    <row r="199" ht="15" customHeight="1">
      <c r="A199" t="inlineStr">
        <is>
          <t>A 61501-2020</t>
        </is>
      </c>
      <c r="B199" s="1" t="n">
        <v>44154</v>
      </c>
      <c r="C199" s="1" t="n">
        <v>45473</v>
      </c>
      <c r="D199" t="inlineStr">
        <is>
          <t>DALARNAS LÄN</t>
        </is>
      </c>
      <c r="E199" t="inlineStr">
        <is>
          <t>LUDVIKA</t>
        </is>
      </c>
      <c r="G199" t="n">
        <v>10</v>
      </c>
      <c r="H199" t="n">
        <v>0</v>
      </c>
      <c r="I199" t="n">
        <v>0</v>
      </c>
      <c r="J199" t="n">
        <v>0</v>
      </c>
      <c r="K199" t="n">
        <v>0</v>
      </c>
      <c r="L199" t="n">
        <v>0</v>
      </c>
      <c r="M199" t="n">
        <v>0</v>
      </c>
      <c r="N199" t="n">
        <v>0</v>
      </c>
      <c r="O199" t="n">
        <v>0</v>
      </c>
      <c r="P199" t="n">
        <v>0</v>
      </c>
      <c r="Q199" t="n">
        <v>0</v>
      </c>
      <c r="R199" s="2" t="inlineStr"/>
    </row>
    <row r="200" ht="15" customHeight="1">
      <c r="A200" t="inlineStr">
        <is>
          <t>A 61838-2020</t>
        </is>
      </c>
      <c r="B200" s="1" t="n">
        <v>44159</v>
      </c>
      <c r="C200" s="1" t="n">
        <v>45473</v>
      </c>
      <c r="D200" t="inlineStr">
        <is>
          <t>DALARNAS LÄN</t>
        </is>
      </c>
      <c r="E200" t="inlineStr">
        <is>
          <t>LUDVIKA</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63799-2020</t>
        </is>
      </c>
      <c r="B201" s="1" t="n">
        <v>44165</v>
      </c>
      <c r="C201" s="1" t="n">
        <v>45473</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63767-2020</t>
        </is>
      </c>
      <c r="B202" s="1" t="n">
        <v>44166</v>
      </c>
      <c r="C202" s="1" t="n">
        <v>45473</v>
      </c>
      <c r="D202" t="inlineStr">
        <is>
          <t>DALARNAS LÄN</t>
        </is>
      </c>
      <c r="E202" t="inlineStr">
        <is>
          <t>LUDVIKA</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65150-2020</t>
        </is>
      </c>
      <c r="B203" s="1" t="n">
        <v>44168</v>
      </c>
      <c r="C203" s="1" t="n">
        <v>45473</v>
      </c>
      <c r="D203" t="inlineStr">
        <is>
          <t>DALARNAS LÄN</t>
        </is>
      </c>
      <c r="E203" t="inlineStr">
        <is>
          <t>LUDVIKA</t>
        </is>
      </c>
      <c r="G203" t="n">
        <v>0.9</v>
      </c>
      <c r="H203" t="n">
        <v>0</v>
      </c>
      <c r="I203" t="n">
        <v>0</v>
      </c>
      <c r="J203" t="n">
        <v>0</v>
      </c>
      <c r="K203" t="n">
        <v>0</v>
      </c>
      <c r="L203" t="n">
        <v>0</v>
      </c>
      <c r="M203" t="n">
        <v>0</v>
      </c>
      <c r="N203" t="n">
        <v>0</v>
      </c>
      <c r="O203" t="n">
        <v>0</v>
      </c>
      <c r="P203" t="n">
        <v>0</v>
      </c>
      <c r="Q203" t="n">
        <v>0</v>
      </c>
      <c r="R203" s="2" t="inlineStr"/>
    </row>
    <row r="204" ht="15" customHeight="1">
      <c r="A204" t="inlineStr">
        <is>
          <t>A 66188-2020</t>
        </is>
      </c>
      <c r="B204" s="1" t="n">
        <v>44174</v>
      </c>
      <c r="C204" s="1" t="n">
        <v>45473</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69094-2020</t>
        </is>
      </c>
      <c r="B205" s="1" t="n">
        <v>44188</v>
      </c>
      <c r="C205" s="1" t="n">
        <v>45473</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69157-2020</t>
        </is>
      </c>
      <c r="B206" s="1" t="n">
        <v>44188</v>
      </c>
      <c r="C206" s="1" t="n">
        <v>45473</v>
      </c>
      <c r="D206" t="inlineStr">
        <is>
          <t>DALARNAS LÄN</t>
        </is>
      </c>
      <c r="E206" t="inlineStr">
        <is>
          <t>LUDVIKA</t>
        </is>
      </c>
      <c r="F206" t="inlineStr">
        <is>
          <t>Kommuner</t>
        </is>
      </c>
      <c r="G206" t="n">
        <v>5.2</v>
      </c>
      <c r="H206" t="n">
        <v>0</v>
      </c>
      <c r="I206" t="n">
        <v>0</v>
      </c>
      <c r="J206" t="n">
        <v>0</v>
      </c>
      <c r="K206" t="n">
        <v>0</v>
      </c>
      <c r="L206" t="n">
        <v>0</v>
      </c>
      <c r="M206" t="n">
        <v>0</v>
      </c>
      <c r="N206" t="n">
        <v>0</v>
      </c>
      <c r="O206" t="n">
        <v>0</v>
      </c>
      <c r="P206" t="n">
        <v>0</v>
      </c>
      <c r="Q206" t="n">
        <v>0</v>
      </c>
      <c r="R206" s="2" t="inlineStr"/>
    </row>
    <row r="207" ht="15" customHeight="1">
      <c r="A207" t="inlineStr">
        <is>
          <t>A 69154-2020</t>
        </is>
      </c>
      <c r="B207" s="1" t="n">
        <v>44188</v>
      </c>
      <c r="C207" s="1" t="n">
        <v>45473</v>
      </c>
      <c r="D207" t="inlineStr">
        <is>
          <t>DALARNAS LÄN</t>
        </is>
      </c>
      <c r="E207" t="inlineStr">
        <is>
          <t>LUDVIKA</t>
        </is>
      </c>
      <c r="F207" t="inlineStr">
        <is>
          <t>Kommuner</t>
        </is>
      </c>
      <c r="G207" t="n">
        <v>13.3</v>
      </c>
      <c r="H207" t="n">
        <v>0</v>
      </c>
      <c r="I207" t="n">
        <v>0</v>
      </c>
      <c r="J207" t="n">
        <v>0</v>
      </c>
      <c r="K207" t="n">
        <v>0</v>
      </c>
      <c r="L207" t="n">
        <v>0</v>
      </c>
      <c r="M207" t="n">
        <v>0</v>
      </c>
      <c r="N207" t="n">
        <v>0</v>
      </c>
      <c r="O207" t="n">
        <v>0</v>
      </c>
      <c r="P207" t="n">
        <v>0</v>
      </c>
      <c r="Q207" t="n">
        <v>0</v>
      </c>
      <c r="R207" s="2" t="inlineStr"/>
    </row>
    <row r="208" ht="15" customHeight="1">
      <c r="A208" t="inlineStr">
        <is>
          <t>A 69090-2020</t>
        </is>
      </c>
      <c r="B208" s="1" t="n">
        <v>44188</v>
      </c>
      <c r="C208" s="1" t="n">
        <v>45473</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69165-2020</t>
        </is>
      </c>
      <c r="B209" s="1" t="n">
        <v>44188</v>
      </c>
      <c r="C209" s="1" t="n">
        <v>45473</v>
      </c>
      <c r="D209" t="inlineStr">
        <is>
          <t>DALARNAS LÄN</t>
        </is>
      </c>
      <c r="E209" t="inlineStr">
        <is>
          <t>LUDVIKA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1633-2021</t>
        </is>
      </c>
      <c r="B210" s="1" t="n">
        <v>44209</v>
      </c>
      <c r="C210" s="1" t="n">
        <v>45473</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3104-2021</t>
        </is>
      </c>
      <c r="B211" s="1" t="n">
        <v>44217</v>
      </c>
      <c r="C211" s="1" t="n">
        <v>45473</v>
      </c>
      <c r="D211" t="inlineStr">
        <is>
          <t>DALARNAS LÄN</t>
        </is>
      </c>
      <c r="E211" t="inlineStr">
        <is>
          <t>LUDVIKA</t>
        </is>
      </c>
      <c r="G211" t="n">
        <v>2.1</v>
      </c>
      <c r="H211" t="n">
        <v>0</v>
      </c>
      <c r="I211" t="n">
        <v>0</v>
      </c>
      <c r="J211" t="n">
        <v>0</v>
      </c>
      <c r="K211" t="n">
        <v>0</v>
      </c>
      <c r="L211" t="n">
        <v>0</v>
      </c>
      <c r="M211" t="n">
        <v>0</v>
      </c>
      <c r="N211" t="n">
        <v>0</v>
      </c>
      <c r="O211" t="n">
        <v>0</v>
      </c>
      <c r="P211" t="n">
        <v>0</v>
      </c>
      <c r="Q211" t="n">
        <v>0</v>
      </c>
      <c r="R211" s="2" t="inlineStr"/>
    </row>
    <row r="212" ht="15" customHeight="1">
      <c r="A212" t="inlineStr">
        <is>
          <t>A 3403-2021</t>
        </is>
      </c>
      <c r="B212" s="1" t="n">
        <v>44218</v>
      </c>
      <c r="C212" s="1" t="n">
        <v>45473</v>
      </c>
      <c r="D212" t="inlineStr">
        <is>
          <t>DALARNAS LÄN</t>
        </is>
      </c>
      <c r="E212" t="inlineStr">
        <is>
          <t>LUDVIKA</t>
        </is>
      </c>
      <c r="F212" t="inlineStr">
        <is>
          <t>Bergvik skog väst AB</t>
        </is>
      </c>
      <c r="G212" t="n">
        <v>0.3</v>
      </c>
      <c r="H212" t="n">
        <v>0</v>
      </c>
      <c r="I212" t="n">
        <v>0</v>
      </c>
      <c r="J212" t="n">
        <v>0</v>
      </c>
      <c r="K212" t="n">
        <v>0</v>
      </c>
      <c r="L212" t="n">
        <v>0</v>
      </c>
      <c r="M212" t="n">
        <v>0</v>
      </c>
      <c r="N212" t="n">
        <v>0</v>
      </c>
      <c r="O212" t="n">
        <v>0</v>
      </c>
      <c r="P212" t="n">
        <v>0</v>
      </c>
      <c r="Q212" t="n">
        <v>0</v>
      </c>
      <c r="R212" s="2" t="inlineStr"/>
    </row>
    <row r="213" ht="15" customHeight="1">
      <c r="A213" t="inlineStr">
        <is>
          <t>A 4569-2021</t>
        </is>
      </c>
      <c r="B213" s="1" t="n">
        <v>44224</v>
      </c>
      <c r="C213" s="1" t="n">
        <v>45473</v>
      </c>
      <c r="D213" t="inlineStr">
        <is>
          <t>DALARNAS LÄN</t>
        </is>
      </c>
      <c r="E213" t="inlineStr">
        <is>
          <t>LUDVIKA</t>
        </is>
      </c>
      <c r="F213" t="inlineStr">
        <is>
          <t>Kommuner</t>
        </is>
      </c>
      <c r="G213" t="n">
        <v>2.7</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45473</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8321-2021</t>
        </is>
      </c>
      <c r="B215" s="1" t="n">
        <v>44244</v>
      </c>
      <c r="C215" s="1" t="n">
        <v>45473</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8319-2021</t>
        </is>
      </c>
      <c r="B216" s="1" t="n">
        <v>44244</v>
      </c>
      <c r="C216" s="1" t="n">
        <v>45473</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9292-2021</t>
        </is>
      </c>
      <c r="B217" s="1" t="n">
        <v>44249</v>
      </c>
      <c r="C217" s="1" t="n">
        <v>45473</v>
      </c>
      <c r="D217" t="inlineStr">
        <is>
          <t>DALARNAS LÄN</t>
        </is>
      </c>
      <c r="E217" t="inlineStr">
        <is>
          <t>LUDVIKA</t>
        </is>
      </c>
      <c r="G217" t="n">
        <v>5.1</v>
      </c>
      <c r="H217" t="n">
        <v>0</v>
      </c>
      <c r="I217" t="n">
        <v>0</v>
      </c>
      <c r="J217" t="n">
        <v>0</v>
      </c>
      <c r="K217" t="n">
        <v>0</v>
      </c>
      <c r="L217" t="n">
        <v>0</v>
      </c>
      <c r="M217" t="n">
        <v>0</v>
      </c>
      <c r="N217" t="n">
        <v>0</v>
      </c>
      <c r="O217" t="n">
        <v>0</v>
      </c>
      <c r="P217" t="n">
        <v>0</v>
      </c>
      <c r="Q217" t="n">
        <v>0</v>
      </c>
      <c r="R217" s="2" t="inlineStr"/>
    </row>
    <row r="218" ht="15" customHeight="1">
      <c r="A218" t="inlineStr">
        <is>
          <t>A 11611-2021</t>
        </is>
      </c>
      <c r="B218" s="1" t="n">
        <v>44264</v>
      </c>
      <c r="C218" s="1" t="n">
        <v>45473</v>
      </c>
      <c r="D218" t="inlineStr">
        <is>
          <t>DALARNAS LÄN</t>
        </is>
      </c>
      <c r="E218" t="inlineStr">
        <is>
          <t>LUDVIKA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13778-2021</t>
        </is>
      </c>
      <c r="B219" s="1" t="n">
        <v>44274</v>
      </c>
      <c r="C219" s="1" t="n">
        <v>45473</v>
      </c>
      <c r="D219" t="inlineStr">
        <is>
          <t>DALARNAS LÄN</t>
        </is>
      </c>
      <c r="E219" t="inlineStr">
        <is>
          <t>LUDVIKA</t>
        </is>
      </c>
      <c r="G219" t="n">
        <v>5.8</v>
      </c>
      <c r="H219" t="n">
        <v>0</v>
      </c>
      <c r="I219" t="n">
        <v>0</v>
      </c>
      <c r="J219" t="n">
        <v>0</v>
      </c>
      <c r="K219" t="n">
        <v>0</v>
      </c>
      <c r="L219" t="n">
        <v>0</v>
      </c>
      <c r="M219" t="n">
        <v>0</v>
      </c>
      <c r="N219" t="n">
        <v>0</v>
      </c>
      <c r="O219" t="n">
        <v>0</v>
      </c>
      <c r="P219" t="n">
        <v>0</v>
      </c>
      <c r="Q219" t="n">
        <v>0</v>
      </c>
      <c r="R219" s="2" t="inlineStr"/>
    </row>
    <row r="220" ht="15" customHeight="1">
      <c r="A220" t="inlineStr">
        <is>
          <t>A 15020-2021</t>
        </is>
      </c>
      <c r="B220" s="1" t="n">
        <v>44281</v>
      </c>
      <c r="C220" s="1" t="n">
        <v>45473</v>
      </c>
      <c r="D220" t="inlineStr">
        <is>
          <t>DALARNAS LÄN</t>
        </is>
      </c>
      <c r="E220" t="inlineStr">
        <is>
          <t>LUDVIKA</t>
        </is>
      </c>
      <c r="F220" t="inlineStr">
        <is>
          <t>Bergvik skog väst AB</t>
        </is>
      </c>
      <c r="G220" t="n">
        <v>0.4</v>
      </c>
      <c r="H220" t="n">
        <v>0</v>
      </c>
      <c r="I220" t="n">
        <v>0</v>
      </c>
      <c r="J220" t="n">
        <v>0</v>
      </c>
      <c r="K220" t="n">
        <v>0</v>
      </c>
      <c r="L220" t="n">
        <v>0</v>
      </c>
      <c r="M220" t="n">
        <v>0</v>
      </c>
      <c r="N220" t="n">
        <v>0</v>
      </c>
      <c r="O220" t="n">
        <v>0</v>
      </c>
      <c r="P220" t="n">
        <v>0</v>
      </c>
      <c r="Q220" t="n">
        <v>0</v>
      </c>
      <c r="R220" s="2" t="inlineStr"/>
    </row>
    <row r="221" ht="15" customHeight="1">
      <c r="A221" t="inlineStr">
        <is>
          <t>A 15700-2021</t>
        </is>
      </c>
      <c r="B221" s="1" t="n">
        <v>44286</v>
      </c>
      <c r="C221" s="1" t="n">
        <v>45473</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16108-2021</t>
        </is>
      </c>
      <c r="B222" s="1" t="n">
        <v>44291</v>
      </c>
      <c r="C222" s="1" t="n">
        <v>45473</v>
      </c>
      <c r="D222" t="inlineStr">
        <is>
          <t>DALARNAS LÄN</t>
        </is>
      </c>
      <c r="E222" t="inlineStr">
        <is>
          <t>LUDVIKA</t>
        </is>
      </c>
      <c r="G222" t="n">
        <v>2.9</v>
      </c>
      <c r="H222" t="n">
        <v>0</v>
      </c>
      <c r="I222" t="n">
        <v>0</v>
      </c>
      <c r="J222" t="n">
        <v>0</v>
      </c>
      <c r="K222" t="n">
        <v>0</v>
      </c>
      <c r="L222" t="n">
        <v>0</v>
      </c>
      <c r="M222" t="n">
        <v>0</v>
      </c>
      <c r="N222" t="n">
        <v>0</v>
      </c>
      <c r="O222" t="n">
        <v>0</v>
      </c>
      <c r="P222" t="n">
        <v>0</v>
      </c>
      <c r="Q222" t="n">
        <v>0</v>
      </c>
      <c r="R222" s="2" t="inlineStr"/>
    </row>
    <row r="223" ht="15" customHeight="1">
      <c r="A223" t="inlineStr">
        <is>
          <t>A 16187-2021</t>
        </is>
      </c>
      <c r="B223" s="1" t="n">
        <v>44292</v>
      </c>
      <c r="C223" s="1" t="n">
        <v>45473</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16203-2021</t>
        </is>
      </c>
      <c r="B224" s="1" t="n">
        <v>44292</v>
      </c>
      <c r="C224" s="1" t="n">
        <v>45473</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17420-2021</t>
        </is>
      </c>
      <c r="B225" s="1" t="n">
        <v>44299</v>
      </c>
      <c r="C225" s="1" t="n">
        <v>45473</v>
      </c>
      <c r="D225" t="inlineStr">
        <is>
          <t>DALARNAS LÄN</t>
        </is>
      </c>
      <c r="E225" t="inlineStr">
        <is>
          <t>LUDVIKA</t>
        </is>
      </c>
      <c r="G225" t="n">
        <v>5.8</v>
      </c>
      <c r="H225" t="n">
        <v>0</v>
      </c>
      <c r="I225" t="n">
        <v>0</v>
      </c>
      <c r="J225" t="n">
        <v>0</v>
      </c>
      <c r="K225" t="n">
        <v>0</v>
      </c>
      <c r="L225" t="n">
        <v>0</v>
      </c>
      <c r="M225" t="n">
        <v>0</v>
      </c>
      <c r="N225" t="n">
        <v>0</v>
      </c>
      <c r="O225" t="n">
        <v>0</v>
      </c>
      <c r="P225" t="n">
        <v>0</v>
      </c>
      <c r="Q225" t="n">
        <v>0</v>
      </c>
      <c r="R225" s="2" t="inlineStr"/>
    </row>
    <row r="226" ht="15" customHeight="1">
      <c r="A226" t="inlineStr">
        <is>
          <t>A 18025-2021</t>
        </is>
      </c>
      <c r="B226" s="1" t="n">
        <v>44302</v>
      </c>
      <c r="C226" s="1" t="n">
        <v>45473</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20598-2021</t>
        </is>
      </c>
      <c r="B227" s="1" t="n">
        <v>44316</v>
      </c>
      <c r="C227" s="1" t="n">
        <v>45473</v>
      </c>
      <c r="D227" t="inlineStr">
        <is>
          <t>DALARNAS LÄN</t>
        </is>
      </c>
      <c r="E227" t="inlineStr">
        <is>
          <t>LUDVIKA</t>
        </is>
      </c>
      <c r="F227" t="inlineStr">
        <is>
          <t>Naturvårdsverket</t>
        </is>
      </c>
      <c r="G227" t="n">
        <v>2.4</v>
      </c>
      <c r="H227" t="n">
        <v>0</v>
      </c>
      <c r="I227" t="n">
        <v>0</v>
      </c>
      <c r="J227" t="n">
        <v>0</v>
      </c>
      <c r="K227" t="n">
        <v>0</v>
      </c>
      <c r="L227" t="n">
        <v>0</v>
      </c>
      <c r="M227" t="n">
        <v>0</v>
      </c>
      <c r="N227" t="n">
        <v>0</v>
      </c>
      <c r="O227" t="n">
        <v>0</v>
      </c>
      <c r="P227" t="n">
        <v>0</v>
      </c>
      <c r="Q227" t="n">
        <v>0</v>
      </c>
      <c r="R227" s="2" t="inlineStr"/>
    </row>
    <row r="228" ht="15" customHeight="1">
      <c r="A228" t="inlineStr">
        <is>
          <t>A 20599-2021</t>
        </is>
      </c>
      <c r="B228" s="1" t="n">
        <v>44316</v>
      </c>
      <c r="C228" s="1" t="n">
        <v>45473</v>
      </c>
      <c r="D228" t="inlineStr">
        <is>
          <t>DALARNAS LÄN</t>
        </is>
      </c>
      <c r="E228" t="inlineStr">
        <is>
          <t>LUDVIKA</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20690-2021</t>
        </is>
      </c>
      <c r="B229" s="1" t="n">
        <v>44316</v>
      </c>
      <c r="C229" s="1" t="n">
        <v>45473</v>
      </c>
      <c r="D229" t="inlineStr">
        <is>
          <t>DALARNAS LÄN</t>
        </is>
      </c>
      <c r="E229" t="inlineStr">
        <is>
          <t>LUDVIKA</t>
        </is>
      </c>
      <c r="F229" t="inlineStr">
        <is>
          <t>Naturvårdsverket</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20700-2021</t>
        </is>
      </c>
      <c r="B230" s="1" t="n">
        <v>44316</v>
      </c>
      <c r="C230" s="1" t="n">
        <v>45473</v>
      </c>
      <c r="D230" t="inlineStr">
        <is>
          <t>DALARNAS LÄN</t>
        </is>
      </c>
      <c r="E230" t="inlineStr">
        <is>
          <t>LUDVIKA</t>
        </is>
      </c>
      <c r="F230" t="inlineStr">
        <is>
          <t>Naturvårdsverket</t>
        </is>
      </c>
      <c r="G230" t="n">
        <v>2.5</v>
      </c>
      <c r="H230" t="n">
        <v>0</v>
      </c>
      <c r="I230" t="n">
        <v>0</v>
      </c>
      <c r="J230" t="n">
        <v>0</v>
      </c>
      <c r="K230" t="n">
        <v>0</v>
      </c>
      <c r="L230" t="n">
        <v>0</v>
      </c>
      <c r="M230" t="n">
        <v>0</v>
      </c>
      <c r="N230" t="n">
        <v>0</v>
      </c>
      <c r="O230" t="n">
        <v>0</v>
      </c>
      <c r="P230" t="n">
        <v>0</v>
      </c>
      <c r="Q230" t="n">
        <v>0</v>
      </c>
      <c r="R230" s="2" t="inlineStr"/>
    </row>
    <row r="231" ht="15" customHeight="1">
      <c r="A231" t="inlineStr">
        <is>
          <t>A 20596-2021</t>
        </is>
      </c>
      <c r="B231" s="1" t="n">
        <v>44316</v>
      </c>
      <c r="C231" s="1" t="n">
        <v>45473</v>
      </c>
      <c r="D231" t="inlineStr">
        <is>
          <t>DALARNAS LÄN</t>
        </is>
      </c>
      <c r="E231" t="inlineStr">
        <is>
          <t>LUDVIKA</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21712-2021</t>
        </is>
      </c>
      <c r="B232" s="1" t="n">
        <v>44322</v>
      </c>
      <c r="C232" s="1" t="n">
        <v>45473</v>
      </c>
      <c r="D232" t="inlineStr">
        <is>
          <t>DALARNAS LÄN</t>
        </is>
      </c>
      <c r="E232" t="inlineStr">
        <is>
          <t>LUDVIKA</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21716-2021</t>
        </is>
      </c>
      <c r="B233" s="1" t="n">
        <v>44322</v>
      </c>
      <c r="C233" s="1" t="n">
        <v>45473</v>
      </c>
      <c r="D233" t="inlineStr">
        <is>
          <t>DALARNAS LÄN</t>
        </is>
      </c>
      <c r="E233" t="inlineStr">
        <is>
          <t>LUDVIKA</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21887-2021</t>
        </is>
      </c>
      <c r="B234" s="1" t="n">
        <v>44322</v>
      </c>
      <c r="C234" s="1" t="n">
        <v>45473</v>
      </c>
      <c r="D234" t="inlineStr">
        <is>
          <t>DALARNAS LÄN</t>
        </is>
      </c>
      <c r="E234" t="inlineStr">
        <is>
          <t>LUDVIKA</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23101-2021</t>
        </is>
      </c>
      <c r="B235" s="1" t="n">
        <v>44330</v>
      </c>
      <c r="C235" s="1" t="n">
        <v>45473</v>
      </c>
      <c r="D235" t="inlineStr">
        <is>
          <t>DALARNAS LÄN</t>
        </is>
      </c>
      <c r="E235" t="inlineStr">
        <is>
          <t>LUDVIKA</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23245-2021</t>
        </is>
      </c>
      <c r="B236" s="1" t="n">
        <v>44333</v>
      </c>
      <c r="C236" s="1" t="n">
        <v>45473</v>
      </c>
      <c r="D236" t="inlineStr">
        <is>
          <t>DALARNAS LÄN</t>
        </is>
      </c>
      <c r="E236" t="inlineStr">
        <is>
          <t>LUDVIKA</t>
        </is>
      </c>
      <c r="F236" t="inlineStr">
        <is>
          <t>Kyrkan</t>
        </is>
      </c>
      <c r="G236" t="n">
        <v>3.2</v>
      </c>
      <c r="H236" t="n">
        <v>0</v>
      </c>
      <c r="I236" t="n">
        <v>0</v>
      </c>
      <c r="J236" t="n">
        <v>0</v>
      </c>
      <c r="K236" t="n">
        <v>0</v>
      </c>
      <c r="L236" t="n">
        <v>0</v>
      </c>
      <c r="M236" t="n">
        <v>0</v>
      </c>
      <c r="N236" t="n">
        <v>0</v>
      </c>
      <c r="O236" t="n">
        <v>0</v>
      </c>
      <c r="P236" t="n">
        <v>0</v>
      </c>
      <c r="Q236" t="n">
        <v>0</v>
      </c>
      <c r="R236" s="2" t="inlineStr"/>
    </row>
    <row r="237" ht="15" customHeight="1">
      <c r="A237" t="inlineStr">
        <is>
          <t>A 23271-2021</t>
        </is>
      </c>
      <c r="B237" s="1" t="n">
        <v>44333</v>
      </c>
      <c r="C237" s="1" t="n">
        <v>45473</v>
      </c>
      <c r="D237" t="inlineStr">
        <is>
          <t>DALARNAS LÄN</t>
        </is>
      </c>
      <c r="E237" t="inlineStr">
        <is>
          <t>LUDVIKA</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24033-2021</t>
        </is>
      </c>
      <c r="B238" s="1" t="n">
        <v>44336</v>
      </c>
      <c r="C238" s="1" t="n">
        <v>45473</v>
      </c>
      <c r="D238" t="inlineStr">
        <is>
          <t>DALARNAS LÄN</t>
        </is>
      </c>
      <c r="E238" t="inlineStr">
        <is>
          <t>LUDVIKA</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24080-2021</t>
        </is>
      </c>
      <c r="B239" s="1" t="n">
        <v>44336</v>
      </c>
      <c r="C239" s="1" t="n">
        <v>45473</v>
      </c>
      <c r="D239" t="inlineStr">
        <is>
          <t>DALARNAS LÄN</t>
        </is>
      </c>
      <c r="E239" t="inlineStr">
        <is>
          <t>LUDVIKA</t>
        </is>
      </c>
      <c r="G239" t="n">
        <v>0.7</v>
      </c>
      <c r="H239" t="n">
        <v>0</v>
      </c>
      <c r="I239" t="n">
        <v>0</v>
      </c>
      <c r="J239" t="n">
        <v>0</v>
      </c>
      <c r="K239" t="n">
        <v>0</v>
      </c>
      <c r="L239" t="n">
        <v>0</v>
      </c>
      <c r="M239" t="n">
        <v>0</v>
      </c>
      <c r="N239" t="n">
        <v>0</v>
      </c>
      <c r="O239" t="n">
        <v>0</v>
      </c>
      <c r="P239" t="n">
        <v>0</v>
      </c>
      <c r="Q239" t="n">
        <v>0</v>
      </c>
      <c r="R239" s="2" t="inlineStr"/>
    </row>
    <row r="240" ht="15" customHeight="1">
      <c r="A240" t="inlineStr">
        <is>
          <t>A 24469-2021</t>
        </is>
      </c>
      <c r="B240" s="1" t="n">
        <v>44337</v>
      </c>
      <c r="C240" s="1" t="n">
        <v>45473</v>
      </c>
      <c r="D240" t="inlineStr">
        <is>
          <t>DALARNAS LÄN</t>
        </is>
      </c>
      <c r="E240" t="inlineStr">
        <is>
          <t>LUDVIKA</t>
        </is>
      </c>
      <c r="F240" t="inlineStr">
        <is>
          <t>Bergvik skog väst AB</t>
        </is>
      </c>
      <c r="G240" t="n">
        <v>6.9</v>
      </c>
      <c r="H240" t="n">
        <v>0</v>
      </c>
      <c r="I240" t="n">
        <v>0</v>
      </c>
      <c r="J240" t="n">
        <v>0</v>
      </c>
      <c r="K240" t="n">
        <v>0</v>
      </c>
      <c r="L240" t="n">
        <v>0</v>
      </c>
      <c r="M240" t="n">
        <v>0</v>
      </c>
      <c r="N240" t="n">
        <v>0</v>
      </c>
      <c r="O240" t="n">
        <v>0</v>
      </c>
      <c r="P240" t="n">
        <v>0</v>
      </c>
      <c r="Q240" t="n">
        <v>0</v>
      </c>
      <c r="R240" s="2" t="inlineStr"/>
    </row>
    <row r="241" ht="15" customHeight="1">
      <c r="A241" t="inlineStr">
        <is>
          <t>A 24906-2021</t>
        </is>
      </c>
      <c r="B241" s="1" t="n">
        <v>44341</v>
      </c>
      <c r="C241" s="1" t="n">
        <v>45473</v>
      </c>
      <c r="D241" t="inlineStr">
        <is>
          <t>DALARNAS LÄN</t>
        </is>
      </c>
      <c r="E241" t="inlineStr">
        <is>
          <t>LUDVIKA</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26066-2021</t>
        </is>
      </c>
      <c r="B242" s="1" t="n">
        <v>44344</v>
      </c>
      <c r="C242" s="1" t="n">
        <v>45473</v>
      </c>
      <c r="D242" t="inlineStr">
        <is>
          <t>DALARNAS LÄN</t>
        </is>
      </c>
      <c r="E242" t="inlineStr">
        <is>
          <t>LUDVIKA</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26054-2021</t>
        </is>
      </c>
      <c r="B243" s="1" t="n">
        <v>44344</v>
      </c>
      <c r="C243" s="1" t="n">
        <v>45473</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29000-2021</t>
        </is>
      </c>
      <c r="B244" s="1" t="n">
        <v>44358</v>
      </c>
      <c r="C244" s="1" t="n">
        <v>45473</v>
      </c>
      <c r="D244" t="inlineStr">
        <is>
          <t>DALARNAS LÄN</t>
        </is>
      </c>
      <c r="E244" t="inlineStr">
        <is>
          <t>LUDVIKA</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29789-2021</t>
        </is>
      </c>
      <c r="B245" s="1" t="n">
        <v>44362</v>
      </c>
      <c r="C245" s="1" t="n">
        <v>45473</v>
      </c>
      <c r="D245" t="inlineStr">
        <is>
          <t>DALARNAS LÄN</t>
        </is>
      </c>
      <c r="E245" t="inlineStr">
        <is>
          <t>LUDVIKA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v>
      </c>
      <c r="C246" s="1" t="n">
        <v>45473</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31086-2021</t>
        </is>
      </c>
      <c r="B247" s="1" t="n">
        <v>44368</v>
      </c>
      <c r="C247" s="1" t="n">
        <v>45473</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31465-2021</t>
        </is>
      </c>
      <c r="B248" s="1" t="n">
        <v>44369</v>
      </c>
      <c r="C248" s="1" t="n">
        <v>45473</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31550-2021</t>
        </is>
      </c>
      <c r="B249" s="1" t="n">
        <v>44369</v>
      </c>
      <c r="C249" s="1" t="n">
        <v>45473</v>
      </c>
      <c r="D249" t="inlineStr">
        <is>
          <t>DALARNAS LÄN</t>
        </is>
      </c>
      <c r="E249" t="inlineStr">
        <is>
          <t>LUDVIKA</t>
        </is>
      </c>
      <c r="G249" t="n">
        <v>2.8</v>
      </c>
      <c r="H249" t="n">
        <v>0</v>
      </c>
      <c r="I249" t="n">
        <v>0</v>
      </c>
      <c r="J249" t="n">
        <v>0</v>
      </c>
      <c r="K249" t="n">
        <v>0</v>
      </c>
      <c r="L249" t="n">
        <v>0</v>
      </c>
      <c r="M249" t="n">
        <v>0</v>
      </c>
      <c r="N249" t="n">
        <v>0</v>
      </c>
      <c r="O249" t="n">
        <v>0</v>
      </c>
      <c r="P249" t="n">
        <v>0</v>
      </c>
      <c r="Q249" t="n">
        <v>0</v>
      </c>
      <c r="R249" s="2" t="inlineStr"/>
    </row>
    <row r="250" ht="15" customHeight="1">
      <c r="A250" t="inlineStr">
        <is>
          <t>A 31921-2021</t>
        </is>
      </c>
      <c r="B250" s="1" t="n">
        <v>44370</v>
      </c>
      <c r="C250" s="1" t="n">
        <v>45473</v>
      </c>
      <c r="D250" t="inlineStr">
        <is>
          <t>DALARNAS LÄN</t>
        </is>
      </c>
      <c r="E250" t="inlineStr">
        <is>
          <t>LUDVIKA</t>
        </is>
      </c>
      <c r="F250" t="inlineStr">
        <is>
          <t>Övriga Aktiebolag</t>
        </is>
      </c>
      <c r="G250" t="n">
        <v>0.5</v>
      </c>
      <c r="H250" t="n">
        <v>0</v>
      </c>
      <c r="I250" t="n">
        <v>0</v>
      </c>
      <c r="J250" t="n">
        <v>0</v>
      </c>
      <c r="K250" t="n">
        <v>0</v>
      </c>
      <c r="L250" t="n">
        <v>0</v>
      </c>
      <c r="M250" t="n">
        <v>0</v>
      </c>
      <c r="N250" t="n">
        <v>0</v>
      </c>
      <c r="O250" t="n">
        <v>0</v>
      </c>
      <c r="P250" t="n">
        <v>0</v>
      </c>
      <c r="Q250" t="n">
        <v>0</v>
      </c>
      <c r="R250" s="2" t="inlineStr"/>
    </row>
    <row r="251" ht="15" customHeight="1">
      <c r="A251" t="inlineStr">
        <is>
          <t>A 31925-2021</t>
        </is>
      </c>
      <c r="B251" s="1" t="n">
        <v>44370</v>
      </c>
      <c r="C251" s="1" t="n">
        <v>45473</v>
      </c>
      <c r="D251" t="inlineStr">
        <is>
          <t>DALARNAS LÄN</t>
        </is>
      </c>
      <c r="E251" t="inlineStr">
        <is>
          <t>LUDVIKA</t>
        </is>
      </c>
      <c r="F251" t="inlineStr">
        <is>
          <t>Övriga Aktiebolag</t>
        </is>
      </c>
      <c r="G251" t="n">
        <v>3.2</v>
      </c>
      <c r="H251" t="n">
        <v>0</v>
      </c>
      <c r="I251" t="n">
        <v>0</v>
      </c>
      <c r="J251" t="n">
        <v>0</v>
      </c>
      <c r="K251" t="n">
        <v>0</v>
      </c>
      <c r="L251" t="n">
        <v>0</v>
      </c>
      <c r="M251" t="n">
        <v>0</v>
      </c>
      <c r="N251" t="n">
        <v>0</v>
      </c>
      <c r="O251" t="n">
        <v>0</v>
      </c>
      <c r="P251" t="n">
        <v>0</v>
      </c>
      <c r="Q251" t="n">
        <v>0</v>
      </c>
      <c r="R251" s="2" t="inlineStr"/>
    </row>
    <row r="252" ht="15" customHeight="1">
      <c r="A252" t="inlineStr">
        <is>
          <t>A 32015-2021</t>
        </is>
      </c>
      <c r="B252" s="1" t="n">
        <v>44370</v>
      </c>
      <c r="C252" s="1" t="n">
        <v>45473</v>
      </c>
      <c r="D252" t="inlineStr">
        <is>
          <t>DALARNAS LÄN</t>
        </is>
      </c>
      <c r="E252" t="inlineStr">
        <is>
          <t>LUDVIKA</t>
        </is>
      </c>
      <c r="G252" t="n">
        <v>1.6</v>
      </c>
      <c r="H252" t="n">
        <v>0</v>
      </c>
      <c r="I252" t="n">
        <v>0</v>
      </c>
      <c r="J252" t="n">
        <v>0</v>
      </c>
      <c r="K252" t="n">
        <v>0</v>
      </c>
      <c r="L252" t="n">
        <v>0</v>
      </c>
      <c r="M252" t="n">
        <v>0</v>
      </c>
      <c r="N252" t="n">
        <v>0</v>
      </c>
      <c r="O252" t="n">
        <v>0</v>
      </c>
      <c r="P252" t="n">
        <v>0</v>
      </c>
      <c r="Q252" t="n">
        <v>0</v>
      </c>
      <c r="R252" s="2" t="inlineStr"/>
    </row>
    <row r="253" ht="15" customHeight="1">
      <c r="A253" t="inlineStr">
        <is>
          <t>A 32054-2021</t>
        </is>
      </c>
      <c r="B253" s="1" t="n">
        <v>44370</v>
      </c>
      <c r="C253" s="1" t="n">
        <v>45473</v>
      </c>
      <c r="D253" t="inlineStr">
        <is>
          <t>DALARNAS LÄN</t>
        </is>
      </c>
      <c r="E253" t="inlineStr">
        <is>
          <t>LUDVIKA</t>
        </is>
      </c>
      <c r="G253" t="n">
        <v>28.7</v>
      </c>
      <c r="H253" t="n">
        <v>0</v>
      </c>
      <c r="I253" t="n">
        <v>0</v>
      </c>
      <c r="J253" t="n">
        <v>0</v>
      </c>
      <c r="K253" t="n">
        <v>0</v>
      </c>
      <c r="L253" t="n">
        <v>0</v>
      </c>
      <c r="M253" t="n">
        <v>0</v>
      </c>
      <c r="N253" t="n">
        <v>0</v>
      </c>
      <c r="O253" t="n">
        <v>0</v>
      </c>
      <c r="P253" t="n">
        <v>0</v>
      </c>
      <c r="Q253" t="n">
        <v>0</v>
      </c>
      <c r="R253" s="2" t="inlineStr"/>
    </row>
    <row r="254" ht="15" customHeight="1">
      <c r="A254" t="inlineStr">
        <is>
          <t>A 33032-2021</t>
        </is>
      </c>
      <c r="B254" s="1" t="n">
        <v>44376</v>
      </c>
      <c r="C254" s="1" t="n">
        <v>45473</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33416-2021</t>
        </is>
      </c>
      <c r="B255" s="1" t="n">
        <v>44377</v>
      </c>
      <c r="C255" s="1" t="n">
        <v>45473</v>
      </c>
      <c r="D255" t="inlineStr">
        <is>
          <t>DALARNAS LÄN</t>
        </is>
      </c>
      <c r="E255" t="inlineStr">
        <is>
          <t>LUDVIKA</t>
        </is>
      </c>
      <c r="F255" t="inlineStr">
        <is>
          <t>Bergvik skog väst AB</t>
        </is>
      </c>
      <c r="G255" t="n">
        <v>8</v>
      </c>
      <c r="H255" t="n">
        <v>0</v>
      </c>
      <c r="I255" t="n">
        <v>0</v>
      </c>
      <c r="J255" t="n">
        <v>0</v>
      </c>
      <c r="K255" t="n">
        <v>0</v>
      </c>
      <c r="L255" t="n">
        <v>0</v>
      </c>
      <c r="M255" t="n">
        <v>0</v>
      </c>
      <c r="N255" t="n">
        <v>0</v>
      </c>
      <c r="O255" t="n">
        <v>0</v>
      </c>
      <c r="P255" t="n">
        <v>0</v>
      </c>
      <c r="Q255" t="n">
        <v>0</v>
      </c>
      <c r="R255" s="2" t="inlineStr"/>
    </row>
    <row r="256" ht="15" customHeight="1">
      <c r="A256" t="inlineStr">
        <is>
          <t>A 33505-2021</t>
        </is>
      </c>
      <c r="B256" s="1" t="n">
        <v>44377</v>
      </c>
      <c r="C256" s="1" t="n">
        <v>45473</v>
      </c>
      <c r="D256" t="inlineStr">
        <is>
          <t>DALARNAS LÄN</t>
        </is>
      </c>
      <c r="E256" t="inlineStr">
        <is>
          <t>LUDVIKA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35731-2021</t>
        </is>
      </c>
      <c r="B257" s="1" t="n">
        <v>44386</v>
      </c>
      <c r="C257" s="1" t="n">
        <v>45473</v>
      </c>
      <c r="D257" t="inlineStr">
        <is>
          <t>DALARNAS LÄN</t>
        </is>
      </c>
      <c r="E257" t="inlineStr">
        <is>
          <t>LUDVIKA</t>
        </is>
      </c>
      <c r="F257" t="inlineStr">
        <is>
          <t>Kyrkan</t>
        </is>
      </c>
      <c r="G257" t="n">
        <v>2.7</v>
      </c>
      <c r="H257" t="n">
        <v>0</v>
      </c>
      <c r="I257" t="n">
        <v>0</v>
      </c>
      <c r="J257" t="n">
        <v>0</v>
      </c>
      <c r="K257" t="n">
        <v>0</v>
      </c>
      <c r="L257" t="n">
        <v>0</v>
      </c>
      <c r="M257" t="n">
        <v>0</v>
      </c>
      <c r="N257" t="n">
        <v>0</v>
      </c>
      <c r="O257" t="n">
        <v>0</v>
      </c>
      <c r="P257" t="n">
        <v>0</v>
      </c>
      <c r="Q257" t="n">
        <v>0</v>
      </c>
      <c r="R257" s="2" t="inlineStr"/>
    </row>
    <row r="258" ht="15" customHeight="1">
      <c r="A258" t="inlineStr">
        <is>
          <t>A 35720-2021</t>
        </is>
      </c>
      <c r="B258" s="1" t="n">
        <v>44386</v>
      </c>
      <c r="C258" s="1" t="n">
        <v>45473</v>
      </c>
      <c r="D258" t="inlineStr">
        <is>
          <t>DALARNAS LÄN</t>
        </is>
      </c>
      <c r="E258" t="inlineStr">
        <is>
          <t>LUDVIKA</t>
        </is>
      </c>
      <c r="F258" t="inlineStr">
        <is>
          <t>Kyrkan</t>
        </is>
      </c>
      <c r="G258" t="n">
        <v>1.9</v>
      </c>
      <c r="H258" t="n">
        <v>0</v>
      </c>
      <c r="I258" t="n">
        <v>0</v>
      </c>
      <c r="J258" t="n">
        <v>0</v>
      </c>
      <c r="K258" t="n">
        <v>0</v>
      </c>
      <c r="L258" t="n">
        <v>0</v>
      </c>
      <c r="M258" t="n">
        <v>0</v>
      </c>
      <c r="N258" t="n">
        <v>0</v>
      </c>
      <c r="O258" t="n">
        <v>0</v>
      </c>
      <c r="P258" t="n">
        <v>0</v>
      </c>
      <c r="Q258" t="n">
        <v>0</v>
      </c>
      <c r="R258" s="2" t="inlineStr"/>
    </row>
    <row r="259" ht="15" customHeight="1">
      <c r="A259" t="inlineStr">
        <is>
          <t>A 35892-2021</t>
        </is>
      </c>
      <c r="B259" s="1" t="n">
        <v>44387</v>
      </c>
      <c r="C259" s="1" t="n">
        <v>45473</v>
      </c>
      <c r="D259" t="inlineStr">
        <is>
          <t>DALARNAS LÄN</t>
        </is>
      </c>
      <c r="E259" t="inlineStr">
        <is>
          <t>LUDVIKA</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36862-2021</t>
        </is>
      </c>
      <c r="B260" s="1" t="n">
        <v>44393</v>
      </c>
      <c r="C260" s="1" t="n">
        <v>45473</v>
      </c>
      <c r="D260" t="inlineStr">
        <is>
          <t>DALARNAS LÄN</t>
        </is>
      </c>
      <c r="E260" t="inlineStr">
        <is>
          <t>LUDVIKA</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37384-2021</t>
        </is>
      </c>
      <c r="B261" s="1" t="n">
        <v>44397</v>
      </c>
      <c r="C261" s="1" t="n">
        <v>45473</v>
      </c>
      <c r="D261" t="inlineStr">
        <is>
          <t>DALARNAS LÄN</t>
        </is>
      </c>
      <c r="E261" t="inlineStr">
        <is>
          <t>LUDVIKA</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38084-2021</t>
        </is>
      </c>
      <c r="B262" s="1" t="n">
        <v>44404</v>
      </c>
      <c r="C262" s="1" t="n">
        <v>45473</v>
      </c>
      <c r="D262" t="inlineStr">
        <is>
          <t>DALARNAS LÄN</t>
        </is>
      </c>
      <c r="E262" t="inlineStr">
        <is>
          <t>LUDVIKA</t>
        </is>
      </c>
      <c r="G262" t="n">
        <v>0.3</v>
      </c>
      <c r="H262" t="n">
        <v>0</v>
      </c>
      <c r="I262" t="n">
        <v>0</v>
      </c>
      <c r="J262" t="n">
        <v>0</v>
      </c>
      <c r="K262" t="n">
        <v>0</v>
      </c>
      <c r="L262" t="n">
        <v>0</v>
      </c>
      <c r="M262" t="n">
        <v>0</v>
      </c>
      <c r="N262" t="n">
        <v>0</v>
      </c>
      <c r="O262" t="n">
        <v>0</v>
      </c>
      <c r="P262" t="n">
        <v>0</v>
      </c>
      <c r="Q262" t="n">
        <v>0</v>
      </c>
      <c r="R262" s="2" t="inlineStr"/>
    </row>
    <row r="263" ht="15" customHeight="1">
      <c r="A263" t="inlineStr">
        <is>
          <t>A 38223-2021</t>
        </is>
      </c>
      <c r="B263" s="1" t="n">
        <v>44405</v>
      </c>
      <c r="C263" s="1" t="n">
        <v>45473</v>
      </c>
      <c r="D263" t="inlineStr">
        <is>
          <t>DALARNAS LÄN</t>
        </is>
      </c>
      <c r="E263" t="inlineStr">
        <is>
          <t>LUDVIKA</t>
        </is>
      </c>
      <c r="G263" t="n">
        <v>2.3</v>
      </c>
      <c r="H263" t="n">
        <v>0</v>
      </c>
      <c r="I263" t="n">
        <v>0</v>
      </c>
      <c r="J263" t="n">
        <v>0</v>
      </c>
      <c r="K263" t="n">
        <v>0</v>
      </c>
      <c r="L263" t="n">
        <v>0</v>
      </c>
      <c r="M263" t="n">
        <v>0</v>
      </c>
      <c r="N263" t="n">
        <v>0</v>
      </c>
      <c r="O263" t="n">
        <v>0</v>
      </c>
      <c r="P263" t="n">
        <v>0</v>
      </c>
      <c r="Q263" t="n">
        <v>0</v>
      </c>
      <c r="R263" s="2" t="inlineStr"/>
    </row>
    <row r="264" ht="15" customHeight="1">
      <c r="A264" t="inlineStr">
        <is>
          <t>A 38371-2021</t>
        </is>
      </c>
      <c r="B264" s="1" t="n">
        <v>44406</v>
      </c>
      <c r="C264" s="1" t="n">
        <v>45473</v>
      </c>
      <c r="D264" t="inlineStr">
        <is>
          <t>DALARNAS LÄN</t>
        </is>
      </c>
      <c r="E264" t="inlineStr">
        <is>
          <t>LUDVIKA</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39247-2021</t>
        </is>
      </c>
      <c r="B265" s="1" t="n">
        <v>44413</v>
      </c>
      <c r="C265" s="1" t="n">
        <v>45473</v>
      </c>
      <c r="D265" t="inlineStr">
        <is>
          <t>DALARNAS LÄN</t>
        </is>
      </c>
      <c r="E265" t="inlineStr">
        <is>
          <t>LUDVIKA</t>
        </is>
      </c>
      <c r="G265" t="n">
        <v>6</v>
      </c>
      <c r="H265" t="n">
        <v>0</v>
      </c>
      <c r="I265" t="n">
        <v>0</v>
      </c>
      <c r="J265" t="n">
        <v>0</v>
      </c>
      <c r="K265" t="n">
        <v>0</v>
      </c>
      <c r="L265" t="n">
        <v>0</v>
      </c>
      <c r="M265" t="n">
        <v>0</v>
      </c>
      <c r="N265" t="n">
        <v>0</v>
      </c>
      <c r="O265" t="n">
        <v>0</v>
      </c>
      <c r="P265" t="n">
        <v>0</v>
      </c>
      <c r="Q265" t="n">
        <v>0</v>
      </c>
      <c r="R265" s="2" t="inlineStr"/>
    </row>
    <row r="266" ht="15" customHeight="1">
      <c r="A266" t="inlineStr">
        <is>
          <t>A 40582-2021</t>
        </is>
      </c>
      <c r="B266" s="1" t="n">
        <v>44420</v>
      </c>
      <c r="C266" s="1" t="n">
        <v>45473</v>
      </c>
      <c r="D266" t="inlineStr">
        <is>
          <t>DALARNAS LÄN</t>
        </is>
      </c>
      <c r="E266" t="inlineStr">
        <is>
          <t>LUDVIKA</t>
        </is>
      </c>
      <c r="G266" t="n">
        <v>2.2</v>
      </c>
      <c r="H266" t="n">
        <v>0</v>
      </c>
      <c r="I266" t="n">
        <v>0</v>
      </c>
      <c r="J266" t="n">
        <v>0</v>
      </c>
      <c r="K266" t="n">
        <v>0</v>
      </c>
      <c r="L266" t="n">
        <v>0</v>
      </c>
      <c r="M266" t="n">
        <v>0</v>
      </c>
      <c r="N266" t="n">
        <v>0</v>
      </c>
      <c r="O266" t="n">
        <v>0</v>
      </c>
      <c r="P266" t="n">
        <v>0</v>
      </c>
      <c r="Q266" t="n">
        <v>0</v>
      </c>
      <c r="R266" s="2" t="inlineStr"/>
    </row>
    <row r="267" ht="15" customHeight="1">
      <c r="A267" t="inlineStr">
        <is>
          <t>A 43115-2021</t>
        </is>
      </c>
      <c r="B267" s="1" t="n">
        <v>44431</v>
      </c>
      <c r="C267" s="1" t="n">
        <v>45473</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43907-2021</t>
        </is>
      </c>
      <c r="B268" s="1" t="n">
        <v>44434</v>
      </c>
      <c r="C268" s="1" t="n">
        <v>45473</v>
      </c>
      <c r="D268" t="inlineStr">
        <is>
          <t>DALARNAS LÄN</t>
        </is>
      </c>
      <c r="E268" t="inlineStr">
        <is>
          <t>LUDVIKA</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44270-2021</t>
        </is>
      </c>
      <c r="B269" s="1" t="n">
        <v>44435</v>
      </c>
      <c r="C269" s="1" t="n">
        <v>45473</v>
      </c>
      <c r="D269" t="inlineStr">
        <is>
          <t>DALARNAS LÄN</t>
        </is>
      </c>
      <c r="E269" t="inlineStr">
        <is>
          <t>LUDVIKA</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44264-2021</t>
        </is>
      </c>
      <c r="B270" s="1" t="n">
        <v>44435</v>
      </c>
      <c r="C270" s="1" t="n">
        <v>45473</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45313-2021</t>
        </is>
      </c>
      <c r="B271" s="1" t="n">
        <v>44439</v>
      </c>
      <c r="C271" s="1" t="n">
        <v>45473</v>
      </c>
      <c r="D271" t="inlineStr">
        <is>
          <t>DALARNAS LÄN</t>
        </is>
      </c>
      <c r="E271" t="inlineStr">
        <is>
          <t>LUDVIKA</t>
        </is>
      </c>
      <c r="G271" t="n">
        <v>2.6</v>
      </c>
      <c r="H271" t="n">
        <v>0</v>
      </c>
      <c r="I271" t="n">
        <v>0</v>
      </c>
      <c r="J271" t="n">
        <v>0</v>
      </c>
      <c r="K271" t="n">
        <v>0</v>
      </c>
      <c r="L271" t="n">
        <v>0</v>
      </c>
      <c r="M271" t="n">
        <v>0</v>
      </c>
      <c r="N271" t="n">
        <v>0</v>
      </c>
      <c r="O271" t="n">
        <v>0</v>
      </c>
      <c r="P271" t="n">
        <v>0</v>
      </c>
      <c r="Q271" t="n">
        <v>0</v>
      </c>
      <c r="R271" s="2" t="inlineStr"/>
    </row>
    <row r="272" ht="15" customHeight="1">
      <c r="A272" t="inlineStr">
        <is>
          <t>A 45309-2021</t>
        </is>
      </c>
      <c r="B272" s="1" t="n">
        <v>44439</v>
      </c>
      <c r="C272" s="1" t="n">
        <v>45473</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45995-2021</t>
        </is>
      </c>
      <c r="B273" s="1" t="n">
        <v>44441</v>
      </c>
      <c r="C273" s="1" t="n">
        <v>45473</v>
      </c>
      <c r="D273" t="inlineStr">
        <is>
          <t>DALARNAS LÄN</t>
        </is>
      </c>
      <c r="E273" t="inlineStr">
        <is>
          <t>LUDVIKA</t>
        </is>
      </c>
      <c r="G273" t="n">
        <v>1.2</v>
      </c>
      <c r="H273" t="n">
        <v>0</v>
      </c>
      <c r="I273" t="n">
        <v>0</v>
      </c>
      <c r="J273" t="n">
        <v>0</v>
      </c>
      <c r="K273" t="n">
        <v>0</v>
      </c>
      <c r="L273" t="n">
        <v>0</v>
      </c>
      <c r="M273" t="n">
        <v>0</v>
      </c>
      <c r="N273" t="n">
        <v>0</v>
      </c>
      <c r="O273" t="n">
        <v>0</v>
      </c>
      <c r="P273" t="n">
        <v>0</v>
      </c>
      <c r="Q273" t="n">
        <v>0</v>
      </c>
      <c r="R273" s="2" t="inlineStr"/>
    </row>
    <row r="274" ht="15" customHeight="1">
      <c r="A274" t="inlineStr">
        <is>
          <t>A 47216-2021</t>
        </is>
      </c>
      <c r="B274" s="1" t="n">
        <v>44447</v>
      </c>
      <c r="C274" s="1" t="n">
        <v>45473</v>
      </c>
      <c r="D274" t="inlineStr">
        <is>
          <t>DALARNAS LÄN</t>
        </is>
      </c>
      <c r="E274" t="inlineStr">
        <is>
          <t>LUDVIKA</t>
        </is>
      </c>
      <c r="G274" t="n">
        <v>0.5</v>
      </c>
      <c r="H274" t="n">
        <v>0</v>
      </c>
      <c r="I274" t="n">
        <v>0</v>
      </c>
      <c r="J274" t="n">
        <v>0</v>
      </c>
      <c r="K274" t="n">
        <v>0</v>
      </c>
      <c r="L274" t="n">
        <v>0</v>
      </c>
      <c r="M274" t="n">
        <v>0</v>
      </c>
      <c r="N274" t="n">
        <v>0</v>
      </c>
      <c r="O274" t="n">
        <v>0</v>
      </c>
      <c r="P274" t="n">
        <v>0</v>
      </c>
      <c r="Q274" t="n">
        <v>0</v>
      </c>
      <c r="R274" s="2" t="inlineStr"/>
    </row>
    <row r="275" ht="15" customHeight="1">
      <c r="A275" t="inlineStr">
        <is>
          <t>A 48003-2021</t>
        </is>
      </c>
      <c r="B275" s="1" t="n">
        <v>44449</v>
      </c>
      <c r="C275" s="1" t="n">
        <v>45473</v>
      </c>
      <c r="D275" t="inlineStr">
        <is>
          <t>DALARNAS LÄN</t>
        </is>
      </c>
      <c r="E275" t="inlineStr">
        <is>
          <t>LUDVIKA</t>
        </is>
      </c>
      <c r="F275" t="inlineStr">
        <is>
          <t>Naturvårdsverket</t>
        </is>
      </c>
      <c r="G275" t="n">
        <v>0.8</v>
      </c>
      <c r="H275" t="n">
        <v>0</v>
      </c>
      <c r="I275" t="n">
        <v>0</v>
      </c>
      <c r="J275" t="n">
        <v>0</v>
      </c>
      <c r="K275" t="n">
        <v>0</v>
      </c>
      <c r="L275" t="n">
        <v>0</v>
      </c>
      <c r="M275" t="n">
        <v>0</v>
      </c>
      <c r="N275" t="n">
        <v>0</v>
      </c>
      <c r="O275" t="n">
        <v>0</v>
      </c>
      <c r="P275" t="n">
        <v>0</v>
      </c>
      <c r="Q275" t="n">
        <v>0</v>
      </c>
      <c r="R275" s="2" t="inlineStr"/>
    </row>
    <row r="276" ht="15" customHeight="1">
      <c r="A276" t="inlineStr">
        <is>
          <t>A 48580-2021</t>
        </is>
      </c>
      <c r="B276" s="1" t="n">
        <v>44452</v>
      </c>
      <c r="C276" s="1" t="n">
        <v>45473</v>
      </c>
      <c r="D276" t="inlineStr">
        <is>
          <t>DALARNAS LÄN</t>
        </is>
      </c>
      <c r="E276" t="inlineStr">
        <is>
          <t>LUDVIKA</t>
        </is>
      </c>
      <c r="G276" t="n">
        <v>1.3</v>
      </c>
      <c r="H276" t="n">
        <v>0</v>
      </c>
      <c r="I276" t="n">
        <v>0</v>
      </c>
      <c r="J276" t="n">
        <v>0</v>
      </c>
      <c r="K276" t="n">
        <v>0</v>
      </c>
      <c r="L276" t="n">
        <v>0</v>
      </c>
      <c r="M276" t="n">
        <v>0</v>
      </c>
      <c r="N276" t="n">
        <v>0</v>
      </c>
      <c r="O276" t="n">
        <v>0</v>
      </c>
      <c r="P276" t="n">
        <v>0</v>
      </c>
      <c r="Q276" t="n">
        <v>0</v>
      </c>
      <c r="R276" s="2" t="inlineStr"/>
    </row>
    <row r="277" ht="15" customHeight="1">
      <c r="A277" t="inlineStr">
        <is>
          <t>A 48942-2021</t>
        </is>
      </c>
      <c r="B277" s="1" t="n">
        <v>44453</v>
      </c>
      <c r="C277" s="1" t="n">
        <v>45473</v>
      </c>
      <c r="D277" t="inlineStr">
        <is>
          <t>DALARNAS LÄN</t>
        </is>
      </c>
      <c r="E277" t="inlineStr">
        <is>
          <t>LUDVIKA</t>
        </is>
      </c>
      <c r="F277" t="inlineStr">
        <is>
          <t>Naturvårdsverket</t>
        </is>
      </c>
      <c r="G277" t="n">
        <v>1.4</v>
      </c>
      <c r="H277" t="n">
        <v>0</v>
      </c>
      <c r="I277" t="n">
        <v>0</v>
      </c>
      <c r="J277" t="n">
        <v>0</v>
      </c>
      <c r="K277" t="n">
        <v>0</v>
      </c>
      <c r="L277" t="n">
        <v>0</v>
      </c>
      <c r="M277" t="n">
        <v>0</v>
      </c>
      <c r="N277" t="n">
        <v>0</v>
      </c>
      <c r="O277" t="n">
        <v>0</v>
      </c>
      <c r="P277" t="n">
        <v>0</v>
      </c>
      <c r="Q277" t="n">
        <v>0</v>
      </c>
      <c r="R277" s="2" t="inlineStr"/>
    </row>
    <row r="278" ht="15" customHeight="1">
      <c r="A278" t="inlineStr">
        <is>
          <t>A 50004-2021</t>
        </is>
      </c>
      <c r="B278" s="1" t="n">
        <v>44456</v>
      </c>
      <c r="C278" s="1" t="n">
        <v>45473</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49977-2021</t>
        </is>
      </c>
      <c r="B279" s="1" t="n">
        <v>44456</v>
      </c>
      <c r="C279" s="1" t="n">
        <v>45473</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50273-2021</t>
        </is>
      </c>
      <c r="B280" s="1" t="n">
        <v>44459</v>
      </c>
      <c r="C280" s="1" t="n">
        <v>45473</v>
      </c>
      <c r="D280" t="inlineStr">
        <is>
          <t>DALARNAS LÄN</t>
        </is>
      </c>
      <c r="E280" t="inlineStr">
        <is>
          <t>LUDVIKA</t>
        </is>
      </c>
      <c r="F280" t="inlineStr">
        <is>
          <t>Bergvik skog väst AB</t>
        </is>
      </c>
      <c r="G280" t="n">
        <v>0.8</v>
      </c>
      <c r="H280" t="n">
        <v>0</v>
      </c>
      <c r="I280" t="n">
        <v>0</v>
      </c>
      <c r="J280" t="n">
        <v>0</v>
      </c>
      <c r="K280" t="n">
        <v>0</v>
      </c>
      <c r="L280" t="n">
        <v>0</v>
      </c>
      <c r="M280" t="n">
        <v>0</v>
      </c>
      <c r="N280" t="n">
        <v>0</v>
      </c>
      <c r="O280" t="n">
        <v>0</v>
      </c>
      <c r="P280" t="n">
        <v>0</v>
      </c>
      <c r="Q280" t="n">
        <v>0</v>
      </c>
      <c r="R280" s="2" t="inlineStr"/>
    </row>
    <row r="281" ht="15" customHeight="1">
      <c r="A281" t="inlineStr">
        <is>
          <t>A 50347-2021</t>
        </is>
      </c>
      <c r="B281" s="1" t="n">
        <v>44459</v>
      </c>
      <c r="C281" s="1" t="n">
        <v>45473</v>
      </c>
      <c r="D281" t="inlineStr">
        <is>
          <t>DALARNAS LÄN</t>
        </is>
      </c>
      <c r="E281" t="inlineStr">
        <is>
          <t>LUDVIKA</t>
        </is>
      </c>
      <c r="G281" t="n">
        <v>1.1</v>
      </c>
      <c r="H281" t="n">
        <v>0</v>
      </c>
      <c r="I281" t="n">
        <v>0</v>
      </c>
      <c r="J281" t="n">
        <v>0</v>
      </c>
      <c r="K281" t="n">
        <v>0</v>
      </c>
      <c r="L281" t="n">
        <v>0</v>
      </c>
      <c r="M281" t="n">
        <v>0</v>
      </c>
      <c r="N281" t="n">
        <v>0</v>
      </c>
      <c r="O281" t="n">
        <v>0</v>
      </c>
      <c r="P281" t="n">
        <v>0</v>
      </c>
      <c r="Q281" t="n">
        <v>0</v>
      </c>
      <c r="R281" s="2" t="inlineStr"/>
    </row>
    <row r="282" ht="15" customHeight="1">
      <c r="A282" t="inlineStr">
        <is>
          <t>A 50995-2021</t>
        </is>
      </c>
      <c r="B282" s="1" t="n">
        <v>44460</v>
      </c>
      <c r="C282" s="1" t="n">
        <v>45473</v>
      </c>
      <c r="D282" t="inlineStr">
        <is>
          <t>DALARNAS LÄN</t>
        </is>
      </c>
      <c r="E282" t="inlineStr">
        <is>
          <t>LUDVIKA</t>
        </is>
      </c>
      <c r="G282" t="n">
        <v>0.9</v>
      </c>
      <c r="H282" t="n">
        <v>0</v>
      </c>
      <c r="I282" t="n">
        <v>0</v>
      </c>
      <c r="J282" t="n">
        <v>0</v>
      </c>
      <c r="K282" t="n">
        <v>0</v>
      </c>
      <c r="L282" t="n">
        <v>0</v>
      </c>
      <c r="M282" t="n">
        <v>0</v>
      </c>
      <c r="N282" t="n">
        <v>0</v>
      </c>
      <c r="O282" t="n">
        <v>0</v>
      </c>
      <c r="P282" t="n">
        <v>0</v>
      </c>
      <c r="Q282" t="n">
        <v>0</v>
      </c>
      <c r="R282" s="2" t="inlineStr"/>
    </row>
    <row r="283" ht="15" customHeight="1">
      <c r="A283" t="inlineStr">
        <is>
          <t>A 51485-2021</t>
        </is>
      </c>
      <c r="B283" s="1" t="n">
        <v>44462</v>
      </c>
      <c r="C283" s="1" t="n">
        <v>45473</v>
      </c>
      <c r="D283" t="inlineStr">
        <is>
          <t>DALARNAS LÄN</t>
        </is>
      </c>
      <c r="E283" t="inlineStr">
        <is>
          <t>LUDVIKA</t>
        </is>
      </c>
      <c r="F283" t="inlineStr">
        <is>
          <t>Bergvik skog väst AB</t>
        </is>
      </c>
      <c r="G283" t="n">
        <v>3.2</v>
      </c>
      <c r="H283" t="n">
        <v>0</v>
      </c>
      <c r="I283" t="n">
        <v>0</v>
      </c>
      <c r="J283" t="n">
        <v>0</v>
      </c>
      <c r="K283" t="n">
        <v>0</v>
      </c>
      <c r="L283" t="n">
        <v>0</v>
      </c>
      <c r="M283" t="n">
        <v>0</v>
      </c>
      <c r="N283" t="n">
        <v>0</v>
      </c>
      <c r="O283" t="n">
        <v>0</v>
      </c>
      <c r="P283" t="n">
        <v>0</v>
      </c>
      <c r="Q283" t="n">
        <v>0</v>
      </c>
      <c r="R283" s="2" t="inlineStr"/>
    </row>
    <row r="284" ht="15" customHeight="1">
      <c r="A284" t="inlineStr">
        <is>
          <t>A 54279-2021</t>
        </is>
      </c>
      <c r="B284" s="1" t="n">
        <v>44470</v>
      </c>
      <c r="C284" s="1" t="n">
        <v>45473</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55633-2021</t>
        </is>
      </c>
      <c r="B285" s="1" t="n">
        <v>44476</v>
      </c>
      <c r="C285" s="1" t="n">
        <v>45473</v>
      </c>
      <c r="D285" t="inlineStr">
        <is>
          <t>DALARNAS LÄN</t>
        </is>
      </c>
      <c r="E285" t="inlineStr">
        <is>
          <t>LUDVIKA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56113-2021</t>
        </is>
      </c>
      <c r="B286" s="1" t="n">
        <v>44477</v>
      </c>
      <c r="C286" s="1" t="n">
        <v>45473</v>
      </c>
      <c r="D286" t="inlineStr">
        <is>
          <t>DALARNAS LÄN</t>
        </is>
      </c>
      <c r="E286" t="inlineStr">
        <is>
          <t>LUDVIKA</t>
        </is>
      </c>
      <c r="F286" t="inlineStr">
        <is>
          <t>Bergvik skog väst AB</t>
        </is>
      </c>
      <c r="G286" t="n">
        <v>6.5</v>
      </c>
      <c r="H286" t="n">
        <v>0</v>
      </c>
      <c r="I286" t="n">
        <v>0</v>
      </c>
      <c r="J286" t="n">
        <v>0</v>
      </c>
      <c r="K286" t="n">
        <v>0</v>
      </c>
      <c r="L286" t="n">
        <v>0</v>
      </c>
      <c r="M286" t="n">
        <v>0</v>
      </c>
      <c r="N286" t="n">
        <v>0</v>
      </c>
      <c r="O286" t="n">
        <v>0</v>
      </c>
      <c r="P286" t="n">
        <v>0</v>
      </c>
      <c r="Q286" t="n">
        <v>0</v>
      </c>
      <c r="R286" s="2" t="inlineStr"/>
    </row>
    <row r="287" ht="15" customHeight="1">
      <c r="A287" t="inlineStr">
        <is>
          <t>A 56119-2021</t>
        </is>
      </c>
      <c r="B287" s="1" t="n">
        <v>44477</v>
      </c>
      <c r="C287" s="1" t="n">
        <v>45473</v>
      </c>
      <c r="D287" t="inlineStr">
        <is>
          <t>DALARNAS LÄN</t>
        </is>
      </c>
      <c r="E287" t="inlineStr">
        <is>
          <t>LUDVIKA</t>
        </is>
      </c>
      <c r="G287" t="n">
        <v>1.3</v>
      </c>
      <c r="H287" t="n">
        <v>0</v>
      </c>
      <c r="I287" t="n">
        <v>0</v>
      </c>
      <c r="J287" t="n">
        <v>0</v>
      </c>
      <c r="K287" t="n">
        <v>0</v>
      </c>
      <c r="L287" t="n">
        <v>0</v>
      </c>
      <c r="M287" t="n">
        <v>0</v>
      </c>
      <c r="N287" t="n">
        <v>0</v>
      </c>
      <c r="O287" t="n">
        <v>0</v>
      </c>
      <c r="P287" t="n">
        <v>0</v>
      </c>
      <c r="Q287" t="n">
        <v>0</v>
      </c>
      <c r="R287" s="2" t="inlineStr"/>
    </row>
    <row r="288" ht="15" customHeight="1">
      <c r="A288" t="inlineStr">
        <is>
          <t>A 56996-2021</t>
        </is>
      </c>
      <c r="B288" s="1" t="n">
        <v>44482</v>
      </c>
      <c r="C288" s="1" t="n">
        <v>45473</v>
      </c>
      <c r="D288" t="inlineStr">
        <is>
          <t>DALARNAS LÄN</t>
        </is>
      </c>
      <c r="E288" t="inlineStr">
        <is>
          <t>LUDVIKA</t>
        </is>
      </c>
      <c r="G288" t="n">
        <v>0.9</v>
      </c>
      <c r="H288" t="n">
        <v>0</v>
      </c>
      <c r="I288" t="n">
        <v>0</v>
      </c>
      <c r="J288" t="n">
        <v>0</v>
      </c>
      <c r="K288" t="n">
        <v>0</v>
      </c>
      <c r="L288" t="n">
        <v>0</v>
      </c>
      <c r="M288" t="n">
        <v>0</v>
      </c>
      <c r="N288" t="n">
        <v>0</v>
      </c>
      <c r="O288" t="n">
        <v>0</v>
      </c>
      <c r="P288" t="n">
        <v>0</v>
      </c>
      <c r="Q288" t="n">
        <v>0</v>
      </c>
      <c r="R288" s="2" t="inlineStr"/>
    </row>
    <row r="289" ht="15" customHeight="1">
      <c r="A289" t="inlineStr">
        <is>
          <t>A 57076-2021</t>
        </is>
      </c>
      <c r="B289" s="1" t="n">
        <v>44482</v>
      </c>
      <c r="C289" s="1" t="n">
        <v>45473</v>
      </c>
      <c r="D289" t="inlineStr">
        <is>
          <t>DALARNAS LÄN</t>
        </is>
      </c>
      <c r="E289" t="inlineStr">
        <is>
          <t>LUDVIKA</t>
        </is>
      </c>
      <c r="G289" t="n">
        <v>4.7</v>
      </c>
      <c r="H289" t="n">
        <v>0</v>
      </c>
      <c r="I289" t="n">
        <v>0</v>
      </c>
      <c r="J289" t="n">
        <v>0</v>
      </c>
      <c r="K289" t="n">
        <v>0</v>
      </c>
      <c r="L289" t="n">
        <v>0</v>
      </c>
      <c r="M289" t="n">
        <v>0</v>
      </c>
      <c r="N289" t="n">
        <v>0</v>
      </c>
      <c r="O289" t="n">
        <v>0</v>
      </c>
      <c r="P289" t="n">
        <v>0</v>
      </c>
      <c r="Q289" t="n">
        <v>0</v>
      </c>
      <c r="R289" s="2" t="inlineStr"/>
    </row>
    <row r="290" ht="15" customHeight="1">
      <c r="A290" t="inlineStr">
        <is>
          <t>A 57002-2021</t>
        </is>
      </c>
      <c r="B290" s="1" t="n">
        <v>44482</v>
      </c>
      <c r="C290" s="1" t="n">
        <v>45473</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62152-2021</t>
        </is>
      </c>
      <c r="B291" s="1" t="n">
        <v>44502</v>
      </c>
      <c r="C291" s="1" t="n">
        <v>45473</v>
      </c>
      <c r="D291" t="inlineStr">
        <is>
          <t>DALARNAS LÄN</t>
        </is>
      </c>
      <c r="E291" t="inlineStr">
        <is>
          <t>LUDVIKA</t>
        </is>
      </c>
      <c r="G291" t="n">
        <v>6.1</v>
      </c>
      <c r="H291" t="n">
        <v>0</v>
      </c>
      <c r="I291" t="n">
        <v>0</v>
      </c>
      <c r="J291" t="n">
        <v>0</v>
      </c>
      <c r="K291" t="n">
        <v>0</v>
      </c>
      <c r="L291" t="n">
        <v>0</v>
      </c>
      <c r="M291" t="n">
        <v>0</v>
      </c>
      <c r="N291" t="n">
        <v>0</v>
      </c>
      <c r="O291" t="n">
        <v>0</v>
      </c>
      <c r="P291" t="n">
        <v>0</v>
      </c>
      <c r="Q291" t="n">
        <v>0</v>
      </c>
      <c r="R291" s="2" t="inlineStr"/>
    </row>
    <row r="292" ht="15" customHeight="1">
      <c r="A292" t="inlineStr">
        <is>
          <t>A 62467-2021</t>
        </is>
      </c>
      <c r="B292" s="1" t="n">
        <v>44503</v>
      </c>
      <c r="C292" s="1" t="n">
        <v>45473</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63267-2021</t>
        </is>
      </c>
      <c r="B293" s="1" t="n">
        <v>44508</v>
      </c>
      <c r="C293" s="1" t="n">
        <v>45473</v>
      </c>
      <c r="D293" t="inlineStr">
        <is>
          <t>DALARNAS LÄN</t>
        </is>
      </c>
      <c r="E293" t="inlineStr">
        <is>
          <t>LUDVIKA</t>
        </is>
      </c>
      <c r="F293" t="inlineStr">
        <is>
          <t>Bergvik skog väst AB</t>
        </is>
      </c>
      <c r="G293" t="n">
        <v>0.2</v>
      </c>
      <c r="H293" t="n">
        <v>0</v>
      </c>
      <c r="I293" t="n">
        <v>0</v>
      </c>
      <c r="J293" t="n">
        <v>0</v>
      </c>
      <c r="K293" t="n">
        <v>0</v>
      </c>
      <c r="L293" t="n">
        <v>0</v>
      </c>
      <c r="M293" t="n">
        <v>0</v>
      </c>
      <c r="N293" t="n">
        <v>0</v>
      </c>
      <c r="O293" t="n">
        <v>0</v>
      </c>
      <c r="P293" t="n">
        <v>0</v>
      </c>
      <c r="Q293" t="n">
        <v>0</v>
      </c>
      <c r="R293" s="2" t="inlineStr"/>
    </row>
    <row r="294" ht="15" customHeight="1">
      <c r="A294" t="inlineStr">
        <is>
          <t>A 65195-2021</t>
        </is>
      </c>
      <c r="B294" s="1" t="n">
        <v>44515</v>
      </c>
      <c r="C294" s="1" t="n">
        <v>45473</v>
      </c>
      <c r="D294" t="inlineStr">
        <is>
          <t>DALARNAS LÄN</t>
        </is>
      </c>
      <c r="E294" t="inlineStr">
        <is>
          <t>LUDVIKA</t>
        </is>
      </c>
      <c r="F294" t="inlineStr">
        <is>
          <t>Bergvik skog väst AB</t>
        </is>
      </c>
      <c r="G294" t="n">
        <v>0.5</v>
      </c>
      <c r="H294" t="n">
        <v>0</v>
      </c>
      <c r="I294" t="n">
        <v>0</v>
      </c>
      <c r="J294" t="n">
        <v>0</v>
      </c>
      <c r="K294" t="n">
        <v>0</v>
      </c>
      <c r="L294" t="n">
        <v>0</v>
      </c>
      <c r="M294" t="n">
        <v>0</v>
      </c>
      <c r="N294" t="n">
        <v>0</v>
      </c>
      <c r="O294" t="n">
        <v>0</v>
      </c>
      <c r="P294" t="n">
        <v>0</v>
      </c>
      <c r="Q294" t="n">
        <v>0</v>
      </c>
      <c r="R294" s="2" t="inlineStr"/>
    </row>
    <row r="295" ht="15" customHeight="1">
      <c r="A295" t="inlineStr">
        <is>
          <t>A 65699-2021</t>
        </is>
      </c>
      <c r="B295" s="1" t="n">
        <v>44516</v>
      </c>
      <c r="C295" s="1" t="n">
        <v>45473</v>
      </c>
      <c r="D295" t="inlineStr">
        <is>
          <t>DALARNAS LÄN</t>
        </is>
      </c>
      <c r="E295" t="inlineStr">
        <is>
          <t>LUDVIKA</t>
        </is>
      </c>
      <c r="G295" t="n">
        <v>1.4</v>
      </c>
      <c r="H295" t="n">
        <v>0</v>
      </c>
      <c r="I295" t="n">
        <v>0</v>
      </c>
      <c r="J295" t="n">
        <v>0</v>
      </c>
      <c r="K295" t="n">
        <v>0</v>
      </c>
      <c r="L295" t="n">
        <v>0</v>
      </c>
      <c r="M295" t="n">
        <v>0</v>
      </c>
      <c r="N295" t="n">
        <v>0</v>
      </c>
      <c r="O295" t="n">
        <v>0</v>
      </c>
      <c r="P295" t="n">
        <v>0</v>
      </c>
      <c r="Q295" t="n">
        <v>0</v>
      </c>
      <c r="R295" s="2" t="inlineStr"/>
    </row>
    <row r="296" ht="15" customHeight="1">
      <c r="A296" t="inlineStr">
        <is>
          <t>A 65667-2021</t>
        </is>
      </c>
      <c r="B296" s="1" t="n">
        <v>44516</v>
      </c>
      <c r="C296" s="1" t="n">
        <v>45473</v>
      </c>
      <c r="D296" t="inlineStr">
        <is>
          <t>DALARNAS LÄN</t>
        </is>
      </c>
      <c r="E296" t="inlineStr">
        <is>
          <t>LUDVIKA</t>
        </is>
      </c>
      <c r="G296" t="n">
        <v>1.5</v>
      </c>
      <c r="H296" t="n">
        <v>0</v>
      </c>
      <c r="I296" t="n">
        <v>0</v>
      </c>
      <c r="J296" t="n">
        <v>0</v>
      </c>
      <c r="K296" t="n">
        <v>0</v>
      </c>
      <c r="L296" t="n">
        <v>0</v>
      </c>
      <c r="M296" t="n">
        <v>0</v>
      </c>
      <c r="N296" t="n">
        <v>0</v>
      </c>
      <c r="O296" t="n">
        <v>0</v>
      </c>
      <c r="P296" t="n">
        <v>0</v>
      </c>
      <c r="Q296" t="n">
        <v>0</v>
      </c>
      <c r="R296" s="2" t="inlineStr"/>
    </row>
    <row r="297" ht="15" customHeight="1">
      <c r="A297" t="inlineStr">
        <is>
          <t>A 65685-2021</t>
        </is>
      </c>
      <c r="B297" s="1" t="n">
        <v>44516</v>
      </c>
      <c r="C297" s="1" t="n">
        <v>45473</v>
      </c>
      <c r="D297" t="inlineStr">
        <is>
          <t>DALARNAS LÄN</t>
        </is>
      </c>
      <c r="E297" t="inlineStr">
        <is>
          <t>LUDVIKA</t>
        </is>
      </c>
      <c r="G297" t="n">
        <v>1</v>
      </c>
      <c r="H297" t="n">
        <v>0</v>
      </c>
      <c r="I297" t="n">
        <v>0</v>
      </c>
      <c r="J297" t="n">
        <v>0</v>
      </c>
      <c r="K297" t="n">
        <v>0</v>
      </c>
      <c r="L297" t="n">
        <v>0</v>
      </c>
      <c r="M297" t="n">
        <v>0</v>
      </c>
      <c r="N297" t="n">
        <v>0</v>
      </c>
      <c r="O297" t="n">
        <v>0</v>
      </c>
      <c r="P297" t="n">
        <v>0</v>
      </c>
      <c r="Q297" t="n">
        <v>0</v>
      </c>
      <c r="R297" s="2" t="inlineStr"/>
    </row>
    <row r="298" ht="15" customHeight="1">
      <c r="A298" t="inlineStr">
        <is>
          <t>A 70046-2021</t>
        </is>
      </c>
      <c r="B298" s="1" t="n">
        <v>44533</v>
      </c>
      <c r="C298" s="1" t="n">
        <v>45473</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70291-2021</t>
        </is>
      </c>
      <c r="B299" s="1" t="n">
        <v>44536</v>
      </c>
      <c r="C299" s="1" t="n">
        <v>45473</v>
      </c>
      <c r="D299" t="inlineStr">
        <is>
          <t>DALARNAS LÄN</t>
        </is>
      </c>
      <c r="E299" t="inlineStr">
        <is>
          <t>LUDVIKA</t>
        </is>
      </c>
      <c r="G299" t="n">
        <v>1</v>
      </c>
      <c r="H299" t="n">
        <v>0</v>
      </c>
      <c r="I299" t="n">
        <v>0</v>
      </c>
      <c r="J299" t="n">
        <v>0</v>
      </c>
      <c r="K299" t="n">
        <v>0</v>
      </c>
      <c r="L299" t="n">
        <v>0</v>
      </c>
      <c r="M299" t="n">
        <v>0</v>
      </c>
      <c r="N299" t="n">
        <v>0</v>
      </c>
      <c r="O299" t="n">
        <v>0</v>
      </c>
      <c r="P299" t="n">
        <v>0</v>
      </c>
      <c r="Q299" t="n">
        <v>0</v>
      </c>
      <c r="R299" s="2" t="inlineStr"/>
    </row>
    <row r="300" ht="15" customHeight="1">
      <c r="A300" t="inlineStr">
        <is>
          <t>A 71639-2021</t>
        </is>
      </c>
      <c r="B300" s="1" t="n">
        <v>44543</v>
      </c>
      <c r="C300" s="1" t="n">
        <v>45473</v>
      </c>
      <c r="D300" t="inlineStr">
        <is>
          <t>DALARNAS LÄN</t>
        </is>
      </c>
      <c r="E300" t="inlineStr">
        <is>
          <t>LUDVIKA</t>
        </is>
      </c>
      <c r="F300" t="inlineStr">
        <is>
          <t>Naturvårdsverket</t>
        </is>
      </c>
      <c r="G300" t="n">
        <v>2.2</v>
      </c>
      <c r="H300" t="n">
        <v>0</v>
      </c>
      <c r="I300" t="n">
        <v>0</v>
      </c>
      <c r="J300" t="n">
        <v>0</v>
      </c>
      <c r="K300" t="n">
        <v>0</v>
      </c>
      <c r="L300" t="n">
        <v>0</v>
      </c>
      <c r="M300" t="n">
        <v>0</v>
      </c>
      <c r="N300" t="n">
        <v>0</v>
      </c>
      <c r="O300" t="n">
        <v>0</v>
      </c>
      <c r="P300" t="n">
        <v>0</v>
      </c>
      <c r="Q300" t="n">
        <v>0</v>
      </c>
      <c r="R300" s="2" t="inlineStr"/>
    </row>
    <row r="301" ht="15" customHeight="1">
      <c r="A301" t="inlineStr">
        <is>
          <t>A 73167-2021</t>
        </is>
      </c>
      <c r="B301" s="1" t="n">
        <v>44550</v>
      </c>
      <c r="C301" s="1" t="n">
        <v>45473</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73703-2021</t>
        </is>
      </c>
      <c r="B302" s="1" t="n">
        <v>44552</v>
      </c>
      <c r="C302" s="1" t="n">
        <v>45473</v>
      </c>
      <c r="D302" t="inlineStr">
        <is>
          <t>DALARNAS LÄN</t>
        </is>
      </c>
      <c r="E302" t="inlineStr">
        <is>
          <t>LUDVIKA</t>
        </is>
      </c>
      <c r="G302" t="n">
        <v>0.5</v>
      </c>
      <c r="H302" t="n">
        <v>0</v>
      </c>
      <c r="I302" t="n">
        <v>0</v>
      </c>
      <c r="J302" t="n">
        <v>0</v>
      </c>
      <c r="K302" t="n">
        <v>0</v>
      </c>
      <c r="L302" t="n">
        <v>0</v>
      </c>
      <c r="M302" t="n">
        <v>0</v>
      </c>
      <c r="N302" t="n">
        <v>0</v>
      </c>
      <c r="O302" t="n">
        <v>0</v>
      </c>
      <c r="P302" t="n">
        <v>0</v>
      </c>
      <c r="Q302" t="n">
        <v>0</v>
      </c>
      <c r="R302" s="2" t="inlineStr"/>
    </row>
    <row r="303" ht="15" customHeight="1">
      <c r="A303" t="inlineStr">
        <is>
          <t>A 74427-2021</t>
        </is>
      </c>
      <c r="B303" s="1" t="n">
        <v>44560</v>
      </c>
      <c r="C303" s="1" t="n">
        <v>45473</v>
      </c>
      <c r="D303" t="inlineStr">
        <is>
          <t>DALARNAS LÄN</t>
        </is>
      </c>
      <c r="E303" t="inlineStr">
        <is>
          <t>LUDVIKA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74432-2021</t>
        </is>
      </c>
      <c r="B304" s="1" t="n">
        <v>44560</v>
      </c>
      <c r="C304" s="1" t="n">
        <v>45473</v>
      </c>
      <c r="D304" t="inlineStr">
        <is>
          <t>DALARNAS LÄN</t>
        </is>
      </c>
      <c r="E304" t="inlineStr">
        <is>
          <t>LUDVIKA</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1299-2022</t>
        </is>
      </c>
      <c r="B305" s="1" t="n">
        <v>44572</v>
      </c>
      <c r="C305" s="1" t="n">
        <v>45473</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2422-2022</t>
        </is>
      </c>
      <c r="B306" s="1" t="n">
        <v>44579</v>
      </c>
      <c r="C306" s="1" t="n">
        <v>45473</v>
      </c>
      <c r="D306" t="inlineStr">
        <is>
          <t>DALARNAS LÄN</t>
        </is>
      </c>
      <c r="E306" t="inlineStr">
        <is>
          <t>LUDVIKA</t>
        </is>
      </c>
      <c r="G306" t="n">
        <v>2.3</v>
      </c>
      <c r="H306" t="n">
        <v>0</v>
      </c>
      <c r="I306" t="n">
        <v>0</v>
      </c>
      <c r="J306" t="n">
        <v>0</v>
      </c>
      <c r="K306" t="n">
        <v>0</v>
      </c>
      <c r="L306" t="n">
        <v>0</v>
      </c>
      <c r="M306" t="n">
        <v>0</v>
      </c>
      <c r="N306" t="n">
        <v>0</v>
      </c>
      <c r="O306" t="n">
        <v>0</v>
      </c>
      <c r="P306" t="n">
        <v>0</v>
      </c>
      <c r="Q306" t="n">
        <v>0</v>
      </c>
      <c r="R306" s="2" t="inlineStr"/>
    </row>
    <row r="307" ht="15" customHeight="1">
      <c r="A307" t="inlineStr">
        <is>
          <t>A 2491-2022</t>
        </is>
      </c>
      <c r="B307" s="1" t="n">
        <v>44579</v>
      </c>
      <c r="C307" s="1" t="n">
        <v>45473</v>
      </c>
      <c r="D307" t="inlineStr">
        <is>
          <t>DALARNAS LÄN</t>
        </is>
      </c>
      <c r="E307" t="inlineStr">
        <is>
          <t>LUDVIKA</t>
        </is>
      </c>
      <c r="G307" t="n">
        <v>2.8</v>
      </c>
      <c r="H307" t="n">
        <v>0</v>
      </c>
      <c r="I307" t="n">
        <v>0</v>
      </c>
      <c r="J307" t="n">
        <v>0</v>
      </c>
      <c r="K307" t="n">
        <v>0</v>
      </c>
      <c r="L307" t="n">
        <v>0</v>
      </c>
      <c r="M307" t="n">
        <v>0</v>
      </c>
      <c r="N307" t="n">
        <v>0</v>
      </c>
      <c r="O307" t="n">
        <v>0</v>
      </c>
      <c r="P307" t="n">
        <v>0</v>
      </c>
      <c r="Q307" t="n">
        <v>0</v>
      </c>
      <c r="R307" s="2" t="inlineStr"/>
    </row>
    <row r="308" ht="15" customHeight="1">
      <c r="A308" t="inlineStr">
        <is>
          <t>A 2838-2022</t>
        </is>
      </c>
      <c r="B308" s="1" t="n">
        <v>44581</v>
      </c>
      <c r="C308" s="1" t="n">
        <v>45473</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4551-2022</t>
        </is>
      </c>
      <c r="B309" s="1" t="n">
        <v>44590</v>
      </c>
      <c r="C309" s="1" t="n">
        <v>45473</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5970-2022</t>
        </is>
      </c>
      <c r="B310" s="1" t="n">
        <v>44599</v>
      </c>
      <c r="C310" s="1" t="n">
        <v>45473</v>
      </c>
      <c r="D310" t="inlineStr">
        <is>
          <t>DALARNAS LÄN</t>
        </is>
      </c>
      <c r="E310" t="inlineStr">
        <is>
          <t>LUDVIKA</t>
        </is>
      </c>
      <c r="G310" t="n">
        <v>8.4</v>
      </c>
      <c r="H310" t="n">
        <v>0</v>
      </c>
      <c r="I310" t="n">
        <v>0</v>
      </c>
      <c r="J310" t="n">
        <v>0</v>
      </c>
      <c r="K310" t="n">
        <v>0</v>
      </c>
      <c r="L310" t="n">
        <v>0</v>
      </c>
      <c r="M310" t="n">
        <v>0</v>
      </c>
      <c r="N310" t="n">
        <v>0</v>
      </c>
      <c r="O310" t="n">
        <v>0</v>
      </c>
      <c r="P310" t="n">
        <v>0</v>
      </c>
      <c r="Q310" t="n">
        <v>0</v>
      </c>
      <c r="R310" s="2" t="inlineStr"/>
    </row>
    <row r="311" ht="15" customHeight="1">
      <c r="A311" t="inlineStr">
        <is>
          <t>A 6364-2022</t>
        </is>
      </c>
      <c r="B311" s="1" t="n">
        <v>44600</v>
      </c>
      <c r="C311" s="1" t="n">
        <v>45473</v>
      </c>
      <c r="D311" t="inlineStr">
        <is>
          <t>DALARNAS LÄN</t>
        </is>
      </c>
      <c r="E311" t="inlineStr">
        <is>
          <t>LUDVIKA</t>
        </is>
      </c>
      <c r="F311" t="inlineStr">
        <is>
          <t>Övriga Aktiebolag</t>
        </is>
      </c>
      <c r="G311" t="n">
        <v>52.3</v>
      </c>
      <c r="H311" t="n">
        <v>0</v>
      </c>
      <c r="I311" t="n">
        <v>0</v>
      </c>
      <c r="J311" t="n">
        <v>0</v>
      </c>
      <c r="K311" t="n">
        <v>0</v>
      </c>
      <c r="L311" t="n">
        <v>0</v>
      </c>
      <c r="M311" t="n">
        <v>0</v>
      </c>
      <c r="N311" t="n">
        <v>0</v>
      </c>
      <c r="O311" t="n">
        <v>0</v>
      </c>
      <c r="P311" t="n">
        <v>0</v>
      </c>
      <c r="Q311" t="n">
        <v>0</v>
      </c>
      <c r="R311" s="2" t="inlineStr"/>
    </row>
    <row r="312" ht="15" customHeight="1">
      <c r="A312" t="inlineStr">
        <is>
          <t>A 6836-2022</t>
        </is>
      </c>
      <c r="B312" s="1" t="n">
        <v>44602</v>
      </c>
      <c r="C312" s="1" t="n">
        <v>45473</v>
      </c>
      <c r="D312" t="inlineStr">
        <is>
          <t>DALARNAS LÄN</t>
        </is>
      </c>
      <c r="E312" t="inlineStr">
        <is>
          <t>LUDVIKA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7011-2022</t>
        </is>
      </c>
      <c r="B313" s="1" t="n">
        <v>44603</v>
      </c>
      <c r="C313" s="1" t="n">
        <v>45473</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9464-2022</t>
        </is>
      </c>
      <c r="B314" s="1" t="n">
        <v>44616</v>
      </c>
      <c r="C314" s="1" t="n">
        <v>45473</v>
      </c>
      <c r="D314" t="inlineStr">
        <is>
          <t>DALARNAS LÄN</t>
        </is>
      </c>
      <c r="E314" t="inlineStr">
        <is>
          <t>LUDVIKA</t>
        </is>
      </c>
      <c r="G314" t="n">
        <v>4.1</v>
      </c>
      <c r="H314" t="n">
        <v>0</v>
      </c>
      <c r="I314" t="n">
        <v>0</v>
      </c>
      <c r="J314" t="n">
        <v>0</v>
      </c>
      <c r="K314" t="n">
        <v>0</v>
      </c>
      <c r="L314" t="n">
        <v>0</v>
      </c>
      <c r="M314" t="n">
        <v>0</v>
      </c>
      <c r="N314" t="n">
        <v>0</v>
      </c>
      <c r="O314" t="n">
        <v>0</v>
      </c>
      <c r="P314" t="n">
        <v>0</v>
      </c>
      <c r="Q314" t="n">
        <v>0</v>
      </c>
      <c r="R314" s="2" t="inlineStr"/>
    </row>
    <row r="315" ht="15" customHeight="1">
      <c r="A315" t="inlineStr">
        <is>
          <t>A 13051-2022</t>
        </is>
      </c>
      <c r="B315" s="1" t="n">
        <v>44643</v>
      </c>
      <c r="C315" s="1" t="n">
        <v>45473</v>
      </c>
      <c r="D315" t="inlineStr">
        <is>
          <t>DALARNAS LÄN</t>
        </is>
      </c>
      <c r="E315" t="inlineStr">
        <is>
          <t>LUDVIKA</t>
        </is>
      </c>
      <c r="G315" t="n">
        <v>1.4</v>
      </c>
      <c r="H315" t="n">
        <v>0</v>
      </c>
      <c r="I315" t="n">
        <v>0</v>
      </c>
      <c r="J315" t="n">
        <v>0</v>
      </c>
      <c r="K315" t="n">
        <v>0</v>
      </c>
      <c r="L315" t="n">
        <v>0</v>
      </c>
      <c r="M315" t="n">
        <v>0</v>
      </c>
      <c r="N315" t="n">
        <v>0</v>
      </c>
      <c r="O315" t="n">
        <v>0</v>
      </c>
      <c r="P315" t="n">
        <v>0</v>
      </c>
      <c r="Q315" t="n">
        <v>0</v>
      </c>
      <c r="R315" s="2" t="inlineStr"/>
    </row>
    <row r="316" ht="15" customHeight="1">
      <c r="A316" t="inlineStr">
        <is>
          <t>A 14387-2022</t>
        </is>
      </c>
      <c r="B316" s="1" t="n">
        <v>44652</v>
      </c>
      <c r="C316" s="1" t="n">
        <v>45473</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14872-2022</t>
        </is>
      </c>
      <c r="B317" s="1" t="n">
        <v>44656</v>
      </c>
      <c r="C317" s="1" t="n">
        <v>45473</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15145-2022</t>
        </is>
      </c>
      <c r="B318" s="1" t="n">
        <v>44658</v>
      </c>
      <c r="C318" s="1" t="n">
        <v>45473</v>
      </c>
      <c r="D318" t="inlineStr">
        <is>
          <t>DALARNAS LÄN</t>
        </is>
      </c>
      <c r="E318" t="inlineStr">
        <is>
          <t>LUDVIKA</t>
        </is>
      </c>
      <c r="G318" t="n">
        <v>3.7</v>
      </c>
      <c r="H318" t="n">
        <v>0</v>
      </c>
      <c r="I318" t="n">
        <v>0</v>
      </c>
      <c r="J318" t="n">
        <v>0</v>
      </c>
      <c r="K318" t="n">
        <v>0</v>
      </c>
      <c r="L318" t="n">
        <v>0</v>
      </c>
      <c r="M318" t="n">
        <v>0</v>
      </c>
      <c r="N318" t="n">
        <v>0</v>
      </c>
      <c r="O318" t="n">
        <v>0</v>
      </c>
      <c r="P318" t="n">
        <v>0</v>
      </c>
      <c r="Q318" t="n">
        <v>0</v>
      </c>
      <c r="R318" s="2" t="inlineStr"/>
    </row>
    <row r="319" ht="15" customHeight="1">
      <c r="A319" t="inlineStr">
        <is>
          <t>A 15617-2022</t>
        </is>
      </c>
      <c r="B319" s="1" t="n">
        <v>44662</v>
      </c>
      <c r="C319" s="1" t="n">
        <v>45473</v>
      </c>
      <c r="D319" t="inlineStr">
        <is>
          <t>DALARNAS LÄN</t>
        </is>
      </c>
      <c r="E319" t="inlineStr">
        <is>
          <t>LUDVIKA</t>
        </is>
      </c>
      <c r="F319" t="inlineStr">
        <is>
          <t>Bergvik skog väst AB</t>
        </is>
      </c>
      <c r="G319" t="n">
        <v>7.8</v>
      </c>
      <c r="H319" t="n">
        <v>0</v>
      </c>
      <c r="I319" t="n">
        <v>0</v>
      </c>
      <c r="J319" t="n">
        <v>0</v>
      </c>
      <c r="K319" t="n">
        <v>0</v>
      </c>
      <c r="L319" t="n">
        <v>0</v>
      </c>
      <c r="M319" t="n">
        <v>0</v>
      </c>
      <c r="N319" t="n">
        <v>0</v>
      </c>
      <c r="O319" t="n">
        <v>0</v>
      </c>
      <c r="P319" t="n">
        <v>0</v>
      </c>
      <c r="Q319" t="n">
        <v>0</v>
      </c>
      <c r="R319" s="2" t="inlineStr"/>
    </row>
    <row r="320" ht="15" customHeight="1">
      <c r="A320" t="inlineStr">
        <is>
          <t>A 17677-2022</t>
        </is>
      </c>
      <c r="B320" s="1" t="n">
        <v>44680</v>
      </c>
      <c r="C320" s="1" t="n">
        <v>45473</v>
      </c>
      <c r="D320" t="inlineStr">
        <is>
          <t>DALARNAS LÄN</t>
        </is>
      </c>
      <c r="E320" t="inlineStr">
        <is>
          <t>LUDVIKA</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18289-2022</t>
        </is>
      </c>
      <c r="B321" s="1" t="n">
        <v>44685</v>
      </c>
      <c r="C321" s="1" t="n">
        <v>45473</v>
      </c>
      <c r="D321" t="inlineStr">
        <is>
          <t>DALARNAS LÄN</t>
        </is>
      </c>
      <c r="E321" t="inlineStr">
        <is>
          <t>LUDVIKA</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18703-2022</t>
        </is>
      </c>
      <c r="B322" s="1" t="n">
        <v>44687</v>
      </c>
      <c r="C322" s="1" t="n">
        <v>45473</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v>
      </c>
      <c r="C323" s="1" t="n">
        <v>45473</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20656-2022</t>
        </is>
      </c>
      <c r="B324" s="1" t="n">
        <v>44700</v>
      </c>
      <c r="C324" s="1" t="n">
        <v>45473</v>
      </c>
      <c r="D324" t="inlineStr">
        <is>
          <t>DALARNAS LÄN</t>
        </is>
      </c>
      <c r="E324" t="inlineStr">
        <is>
          <t>LUDVIKA</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20852-2022</t>
        </is>
      </c>
      <c r="B325" s="1" t="n">
        <v>44701</v>
      </c>
      <c r="C325" s="1" t="n">
        <v>45473</v>
      </c>
      <c r="D325" t="inlineStr">
        <is>
          <t>DALARNAS LÄN</t>
        </is>
      </c>
      <c r="E325" t="inlineStr">
        <is>
          <t>LUDVIKA</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21466-2022</t>
        </is>
      </c>
      <c r="B326" s="1" t="n">
        <v>44706</v>
      </c>
      <c r="C326" s="1" t="n">
        <v>45473</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21502-2022</t>
        </is>
      </c>
      <c r="B327" s="1" t="n">
        <v>44706</v>
      </c>
      <c r="C327" s="1" t="n">
        <v>45473</v>
      </c>
      <c r="D327" t="inlineStr">
        <is>
          <t>DALARNAS LÄN</t>
        </is>
      </c>
      <c r="E327" t="inlineStr">
        <is>
          <t>LUDVIKA</t>
        </is>
      </c>
      <c r="F327" t="inlineStr">
        <is>
          <t>Bergvik skog väst AB</t>
        </is>
      </c>
      <c r="G327" t="n">
        <v>5.5</v>
      </c>
      <c r="H327" t="n">
        <v>0</v>
      </c>
      <c r="I327" t="n">
        <v>0</v>
      </c>
      <c r="J327" t="n">
        <v>0</v>
      </c>
      <c r="K327" t="n">
        <v>0</v>
      </c>
      <c r="L327" t="n">
        <v>0</v>
      </c>
      <c r="M327" t="n">
        <v>0</v>
      </c>
      <c r="N327" t="n">
        <v>0</v>
      </c>
      <c r="O327" t="n">
        <v>0</v>
      </c>
      <c r="P327" t="n">
        <v>0</v>
      </c>
      <c r="Q327" t="n">
        <v>0</v>
      </c>
      <c r="R327" s="2" t="inlineStr"/>
    </row>
    <row r="328" ht="15" customHeight="1">
      <c r="A328" t="inlineStr">
        <is>
          <t>A 21741-2022</t>
        </is>
      </c>
      <c r="B328" s="1" t="n">
        <v>44708</v>
      </c>
      <c r="C328" s="1" t="n">
        <v>45473</v>
      </c>
      <c r="D328" t="inlineStr">
        <is>
          <t>DALARNAS LÄN</t>
        </is>
      </c>
      <c r="E328" t="inlineStr">
        <is>
          <t>LUDVIKA</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22000-2022</t>
        </is>
      </c>
      <c r="B329" s="1" t="n">
        <v>44711</v>
      </c>
      <c r="C329" s="1" t="n">
        <v>45473</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22920-2022</t>
        </is>
      </c>
      <c r="B330" s="1" t="n">
        <v>44715</v>
      </c>
      <c r="C330" s="1" t="n">
        <v>45473</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23258-2022</t>
        </is>
      </c>
      <c r="B331" s="1" t="n">
        <v>44720</v>
      </c>
      <c r="C331" s="1" t="n">
        <v>45473</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23345-2022</t>
        </is>
      </c>
      <c r="B332" s="1" t="n">
        <v>44720</v>
      </c>
      <c r="C332" s="1" t="n">
        <v>45473</v>
      </c>
      <c r="D332" t="inlineStr">
        <is>
          <t>DALARNAS LÄN</t>
        </is>
      </c>
      <c r="E332" t="inlineStr">
        <is>
          <t>LUDVIKA</t>
        </is>
      </c>
      <c r="G332" t="n">
        <v>0.5</v>
      </c>
      <c r="H332" t="n">
        <v>0</v>
      </c>
      <c r="I332" t="n">
        <v>0</v>
      </c>
      <c r="J332" t="n">
        <v>0</v>
      </c>
      <c r="K332" t="n">
        <v>0</v>
      </c>
      <c r="L332" t="n">
        <v>0</v>
      </c>
      <c r="M332" t="n">
        <v>0</v>
      </c>
      <c r="N332" t="n">
        <v>0</v>
      </c>
      <c r="O332" t="n">
        <v>0</v>
      </c>
      <c r="P332" t="n">
        <v>0</v>
      </c>
      <c r="Q332" t="n">
        <v>0</v>
      </c>
      <c r="R332" s="2" t="inlineStr"/>
    </row>
    <row r="333" ht="15" customHeight="1">
      <c r="A333" t="inlineStr">
        <is>
          <t>A 24160-2022</t>
        </is>
      </c>
      <c r="B333" s="1" t="n">
        <v>44725</v>
      </c>
      <c r="C333" s="1" t="n">
        <v>45473</v>
      </c>
      <c r="D333" t="inlineStr">
        <is>
          <t>DALARNAS LÄN</t>
        </is>
      </c>
      <c r="E333" t="inlineStr">
        <is>
          <t>LUDVIKA</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25095-2022</t>
        </is>
      </c>
      <c r="B334" s="1" t="n">
        <v>44729</v>
      </c>
      <c r="C334" s="1" t="n">
        <v>45473</v>
      </c>
      <c r="D334" t="inlineStr">
        <is>
          <t>DALARNAS LÄN</t>
        </is>
      </c>
      <c r="E334" t="inlineStr">
        <is>
          <t>LUDVIKA</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25243-2022</t>
        </is>
      </c>
      <c r="B335" s="1" t="n">
        <v>44730</v>
      </c>
      <c r="C335" s="1" t="n">
        <v>45473</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25272-2022</t>
        </is>
      </c>
      <c r="B336" s="1" t="n">
        <v>44730</v>
      </c>
      <c r="C336" s="1" t="n">
        <v>45473</v>
      </c>
      <c r="D336" t="inlineStr">
        <is>
          <t>DALARNAS LÄN</t>
        </is>
      </c>
      <c r="E336" t="inlineStr">
        <is>
          <t>LUDVIKA</t>
        </is>
      </c>
      <c r="F336" t="inlineStr">
        <is>
          <t>Bergvik skog väst AB</t>
        </is>
      </c>
      <c r="G336" t="n">
        <v>9.6</v>
      </c>
      <c r="H336" t="n">
        <v>0</v>
      </c>
      <c r="I336" t="n">
        <v>0</v>
      </c>
      <c r="J336" t="n">
        <v>0</v>
      </c>
      <c r="K336" t="n">
        <v>0</v>
      </c>
      <c r="L336" t="n">
        <v>0</v>
      </c>
      <c r="M336" t="n">
        <v>0</v>
      </c>
      <c r="N336" t="n">
        <v>0</v>
      </c>
      <c r="O336" t="n">
        <v>0</v>
      </c>
      <c r="P336" t="n">
        <v>0</v>
      </c>
      <c r="Q336" t="n">
        <v>0</v>
      </c>
      <c r="R336" s="2" t="inlineStr"/>
    </row>
    <row r="337" ht="15" customHeight="1">
      <c r="A337" t="inlineStr">
        <is>
          <t>A 25274-2022</t>
        </is>
      </c>
      <c r="B337" s="1" t="n">
        <v>44730</v>
      </c>
      <c r="C337" s="1" t="n">
        <v>45473</v>
      </c>
      <c r="D337" t="inlineStr">
        <is>
          <t>DALARNAS LÄN</t>
        </is>
      </c>
      <c r="E337" t="inlineStr">
        <is>
          <t>LUDVIKA</t>
        </is>
      </c>
      <c r="F337" t="inlineStr">
        <is>
          <t>Bergvik skog väst AB</t>
        </is>
      </c>
      <c r="G337" t="n">
        <v>3.5</v>
      </c>
      <c r="H337" t="n">
        <v>0</v>
      </c>
      <c r="I337" t="n">
        <v>0</v>
      </c>
      <c r="J337" t="n">
        <v>0</v>
      </c>
      <c r="K337" t="n">
        <v>0</v>
      </c>
      <c r="L337" t="n">
        <v>0</v>
      </c>
      <c r="M337" t="n">
        <v>0</v>
      </c>
      <c r="N337" t="n">
        <v>0</v>
      </c>
      <c r="O337" t="n">
        <v>0</v>
      </c>
      <c r="P337" t="n">
        <v>0</v>
      </c>
      <c r="Q337" t="n">
        <v>0</v>
      </c>
      <c r="R337" s="2" t="inlineStr"/>
    </row>
    <row r="338" ht="15" customHeight="1">
      <c r="A338" t="inlineStr">
        <is>
          <t>A 25273-2022</t>
        </is>
      </c>
      <c r="B338" s="1" t="n">
        <v>44730</v>
      </c>
      <c r="C338" s="1" t="n">
        <v>45473</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25292-2022</t>
        </is>
      </c>
      <c r="B339" s="1" t="n">
        <v>44731</v>
      </c>
      <c r="C339" s="1" t="n">
        <v>45473</v>
      </c>
      <c r="D339" t="inlineStr">
        <is>
          <t>DALARNAS LÄN</t>
        </is>
      </c>
      <c r="E339" t="inlineStr">
        <is>
          <t>LUDVIKA</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25296-2022</t>
        </is>
      </c>
      <c r="B340" s="1" t="n">
        <v>44731</v>
      </c>
      <c r="C340" s="1" t="n">
        <v>45473</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25300-2022</t>
        </is>
      </c>
      <c r="B341" s="1" t="n">
        <v>44731</v>
      </c>
      <c r="C341" s="1" t="n">
        <v>45473</v>
      </c>
      <c r="D341" t="inlineStr">
        <is>
          <t>DALARNAS LÄN</t>
        </is>
      </c>
      <c r="E341" t="inlineStr">
        <is>
          <t>LUDVIKA</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25289-2022</t>
        </is>
      </c>
      <c r="B342" s="1" t="n">
        <v>44731</v>
      </c>
      <c r="C342" s="1" t="n">
        <v>45473</v>
      </c>
      <c r="D342" t="inlineStr">
        <is>
          <t>DALARNAS LÄN</t>
        </is>
      </c>
      <c r="E342" t="inlineStr">
        <is>
          <t>LUDVIKA</t>
        </is>
      </c>
      <c r="F342" t="inlineStr">
        <is>
          <t>Bergvik skog väst AB</t>
        </is>
      </c>
      <c r="G342" t="n">
        <v>10.1</v>
      </c>
      <c r="H342" t="n">
        <v>0</v>
      </c>
      <c r="I342" t="n">
        <v>0</v>
      </c>
      <c r="J342" t="n">
        <v>0</v>
      </c>
      <c r="K342" t="n">
        <v>0</v>
      </c>
      <c r="L342" t="n">
        <v>0</v>
      </c>
      <c r="M342" t="n">
        <v>0</v>
      </c>
      <c r="N342" t="n">
        <v>0</v>
      </c>
      <c r="O342" t="n">
        <v>0</v>
      </c>
      <c r="P342" t="n">
        <v>0</v>
      </c>
      <c r="Q342" t="n">
        <v>0</v>
      </c>
      <c r="R342" s="2" t="inlineStr"/>
    </row>
    <row r="343" ht="15" customHeight="1">
      <c r="A343" t="inlineStr">
        <is>
          <t>A 25293-2022</t>
        </is>
      </c>
      <c r="B343" s="1" t="n">
        <v>44731</v>
      </c>
      <c r="C343" s="1" t="n">
        <v>45473</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25297-2022</t>
        </is>
      </c>
      <c r="B344" s="1" t="n">
        <v>44731</v>
      </c>
      <c r="C344" s="1" t="n">
        <v>45473</v>
      </c>
      <c r="D344" t="inlineStr">
        <is>
          <t>DALARNAS LÄN</t>
        </is>
      </c>
      <c r="E344" t="inlineStr">
        <is>
          <t>LUDVIKA</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25301-2022</t>
        </is>
      </c>
      <c r="B345" s="1" t="n">
        <v>44731</v>
      </c>
      <c r="C345" s="1" t="n">
        <v>45473</v>
      </c>
      <c r="D345" t="inlineStr">
        <is>
          <t>DALARNAS LÄN</t>
        </is>
      </c>
      <c r="E345" t="inlineStr">
        <is>
          <t>LUDVIKA</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25290-2022</t>
        </is>
      </c>
      <c r="B346" s="1" t="n">
        <v>44731</v>
      </c>
      <c r="C346" s="1" t="n">
        <v>45473</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25294-2022</t>
        </is>
      </c>
      <c r="B347" s="1" t="n">
        <v>44730</v>
      </c>
      <c r="C347" s="1" t="n">
        <v>45473</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25298-2022</t>
        </is>
      </c>
      <c r="B348" s="1" t="n">
        <v>44731</v>
      </c>
      <c r="C348" s="1" t="n">
        <v>45473</v>
      </c>
      <c r="D348" t="inlineStr">
        <is>
          <t>DALARNAS LÄN</t>
        </is>
      </c>
      <c r="E348" t="inlineStr">
        <is>
          <t>LUDVIKA</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25291-2022</t>
        </is>
      </c>
      <c r="B349" s="1" t="n">
        <v>44731</v>
      </c>
      <c r="C349" s="1" t="n">
        <v>45473</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25299-2022</t>
        </is>
      </c>
      <c r="B350" s="1" t="n">
        <v>44731</v>
      </c>
      <c r="C350" s="1" t="n">
        <v>45473</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25328-2022</t>
        </is>
      </c>
      <c r="B351" s="1" t="n">
        <v>44731</v>
      </c>
      <c r="C351" s="1" t="n">
        <v>45473</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25454-2022</t>
        </is>
      </c>
      <c r="B352" s="1" t="n">
        <v>44732</v>
      </c>
      <c r="C352" s="1" t="n">
        <v>45473</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25755-2022</t>
        </is>
      </c>
      <c r="B353" s="1" t="n">
        <v>44733</v>
      </c>
      <c r="C353" s="1" t="n">
        <v>45473</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27226-2022</t>
        </is>
      </c>
      <c r="B354" s="1" t="n">
        <v>44741</v>
      </c>
      <c r="C354" s="1" t="n">
        <v>45473</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27738-2022</t>
        </is>
      </c>
      <c r="B355" s="1" t="n">
        <v>44743</v>
      </c>
      <c r="C355" s="1" t="n">
        <v>45473</v>
      </c>
      <c r="D355" t="inlineStr">
        <is>
          <t>DALARNAS LÄN</t>
        </is>
      </c>
      <c r="E355" t="inlineStr">
        <is>
          <t>LUDVIKA</t>
        </is>
      </c>
      <c r="F355" t="inlineStr">
        <is>
          <t>Kyrkan</t>
        </is>
      </c>
      <c r="G355" t="n">
        <v>0.5</v>
      </c>
      <c r="H355" t="n">
        <v>0</v>
      </c>
      <c r="I355" t="n">
        <v>0</v>
      </c>
      <c r="J355" t="n">
        <v>0</v>
      </c>
      <c r="K355" t="n">
        <v>0</v>
      </c>
      <c r="L355" t="n">
        <v>0</v>
      </c>
      <c r="M355" t="n">
        <v>0</v>
      </c>
      <c r="N355" t="n">
        <v>0</v>
      </c>
      <c r="O355" t="n">
        <v>0</v>
      </c>
      <c r="P355" t="n">
        <v>0</v>
      </c>
      <c r="Q355" t="n">
        <v>0</v>
      </c>
      <c r="R355" s="2" t="inlineStr"/>
    </row>
    <row r="356" ht="15" customHeight="1">
      <c r="A356" t="inlineStr">
        <is>
          <t>A 31273-2022</t>
        </is>
      </c>
      <c r="B356" s="1" t="n">
        <v>44771</v>
      </c>
      <c r="C356" s="1" t="n">
        <v>45473</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31270-2022</t>
        </is>
      </c>
      <c r="B357" s="1" t="n">
        <v>44771</v>
      </c>
      <c r="C357" s="1" t="n">
        <v>45473</v>
      </c>
      <c r="D357" t="inlineStr">
        <is>
          <t>DALARNAS LÄN</t>
        </is>
      </c>
      <c r="E357" t="inlineStr">
        <is>
          <t>LUDVIKA</t>
        </is>
      </c>
      <c r="G357" t="n">
        <v>1.2</v>
      </c>
      <c r="H357" t="n">
        <v>0</v>
      </c>
      <c r="I357" t="n">
        <v>0</v>
      </c>
      <c r="J357" t="n">
        <v>0</v>
      </c>
      <c r="K357" t="n">
        <v>0</v>
      </c>
      <c r="L357" t="n">
        <v>0</v>
      </c>
      <c r="M357" t="n">
        <v>0</v>
      </c>
      <c r="N357" t="n">
        <v>0</v>
      </c>
      <c r="O357" t="n">
        <v>0</v>
      </c>
      <c r="P357" t="n">
        <v>0</v>
      </c>
      <c r="Q357" t="n">
        <v>0</v>
      </c>
      <c r="R357" s="2" t="inlineStr"/>
    </row>
    <row r="358" ht="15" customHeight="1">
      <c r="A358" t="inlineStr">
        <is>
          <t>A 31272-2022</t>
        </is>
      </c>
      <c r="B358" s="1" t="n">
        <v>44771</v>
      </c>
      <c r="C358" s="1" t="n">
        <v>45473</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33108-2022</t>
        </is>
      </c>
      <c r="B359" s="1" t="n">
        <v>44785</v>
      </c>
      <c r="C359" s="1" t="n">
        <v>45473</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33673-2022</t>
        </is>
      </c>
      <c r="B360" s="1" t="n">
        <v>44789</v>
      </c>
      <c r="C360" s="1" t="n">
        <v>45473</v>
      </c>
      <c r="D360" t="inlineStr">
        <is>
          <t>DALARNAS LÄN</t>
        </is>
      </c>
      <c r="E360" t="inlineStr">
        <is>
          <t>LUDVIKA</t>
        </is>
      </c>
      <c r="G360" t="n">
        <v>1.5</v>
      </c>
      <c r="H360" t="n">
        <v>0</v>
      </c>
      <c r="I360" t="n">
        <v>0</v>
      </c>
      <c r="J360" t="n">
        <v>0</v>
      </c>
      <c r="K360" t="n">
        <v>0</v>
      </c>
      <c r="L360" t="n">
        <v>0</v>
      </c>
      <c r="M360" t="n">
        <v>0</v>
      </c>
      <c r="N360" t="n">
        <v>0</v>
      </c>
      <c r="O360" t="n">
        <v>0</v>
      </c>
      <c r="P360" t="n">
        <v>0</v>
      </c>
      <c r="Q360" t="n">
        <v>0</v>
      </c>
      <c r="R360" s="2" t="inlineStr"/>
    </row>
    <row r="361" ht="15" customHeight="1">
      <c r="A361" t="inlineStr">
        <is>
          <t>A 36770-2022</t>
        </is>
      </c>
      <c r="B361" s="1" t="n">
        <v>44805</v>
      </c>
      <c r="C361" s="1" t="n">
        <v>45473</v>
      </c>
      <c r="D361" t="inlineStr">
        <is>
          <t>DALARNAS LÄN</t>
        </is>
      </c>
      <c r="E361" t="inlineStr">
        <is>
          <t>LUDVIKA</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36852-2022</t>
        </is>
      </c>
      <c r="B362" s="1" t="n">
        <v>44805</v>
      </c>
      <c r="C362" s="1" t="n">
        <v>45473</v>
      </c>
      <c r="D362" t="inlineStr">
        <is>
          <t>DALARNAS LÄN</t>
        </is>
      </c>
      <c r="E362" t="inlineStr">
        <is>
          <t>LUDVIKA</t>
        </is>
      </c>
      <c r="F362" t="inlineStr">
        <is>
          <t>Bergvik skog väst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37495-2022</t>
        </is>
      </c>
      <c r="B363" s="1" t="n">
        <v>44809</v>
      </c>
      <c r="C363" s="1" t="n">
        <v>45473</v>
      </c>
      <c r="D363" t="inlineStr">
        <is>
          <t>DALARNAS LÄN</t>
        </is>
      </c>
      <c r="E363" t="inlineStr">
        <is>
          <t>LUDVIKA</t>
        </is>
      </c>
      <c r="F363" t="inlineStr">
        <is>
          <t>Naturvårdsverket</t>
        </is>
      </c>
      <c r="G363" t="n">
        <v>3.2</v>
      </c>
      <c r="H363" t="n">
        <v>0</v>
      </c>
      <c r="I363" t="n">
        <v>0</v>
      </c>
      <c r="J363" t="n">
        <v>0</v>
      </c>
      <c r="K363" t="n">
        <v>0</v>
      </c>
      <c r="L363" t="n">
        <v>0</v>
      </c>
      <c r="M363" t="n">
        <v>0</v>
      </c>
      <c r="N363" t="n">
        <v>0</v>
      </c>
      <c r="O363" t="n">
        <v>0</v>
      </c>
      <c r="P363" t="n">
        <v>0</v>
      </c>
      <c r="Q363" t="n">
        <v>0</v>
      </c>
      <c r="R363" s="2" t="inlineStr"/>
    </row>
    <row r="364" ht="15" customHeight="1">
      <c r="A364" t="inlineStr">
        <is>
          <t>A 37479-2022</t>
        </is>
      </c>
      <c r="B364" s="1" t="n">
        <v>44809</v>
      </c>
      <c r="C364" s="1" t="n">
        <v>45473</v>
      </c>
      <c r="D364" t="inlineStr">
        <is>
          <t>DALARNAS LÄN</t>
        </is>
      </c>
      <c r="E364" t="inlineStr">
        <is>
          <t>LUDVIKA</t>
        </is>
      </c>
      <c r="F364" t="inlineStr">
        <is>
          <t>Naturvårdsverket</t>
        </is>
      </c>
      <c r="G364" t="n">
        <v>2.4</v>
      </c>
      <c r="H364" t="n">
        <v>0</v>
      </c>
      <c r="I364" t="n">
        <v>0</v>
      </c>
      <c r="J364" t="n">
        <v>0</v>
      </c>
      <c r="K364" t="n">
        <v>0</v>
      </c>
      <c r="L364" t="n">
        <v>0</v>
      </c>
      <c r="M364" t="n">
        <v>0</v>
      </c>
      <c r="N364" t="n">
        <v>0</v>
      </c>
      <c r="O364" t="n">
        <v>0</v>
      </c>
      <c r="P364" t="n">
        <v>0</v>
      </c>
      <c r="Q364" t="n">
        <v>0</v>
      </c>
      <c r="R364" s="2" t="inlineStr"/>
    </row>
    <row r="365" ht="15" customHeight="1">
      <c r="A365" t="inlineStr">
        <is>
          <t>A 38014-2022</t>
        </is>
      </c>
      <c r="B365" s="1" t="n">
        <v>44811</v>
      </c>
      <c r="C365" s="1" t="n">
        <v>45473</v>
      </c>
      <c r="D365" t="inlineStr">
        <is>
          <t>DALARNAS LÄN</t>
        </is>
      </c>
      <c r="E365" t="inlineStr">
        <is>
          <t>LUDVIKA</t>
        </is>
      </c>
      <c r="F365" t="inlineStr">
        <is>
          <t>Naturvårdsverket</t>
        </is>
      </c>
      <c r="G365" t="n">
        <v>1.2</v>
      </c>
      <c r="H365" t="n">
        <v>0</v>
      </c>
      <c r="I365" t="n">
        <v>0</v>
      </c>
      <c r="J365" t="n">
        <v>0</v>
      </c>
      <c r="K365" t="n">
        <v>0</v>
      </c>
      <c r="L365" t="n">
        <v>0</v>
      </c>
      <c r="M365" t="n">
        <v>0</v>
      </c>
      <c r="N365" t="n">
        <v>0</v>
      </c>
      <c r="O365" t="n">
        <v>0</v>
      </c>
      <c r="P365" t="n">
        <v>0</v>
      </c>
      <c r="Q365" t="n">
        <v>0</v>
      </c>
      <c r="R365" s="2" t="inlineStr"/>
    </row>
    <row r="366" ht="15" customHeight="1">
      <c r="A366" t="inlineStr">
        <is>
          <t>A 38565-2022</t>
        </is>
      </c>
      <c r="B366" s="1" t="n">
        <v>44813</v>
      </c>
      <c r="C366" s="1" t="n">
        <v>45473</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39090-2022</t>
        </is>
      </c>
      <c r="B367" s="1" t="n">
        <v>44817</v>
      </c>
      <c r="C367" s="1" t="n">
        <v>45473</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39257-2022</t>
        </is>
      </c>
      <c r="B368" s="1" t="n">
        <v>44817</v>
      </c>
      <c r="C368" s="1" t="n">
        <v>45473</v>
      </c>
      <c r="D368" t="inlineStr">
        <is>
          <t>DALARNAS LÄN</t>
        </is>
      </c>
      <c r="E368" t="inlineStr">
        <is>
          <t>LUDVIKA</t>
        </is>
      </c>
      <c r="F368" t="inlineStr">
        <is>
          <t>Bergvik skog väst AB</t>
        </is>
      </c>
      <c r="G368" t="n">
        <v>10</v>
      </c>
      <c r="H368" t="n">
        <v>0</v>
      </c>
      <c r="I368" t="n">
        <v>0</v>
      </c>
      <c r="J368" t="n">
        <v>0</v>
      </c>
      <c r="K368" t="n">
        <v>0</v>
      </c>
      <c r="L368" t="n">
        <v>0</v>
      </c>
      <c r="M368" t="n">
        <v>0</v>
      </c>
      <c r="N368" t="n">
        <v>0</v>
      </c>
      <c r="O368" t="n">
        <v>0</v>
      </c>
      <c r="P368" t="n">
        <v>0</v>
      </c>
      <c r="Q368" t="n">
        <v>0</v>
      </c>
      <c r="R368" s="2" t="inlineStr"/>
    </row>
    <row r="369" ht="15" customHeight="1">
      <c r="A369" t="inlineStr">
        <is>
          <t>A 39761-2022</t>
        </is>
      </c>
      <c r="B369" s="1" t="n">
        <v>44819</v>
      </c>
      <c r="C369" s="1" t="n">
        <v>45473</v>
      </c>
      <c r="D369" t="inlineStr">
        <is>
          <t>DALARNAS LÄN</t>
        </is>
      </c>
      <c r="E369" t="inlineStr">
        <is>
          <t>LUDVIKA</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40151-2022</t>
        </is>
      </c>
      <c r="B370" s="1" t="n">
        <v>44820</v>
      </c>
      <c r="C370" s="1" t="n">
        <v>45473</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40137-2022</t>
        </is>
      </c>
      <c r="B371" s="1" t="n">
        <v>44820</v>
      </c>
      <c r="C371" s="1" t="n">
        <v>45473</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40142-2022</t>
        </is>
      </c>
      <c r="B372" s="1" t="n">
        <v>44820</v>
      </c>
      <c r="C372" s="1" t="n">
        <v>45473</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41090-2022</t>
        </is>
      </c>
      <c r="B373" s="1" t="n">
        <v>44825</v>
      </c>
      <c r="C373" s="1" t="n">
        <v>45473</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41158-2022</t>
        </is>
      </c>
      <c r="B374" s="1" t="n">
        <v>44825</v>
      </c>
      <c r="C374" s="1" t="n">
        <v>45473</v>
      </c>
      <c r="D374" t="inlineStr">
        <is>
          <t>DALARNAS LÄN</t>
        </is>
      </c>
      <c r="E374" t="inlineStr">
        <is>
          <t>LUDVIKA</t>
        </is>
      </c>
      <c r="G374" t="n">
        <v>2.1</v>
      </c>
      <c r="H374" t="n">
        <v>0</v>
      </c>
      <c r="I374" t="n">
        <v>0</v>
      </c>
      <c r="J374" t="n">
        <v>0</v>
      </c>
      <c r="K374" t="n">
        <v>0</v>
      </c>
      <c r="L374" t="n">
        <v>0</v>
      </c>
      <c r="M374" t="n">
        <v>0</v>
      </c>
      <c r="N374" t="n">
        <v>0</v>
      </c>
      <c r="O374" t="n">
        <v>0</v>
      </c>
      <c r="P374" t="n">
        <v>0</v>
      </c>
      <c r="Q374" t="n">
        <v>0</v>
      </c>
      <c r="R374" s="2" t="inlineStr"/>
    </row>
    <row r="375" ht="15" customHeight="1">
      <c r="A375" t="inlineStr">
        <is>
          <t>A 41123-2022</t>
        </is>
      </c>
      <c r="B375" s="1" t="n">
        <v>44825</v>
      </c>
      <c r="C375" s="1" t="n">
        <v>45473</v>
      </c>
      <c r="D375" t="inlineStr">
        <is>
          <t>DALARNAS LÄN</t>
        </is>
      </c>
      <c r="E375" t="inlineStr">
        <is>
          <t>LUDVIKA</t>
        </is>
      </c>
      <c r="F375" t="inlineStr">
        <is>
          <t>Naturvårdsverket</t>
        </is>
      </c>
      <c r="G375" t="n">
        <v>1</v>
      </c>
      <c r="H375" t="n">
        <v>0</v>
      </c>
      <c r="I375" t="n">
        <v>0</v>
      </c>
      <c r="J375" t="n">
        <v>0</v>
      </c>
      <c r="K375" t="n">
        <v>0</v>
      </c>
      <c r="L375" t="n">
        <v>0</v>
      </c>
      <c r="M375" t="n">
        <v>0</v>
      </c>
      <c r="N375" t="n">
        <v>0</v>
      </c>
      <c r="O375" t="n">
        <v>0</v>
      </c>
      <c r="P375" t="n">
        <v>0</v>
      </c>
      <c r="Q375" t="n">
        <v>0</v>
      </c>
      <c r="R375" s="2" t="inlineStr"/>
    </row>
    <row r="376" ht="15" customHeight="1">
      <c r="A376" t="inlineStr">
        <is>
          <t>A 41400-2022</t>
        </is>
      </c>
      <c r="B376" s="1" t="n">
        <v>44826</v>
      </c>
      <c r="C376" s="1" t="n">
        <v>45473</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41328-2022</t>
        </is>
      </c>
      <c r="B377" s="1" t="n">
        <v>44826</v>
      </c>
      <c r="C377" s="1" t="n">
        <v>45473</v>
      </c>
      <c r="D377" t="inlineStr">
        <is>
          <t>DALARNAS LÄN</t>
        </is>
      </c>
      <c r="E377" t="inlineStr">
        <is>
          <t>LUDVIKA</t>
        </is>
      </c>
      <c r="F377" t="inlineStr">
        <is>
          <t>Bergvik skog väst AB</t>
        </is>
      </c>
      <c r="G377" t="n">
        <v>6.1</v>
      </c>
      <c r="H377" t="n">
        <v>0</v>
      </c>
      <c r="I377" t="n">
        <v>0</v>
      </c>
      <c r="J377" t="n">
        <v>0</v>
      </c>
      <c r="K377" t="n">
        <v>0</v>
      </c>
      <c r="L377" t="n">
        <v>0</v>
      </c>
      <c r="M377" t="n">
        <v>0</v>
      </c>
      <c r="N377" t="n">
        <v>0</v>
      </c>
      <c r="O377" t="n">
        <v>0</v>
      </c>
      <c r="P377" t="n">
        <v>0</v>
      </c>
      <c r="Q377" t="n">
        <v>0</v>
      </c>
      <c r="R377" s="2" t="inlineStr"/>
    </row>
    <row r="378" ht="15" customHeight="1">
      <c r="A378" t="inlineStr">
        <is>
          <t>A 41712-2022</t>
        </is>
      </c>
      <c r="B378" s="1" t="n">
        <v>44827</v>
      </c>
      <c r="C378" s="1" t="n">
        <v>45473</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41594-2022</t>
        </is>
      </c>
      <c r="B379" s="1" t="n">
        <v>44827</v>
      </c>
      <c r="C379" s="1" t="n">
        <v>45473</v>
      </c>
      <c r="D379" t="inlineStr">
        <is>
          <t>DALARNAS LÄN</t>
        </is>
      </c>
      <c r="E379" t="inlineStr">
        <is>
          <t>LUDVIKA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41796-2022</t>
        </is>
      </c>
      <c r="B380" s="1" t="n">
        <v>44827</v>
      </c>
      <c r="C380" s="1" t="n">
        <v>45473</v>
      </c>
      <c r="D380" t="inlineStr">
        <is>
          <t>DALARNAS LÄN</t>
        </is>
      </c>
      <c r="E380" t="inlineStr">
        <is>
          <t>LUDVIKA</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41797-2022</t>
        </is>
      </c>
      <c r="B381" s="1" t="n">
        <v>44827</v>
      </c>
      <c r="C381" s="1" t="n">
        <v>45473</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42140-2022</t>
        </is>
      </c>
      <c r="B382" s="1" t="n">
        <v>44830</v>
      </c>
      <c r="C382" s="1" t="n">
        <v>45473</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42329-2022</t>
        </is>
      </c>
      <c r="B383" s="1" t="n">
        <v>44831</v>
      </c>
      <c r="C383" s="1" t="n">
        <v>45473</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42440-2022</t>
        </is>
      </c>
      <c r="B384" s="1" t="n">
        <v>44831</v>
      </c>
      <c r="C384" s="1" t="n">
        <v>45473</v>
      </c>
      <c r="D384" t="inlineStr">
        <is>
          <t>DALARNAS LÄN</t>
        </is>
      </c>
      <c r="E384" t="inlineStr">
        <is>
          <t>LUDVIKA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42572-2022</t>
        </is>
      </c>
      <c r="B385" s="1" t="n">
        <v>44831</v>
      </c>
      <c r="C385" s="1" t="n">
        <v>45473</v>
      </c>
      <c r="D385" t="inlineStr">
        <is>
          <t>DALARNAS LÄN</t>
        </is>
      </c>
      <c r="E385" t="inlineStr">
        <is>
          <t>LUDVIKA</t>
        </is>
      </c>
      <c r="F385" t="inlineStr">
        <is>
          <t>Bergvik skog väst AB</t>
        </is>
      </c>
      <c r="G385" t="n">
        <v>9.1</v>
      </c>
      <c r="H385" t="n">
        <v>0</v>
      </c>
      <c r="I385" t="n">
        <v>0</v>
      </c>
      <c r="J385" t="n">
        <v>0</v>
      </c>
      <c r="K385" t="n">
        <v>0</v>
      </c>
      <c r="L385" t="n">
        <v>0</v>
      </c>
      <c r="M385" t="n">
        <v>0</v>
      </c>
      <c r="N385" t="n">
        <v>0</v>
      </c>
      <c r="O385" t="n">
        <v>0</v>
      </c>
      <c r="P385" t="n">
        <v>0</v>
      </c>
      <c r="Q385" t="n">
        <v>0</v>
      </c>
      <c r="R385" s="2" t="inlineStr"/>
    </row>
    <row r="386" ht="15" customHeight="1">
      <c r="A386" t="inlineStr">
        <is>
          <t>A 42709-2022</t>
        </is>
      </c>
      <c r="B386" s="1" t="n">
        <v>44832</v>
      </c>
      <c r="C386" s="1" t="n">
        <v>45473</v>
      </c>
      <c r="D386" t="inlineStr">
        <is>
          <t>DALARNAS LÄN</t>
        </is>
      </c>
      <c r="E386" t="inlineStr">
        <is>
          <t>LUDVIKA</t>
        </is>
      </c>
      <c r="F386" t="inlineStr">
        <is>
          <t>Naturvårdsverket</t>
        </is>
      </c>
      <c r="G386" t="n">
        <v>4.5</v>
      </c>
      <c r="H386" t="n">
        <v>0</v>
      </c>
      <c r="I386" t="n">
        <v>0</v>
      </c>
      <c r="J386" t="n">
        <v>0</v>
      </c>
      <c r="K386" t="n">
        <v>0</v>
      </c>
      <c r="L386" t="n">
        <v>0</v>
      </c>
      <c r="M386" t="n">
        <v>0</v>
      </c>
      <c r="N386" t="n">
        <v>0</v>
      </c>
      <c r="O386" t="n">
        <v>0</v>
      </c>
      <c r="P386" t="n">
        <v>0</v>
      </c>
      <c r="Q386" t="n">
        <v>0</v>
      </c>
      <c r="R386" s="2" t="inlineStr"/>
    </row>
    <row r="387" ht="15" customHeight="1">
      <c r="A387" t="inlineStr">
        <is>
          <t>A 43008-2022</t>
        </is>
      </c>
      <c r="B387" s="1" t="n">
        <v>44833</v>
      </c>
      <c r="C387" s="1" t="n">
        <v>45473</v>
      </c>
      <c r="D387" t="inlineStr">
        <is>
          <t>DALARNAS LÄN</t>
        </is>
      </c>
      <c r="E387" t="inlineStr">
        <is>
          <t>LUDVIKA</t>
        </is>
      </c>
      <c r="G387" t="n">
        <v>0.8</v>
      </c>
      <c r="H387" t="n">
        <v>0</v>
      </c>
      <c r="I387" t="n">
        <v>0</v>
      </c>
      <c r="J387" t="n">
        <v>0</v>
      </c>
      <c r="K387" t="n">
        <v>0</v>
      </c>
      <c r="L387" t="n">
        <v>0</v>
      </c>
      <c r="M387" t="n">
        <v>0</v>
      </c>
      <c r="N387" t="n">
        <v>0</v>
      </c>
      <c r="O387" t="n">
        <v>0</v>
      </c>
      <c r="P387" t="n">
        <v>0</v>
      </c>
      <c r="Q387" t="n">
        <v>0</v>
      </c>
      <c r="R387" s="2" t="inlineStr"/>
    </row>
    <row r="388" ht="15" customHeight="1">
      <c r="A388" t="inlineStr">
        <is>
          <t>A 43047-2022</t>
        </is>
      </c>
      <c r="B388" s="1" t="n">
        <v>44833</v>
      </c>
      <c r="C388" s="1" t="n">
        <v>45473</v>
      </c>
      <c r="D388" t="inlineStr">
        <is>
          <t>DALARNAS LÄN</t>
        </is>
      </c>
      <c r="E388" t="inlineStr">
        <is>
          <t>LUDVIKA</t>
        </is>
      </c>
      <c r="F388" t="inlineStr">
        <is>
          <t>Bergvik skog väst AB</t>
        </is>
      </c>
      <c r="G388" t="n">
        <v>9.5</v>
      </c>
      <c r="H388" t="n">
        <v>0</v>
      </c>
      <c r="I388" t="n">
        <v>0</v>
      </c>
      <c r="J388" t="n">
        <v>0</v>
      </c>
      <c r="K388" t="n">
        <v>0</v>
      </c>
      <c r="L388" t="n">
        <v>0</v>
      </c>
      <c r="M388" t="n">
        <v>0</v>
      </c>
      <c r="N388" t="n">
        <v>0</v>
      </c>
      <c r="O388" t="n">
        <v>0</v>
      </c>
      <c r="P388" t="n">
        <v>0</v>
      </c>
      <c r="Q388" t="n">
        <v>0</v>
      </c>
      <c r="R388" s="2" t="inlineStr"/>
    </row>
    <row r="389" ht="15" customHeight="1">
      <c r="A389" t="inlineStr">
        <is>
          <t>A 45060-2022</t>
        </is>
      </c>
      <c r="B389" s="1" t="n">
        <v>44841</v>
      </c>
      <c r="C389" s="1" t="n">
        <v>45473</v>
      </c>
      <c r="D389" t="inlineStr">
        <is>
          <t>DALARNAS LÄN</t>
        </is>
      </c>
      <c r="E389" t="inlineStr">
        <is>
          <t>LUDVIKA</t>
        </is>
      </c>
      <c r="G389" t="n">
        <v>1.1</v>
      </c>
      <c r="H389" t="n">
        <v>0</v>
      </c>
      <c r="I389" t="n">
        <v>0</v>
      </c>
      <c r="J389" t="n">
        <v>0</v>
      </c>
      <c r="K389" t="n">
        <v>0</v>
      </c>
      <c r="L389" t="n">
        <v>0</v>
      </c>
      <c r="M389" t="n">
        <v>0</v>
      </c>
      <c r="N389" t="n">
        <v>0</v>
      </c>
      <c r="O389" t="n">
        <v>0</v>
      </c>
      <c r="P389" t="n">
        <v>0</v>
      </c>
      <c r="Q389" t="n">
        <v>0</v>
      </c>
      <c r="R389" s="2" t="inlineStr"/>
    </row>
    <row r="390" ht="15" customHeight="1">
      <c r="A390" t="inlineStr">
        <is>
          <t>A 45235-2022</t>
        </is>
      </c>
      <c r="B390" s="1" t="n">
        <v>44844</v>
      </c>
      <c r="C390" s="1" t="n">
        <v>45473</v>
      </c>
      <c r="D390" t="inlineStr">
        <is>
          <t>DALARNAS LÄN</t>
        </is>
      </c>
      <c r="E390" t="inlineStr">
        <is>
          <t>LUDVIKA</t>
        </is>
      </c>
      <c r="F390" t="inlineStr">
        <is>
          <t>Naturvårdsverket</t>
        </is>
      </c>
      <c r="G390" t="n">
        <v>4.1</v>
      </c>
      <c r="H390" t="n">
        <v>0</v>
      </c>
      <c r="I390" t="n">
        <v>0</v>
      </c>
      <c r="J390" t="n">
        <v>0</v>
      </c>
      <c r="K390" t="n">
        <v>0</v>
      </c>
      <c r="L390" t="n">
        <v>0</v>
      </c>
      <c r="M390" t="n">
        <v>0</v>
      </c>
      <c r="N390" t="n">
        <v>0</v>
      </c>
      <c r="O390" t="n">
        <v>0</v>
      </c>
      <c r="P390" t="n">
        <v>0</v>
      </c>
      <c r="Q390" t="n">
        <v>0</v>
      </c>
      <c r="R390" s="2" t="inlineStr"/>
    </row>
    <row r="391" ht="15" customHeight="1">
      <c r="A391" t="inlineStr">
        <is>
          <t>A 45179-2022</t>
        </is>
      </c>
      <c r="B391" s="1" t="n">
        <v>44844</v>
      </c>
      <c r="C391" s="1" t="n">
        <v>45473</v>
      </c>
      <c r="D391" t="inlineStr">
        <is>
          <t>DALARNAS LÄN</t>
        </is>
      </c>
      <c r="E391" t="inlineStr">
        <is>
          <t>LUDVIKA</t>
        </is>
      </c>
      <c r="F391" t="inlineStr">
        <is>
          <t>Naturvårdsverket</t>
        </is>
      </c>
      <c r="G391" t="n">
        <v>4.3</v>
      </c>
      <c r="H391" t="n">
        <v>0</v>
      </c>
      <c r="I391" t="n">
        <v>0</v>
      </c>
      <c r="J391" t="n">
        <v>0</v>
      </c>
      <c r="K391" t="n">
        <v>0</v>
      </c>
      <c r="L391" t="n">
        <v>0</v>
      </c>
      <c r="M391" t="n">
        <v>0</v>
      </c>
      <c r="N391" t="n">
        <v>0</v>
      </c>
      <c r="O391" t="n">
        <v>0</v>
      </c>
      <c r="P391" t="n">
        <v>0</v>
      </c>
      <c r="Q391" t="n">
        <v>0</v>
      </c>
      <c r="R391" s="2" t="inlineStr"/>
    </row>
    <row r="392" ht="15" customHeight="1">
      <c r="A392" t="inlineStr">
        <is>
          <t>A 45230-2022</t>
        </is>
      </c>
      <c r="B392" s="1" t="n">
        <v>44844</v>
      </c>
      <c r="C392" s="1" t="n">
        <v>45473</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45268-2022</t>
        </is>
      </c>
      <c r="B393" s="1" t="n">
        <v>44844</v>
      </c>
      <c r="C393" s="1" t="n">
        <v>45473</v>
      </c>
      <c r="D393" t="inlineStr">
        <is>
          <t>DALARNAS LÄN</t>
        </is>
      </c>
      <c r="E393" t="inlineStr">
        <is>
          <t>LUDVIKA</t>
        </is>
      </c>
      <c r="F393" t="inlineStr">
        <is>
          <t>Naturvårdsverket</t>
        </is>
      </c>
      <c r="G393" t="n">
        <v>2.3</v>
      </c>
      <c r="H393" t="n">
        <v>0</v>
      </c>
      <c r="I393" t="n">
        <v>0</v>
      </c>
      <c r="J393" t="n">
        <v>0</v>
      </c>
      <c r="K393" t="n">
        <v>0</v>
      </c>
      <c r="L393" t="n">
        <v>0</v>
      </c>
      <c r="M393" t="n">
        <v>0</v>
      </c>
      <c r="N393" t="n">
        <v>0</v>
      </c>
      <c r="O393" t="n">
        <v>0</v>
      </c>
      <c r="P393" t="n">
        <v>0</v>
      </c>
      <c r="Q393" t="n">
        <v>0</v>
      </c>
      <c r="R393" s="2" t="inlineStr"/>
    </row>
    <row r="394" ht="15" customHeight="1">
      <c r="A394" t="inlineStr">
        <is>
          <t>A 45361-2022</t>
        </is>
      </c>
      <c r="B394" s="1" t="n">
        <v>44844</v>
      </c>
      <c r="C394" s="1" t="n">
        <v>45473</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45458-2022</t>
        </is>
      </c>
      <c r="B395" s="1" t="n">
        <v>44845</v>
      </c>
      <c r="C395" s="1" t="n">
        <v>45473</v>
      </c>
      <c r="D395" t="inlineStr">
        <is>
          <t>DALARNAS LÄN</t>
        </is>
      </c>
      <c r="E395" t="inlineStr">
        <is>
          <t>LUDVIKA</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46878-2022</t>
        </is>
      </c>
      <c r="B396" s="1" t="n">
        <v>44848</v>
      </c>
      <c r="C396" s="1" t="n">
        <v>45473</v>
      </c>
      <c r="D396" t="inlineStr">
        <is>
          <t>DALARNAS LÄN</t>
        </is>
      </c>
      <c r="E396" t="inlineStr">
        <is>
          <t>LUDVIKA</t>
        </is>
      </c>
      <c r="G396" t="n">
        <v>4</v>
      </c>
      <c r="H396" t="n">
        <v>0</v>
      </c>
      <c r="I396" t="n">
        <v>0</v>
      </c>
      <c r="J396" t="n">
        <v>0</v>
      </c>
      <c r="K396" t="n">
        <v>0</v>
      </c>
      <c r="L396" t="n">
        <v>0</v>
      </c>
      <c r="M396" t="n">
        <v>0</v>
      </c>
      <c r="N396" t="n">
        <v>0</v>
      </c>
      <c r="O396" t="n">
        <v>0</v>
      </c>
      <c r="P396" t="n">
        <v>0</v>
      </c>
      <c r="Q396" t="n">
        <v>0</v>
      </c>
      <c r="R396" s="2" t="inlineStr"/>
    </row>
    <row r="397" ht="15" customHeight="1">
      <c r="A397" t="inlineStr">
        <is>
          <t>A 46680-2022</t>
        </is>
      </c>
      <c r="B397" s="1" t="n">
        <v>44851</v>
      </c>
      <c r="C397" s="1" t="n">
        <v>45473</v>
      </c>
      <c r="D397" t="inlineStr">
        <is>
          <t>DALARNAS LÄN</t>
        </is>
      </c>
      <c r="E397" t="inlineStr">
        <is>
          <t>LUDVIKA</t>
        </is>
      </c>
      <c r="G397" t="n">
        <v>2.6</v>
      </c>
      <c r="H397" t="n">
        <v>0</v>
      </c>
      <c r="I397" t="n">
        <v>0</v>
      </c>
      <c r="J397" t="n">
        <v>0</v>
      </c>
      <c r="K397" t="n">
        <v>0</v>
      </c>
      <c r="L397" t="n">
        <v>0</v>
      </c>
      <c r="M397" t="n">
        <v>0</v>
      </c>
      <c r="N397" t="n">
        <v>0</v>
      </c>
      <c r="O397" t="n">
        <v>0</v>
      </c>
      <c r="P397" t="n">
        <v>0</v>
      </c>
      <c r="Q397" t="n">
        <v>0</v>
      </c>
      <c r="R397" s="2" t="inlineStr"/>
    </row>
    <row r="398" ht="15" customHeight="1">
      <c r="A398" t="inlineStr">
        <is>
          <t>A 46905-2022</t>
        </is>
      </c>
      <c r="B398" s="1" t="n">
        <v>44851</v>
      </c>
      <c r="C398" s="1" t="n">
        <v>45473</v>
      </c>
      <c r="D398" t="inlineStr">
        <is>
          <t>DALARNAS LÄN</t>
        </is>
      </c>
      <c r="E398" t="inlineStr">
        <is>
          <t>LUDVIKA</t>
        </is>
      </c>
      <c r="F398" t="inlineStr">
        <is>
          <t>Naturvårdsverket</t>
        </is>
      </c>
      <c r="G398" t="n">
        <v>0.6</v>
      </c>
      <c r="H398" t="n">
        <v>0</v>
      </c>
      <c r="I398" t="n">
        <v>0</v>
      </c>
      <c r="J398" t="n">
        <v>0</v>
      </c>
      <c r="K398" t="n">
        <v>0</v>
      </c>
      <c r="L398" t="n">
        <v>0</v>
      </c>
      <c r="M398" t="n">
        <v>0</v>
      </c>
      <c r="N398" t="n">
        <v>0</v>
      </c>
      <c r="O398" t="n">
        <v>0</v>
      </c>
      <c r="P398" t="n">
        <v>0</v>
      </c>
      <c r="Q398" t="n">
        <v>0</v>
      </c>
      <c r="R398" s="2" t="inlineStr"/>
    </row>
    <row r="399" ht="15" customHeight="1">
      <c r="A399" t="inlineStr">
        <is>
          <t>A 47071-2022</t>
        </is>
      </c>
      <c r="B399" s="1" t="n">
        <v>44852</v>
      </c>
      <c r="C399" s="1" t="n">
        <v>45473</v>
      </c>
      <c r="D399" t="inlineStr">
        <is>
          <t>DALARNAS LÄN</t>
        </is>
      </c>
      <c r="E399" t="inlineStr">
        <is>
          <t>LUDVIKA</t>
        </is>
      </c>
      <c r="G399" t="n">
        <v>1.2</v>
      </c>
      <c r="H399" t="n">
        <v>0</v>
      </c>
      <c r="I399" t="n">
        <v>0</v>
      </c>
      <c r="J399" t="n">
        <v>0</v>
      </c>
      <c r="K399" t="n">
        <v>0</v>
      </c>
      <c r="L399" t="n">
        <v>0</v>
      </c>
      <c r="M399" t="n">
        <v>0</v>
      </c>
      <c r="N399" t="n">
        <v>0</v>
      </c>
      <c r="O399" t="n">
        <v>0</v>
      </c>
      <c r="P399" t="n">
        <v>0</v>
      </c>
      <c r="Q399" t="n">
        <v>0</v>
      </c>
      <c r="R399" s="2" t="inlineStr"/>
    </row>
    <row r="400" ht="15" customHeight="1">
      <c r="A400" t="inlineStr">
        <is>
          <t>A 47496-2022</t>
        </is>
      </c>
      <c r="B400" s="1" t="n">
        <v>44853</v>
      </c>
      <c r="C400" s="1" t="n">
        <v>45473</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47731-2022</t>
        </is>
      </c>
      <c r="B401" s="1" t="n">
        <v>44854</v>
      </c>
      <c r="C401" s="1" t="n">
        <v>45473</v>
      </c>
      <c r="D401" t="inlineStr">
        <is>
          <t>DALARNAS LÄN</t>
        </is>
      </c>
      <c r="E401" t="inlineStr">
        <is>
          <t>LUDVIKA</t>
        </is>
      </c>
      <c r="F401" t="inlineStr">
        <is>
          <t>Naturvårdsverket</t>
        </is>
      </c>
      <c r="G401" t="n">
        <v>2.1</v>
      </c>
      <c r="H401" t="n">
        <v>0</v>
      </c>
      <c r="I401" t="n">
        <v>0</v>
      </c>
      <c r="J401" t="n">
        <v>0</v>
      </c>
      <c r="K401" t="n">
        <v>0</v>
      </c>
      <c r="L401" t="n">
        <v>0</v>
      </c>
      <c r="M401" t="n">
        <v>0</v>
      </c>
      <c r="N401" t="n">
        <v>0</v>
      </c>
      <c r="O401" t="n">
        <v>0</v>
      </c>
      <c r="P401" t="n">
        <v>0</v>
      </c>
      <c r="Q401" t="n">
        <v>0</v>
      </c>
      <c r="R401" s="2" t="inlineStr"/>
    </row>
    <row r="402" ht="15" customHeight="1">
      <c r="A402" t="inlineStr">
        <is>
          <t>A 48740-2022</t>
        </is>
      </c>
      <c r="B402" s="1" t="n">
        <v>44859</v>
      </c>
      <c r="C402" s="1" t="n">
        <v>45473</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48804-2022</t>
        </is>
      </c>
      <c r="B403" s="1" t="n">
        <v>44859</v>
      </c>
      <c r="C403" s="1" t="n">
        <v>45473</v>
      </c>
      <c r="D403" t="inlineStr">
        <is>
          <t>DALARNAS LÄN</t>
        </is>
      </c>
      <c r="E403" t="inlineStr">
        <is>
          <t>LUDVIKA</t>
        </is>
      </c>
      <c r="F403" t="inlineStr">
        <is>
          <t>Naturvårdsverket</t>
        </is>
      </c>
      <c r="G403" t="n">
        <v>5.1</v>
      </c>
      <c r="H403" t="n">
        <v>0</v>
      </c>
      <c r="I403" t="n">
        <v>0</v>
      </c>
      <c r="J403" t="n">
        <v>0</v>
      </c>
      <c r="K403" t="n">
        <v>0</v>
      </c>
      <c r="L403" t="n">
        <v>0</v>
      </c>
      <c r="M403" t="n">
        <v>0</v>
      </c>
      <c r="N403" t="n">
        <v>0</v>
      </c>
      <c r="O403" t="n">
        <v>0</v>
      </c>
      <c r="P403" t="n">
        <v>0</v>
      </c>
      <c r="Q403" t="n">
        <v>0</v>
      </c>
      <c r="R403" s="2" t="inlineStr"/>
    </row>
    <row r="404" ht="15" customHeight="1">
      <c r="A404" t="inlineStr">
        <is>
          <t>A 48642-2022</t>
        </is>
      </c>
      <c r="B404" s="1" t="n">
        <v>44859</v>
      </c>
      <c r="C404" s="1" t="n">
        <v>45473</v>
      </c>
      <c r="D404" t="inlineStr">
        <is>
          <t>DALARNAS LÄN</t>
        </is>
      </c>
      <c r="E404" t="inlineStr">
        <is>
          <t>LUDVIKA</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48715-2022</t>
        </is>
      </c>
      <c r="B405" s="1" t="n">
        <v>44859</v>
      </c>
      <c r="C405" s="1" t="n">
        <v>45473</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48748-2022</t>
        </is>
      </c>
      <c r="B406" s="1" t="n">
        <v>44859</v>
      </c>
      <c r="C406" s="1" t="n">
        <v>45473</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48857-2022</t>
        </is>
      </c>
      <c r="B407" s="1" t="n">
        <v>44859</v>
      </c>
      <c r="C407" s="1" t="n">
        <v>45473</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48673-2022</t>
        </is>
      </c>
      <c r="B408" s="1" t="n">
        <v>44859</v>
      </c>
      <c r="C408" s="1" t="n">
        <v>45473</v>
      </c>
      <c r="D408" t="inlineStr">
        <is>
          <t>DALARNAS LÄN</t>
        </is>
      </c>
      <c r="E408" t="inlineStr">
        <is>
          <t>LUDVIKA</t>
        </is>
      </c>
      <c r="F408" t="inlineStr">
        <is>
          <t>Naturvårdsverket</t>
        </is>
      </c>
      <c r="G408" t="n">
        <v>1.4</v>
      </c>
      <c r="H408" t="n">
        <v>0</v>
      </c>
      <c r="I408" t="n">
        <v>0</v>
      </c>
      <c r="J408" t="n">
        <v>0</v>
      </c>
      <c r="K408" t="n">
        <v>0</v>
      </c>
      <c r="L408" t="n">
        <v>0</v>
      </c>
      <c r="M408" t="n">
        <v>0</v>
      </c>
      <c r="N408" t="n">
        <v>0</v>
      </c>
      <c r="O408" t="n">
        <v>0</v>
      </c>
      <c r="P408" t="n">
        <v>0</v>
      </c>
      <c r="Q408" t="n">
        <v>0</v>
      </c>
      <c r="R408" s="2" t="inlineStr"/>
    </row>
    <row r="409" ht="15" customHeight="1">
      <c r="A409" t="inlineStr">
        <is>
          <t>A 48759-2022</t>
        </is>
      </c>
      <c r="B409" s="1" t="n">
        <v>44859</v>
      </c>
      <c r="C409" s="1" t="n">
        <v>45473</v>
      </c>
      <c r="D409" t="inlineStr">
        <is>
          <t>DALARNAS LÄN</t>
        </is>
      </c>
      <c r="E409" t="inlineStr">
        <is>
          <t>LUDVIKA</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49371-2022</t>
        </is>
      </c>
      <c r="B410" s="1" t="n">
        <v>44861</v>
      </c>
      <c r="C410" s="1" t="n">
        <v>45473</v>
      </c>
      <c r="D410" t="inlineStr">
        <is>
          <t>DALARNAS LÄN</t>
        </is>
      </c>
      <c r="E410" t="inlineStr">
        <is>
          <t>LUDVIKA</t>
        </is>
      </c>
      <c r="F410" t="inlineStr">
        <is>
          <t>Bergvik skog väst AB</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49564-2022</t>
        </is>
      </c>
      <c r="B411" s="1" t="n">
        <v>44862</v>
      </c>
      <c r="C411" s="1" t="n">
        <v>45473</v>
      </c>
      <c r="D411" t="inlineStr">
        <is>
          <t>DALARNAS LÄN</t>
        </is>
      </c>
      <c r="E411" t="inlineStr">
        <is>
          <t>LUDVIKA</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50078-2022</t>
        </is>
      </c>
      <c r="B412" s="1" t="n">
        <v>44865</v>
      </c>
      <c r="C412" s="1" t="n">
        <v>45473</v>
      </c>
      <c r="D412" t="inlineStr">
        <is>
          <t>DALARNAS LÄN</t>
        </is>
      </c>
      <c r="E412" t="inlineStr">
        <is>
          <t>LUDVIKA</t>
        </is>
      </c>
      <c r="F412" t="inlineStr">
        <is>
          <t>Naturvårdsverket</t>
        </is>
      </c>
      <c r="G412" t="n">
        <v>0.7</v>
      </c>
      <c r="H412" t="n">
        <v>0</v>
      </c>
      <c r="I412" t="n">
        <v>0</v>
      </c>
      <c r="J412" t="n">
        <v>0</v>
      </c>
      <c r="K412" t="n">
        <v>0</v>
      </c>
      <c r="L412" t="n">
        <v>0</v>
      </c>
      <c r="M412" t="n">
        <v>0</v>
      </c>
      <c r="N412" t="n">
        <v>0</v>
      </c>
      <c r="O412" t="n">
        <v>0</v>
      </c>
      <c r="P412" t="n">
        <v>0</v>
      </c>
      <c r="Q412" t="n">
        <v>0</v>
      </c>
      <c r="R412" s="2" t="inlineStr"/>
    </row>
    <row r="413" ht="15" customHeight="1">
      <c r="A413" t="inlineStr">
        <is>
          <t>A 49951-2022</t>
        </is>
      </c>
      <c r="B413" s="1" t="n">
        <v>44865</v>
      </c>
      <c r="C413" s="1" t="n">
        <v>45473</v>
      </c>
      <c r="D413" t="inlineStr">
        <is>
          <t>DALARNAS LÄN</t>
        </is>
      </c>
      <c r="E413" t="inlineStr">
        <is>
          <t>LUDVIKA</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50057-2022</t>
        </is>
      </c>
      <c r="B414" s="1" t="n">
        <v>44865</v>
      </c>
      <c r="C414" s="1" t="n">
        <v>45473</v>
      </c>
      <c r="D414" t="inlineStr">
        <is>
          <t>DALARNAS LÄN</t>
        </is>
      </c>
      <c r="E414" t="inlineStr">
        <is>
          <t>LUDVIKA</t>
        </is>
      </c>
      <c r="F414" t="inlineStr">
        <is>
          <t>Naturvårdsverket</t>
        </is>
      </c>
      <c r="G414" t="n">
        <v>2.3</v>
      </c>
      <c r="H414" t="n">
        <v>0</v>
      </c>
      <c r="I414" t="n">
        <v>0</v>
      </c>
      <c r="J414" t="n">
        <v>0</v>
      </c>
      <c r="K414" t="n">
        <v>0</v>
      </c>
      <c r="L414" t="n">
        <v>0</v>
      </c>
      <c r="M414" t="n">
        <v>0</v>
      </c>
      <c r="N414" t="n">
        <v>0</v>
      </c>
      <c r="O414" t="n">
        <v>0</v>
      </c>
      <c r="P414" t="n">
        <v>0</v>
      </c>
      <c r="Q414" t="n">
        <v>0</v>
      </c>
      <c r="R414" s="2" t="inlineStr"/>
    </row>
    <row r="415" ht="15" customHeight="1">
      <c r="A415" t="inlineStr">
        <is>
          <t>A 50814-2022</t>
        </is>
      </c>
      <c r="B415" s="1" t="n">
        <v>44867</v>
      </c>
      <c r="C415" s="1" t="n">
        <v>45473</v>
      </c>
      <c r="D415" t="inlineStr">
        <is>
          <t>DALARNAS LÄN</t>
        </is>
      </c>
      <c r="E415" t="inlineStr">
        <is>
          <t>LUDVIKA</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50862-2022</t>
        </is>
      </c>
      <c r="B416" s="1" t="n">
        <v>44867</v>
      </c>
      <c r="C416" s="1" t="n">
        <v>45473</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51386-2022</t>
        </is>
      </c>
      <c r="B417" s="1" t="n">
        <v>44869</v>
      </c>
      <c r="C417" s="1" t="n">
        <v>45473</v>
      </c>
      <c r="D417" t="inlineStr">
        <is>
          <t>DALARNAS LÄN</t>
        </is>
      </c>
      <c r="E417" t="inlineStr">
        <is>
          <t>LUDVIKA</t>
        </is>
      </c>
      <c r="F417" t="inlineStr">
        <is>
          <t>Bergvik skog väst AB</t>
        </is>
      </c>
      <c r="G417" t="n">
        <v>5.2</v>
      </c>
      <c r="H417" t="n">
        <v>0</v>
      </c>
      <c r="I417" t="n">
        <v>0</v>
      </c>
      <c r="J417" t="n">
        <v>0</v>
      </c>
      <c r="K417" t="n">
        <v>0</v>
      </c>
      <c r="L417" t="n">
        <v>0</v>
      </c>
      <c r="M417" t="n">
        <v>0</v>
      </c>
      <c r="N417" t="n">
        <v>0</v>
      </c>
      <c r="O417" t="n">
        <v>0</v>
      </c>
      <c r="P417" t="n">
        <v>0</v>
      </c>
      <c r="Q417" t="n">
        <v>0</v>
      </c>
      <c r="R417" s="2" t="inlineStr"/>
    </row>
    <row r="418" ht="15" customHeight="1">
      <c r="A418" t="inlineStr">
        <is>
          <t>A 51453-2022</t>
        </is>
      </c>
      <c r="B418" s="1" t="n">
        <v>44869</v>
      </c>
      <c r="C418" s="1" t="n">
        <v>45473</v>
      </c>
      <c r="D418" t="inlineStr">
        <is>
          <t>DALARNAS LÄN</t>
        </is>
      </c>
      <c r="E418" t="inlineStr">
        <is>
          <t>LUDVIKA</t>
        </is>
      </c>
      <c r="F418" t="inlineStr">
        <is>
          <t>Bergvik skog väst AB</t>
        </is>
      </c>
      <c r="G418" t="n">
        <v>8</v>
      </c>
      <c r="H418" t="n">
        <v>0</v>
      </c>
      <c r="I418" t="n">
        <v>0</v>
      </c>
      <c r="J418" t="n">
        <v>0</v>
      </c>
      <c r="K418" t="n">
        <v>0</v>
      </c>
      <c r="L418" t="n">
        <v>0</v>
      </c>
      <c r="M418" t="n">
        <v>0</v>
      </c>
      <c r="N418" t="n">
        <v>0</v>
      </c>
      <c r="O418" t="n">
        <v>0</v>
      </c>
      <c r="P418" t="n">
        <v>0</v>
      </c>
      <c r="Q418" t="n">
        <v>0</v>
      </c>
      <c r="R418" s="2" t="inlineStr"/>
    </row>
    <row r="419" ht="15" customHeight="1">
      <c r="A419" t="inlineStr">
        <is>
          <t>A 52303-2022</t>
        </is>
      </c>
      <c r="B419" s="1" t="n">
        <v>44869</v>
      </c>
      <c r="C419" s="1" t="n">
        <v>45473</v>
      </c>
      <c r="D419" t="inlineStr">
        <is>
          <t>DALARNAS LÄN</t>
        </is>
      </c>
      <c r="E419" t="inlineStr">
        <is>
          <t>LUDVIKA</t>
        </is>
      </c>
      <c r="G419" t="n">
        <v>1</v>
      </c>
      <c r="H419" t="n">
        <v>0</v>
      </c>
      <c r="I419" t="n">
        <v>0</v>
      </c>
      <c r="J419" t="n">
        <v>0</v>
      </c>
      <c r="K419" t="n">
        <v>0</v>
      </c>
      <c r="L419" t="n">
        <v>0</v>
      </c>
      <c r="M419" t="n">
        <v>0</v>
      </c>
      <c r="N419" t="n">
        <v>0</v>
      </c>
      <c r="O419" t="n">
        <v>0</v>
      </c>
      <c r="P419" t="n">
        <v>0</v>
      </c>
      <c r="Q419" t="n">
        <v>0</v>
      </c>
      <c r="R419" s="2" t="inlineStr"/>
    </row>
    <row r="420" ht="15" customHeight="1">
      <c r="A420" t="inlineStr">
        <is>
          <t>A 51713-2022</t>
        </is>
      </c>
      <c r="B420" s="1" t="n">
        <v>44872</v>
      </c>
      <c r="C420" s="1" t="n">
        <v>45473</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51659-2022</t>
        </is>
      </c>
      <c r="B421" s="1" t="n">
        <v>44872</v>
      </c>
      <c r="C421" s="1" t="n">
        <v>45473</v>
      </c>
      <c r="D421" t="inlineStr">
        <is>
          <t>DALARNAS LÄN</t>
        </is>
      </c>
      <c r="E421" t="inlineStr">
        <is>
          <t>LUDVIKA</t>
        </is>
      </c>
      <c r="G421" t="n">
        <v>0.7</v>
      </c>
      <c r="H421" t="n">
        <v>0</v>
      </c>
      <c r="I421" t="n">
        <v>0</v>
      </c>
      <c r="J421" t="n">
        <v>0</v>
      </c>
      <c r="K421" t="n">
        <v>0</v>
      </c>
      <c r="L421" t="n">
        <v>0</v>
      </c>
      <c r="M421" t="n">
        <v>0</v>
      </c>
      <c r="N421" t="n">
        <v>0</v>
      </c>
      <c r="O421" t="n">
        <v>0</v>
      </c>
      <c r="P421" t="n">
        <v>0</v>
      </c>
      <c r="Q421" t="n">
        <v>0</v>
      </c>
      <c r="R421" s="2" t="inlineStr"/>
    </row>
    <row r="422" ht="15" customHeight="1">
      <c r="A422" t="inlineStr">
        <is>
          <t>A 51709-2022</t>
        </is>
      </c>
      <c r="B422" s="1" t="n">
        <v>44872</v>
      </c>
      <c r="C422" s="1" t="n">
        <v>45473</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51886-2022</t>
        </is>
      </c>
      <c r="B423" s="1" t="n">
        <v>44872</v>
      </c>
      <c r="C423" s="1" t="n">
        <v>45473</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52432-2022</t>
        </is>
      </c>
      <c r="B424" s="1" t="n">
        <v>44874</v>
      </c>
      <c r="C424" s="1" t="n">
        <v>45473</v>
      </c>
      <c r="D424" t="inlineStr">
        <is>
          <t>DALARNAS LÄN</t>
        </is>
      </c>
      <c r="E424" t="inlineStr">
        <is>
          <t>LUDVIKA</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53509-2022</t>
        </is>
      </c>
      <c r="B425" s="1" t="n">
        <v>44879</v>
      </c>
      <c r="C425" s="1" t="n">
        <v>45473</v>
      </c>
      <c r="D425" t="inlineStr">
        <is>
          <t>DALARNAS LÄN</t>
        </is>
      </c>
      <c r="E425" t="inlineStr">
        <is>
          <t>LUDVIKA</t>
        </is>
      </c>
      <c r="F425" t="inlineStr">
        <is>
          <t>Naturvårdsverket</t>
        </is>
      </c>
      <c r="G425" t="n">
        <v>4.9</v>
      </c>
      <c r="H425" t="n">
        <v>0</v>
      </c>
      <c r="I425" t="n">
        <v>0</v>
      </c>
      <c r="J425" t="n">
        <v>0</v>
      </c>
      <c r="K425" t="n">
        <v>0</v>
      </c>
      <c r="L425" t="n">
        <v>0</v>
      </c>
      <c r="M425" t="n">
        <v>0</v>
      </c>
      <c r="N425" t="n">
        <v>0</v>
      </c>
      <c r="O425" t="n">
        <v>0</v>
      </c>
      <c r="P425" t="n">
        <v>0</v>
      </c>
      <c r="Q425" t="n">
        <v>0</v>
      </c>
      <c r="R425" s="2" t="inlineStr"/>
    </row>
    <row r="426" ht="15" customHeight="1">
      <c r="A426" t="inlineStr">
        <is>
          <t>A 53619-2022</t>
        </is>
      </c>
      <c r="B426" s="1" t="n">
        <v>44879</v>
      </c>
      <c r="C426" s="1" t="n">
        <v>45473</v>
      </c>
      <c r="D426" t="inlineStr">
        <is>
          <t>DALARNAS LÄN</t>
        </is>
      </c>
      <c r="E426" t="inlineStr">
        <is>
          <t>LUDVIKA</t>
        </is>
      </c>
      <c r="G426" t="n">
        <v>1</v>
      </c>
      <c r="H426" t="n">
        <v>0</v>
      </c>
      <c r="I426" t="n">
        <v>0</v>
      </c>
      <c r="J426" t="n">
        <v>0</v>
      </c>
      <c r="K426" t="n">
        <v>0</v>
      </c>
      <c r="L426" t="n">
        <v>0</v>
      </c>
      <c r="M426" t="n">
        <v>0</v>
      </c>
      <c r="N426" t="n">
        <v>0</v>
      </c>
      <c r="O426" t="n">
        <v>0</v>
      </c>
      <c r="P426" t="n">
        <v>0</v>
      </c>
      <c r="Q426" t="n">
        <v>0</v>
      </c>
      <c r="R426" s="2" t="inlineStr"/>
    </row>
    <row r="427" ht="15" customHeight="1">
      <c r="A427" t="inlineStr">
        <is>
          <t>A 53620-2022</t>
        </is>
      </c>
      <c r="B427" s="1" t="n">
        <v>44879</v>
      </c>
      <c r="C427" s="1" t="n">
        <v>45473</v>
      </c>
      <c r="D427" t="inlineStr">
        <is>
          <t>DALARNAS LÄN</t>
        </is>
      </c>
      <c r="E427" t="inlineStr">
        <is>
          <t>LUDVIKA</t>
        </is>
      </c>
      <c r="G427" t="n">
        <v>3.7</v>
      </c>
      <c r="H427" t="n">
        <v>0</v>
      </c>
      <c r="I427" t="n">
        <v>0</v>
      </c>
      <c r="J427" t="n">
        <v>0</v>
      </c>
      <c r="K427" t="n">
        <v>0</v>
      </c>
      <c r="L427" t="n">
        <v>0</v>
      </c>
      <c r="M427" t="n">
        <v>0</v>
      </c>
      <c r="N427" t="n">
        <v>0</v>
      </c>
      <c r="O427" t="n">
        <v>0</v>
      </c>
      <c r="P427" t="n">
        <v>0</v>
      </c>
      <c r="Q427" t="n">
        <v>0</v>
      </c>
      <c r="R427" s="2" t="inlineStr"/>
    </row>
    <row r="428" ht="15" customHeight="1">
      <c r="A428" t="inlineStr">
        <is>
          <t>A 53705-2022</t>
        </is>
      </c>
      <c r="B428" s="1" t="n">
        <v>44880</v>
      </c>
      <c r="C428" s="1" t="n">
        <v>45473</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54730-2022</t>
        </is>
      </c>
      <c r="B429" s="1" t="n">
        <v>44883</v>
      </c>
      <c r="C429" s="1" t="n">
        <v>45473</v>
      </c>
      <c r="D429" t="inlineStr">
        <is>
          <t>DALARNAS LÄN</t>
        </is>
      </c>
      <c r="E429" t="inlineStr">
        <is>
          <t>LUDVIKA</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54767-2022</t>
        </is>
      </c>
      <c r="B430" s="1" t="n">
        <v>44883</v>
      </c>
      <c r="C430" s="1" t="n">
        <v>45473</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54914-2022</t>
        </is>
      </c>
      <c r="B431" s="1" t="n">
        <v>44886</v>
      </c>
      <c r="C431" s="1" t="n">
        <v>45473</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55262-2022</t>
        </is>
      </c>
      <c r="B432" s="1" t="n">
        <v>44887</v>
      </c>
      <c r="C432" s="1" t="n">
        <v>45473</v>
      </c>
      <c r="D432" t="inlineStr">
        <is>
          <t>DALARNAS LÄN</t>
        </is>
      </c>
      <c r="E432" t="inlineStr">
        <is>
          <t>LUDVIKA</t>
        </is>
      </c>
      <c r="F432" t="inlineStr">
        <is>
          <t>Bergvik skog väst AB</t>
        </is>
      </c>
      <c r="G432" t="n">
        <v>4.4</v>
      </c>
      <c r="H432" t="n">
        <v>0</v>
      </c>
      <c r="I432" t="n">
        <v>0</v>
      </c>
      <c r="J432" t="n">
        <v>0</v>
      </c>
      <c r="K432" t="n">
        <v>0</v>
      </c>
      <c r="L432" t="n">
        <v>0</v>
      </c>
      <c r="M432" t="n">
        <v>0</v>
      </c>
      <c r="N432" t="n">
        <v>0</v>
      </c>
      <c r="O432" t="n">
        <v>0</v>
      </c>
      <c r="P432" t="n">
        <v>0</v>
      </c>
      <c r="Q432" t="n">
        <v>0</v>
      </c>
      <c r="R432" s="2" t="inlineStr"/>
    </row>
    <row r="433" ht="15" customHeight="1">
      <c r="A433" t="inlineStr">
        <is>
          <t>A 56346-2022</t>
        </is>
      </c>
      <c r="B433" s="1" t="n">
        <v>44890</v>
      </c>
      <c r="C433" s="1" t="n">
        <v>45473</v>
      </c>
      <c r="D433" t="inlineStr">
        <is>
          <t>DALARNAS LÄN</t>
        </is>
      </c>
      <c r="E433" t="inlineStr">
        <is>
          <t>LUDVIKA</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56347-2022</t>
        </is>
      </c>
      <c r="B434" s="1" t="n">
        <v>44890</v>
      </c>
      <c r="C434" s="1" t="n">
        <v>45473</v>
      </c>
      <c r="D434" t="inlineStr">
        <is>
          <t>DALARNAS LÄN</t>
        </is>
      </c>
      <c r="E434" t="inlineStr">
        <is>
          <t>LUDVIKA</t>
        </is>
      </c>
      <c r="F434" t="inlineStr">
        <is>
          <t>Bergvik skog väst AB</t>
        </is>
      </c>
      <c r="G434" t="n">
        <v>1</v>
      </c>
      <c r="H434" t="n">
        <v>0</v>
      </c>
      <c r="I434" t="n">
        <v>0</v>
      </c>
      <c r="J434" t="n">
        <v>0</v>
      </c>
      <c r="K434" t="n">
        <v>0</v>
      </c>
      <c r="L434" t="n">
        <v>0</v>
      </c>
      <c r="M434" t="n">
        <v>0</v>
      </c>
      <c r="N434" t="n">
        <v>0</v>
      </c>
      <c r="O434" t="n">
        <v>0</v>
      </c>
      <c r="P434" t="n">
        <v>0</v>
      </c>
      <c r="Q434" t="n">
        <v>0</v>
      </c>
      <c r="R434" s="2" t="inlineStr"/>
    </row>
    <row r="435" ht="15" customHeight="1">
      <c r="A435" t="inlineStr">
        <is>
          <t>A 56680-2022</t>
        </is>
      </c>
      <c r="B435" s="1" t="n">
        <v>44893</v>
      </c>
      <c r="C435" s="1" t="n">
        <v>45473</v>
      </c>
      <c r="D435" t="inlineStr">
        <is>
          <t>DALARNAS LÄN</t>
        </is>
      </c>
      <c r="E435" t="inlineStr">
        <is>
          <t>LUDVIKA</t>
        </is>
      </c>
      <c r="G435" t="n">
        <v>0.4</v>
      </c>
      <c r="H435" t="n">
        <v>0</v>
      </c>
      <c r="I435" t="n">
        <v>0</v>
      </c>
      <c r="J435" t="n">
        <v>0</v>
      </c>
      <c r="K435" t="n">
        <v>0</v>
      </c>
      <c r="L435" t="n">
        <v>0</v>
      </c>
      <c r="M435" t="n">
        <v>0</v>
      </c>
      <c r="N435" t="n">
        <v>0</v>
      </c>
      <c r="O435" t="n">
        <v>0</v>
      </c>
      <c r="P435" t="n">
        <v>0</v>
      </c>
      <c r="Q435" t="n">
        <v>0</v>
      </c>
      <c r="R435" s="2" t="inlineStr"/>
    </row>
    <row r="436" ht="15" customHeight="1">
      <c r="A436" t="inlineStr">
        <is>
          <t>A 56686-2022</t>
        </is>
      </c>
      <c r="B436" s="1" t="n">
        <v>44893</v>
      </c>
      <c r="C436" s="1" t="n">
        <v>45473</v>
      </c>
      <c r="D436" t="inlineStr">
        <is>
          <t>DALARNAS LÄN</t>
        </is>
      </c>
      <c r="E436" t="inlineStr">
        <is>
          <t>LUDVIKA</t>
        </is>
      </c>
      <c r="G436" t="n">
        <v>0.7</v>
      </c>
      <c r="H436" t="n">
        <v>0</v>
      </c>
      <c r="I436" t="n">
        <v>0</v>
      </c>
      <c r="J436" t="n">
        <v>0</v>
      </c>
      <c r="K436" t="n">
        <v>0</v>
      </c>
      <c r="L436" t="n">
        <v>0</v>
      </c>
      <c r="M436" t="n">
        <v>0</v>
      </c>
      <c r="N436" t="n">
        <v>0</v>
      </c>
      <c r="O436" t="n">
        <v>0</v>
      </c>
      <c r="P436" t="n">
        <v>0</v>
      </c>
      <c r="Q436" t="n">
        <v>0</v>
      </c>
      <c r="R436" s="2" t="inlineStr"/>
    </row>
    <row r="437" ht="15" customHeight="1">
      <c r="A437" t="inlineStr">
        <is>
          <t>A 56685-2022</t>
        </is>
      </c>
      <c r="B437" s="1" t="n">
        <v>44893</v>
      </c>
      <c r="C437" s="1" t="n">
        <v>45473</v>
      </c>
      <c r="D437" t="inlineStr">
        <is>
          <t>DALARNAS LÄN</t>
        </is>
      </c>
      <c r="E437" t="inlineStr">
        <is>
          <t>LUDVIKA</t>
        </is>
      </c>
      <c r="G437" t="n">
        <v>0.6</v>
      </c>
      <c r="H437" t="n">
        <v>0</v>
      </c>
      <c r="I437" t="n">
        <v>0</v>
      </c>
      <c r="J437" t="n">
        <v>0</v>
      </c>
      <c r="K437" t="n">
        <v>0</v>
      </c>
      <c r="L437" t="n">
        <v>0</v>
      </c>
      <c r="M437" t="n">
        <v>0</v>
      </c>
      <c r="N437" t="n">
        <v>0</v>
      </c>
      <c r="O437" t="n">
        <v>0</v>
      </c>
      <c r="P437" t="n">
        <v>0</v>
      </c>
      <c r="Q437" t="n">
        <v>0</v>
      </c>
      <c r="R437" s="2" t="inlineStr"/>
    </row>
    <row r="438" ht="15" customHeight="1">
      <c r="A438" t="inlineStr">
        <is>
          <t>A 57193-2022</t>
        </is>
      </c>
      <c r="B438" s="1" t="n">
        <v>44895</v>
      </c>
      <c r="C438" s="1" t="n">
        <v>45473</v>
      </c>
      <c r="D438" t="inlineStr">
        <is>
          <t>DALARNAS LÄN</t>
        </is>
      </c>
      <c r="E438" t="inlineStr">
        <is>
          <t>LUDVIKA</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58021-2022</t>
        </is>
      </c>
      <c r="B439" s="1" t="n">
        <v>44900</v>
      </c>
      <c r="C439" s="1" t="n">
        <v>45473</v>
      </c>
      <c r="D439" t="inlineStr">
        <is>
          <t>DALARNAS LÄN</t>
        </is>
      </c>
      <c r="E439" t="inlineStr">
        <is>
          <t>LUDVIKA</t>
        </is>
      </c>
      <c r="F439" t="inlineStr">
        <is>
          <t>Bergvik skog väst AB</t>
        </is>
      </c>
      <c r="G439" t="n">
        <v>22.3</v>
      </c>
      <c r="H439" t="n">
        <v>0</v>
      </c>
      <c r="I439" t="n">
        <v>0</v>
      </c>
      <c r="J439" t="n">
        <v>0</v>
      </c>
      <c r="K439" t="n">
        <v>0</v>
      </c>
      <c r="L439" t="n">
        <v>0</v>
      </c>
      <c r="M439" t="n">
        <v>0</v>
      </c>
      <c r="N439" t="n">
        <v>0</v>
      </c>
      <c r="O439" t="n">
        <v>0</v>
      </c>
      <c r="P439" t="n">
        <v>0</v>
      </c>
      <c r="Q439" t="n">
        <v>0</v>
      </c>
      <c r="R439" s="2" t="inlineStr"/>
    </row>
    <row r="440" ht="15" customHeight="1">
      <c r="A440" t="inlineStr">
        <is>
          <t>A 59050-2022</t>
        </is>
      </c>
      <c r="B440" s="1" t="n">
        <v>44903</v>
      </c>
      <c r="C440" s="1" t="n">
        <v>45473</v>
      </c>
      <c r="D440" t="inlineStr">
        <is>
          <t>DALARNAS LÄN</t>
        </is>
      </c>
      <c r="E440" t="inlineStr">
        <is>
          <t>LUDVIKA</t>
        </is>
      </c>
      <c r="G440" t="n">
        <v>2.8</v>
      </c>
      <c r="H440" t="n">
        <v>0</v>
      </c>
      <c r="I440" t="n">
        <v>0</v>
      </c>
      <c r="J440" t="n">
        <v>0</v>
      </c>
      <c r="K440" t="n">
        <v>0</v>
      </c>
      <c r="L440" t="n">
        <v>0</v>
      </c>
      <c r="M440" t="n">
        <v>0</v>
      </c>
      <c r="N440" t="n">
        <v>0</v>
      </c>
      <c r="O440" t="n">
        <v>0</v>
      </c>
      <c r="P440" t="n">
        <v>0</v>
      </c>
      <c r="Q440" t="n">
        <v>0</v>
      </c>
      <c r="R440" s="2" t="inlineStr"/>
    </row>
    <row r="441" ht="15" customHeight="1">
      <c r="A441" t="inlineStr">
        <is>
          <t>A 59415-2022</t>
        </is>
      </c>
      <c r="B441" s="1" t="n">
        <v>44907</v>
      </c>
      <c r="C441" s="1" t="n">
        <v>45473</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59413-2022</t>
        </is>
      </c>
      <c r="B442" s="1" t="n">
        <v>44907</v>
      </c>
      <c r="C442" s="1" t="n">
        <v>45473</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61050-2022</t>
        </is>
      </c>
      <c r="B443" s="1" t="n">
        <v>44915</v>
      </c>
      <c r="C443" s="1" t="n">
        <v>45473</v>
      </c>
      <c r="D443" t="inlineStr">
        <is>
          <t>DALARNAS LÄN</t>
        </is>
      </c>
      <c r="E443" t="inlineStr">
        <is>
          <t>LUDVIKA</t>
        </is>
      </c>
      <c r="G443" t="n">
        <v>2.4</v>
      </c>
      <c r="H443" t="n">
        <v>0</v>
      </c>
      <c r="I443" t="n">
        <v>0</v>
      </c>
      <c r="J443" t="n">
        <v>0</v>
      </c>
      <c r="K443" t="n">
        <v>0</v>
      </c>
      <c r="L443" t="n">
        <v>0</v>
      </c>
      <c r="M443" t="n">
        <v>0</v>
      </c>
      <c r="N443" t="n">
        <v>0</v>
      </c>
      <c r="O443" t="n">
        <v>0</v>
      </c>
      <c r="P443" t="n">
        <v>0</v>
      </c>
      <c r="Q443" t="n">
        <v>0</v>
      </c>
      <c r="R443" s="2" t="inlineStr"/>
    </row>
    <row r="444" ht="15" customHeight="1">
      <c r="A444" t="inlineStr">
        <is>
          <t>A 61309-2022</t>
        </is>
      </c>
      <c r="B444" s="1" t="n">
        <v>44915</v>
      </c>
      <c r="C444" s="1" t="n">
        <v>45473</v>
      </c>
      <c r="D444" t="inlineStr">
        <is>
          <t>DALARNAS LÄN</t>
        </is>
      </c>
      <c r="E444" t="inlineStr">
        <is>
          <t>LUDVIKA</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61278-2022</t>
        </is>
      </c>
      <c r="B445" s="1" t="n">
        <v>44915</v>
      </c>
      <c r="C445" s="1" t="n">
        <v>45473</v>
      </c>
      <c r="D445" t="inlineStr">
        <is>
          <t>DALARNAS LÄN</t>
        </is>
      </c>
      <c r="E445" t="inlineStr">
        <is>
          <t>LUDVIKA</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61621-2022</t>
        </is>
      </c>
      <c r="B446" s="1" t="n">
        <v>44916</v>
      </c>
      <c r="C446" s="1" t="n">
        <v>45473</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62275-2022</t>
        </is>
      </c>
      <c r="B447" s="1" t="n">
        <v>44923</v>
      </c>
      <c r="C447" s="1" t="n">
        <v>45473</v>
      </c>
      <c r="D447" t="inlineStr">
        <is>
          <t>DALARNAS LÄN</t>
        </is>
      </c>
      <c r="E447" t="inlineStr">
        <is>
          <t>LUDVIKA</t>
        </is>
      </c>
      <c r="G447" t="n">
        <v>4.6</v>
      </c>
      <c r="H447" t="n">
        <v>0</v>
      </c>
      <c r="I447" t="n">
        <v>0</v>
      </c>
      <c r="J447" t="n">
        <v>0</v>
      </c>
      <c r="K447" t="n">
        <v>0</v>
      </c>
      <c r="L447" t="n">
        <v>0</v>
      </c>
      <c r="M447" t="n">
        <v>0</v>
      </c>
      <c r="N447" t="n">
        <v>0</v>
      </c>
      <c r="O447" t="n">
        <v>0</v>
      </c>
      <c r="P447" t="n">
        <v>0</v>
      </c>
      <c r="Q447" t="n">
        <v>0</v>
      </c>
      <c r="R447" s="2" t="inlineStr"/>
    </row>
    <row r="448" ht="15" customHeight="1">
      <c r="A448" t="inlineStr">
        <is>
          <t>A 400-2023</t>
        </is>
      </c>
      <c r="B448" s="1" t="n">
        <v>44929</v>
      </c>
      <c r="C448" s="1" t="n">
        <v>45473</v>
      </c>
      <c r="D448" t="inlineStr">
        <is>
          <t>DALARNAS LÄN</t>
        </is>
      </c>
      <c r="E448" t="inlineStr">
        <is>
          <t>LUDVIKA</t>
        </is>
      </c>
      <c r="G448" t="n">
        <v>3.6</v>
      </c>
      <c r="H448" t="n">
        <v>0</v>
      </c>
      <c r="I448" t="n">
        <v>0</v>
      </c>
      <c r="J448" t="n">
        <v>0</v>
      </c>
      <c r="K448" t="n">
        <v>0</v>
      </c>
      <c r="L448" t="n">
        <v>0</v>
      </c>
      <c r="M448" t="n">
        <v>0</v>
      </c>
      <c r="N448" t="n">
        <v>0</v>
      </c>
      <c r="O448" t="n">
        <v>0</v>
      </c>
      <c r="P448" t="n">
        <v>0</v>
      </c>
      <c r="Q448" t="n">
        <v>0</v>
      </c>
      <c r="R448" s="2" t="inlineStr"/>
    </row>
    <row r="449" ht="15" customHeight="1">
      <c r="A449" t="inlineStr">
        <is>
          <t>A 381-2023</t>
        </is>
      </c>
      <c r="B449" s="1" t="n">
        <v>44929</v>
      </c>
      <c r="C449" s="1" t="n">
        <v>45473</v>
      </c>
      <c r="D449" t="inlineStr">
        <is>
          <t>DALARNAS LÄN</t>
        </is>
      </c>
      <c r="E449" t="inlineStr">
        <is>
          <t>LUDVIKA</t>
        </is>
      </c>
      <c r="G449" t="n">
        <v>7.9</v>
      </c>
      <c r="H449" t="n">
        <v>0</v>
      </c>
      <c r="I449" t="n">
        <v>0</v>
      </c>
      <c r="J449" t="n">
        <v>0</v>
      </c>
      <c r="K449" t="n">
        <v>0</v>
      </c>
      <c r="L449" t="n">
        <v>0</v>
      </c>
      <c r="M449" t="n">
        <v>0</v>
      </c>
      <c r="N449" t="n">
        <v>0</v>
      </c>
      <c r="O449" t="n">
        <v>0</v>
      </c>
      <c r="P449" t="n">
        <v>0</v>
      </c>
      <c r="Q449" t="n">
        <v>0</v>
      </c>
      <c r="R449" s="2" t="inlineStr"/>
    </row>
    <row r="450" ht="15" customHeight="1">
      <c r="A450" t="inlineStr">
        <is>
          <t>A 1047-2023</t>
        </is>
      </c>
      <c r="B450" s="1" t="n">
        <v>44929</v>
      </c>
      <c r="C450" s="1" t="n">
        <v>45473</v>
      </c>
      <c r="D450" t="inlineStr">
        <is>
          <t>DALARNAS LÄN</t>
        </is>
      </c>
      <c r="E450" t="inlineStr">
        <is>
          <t>LUDVIKA</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1647-2023</t>
        </is>
      </c>
      <c r="B451" s="1" t="n">
        <v>44937</v>
      </c>
      <c r="C451" s="1" t="n">
        <v>45473</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1852-2023</t>
        </is>
      </c>
      <c r="B452" s="1" t="n">
        <v>44938</v>
      </c>
      <c r="C452" s="1" t="n">
        <v>45473</v>
      </c>
      <c r="D452" t="inlineStr">
        <is>
          <t>DALARNAS LÄN</t>
        </is>
      </c>
      <c r="E452" t="inlineStr">
        <is>
          <t>LUDVIKA</t>
        </is>
      </c>
      <c r="G452" t="n">
        <v>4</v>
      </c>
      <c r="H452" t="n">
        <v>0</v>
      </c>
      <c r="I452" t="n">
        <v>0</v>
      </c>
      <c r="J452" t="n">
        <v>0</v>
      </c>
      <c r="K452" t="n">
        <v>0</v>
      </c>
      <c r="L452" t="n">
        <v>0</v>
      </c>
      <c r="M452" t="n">
        <v>0</v>
      </c>
      <c r="N452" t="n">
        <v>0</v>
      </c>
      <c r="O452" t="n">
        <v>0</v>
      </c>
      <c r="P452" t="n">
        <v>0</v>
      </c>
      <c r="Q452" t="n">
        <v>0</v>
      </c>
      <c r="R452" s="2" t="inlineStr"/>
    </row>
    <row r="453" ht="15" customHeight="1">
      <c r="A453" t="inlineStr">
        <is>
          <t>A 1878-2023</t>
        </is>
      </c>
      <c r="B453" s="1" t="n">
        <v>44939</v>
      </c>
      <c r="C453" s="1" t="n">
        <v>45473</v>
      </c>
      <c r="D453" t="inlineStr">
        <is>
          <t>DALARNAS LÄN</t>
        </is>
      </c>
      <c r="E453" t="inlineStr">
        <is>
          <t>LUDVIKA</t>
        </is>
      </c>
      <c r="G453" t="n">
        <v>1.5</v>
      </c>
      <c r="H453" t="n">
        <v>0</v>
      </c>
      <c r="I453" t="n">
        <v>0</v>
      </c>
      <c r="J453" t="n">
        <v>0</v>
      </c>
      <c r="K453" t="n">
        <v>0</v>
      </c>
      <c r="L453" t="n">
        <v>0</v>
      </c>
      <c r="M453" t="n">
        <v>0</v>
      </c>
      <c r="N453" t="n">
        <v>0</v>
      </c>
      <c r="O453" t="n">
        <v>0</v>
      </c>
      <c r="P453" t="n">
        <v>0</v>
      </c>
      <c r="Q453" t="n">
        <v>0</v>
      </c>
      <c r="R453" s="2" t="inlineStr"/>
    </row>
    <row r="454" ht="15" customHeight="1">
      <c r="A454" t="inlineStr">
        <is>
          <t>A 2614-2023</t>
        </is>
      </c>
      <c r="B454" s="1" t="n">
        <v>44942</v>
      </c>
      <c r="C454" s="1" t="n">
        <v>45473</v>
      </c>
      <c r="D454" t="inlineStr">
        <is>
          <t>DALARNAS LÄN</t>
        </is>
      </c>
      <c r="E454" t="inlineStr">
        <is>
          <t>LUDVIKA</t>
        </is>
      </c>
      <c r="G454" t="n">
        <v>13.1</v>
      </c>
      <c r="H454" t="n">
        <v>0</v>
      </c>
      <c r="I454" t="n">
        <v>0</v>
      </c>
      <c r="J454" t="n">
        <v>0</v>
      </c>
      <c r="K454" t="n">
        <v>0</v>
      </c>
      <c r="L454" t="n">
        <v>0</v>
      </c>
      <c r="M454" t="n">
        <v>0</v>
      </c>
      <c r="N454" t="n">
        <v>0</v>
      </c>
      <c r="O454" t="n">
        <v>0</v>
      </c>
      <c r="P454" t="n">
        <v>0</v>
      </c>
      <c r="Q454" t="n">
        <v>0</v>
      </c>
      <c r="R454" s="2" t="inlineStr"/>
    </row>
    <row r="455" ht="15" customHeight="1">
      <c r="A455" t="inlineStr">
        <is>
          <t>A 3509-2023</t>
        </is>
      </c>
      <c r="B455" s="1" t="n">
        <v>44950</v>
      </c>
      <c r="C455" s="1" t="n">
        <v>45473</v>
      </c>
      <c r="D455" t="inlineStr">
        <is>
          <t>DALARNAS LÄN</t>
        </is>
      </c>
      <c r="E455" t="inlineStr">
        <is>
          <t>LUDVIKA</t>
        </is>
      </c>
      <c r="F455" t="inlineStr">
        <is>
          <t>Naturvårdsverket</t>
        </is>
      </c>
      <c r="G455" t="n">
        <v>5.1</v>
      </c>
      <c r="H455" t="n">
        <v>0</v>
      </c>
      <c r="I455" t="n">
        <v>0</v>
      </c>
      <c r="J455" t="n">
        <v>0</v>
      </c>
      <c r="K455" t="n">
        <v>0</v>
      </c>
      <c r="L455" t="n">
        <v>0</v>
      </c>
      <c r="M455" t="n">
        <v>0</v>
      </c>
      <c r="N455" t="n">
        <v>0</v>
      </c>
      <c r="O455" t="n">
        <v>0</v>
      </c>
      <c r="P455" t="n">
        <v>0</v>
      </c>
      <c r="Q455" t="n">
        <v>0</v>
      </c>
      <c r="R455" s="2" t="inlineStr"/>
    </row>
    <row r="456" ht="15" customHeight="1">
      <c r="A456" t="inlineStr">
        <is>
          <t>A 4705-2023</t>
        </is>
      </c>
      <c r="B456" s="1" t="n">
        <v>44957</v>
      </c>
      <c r="C456" s="1" t="n">
        <v>45473</v>
      </c>
      <c r="D456" t="inlineStr">
        <is>
          <t>DALARNAS LÄN</t>
        </is>
      </c>
      <c r="E456" t="inlineStr">
        <is>
          <t>LUDVIKA</t>
        </is>
      </c>
      <c r="F456" t="inlineStr">
        <is>
          <t>Bergvik skog väst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4703-2023</t>
        </is>
      </c>
      <c r="B457" s="1" t="n">
        <v>44957</v>
      </c>
      <c r="C457" s="1" t="n">
        <v>45473</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4903-2023</t>
        </is>
      </c>
      <c r="B458" s="1" t="n">
        <v>44958</v>
      </c>
      <c r="C458" s="1" t="n">
        <v>45473</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4890-2023</t>
        </is>
      </c>
      <c r="B459" s="1" t="n">
        <v>44958</v>
      </c>
      <c r="C459" s="1" t="n">
        <v>45473</v>
      </c>
      <c r="D459" t="inlineStr">
        <is>
          <t>DALARNAS LÄN</t>
        </is>
      </c>
      <c r="E459" t="inlineStr">
        <is>
          <t>LUDVIKA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5672-2023</t>
        </is>
      </c>
      <c r="B460" s="1" t="n">
        <v>44960</v>
      </c>
      <c r="C460" s="1" t="n">
        <v>45473</v>
      </c>
      <c r="D460" t="inlineStr">
        <is>
          <t>DALARNAS LÄN</t>
        </is>
      </c>
      <c r="E460" t="inlineStr">
        <is>
          <t>LUDVIKA</t>
        </is>
      </c>
      <c r="F460" t="inlineStr">
        <is>
          <t>Naturvårdsverket</t>
        </is>
      </c>
      <c r="G460" t="n">
        <v>2.7</v>
      </c>
      <c r="H460" t="n">
        <v>0</v>
      </c>
      <c r="I460" t="n">
        <v>0</v>
      </c>
      <c r="J460" t="n">
        <v>0</v>
      </c>
      <c r="K460" t="n">
        <v>0</v>
      </c>
      <c r="L460" t="n">
        <v>0</v>
      </c>
      <c r="M460" t="n">
        <v>0</v>
      </c>
      <c r="N460" t="n">
        <v>0</v>
      </c>
      <c r="O460" t="n">
        <v>0</v>
      </c>
      <c r="P460" t="n">
        <v>0</v>
      </c>
      <c r="Q460" t="n">
        <v>0</v>
      </c>
      <c r="R460" s="2" t="inlineStr"/>
    </row>
    <row r="461" ht="15" customHeight="1">
      <c r="A461" t="inlineStr">
        <is>
          <t>A 5673-2023</t>
        </is>
      </c>
      <c r="B461" s="1" t="n">
        <v>44960</v>
      </c>
      <c r="C461" s="1" t="n">
        <v>45473</v>
      </c>
      <c r="D461" t="inlineStr">
        <is>
          <t>DALARNAS LÄN</t>
        </is>
      </c>
      <c r="E461" t="inlineStr">
        <is>
          <t>LUDVIKA</t>
        </is>
      </c>
      <c r="F461" t="inlineStr">
        <is>
          <t>Naturvårdsverket</t>
        </is>
      </c>
      <c r="G461" t="n">
        <v>0.7</v>
      </c>
      <c r="H461" t="n">
        <v>0</v>
      </c>
      <c r="I461" t="n">
        <v>0</v>
      </c>
      <c r="J461" t="n">
        <v>0</v>
      </c>
      <c r="K461" t="n">
        <v>0</v>
      </c>
      <c r="L461" t="n">
        <v>0</v>
      </c>
      <c r="M461" t="n">
        <v>0</v>
      </c>
      <c r="N461" t="n">
        <v>0</v>
      </c>
      <c r="O461" t="n">
        <v>0</v>
      </c>
      <c r="P461" t="n">
        <v>0</v>
      </c>
      <c r="Q461" t="n">
        <v>0</v>
      </c>
      <c r="R461" s="2" t="inlineStr"/>
    </row>
    <row r="462" ht="15" customHeight="1">
      <c r="A462" t="inlineStr">
        <is>
          <t>A 6579-2023</t>
        </is>
      </c>
      <c r="B462" s="1" t="n">
        <v>44960</v>
      </c>
      <c r="C462" s="1" t="n">
        <v>45473</v>
      </c>
      <c r="D462" t="inlineStr">
        <is>
          <t>DALARNAS LÄN</t>
        </is>
      </c>
      <c r="E462" t="inlineStr">
        <is>
          <t>LUDVIKA</t>
        </is>
      </c>
      <c r="G462" t="n">
        <v>3.4</v>
      </c>
      <c r="H462" t="n">
        <v>0</v>
      </c>
      <c r="I462" t="n">
        <v>0</v>
      </c>
      <c r="J462" t="n">
        <v>0</v>
      </c>
      <c r="K462" t="n">
        <v>0</v>
      </c>
      <c r="L462" t="n">
        <v>0</v>
      </c>
      <c r="M462" t="n">
        <v>0</v>
      </c>
      <c r="N462" t="n">
        <v>0</v>
      </c>
      <c r="O462" t="n">
        <v>0</v>
      </c>
      <c r="P462" t="n">
        <v>0</v>
      </c>
      <c r="Q462" t="n">
        <v>0</v>
      </c>
      <c r="R462" s="2" t="inlineStr"/>
    </row>
    <row r="463" ht="15" customHeight="1">
      <c r="A463" t="inlineStr">
        <is>
          <t>A 6593-2023</t>
        </is>
      </c>
      <c r="B463" s="1" t="n">
        <v>44960</v>
      </c>
      <c r="C463" s="1" t="n">
        <v>45473</v>
      </c>
      <c r="D463" t="inlineStr">
        <is>
          <t>DALARNAS LÄN</t>
        </is>
      </c>
      <c r="E463" t="inlineStr">
        <is>
          <t>LUDVIKA</t>
        </is>
      </c>
      <c r="G463" t="n">
        <v>3.8</v>
      </c>
      <c r="H463" t="n">
        <v>0</v>
      </c>
      <c r="I463" t="n">
        <v>0</v>
      </c>
      <c r="J463" t="n">
        <v>0</v>
      </c>
      <c r="K463" t="n">
        <v>0</v>
      </c>
      <c r="L463" t="n">
        <v>0</v>
      </c>
      <c r="M463" t="n">
        <v>0</v>
      </c>
      <c r="N463" t="n">
        <v>0</v>
      </c>
      <c r="O463" t="n">
        <v>0</v>
      </c>
      <c r="P463" t="n">
        <v>0</v>
      </c>
      <c r="Q463" t="n">
        <v>0</v>
      </c>
      <c r="R463" s="2" t="inlineStr"/>
    </row>
    <row r="464" ht="15" customHeight="1">
      <c r="A464" t="inlineStr">
        <is>
          <t>A 5599-2023</t>
        </is>
      </c>
      <c r="B464" s="1" t="n">
        <v>44960</v>
      </c>
      <c r="C464" s="1" t="n">
        <v>45473</v>
      </c>
      <c r="D464" t="inlineStr">
        <is>
          <t>DALARNAS LÄN</t>
        </is>
      </c>
      <c r="E464" t="inlineStr">
        <is>
          <t>LUDVIKA</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5752-2023</t>
        </is>
      </c>
      <c r="B465" s="1" t="n">
        <v>44963</v>
      </c>
      <c r="C465" s="1" t="n">
        <v>45473</v>
      </c>
      <c r="D465" t="inlineStr">
        <is>
          <t>DALARNAS LÄN</t>
        </is>
      </c>
      <c r="E465" t="inlineStr">
        <is>
          <t>LUDVIKA</t>
        </is>
      </c>
      <c r="F465" t="inlineStr">
        <is>
          <t>Bergvik skog väst AB</t>
        </is>
      </c>
      <c r="G465" t="n">
        <v>7.7</v>
      </c>
      <c r="H465" t="n">
        <v>0</v>
      </c>
      <c r="I465" t="n">
        <v>0</v>
      </c>
      <c r="J465" t="n">
        <v>0</v>
      </c>
      <c r="K465" t="n">
        <v>0</v>
      </c>
      <c r="L465" t="n">
        <v>0</v>
      </c>
      <c r="M465" t="n">
        <v>0</v>
      </c>
      <c r="N465" t="n">
        <v>0</v>
      </c>
      <c r="O465" t="n">
        <v>0</v>
      </c>
      <c r="P465" t="n">
        <v>0</v>
      </c>
      <c r="Q465" t="n">
        <v>0</v>
      </c>
      <c r="R465" s="2" t="inlineStr"/>
    </row>
    <row r="466" ht="15" customHeight="1">
      <c r="A466" t="inlineStr">
        <is>
          <t>A 6010-2023</t>
        </is>
      </c>
      <c r="B466" s="1" t="n">
        <v>44964</v>
      </c>
      <c r="C466" s="1" t="n">
        <v>45473</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6281-2023</t>
        </is>
      </c>
      <c r="B467" s="1" t="n">
        <v>44965</v>
      </c>
      <c r="C467" s="1" t="n">
        <v>45473</v>
      </c>
      <c r="D467" t="inlineStr">
        <is>
          <t>DALARNAS LÄN</t>
        </is>
      </c>
      <c r="E467" t="inlineStr">
        <is>
          <t>LUDVIKA</t>
        </is>
      </c>
      <c r="G467" t="n">
        <v>7.7</v>
      </c>
      <c r="H467" t="n">
        <v>0</v>
      </c>
      <c r="I467" t="n">
        <v>0</v>
      </c>
      <c r="J467" t="n">
        <v>0</v>
      </c>
      <c r="K467" t="n">
        <v>0</v>
      </c>
      <c r="L467" t="n">
        <v>0</v>
      </c>
      <c r="M467" t="n">
        <v>0</v>
      </c>
      <c r="N467" t="n">
        <v>0</v>
      </c>
      <c r="O467" t="n">
        <v>0</v>
      </c>
      <c r="P467" t="n">
        <v>0</v>
      </c>
      <c r="Q467" t="n">
        <v>0</v>
      </c>
      <c r="R467" s="2" t="inlineStr"/>
    </row>
    <row r="468" ht="15" customHeight="1">
      <c r="A468" t="inlineStr">
        <is>
          <t>A 6564-2023</t>
        </is>
      </c>
      <c r="B468" s="1" t="n">
        <v>44966</v>
      </c>
      <c r="C468" s="1" t="n">
        <v>45473</v>
      </c>
      <c r="D468" t="inlineStr">
        <is>
          <t>DALARNAS LÄN</t>
        </is>
      </c>
      <c r="E468" t="inlineStr">
        <is>
          <t>LUDVIKA</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6975-2023</t>
        </is>
      </c>
      <c r="B469" s="1" t="n">
        <v>44967</v>
      </c>
      <c r="C469" s="1" t="n">
        <v>45473</v>
      </c>
      <c r="D469" t="inlineStr">
        <is>
          <t>DALARNAS LÄN</t>
        </is>
      </c>
      <c r="E469" t="inlineStr">
        <is>
          <t>LUDVIKA</t>
        </is>
      </c>
      <c r="G469" t="n">
        <v>2.1</v>
      </c>
      <c r="H469" t="n">
        <v>0</v>
      </c>
      <c r="I469" t="n">
        <v>0</v>
      </c>
      <c r="J469" t="n">
        <v>0</v>
      </c>
      <c r="K469" t="n">
        <v>0</v>
      </c>
      <c r="L469" t="n">
        <v>0</v>
      </c>
      <c r="M469" t="n">
        <v>0</v>
      </c>
      <c r="N469" t="n">
        <v>0</v>
      </c>
      <c r="O469" t="n">
        <v>0</v>
      </c>
      <c r="P469" t="n">
        <v>0</v>
      </c>
      <c r="Q469" t="n">
        <v>0</v>
      </c>
      <c r="R469" s="2" t="inlineStr"/>
    </row>
    <row r="470" ht="15" customHeight="1">
      <c r="A470" t="inlineStr">
        <is>
          <t>A 7243-2023</t>
        </is>
      </c>
      <c r="B470" s="1" t="n">
        <v>44970</v>
      </c>
      <c r="C470" s="1" t="n">
        <v>45473</v>
      </c>
      <c r="D470" t="inlineStr">
        <is>
          <t>DALARNAS LÄN</t>
        </is>
      </c>
      <c r="E470" t="inlineStr">
        <is>
          <t>LUDVIKA</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7238-2023</t>
        </is>
      </c>
      <c r="B471" s="1" t="n">
        <v>44970</v>
      </c>
      <c r="C471" s="1" t="n">
        <v>45473</v>
      </c>
      <c r="D471" t="inlineStr">
        <is>
          <t>DALARNAS LÄN</t>
        </is>
      </c>
      <c r="E471" t="inlineStr">
        <is>
          <t>LUDVIKA</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7173-2023</t>
        </is>
      </c>
      <c r="B472" s="1" t="n">
        <v>44970</v>
      </c>
      <c r="C472" s="1" t="n">
        <v>45473</v>
      </c>
      <c r="D472" t="inlineStr">
        <is>
          <t>DALARNAS LÄN</t>
        </is>
      </c>
      <c r="E472" t="inlineStr">
        <is>
          <t>LUDVIKA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7435-2023</t>
        </is>
      </c>
      <c r="B473" s="1" t="n">
        <v>44971</v>
      </c>
      <c r="C473" s="1" t="n">
        <v>45473</v>
      </c>
      <c r="D473" t="inlineStr">
        <is>
          <t>DALARNAS LÄN</t>
        </is>
      </c>
      <c r="E473" t="inlineStr">
        <is>
          <t>LUDVIKA</t>
        </is>
      </c>
      <c r="F473" t="inlineStr">
        <is>
          <t>Naturvårdsverket</t>
        </is>
      </c>
      <c r="G473" t="n">
        <v>0.8</v>
      </c>
      <c r="H473" t="n">
        <v>0</v>
      </c>
      <c r="I473" t="n">
        <v>0</v>
      </c>
      <c r="J473" t="n">
        <v>0</v>
      </c>
      <c r="K473" t="n">
        <v>0</v>
      </c>
      <c r="L473" t="n">
        <v>0</v>
      </c>
      <c r="M473" t="n">
        <v>0</v>
      </c>
      <c r="N473" t="n">
        <v>0</v>
      </c>
      <c r="O473" t="n">
        <v>0</v>
      </c>
      <c r="P473" t="n">
        <v>0</v>
      </c>
      <c r="Q473" t="n">
        <v>0</v>
      </c>
      <c r="R473" s="2" t="inlineStr"/>
    </row>
    <row r="474" ht="15" customHeight="1">
      <c r="A474" t="inlineStr">
        <is>
          <t>A 7539-2023</t>
        </is>
      </c>
      <c r="B474" s="1" t="n">
        <v>44972</v>
      </c>
      <c r="C474" s="1" t="n">
        <v>45473</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8076-2023</t>
        </is>
      </c>
      <c r="B475" s="1" t="n">
        <v>44974</v>
      </c>
      <c r="C475" s="1" t="n">
        <v>45473</v>
      </c>
      <c r="D475" t="inlineStr">
        <is>
          <t>DALARNAS LÄN</t>
        </is>
      </c>
      <c r="E475" t="inlineStr">
        <is>
          <t>LUDVIKA</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8703-2023</t>
        </is>
      </c>
      <c r="B476" s="1" t="n">
        <v>44978</v>
      </c>
      <c r="C476" s="1" t="n">
        <v>45473</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9386-2023</t>
        </is>
      </c>
      <c r="B477" s="1" t="n">
        <v>44981</v>
      </c>
      <c r="C477" s="1" t="n">
        <v>45473</v>
      </c>
      <c r="D477" t="inlineStr">
        <is>
          <t>DALARNAS LÄN</t>
        </is>
      </c>
      <c r="E477" t="inlineStr">
        <is>
          <t>LUDVIKA</t>
        </is>
      </c>
      <c r="G477" t="n">
        <v>6.2</v>
      </c>
      <c r="H477" t="n">
        <v>0</v>
      </c>
      <c r="I477" t="n">
        <v>0</v>
      </c>
      <c r="J477" t="n">
        <v>0</v>
      </c>
      <c r="K477" t="n">
        <v>0</v>
      </c>
      <c r="L477" t="n">
        <v>0</v>
      </c>
      <c r="M477" t="n">
        <v>0</v>
      </c>
      <c r="N477" t="n">
        <v>0</v>
      </c>
      <c r="O477" t="n">
        <v>0</v>
      </c>
      <c r="P477" t="n">
        <v>0</v>
      </c>
      <c r="Q477" t="n">
        <v>0</v>
      </c>
      <c r="R477" s="2" t="inlineStr"/>
    </row>
    <row r="478" ht="15" customHeight="1">
      <c r="A478" t="inlineStr">
        <is>
          <t>A 11797-2023</t>
        </is>
      </c>
      <c r="B478" s="1" t="n">
        <v>44994</v>
      </c>
      <c r="C478" s="1" t="n">
        <v>45473</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11755-2023</t>
        </is>
      </c>
      <c r="B479" s="1" t="n">
        <v>44994</v>
      </c>
      <c r="C479" s="1" t="n">
        <v>45473</v>
      </c>
      <c r="D479" t="inlineStr">
        <is>
          <t>DALARNAS LÄN</t>
        </is>
      </c>
      <c r="E479" t="inlineStr">
        <is>
          <t>LUDVIKA</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12096-2023</t>
        </is>
      </c>
      <c r="B480" s="1" t="n">
        <v>44998</v>
      </c>
      <c r="C480" s="1" t="n">
        <v>45473</v>
      </c>
      <c r="D480" t="inlineStr">
        <is>
          <t>DALARNAS LÄN</t>
        </is>
      </c>
      <c r="E480" t="inlineStr">
        <is>
          <t>LUDVIKA</t>
        </is>
      </c>
      <c r="G480" t="n">
        <v>1.2</v>
      </c>
      <c r="H480" t="n">
        <v>0</v>
      </c>
      <c r="I480" t="n">
        <v>0</v>
      </c>
      <c r="J480" t="n">
        <v>0</v>
      </c>
      <c r="K480" t="n">
        <v>0</v>
      </c>
      <c r="L480" t="n">
        <v>0</v>
      </c>
      <c r="M480" t="n">
        <v>0</v>
      </c>
      <c r="N480" t="n">
        <v>0</v>
      </c>
      <c r="O480" t="n">
        <v>0</v>
      </c>
      <c r="P480" t="n">
        <v>0</v>
      </c>
      <c r="Q480" t="n">
        <v>0</v>
      </c>
      <c r="R480" s="2" t="inlineStr"/>
    </row>
    <row r="481" ht="15" customHeight="1">
      <c r="A481" t="inlineStr">
        <is>
          <t>A 13180-2023</t>
        </is>
      </c>
      <c r="B481" s="1" t="n">
        <v>45002</v>
      </c>
      <c r="C481" s="1" t="n">
        <v>45473</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13215-2023</t>
        </is>
      </c>
      <c r="B482" s="1" t="n">
        <v>45002</v>
      </c>
      <c r="C482" s="1" t="n">
        <v>45473</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13217-2023</t>
        </is>
      </c>
      <c r="B483" s="1" t="n">
        <v>45002</v>
      </c>
      <c r="C483" s="1" t="n">
        <v>45473</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14632-2023</t>
        </is>
      </c>
      <c r="B484" s="1" t="n">
        <v>45013</v>
      </c>
      <c r="C484" s="1" t="n">
        <v>45473</v>
      </c>
      <c r="D484" t="inlineStr">
        <is>
          <t>DALARNAS LÄN</t>
        </is>
      </c>
      <c r="E484" t="inlineStr">
        <is>
          <t>LUDVIKA</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15754-2023</t>
        </is>
      </c>
      <c r="B485" s="1" t="n">
        <v>45021</v>
      </c>
      <c r="C485" s="1" t="n">
        <v>45473</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16630-2023</t>
        </is>
      </c>
      <c r="B486" s="1" t="n">
        <v>45030</v>
      </c>
      <c r="C486" s="1" t="n">
        <v>45473</v>
      </c>
      <c r="D486" t="inlineStr">
        <is>
          <t>DALARNAS LÄN</t>
        </is>
      </c>
      <c r="E486" t="inlineStr">
        <is>
          <t>LUDVIKA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17032-2023</t>
        </is>
      </c>
      <c r="B487" s="1" t="n">
        <v>45034</v>
      </c>
      <c r="C487" s="1" t="n">
        <v>45473</v>
      </c>
      <c r="D487" t="inlineStr">
        <is>
          <t>DALARNAS LÄN</t>
        </is>
      </c>
      <c r="E487" t="inlineStr">
        <is>
          <t>LUDVIKA</t>
        </is>
      </c>
      <c r="F487" t="inlineStr">
        <is>
          <t>Naturvårdsverket</t>
        </is>
      </c>
      <c r="G487" t="n">
        <v>1</v>
      </c>
      <c r="H487" t="n">
        <v>0</v>
      </c>
      <c r="I487" t="n">
        <v>0</v>
      </c>
      <c r="J487" t="n">
        <v>0</v>
      </c>
      <c r="K487" t="n">
        <v>0</v>
      </c>
      <c r="L487" t="n">
        <v>0</v>
      </c>
      <c r="M487" t="n">
        <v>0</v>
      </c>
      <c r="N487" t="n">
        <v>0</v>
      </c>
      <c r="O487" t="n">
        <v>0</v>
      </c>
      <c r="P487" t="n">
        <v>0</v>
      </c>
      <c r="Q487" t="n">
        <v>0</v>
      </c>
      <c r="R487" s="2" t="inlineStr"/>
    </row>
    <row r="488" ht="15" customHeight="1">
      <c r="A488" t="inlineStr">
        <is>
          <t>A 17037-2023</t>
        </is>
      </c>
      <c r="B488" s="1" t="n">
        <v>45034</v>
      </c>
      <c r="C488" s="1" t="n">
        <v>45473</v>
      </c>
      <c r="D488" t="inlineStr">
        <is>
          <t>DALARNAS LÄN</t>
        </is>
      </c>
      <c r="E488" t="inlineStr">
        <is>
          <t>LUDVIKA</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17035-2023</t>
        </is>
      </c>
      <c r="B489" s="1" t="n">
        <v>45034</v>
      </c>
      <c r="C489" s="1" t="n">
        <v>45473</v>
      </c>
      <c r="D489" t="inlineStr">
        <is>
          <t>DALARNAS LÄN</t>
        </is>
      </c>
      <c r="E489" t="inlineStr">
        <is>
          <t>LUDVIKA</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17138-2023</t>
        </is>
      </c>
      <c r="B490" s="1" t="n">
        <v>45034</v>
      </c>
      <c r="C490" s="1" t="n">
        <v>45473</v>
      </c>
      <c r="D490" t="inlineStr">
        <is>
          <t>DALARNAS LÄN</t>
        </is>
      </c>
      <c r="E490" t="inlineStr">
        <is>
          <t>LUDVIKA</t>
        </is>
      </c>
      <c r="F490" t="inlineStr">
        <is>
          <t>Naturvårdsverket</t>
        </is>
      </c>
      <c r="G490" t="n">
        <v>2.7</v>
      </c>
      <c r="H490" t="n">
        <v>0</v>
      </c>
      <c r="I490" t="n">
        <v>0</v>
      </c>
      <c r="J490" t="n">
        <v>0</v>
      </c>
      <c r="K490" t="n">
        <v>0</v>
      </c>
      <c r="L490" t="n">
        <v>0</v>
      </c>
      <c r="M490" t="n">
        <v>0</v>
      </c>
      <c r="N490" t="n">
        <v>0</v>
      </c>
      <c r="O490" t="n">
        <v>0</v>
      </c>
      <c r="P490" t="n">
        <v>0</v>
      </c>
      <c r="Q490" t="n">
        <v>0</v>
      </c>
      <c r="R490" s="2" t="inlineStr"/>
    </row>
    <row r="491" ht="15" customHeight="1">
      <c r="A491" t="inlineStr">
        <is>
          <t>A 18585-2023</t>
        </is>
      </c>
      <c r="B491" s="1" t="n">
        <v>45043</v>
      </c>
      <c r="C491" s="1" t="n">
        <v>45473</v>
      </c>
      <c r="D491" t="inlineStr">
        <is>
          <t>DALARNAS LÄN</t>
        </is>
      </c>
      <c r="E491" t="inlineStr">
        <is>
          <t>LUDVIKA</t>
        </is>
      </c>
      <c r="F491" t="inlineStr">
        <is>
          <t>Bergvik skog väst AB</t>
        </is>
      </c>
      <c r="G491" t="n">
        <v>4.8</v>
      </c>
      <c r="H491" t="n">
        <v>0</v>
      </c>
      <c r="I491" t="n">
        <v>0</v>
      </c>
      <c r="J491" t="n">
        <v>0</v>
      </c>
      <c r="K491" t="n">
        <v>0</v>
      </c>
      <c r="L491" t="n">
        <v>0</v>
      </c>
      <c r="M491" t="n">
        <v>0</v>
      </c>
      <c r="N491" t="n">
        <v>0</v>
      </c>
      <c r="O491" t="n">
        <v>0</v>
      </c>
      <c r="P491" t="n">
        <v>0</v>
      </c>
      <c r="Q491" t="n">
        <v>0</v>
      </c>
      <c r="R491" s="2" t="inlineStr"/>
    </row>
    <row r="492" ht="15" customHeight="1">
      <c r="A492" t="inlineStr">
        <is>
          <t>A 18708-2023</t>
        </is>
      </c>
      <c r="B492" s="1" t="n">
        <v>45043</v>
      </c>
      <c r="C492" s="1" t="n">
        <v>45473</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18660-2023</t>
        </is>
      </c>
      <c r="B493" s="1" t="n">
        <v>45043</v>
      </c>
      <c r="C493" s="1" t="n">
        <v>45473</v>
      </c>
      <c r="D493" t="inlineStr">
        <is>
          <t>DALARNAS LÄN</t>
        </is>
      </c>
      <c r="E493" t="inlineStr">
        <is>
          <t>LUDVIKA</t>
        </is>
      </c>
      <c r="F493" t="inlineStr">
        <is>
          <t>Bergvik skog väst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18936-2023</t>
        </is>
      </c>
      <c r="B494" s="1" t="n">
        <v>45044</v>
      </c>
      <c r="C494" s="1" t="n">
        <v>45473</v>
      </c>
      <c r="D494" t="inlineStr">
        <is>
          <t>DALARNAS LÄN</t>
        </is>
      </c>
      <c r="E494" t="inlineStr">
        <is>
          <t>LUDVIKA</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18850-2023</t>
        </is>
      </c>
      <c r="B495" s="1" t="n">
        <v>45044</v>
      </c>
      <c r="C495" s="1" t="n">
        <v>45473</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18864-2023</t>
        </is>
      </c>
      <c r="B496" s="1" t="n">
        <v>45044</v>
      </c>
      <c r="C496" s="1" t="n">
        <v>45473</v>
      </c>
      <c r="D496" t="inlineStr">
        <is>
          <t>DALARNAS LÄN</t>
        </is>
      </c>
      <c r="E496" t="inlineStr">
        <is>
          <t>LUDVIKA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19449-2023</t>
        </is>
      </c>
      <c r="B497" s="1" t="n">
        <v>45050</v>
      </c>
      <c r="C497" s="1" t="n">
        <v>45473</v>
      </c>
      <c r="D497" t="inlineStr">
        <is>
          <t>DALARNAS LÄN</t>
        </is>
      </c>
      <c r="E497" t="inlineStr">
        <is>
          <t>LUDVIKA</t>
        </is>
      </c>
      <c r="F497" t="inlineStr">
        <is>
          <t>Bergvik skog väst AB</t>
        </is>
      </c>
      <c r="G497" t="n">
        <v>5.6</v>
      </c>
      <c r="H497" t="n">
        <v>0</v>
      </c>
      <c r="I497" t="n">
        <v>0</v>
      </c>
      <c r="J497" t="n">
        <v>0</v>
      </c>
      <c r="K497" t="n">
        <v>0</v>
      </c>
      <c r="L497" t="n">
        <v>0</v>
      </c>
      <c r="M497" t="n">
        <v>0</v>
      </c>
      <c r="N497" t="n">
        <v>0</v>
      </c>
      <c r="O497" t="n">
        <v>0</v>
      </c>
      <c r="P497" t="n">
        <v>0</v>
      </c>
      <c r="Q497" t="n">
        <v>0</v>
      </c>
      <c r="R497" s="2" t="inlineStr"/>
    </row>
    <row r="498" ht="15" customHeight="1">
      <c r="A498" t="inlineStr">
        <is>
          <t>A 19643-2023</t>
        </is>
      </c>
      <c r="B498" s="1" t="n">
        <v>45051</v>
      </c>
      <c r="C498" s="1" t="n">
        <v>45473</v>
      </c>
      <c r="D498" t="inlineStr">
        <is>
          <t>DALARNAS LÄN</t>
        </is>
      </c>
      <c r="E498" t="inlineStr">
        <is>
          <t>LUDVIKA</t>
        </is>
      </c>
      <c r="F498" t="inlineStr">
        <is>
          <t>Naturvårdsverket</t>
        </is>
      </c>
      <c r="G498" t="n">
        <v>25</v>
      </c>
      <c r="H498" t="n">
        <v>0</v>
      </c>
      <c r="I498" t="n">
        <v>0</v>
      </c>
      <c r="J498" t="n">
        <v>0</v>
      </c>
      <c r="K498" t="n">
        <v>0</v>
      </c>
      <c r="L498" t="n">
        <v>0</v>
      </c>
      <c r="M498" t="n">
        <v>0</v>
      </c>
      <c r="N498" t="n">
        <v>0</v>
      </c>
      <c r="O498" t="n">
        <v>0</v>
      </c>
      <c r="P498" t="n">
        <v>0</v>
      </c>
      <c r="Q498" t="n">
        <v>0</v>
      </c>
      <c r="R498" s="2" t="inlineStr"/>
    </row>
    <row r="499" ht="15" customHeight="1">
      <c r="A499" t="inlineStr">
        <is>
          <t>A 19651-2023</t>
        </is>
      </c>
      <c r="B499" s="1" t="n">
        <v>45051</v>
      </c>
      <c r="C499" s="1" t="n">
        <v>45473</v>
      </c>
      <c r="D499" t="inlineStr">
        <is>
          <t>DALARNAS LÄN</t>
        </is>
      </c>
      <c r="E499" t="inlineStr">
        <is>
          <t>LUDVIKA</t>
        </is>
      </c>
      <c r="F499" t="inlineStr">
        <is>
          <t>Bergvik skog väst AB</t>
        </is>
      </c>
      <c r="G499" t="n">
        <v>7.4</v>
      </c>
      <c r="H499" t="n">
        <v>0</v>
      </c>
      <c r="I499" t="n">
        <v>0</v>
      </c>
      <c r="J499" t="n">
        <v>0</v>
      </c>
      <c r="K499" t="n">
        <v>0</v>
      </c>
      <c r="L499" t="n">
        <v>0</v>
      </c>
      <c r="M499" t="n">
        <v>0</v>
      </c>
      <c r="N499" t="n">
        <v>0</v>
      </c>
      <c r="O499" t="n">
        <v>0</v>
      </c>
      <c r="P499" t="n">
        <v>0</v>
      </c>
      <c r="Q499" t="n">
        <v>0</v>
      </c>
      <c r="R499" s="2" t="inlineStr"/>
    </row>
    <row r="500" ht="15" customHeight="1">
      <c r="A500" t="inlineStr">
        <is>
          <t>A 20225-2023</t>
        </is>
      </c>
      <c r="B500" s="1" t="n">
        <v>45054</v>
      </c>
      <c r="C500" s="1" t="n">
        <v>45473</v>
      </c>
      <c r="D500" t="inlineStr">
        <is>
          <t>DALARNAS LÄN</t>
        </is>
      </c>
      <c r="E500" t="inlineStr">
        <is>
          <t>LUDVIKA</t>
        </is>
      </c>
      <c r="G500" t="n">
        <v>4.7</v>
      </c>
      <c r="H500" t="n">
        <v>0</v>
      </c>
      <c r="I500" t="n">
        <v>0</v>
      </c>
      <c r="J500" t="n">
        <v>0</v>
      </c>
      <c r="K500" t="n">
        <v>0</v>
      </c>
      <c r="L500" t="n">
        <v>0</v>
      </c>
      <c r="M500" t="n">
        <v>0</v>
      </c>
      <c r="N500" t="n">
        <v>0</v>
      </c>
      <c r="O500" t="n">
        <v>0</v>
      </c>
      <c r="P500" t="n">
        <v>0</v>
      </c>
      <c r="Q500" t="n">
        <v>0</v>
      </c>
      <c r="R500" s="2" t="inlineStr"/>
    </row>
    <row r="501" ht="15" customHeight="1">
      <c r="A501" t="inlineStr">
        <is>
          <t>A 20202-2023</t>
        </is>
      </c>
      <c r="B501" s="1" t="n">
        <v>45055</v>
      </c>
      <c r="C501" s="1" t="n">
        <v>45473</v>
      </c>
      <c r="D501" t="inlineStr">
        <is>
          <t>DALARNAS LÄN</t>
        </is>
      </c>
      <c r="E501" t="inlineStr">
        <is>
          <t>LUDVIKA</t>
        </is>
      </c>
      <c r="G501" t="n">
        <v>2.2</v>
      </c>
      <c r="H501" t="n">
        <v>0</v>
      </c>
      <c r="I501" t="n">
        <v>0</v>
      </c>
      <c r="J501" t="n">
        <v>0</v>
      </c>
      <c r="K501" t="n">
        <v>0</v>
      </c>
      <c r="L501" t="n">
        <v>0</v>
      </c>
      <c r="M501" t="n">
        <v>0</v>
      </c>
      <c r="N501" t="n">
        <v>0</v>
      </c>
      <c r="O501" t="n">
        <v>0</v>
      </c>
      <c r="P501" t="n">
        <v>0</v>
      </c>
      <c r="Q501" t="n">
        <v>0</v>
      </c>
      <c r="R501" s="2" t="inlineStr"/>
    </row>
    <row r="502" ht="15" customHeight="1">
      <c r="A502" t="inlineStr">
        <is>
          <t>A 20559-2023</t>
        </is>
      </c>
      <c r="B502" s="1" t="n">
        <v>45055</v>
      </c>
      <c r="C502" s="1" t="n">
        <v>45473</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20411-2023</t>
        </is>
      </c>
      <c r="B503" s="1" t="n">
        <v>45056</v>
      </c>
      <c r="C503" s="1" t="n">
        <v>45473</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20688-2023</t>
        </is>
      </c>
      <c r="B504" s="1" t="n">
        <v>45058</v>
      </c>
      <c r="C504" s="1" t="n">
        <v>45473</v>
      </c>
      <c r="D504" t="inlineStr">
        <is>
          <t>DALARNAS LÄN</t>
        </is>
      </c>
      <c r="E504" t="inlineStr">
        <is>
          <t>LUDVIKA</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20826-2023</t>
        </is>
      </c>
      <c r="B505" s="1" t="n">
        <v>45058</v>
      </c>
      <c r="C505" s="1" t="n">
        <v>45473</v>
      </c>
      <c r="D505" t="inlineStr">
        <is>
          <t>DALARNAS LÄN</t>
        </is>
      </c>
      <c r="E505" t="inlineStr">
        <is>
          <t>LUDVIKA</t>
        </is>
      </c>
      <c r="F505" t="inlineStr">
        <is>
          <t>Bergvik skog väst AB</t>
        </is>
      </c>
      <c r="G505" t="n">
        <v>10</v>
      </c>
      <c r="H505" t="n">
        <v>0</v>
      </c>
      <c r="I505" t="n">
        <v>0</v>
      </c>
      <c r="J505" t="n">
        <v>0</v>
      </c>
      <c r="K505" t="n">
        <v>0</v>
      </c>
      <c r="L505" t="n">
        <v>0</v>
      </c>
      <c r="M505" t="n">
        <v>0</v>
      </c>
      <c r="N505" t="n">
        <v>0</v>
      </c>
      <c r="O505" t="n">
        <v>0</v>
      </c>
      <c r="P505" t="n">
        <v>0</v>
      </c>
      <c r="Q505" t="n">
        <v>0</v>
      </c>
      <c r="R505" s="2" t="inlineStr"/>
    </row>
    <row r="506" ht="15" customHeight="1">
      <c r="A506" t="inlineStr">
        <is>
          <t>A 20764-2023</t>
        </is>
      </c>
      <c r="B506" s="1" t="n">
        <v>45058</v>
      </c>
      <c r="C506" s="1" t="n">
        <v>45473</v>
      </c>
      <c r="D506" t="inlineStr">
        <is>
          <t>DALARNAS LÄN</t>
        </is>
      </c>
      <c r="E506" t="inlineStr">
        <is>
          <t>LUDVIKA</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21145-2023</t>
        </is>
      </c>
      <c r="B507" s="1" t="n">
        <v>45062</v>
      </c>
      <c r="C507" s="1" t="n">
        <v>45473</v>
      </c>
      <c r="D507" t="inlineStr">
        <is>
          <t>DALARNAS LÄN</t>
        </is>
      </c>
      <c r="E507" t="inlineStr">
        <is>
          <t>LUDVIKA</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21152-2023</t>
        </is>
      </c>
      <c r="B508" s="1" t="n">
        <v>45062</v>
      </c>
      <c r="C508" s="1" t="n">
        <v>45473</v>
      </c>
      <c r="D508" t="inlineStr">
        <is>
          <t>DALARNAS LÄN</t>
        </is>
      </c>
      <c r="E508" t="inlineStr">
        <is>
          <t>LUDVIKA</t>
        </is>
      </c>
      <c r="F508" t="inlineStr">
        <is>
          <t>Bergvik skog väst AB</t>
        </is>
      </c>
      <c r="G508" t="n">
        <v>13.6</v>
      </c>
      <c r="H508" t="n">
        <v>0</v>
      </c>
      <c r="I508" t="n">
        <v>0</v>
      </c>
      <c r="J508" t="n">
        <v>0</v>
      </c>
      <c r="K508" t="n">
        <v>0</v>
      </c>
      <c r="L508" t="n">
        <v>0</v>
      </c>
      <c r="M508" t="n">
        <v>0</v>
      </c>
      <c r="N508" t="n">
        <v>0</v>
      </c>
      <c r="O508" t="n">
        <v>0</v>
      </c>
      <c r="P508" t="n">
        <v>0</v>
      </c>
      <c r="Q508" t="n">
        <v>0</v>
      </c>
      <c r="R508" s="2" t="inlineStr"/>
    </row>
    <row r="509" ht="15" customHeight="1">
      <c r="A509" t="inlineStr">
        <is>
          <t>A 21297-2023</t>
        </is>
      </c>
      <c r="B509" s="1" t="n">
        <v>45062</v>
      </c>
      <c r="C509" s="1" t="n">
        <v>45473</v>
      </c>
      <c r="D509" t="inlineStr">
        <is>
          <t>DALARNAS LÄN</t>
        </is>
      </c>
      <c r="E509" t="inlineStr">
        <is>
          <t>LUDVIKA</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21247-2023</t>
        </is>
      </c>
      <c r="B510" s="1" t="n">
        <v>45062</v>
      </c>
      <c r="C510" s="1" t="n">
        <v>45473</v>
      </c>
      <c r="D510" t="inlineStr">
        <is>
          <t>DALARNAS LÄN</t>
        </is>
      </c>
      <c r="E510" t="inlineStr">
        <is>
          <t>LUDVIKA</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21539-2023</t>
        </is>
      </c>
      <c r="B511" s="1" t="n">
        <v>45063</v>
      </c>
      <c r="C511" s="1" t="n">
        <v>45473</v>
      </c>
      <c r="D511" t="inlineStr">
        <is>
          <t>DALARNAS LÄN</t>
        </is>
      </c>
      <c r="E511" t="inlineStr">
        <is>
          <t>LUDVIKA</t>
        </is>
      </c>
      <c r="F511" t="inlineStr">
        <is>
          <t>Bergvik skog väst AB</t>
        </is>
      </c>
      <c r="G511" t="n">
        <v>7.4</v>
      </c>
      <c r="H511" t="n">
        <v>0</v>
      </c>
      <c r="I511" t="n">
        <v>0</v>
      </c>
      <c r="J511" t="n">
        <v>0</v>
      </c>
      <c r="K511" t="n">
        <v>0</v>
      </c>
      <c r="L511" t="n">
        <v>0</v>
      </c>
      <c r="M511" t="n">
        <v>0</v>
      </c>
      <c r="N511" t="n">
        <v>0</v>
      </c>
      <c r="O511" t="n">
        <v>0</v>
      </c>
      <c r="P511" t="n">
        <v>0</v>
      </c>
      <c r="Q511" t="n">
        <v>0</v>
      </c>
      <c r="R511" s="2" t="inlineStr"/>
    </row>
    <row r="512" ht="15" customHeight="1">
      <c r="A512" t="inlineStr">
        <is>
          <t>A 21370-2023</t>
        </is>
      </c>
      <c r="B512" s="1" t="n">
        <v>45063</v>
      </c>
      <c r="C512" s="1" t="n">
        <v>45473</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21369-2023</t>
        </is>
      </c>
      <c r="B513" s="1" t="n">
        <v>45063</v>
      </c>
      <c r="C513" s="1" t="n">
        <v>45473</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21554-2023</t>
        </is>
      </c>
      <c r="B514" s="1" t="n">
        <v>45063</v>
      </c>
      <c r="C514" s="1" t="n">
        <v>45473</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21548-2023</t>
        </is>
      </c>
      <c r="B515" s="1" t="n">
        <v>45063</v>
      </c>
      <c r="C515" s="1" t="n">
        <v>45473</v>
      </c>
      <c r="D515" t="inlineStr">
        <is>
          <t>DALARNAS LÄN</t>
        </is>
      </c>
      <c r="E515" t="inlineStr">
        <is>
          <t>LUDVIKA</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21551-2023</t>
        </is>
      </c>
      <c r="B516" s="1" t="n">
        <v>45063</v>
      </c>
      <c r="C516" s="1" t="n">
        <v>45473</v>
      </c>
      <c r="D516" t="inlineStr">
        <is>
          <t>DALARNAS LÄN</t>
        </is>
      </c>
      <c r="E516" t="inlineStr">
        <is>
          <t>LUDVIKA</t>
        </is>
      </c>
      <c r="G516" t="n">
        <v>8.4</v>
      </c>
      <c r="H516" t="n">
        <v>0</v>
      </c>
      <c r="I516" t="n">
        <v>0</v>
      </c>
      <c r="J516" t="n">
        <v>0</v>
      </c>
      <c r="K516" t="n">
        <v>0</v>
      </c>
      <c r="L516" t="n">
        <v>0</v>
      </c>
      <c r="M516" t="n">
        <v>0</v>
      </c>
      <c r="N516" t="n">
        <v>0</v>
      </c>
      <c r="O516" t="n">
        <v>0</v>
      </c>
      <c r="P516" t="n">
        <v>0</v>
      </c>
      <c r="Q516" t="n">
        <v>0</v>
      </c>
      <c r="R516" s="2" t="inlineStr"/>
    </row>
    <row r="517" ht="15" customHeight="1">
      <c r="A517" t="inlineStr">
        <is>
          <t>A 21598-2023</t>
        </is>
      </c>
      <c r="B517" s="1" t="n">
        <v>45063</v>
      </c>
      <c r="C517" s="1" t="n">
        <v>45473</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21649-2023</t>
        </is>
      </c>
      <c r="B518" s="1" t="n">
        <v>45063</v>
      </c>
      <c r="C518" s="1" t="n">
        <v>45473</v>
      </c>
      <c r="D518" t="inlineStr">
        <is>
          <t>DALARNAS LÄN</t>
        </is>
      </c>
      <c r="E518" t="inlineStr">
        <is>
          <t>LUDVIKA</t>
        </is>
      </c>
      <c r="F518" t="inlineStr">
        <is>
          <t>Bergvik skog väst AB</t>
        </is>
      </c>
      <c r="G518" t="n">
        <v>10.3</v>
      </c>
      <c r="H518" t="n">
        <v>0</v>
      </c>
      <c r="I518" t="n">
        <v>0</v>
      </c>
      <c r="J518" t="n">
        <v>0</v>
      </c>
      <c r="K518" t="n">
        <v>0</v>
      </c>
      <c r="L518" t="n">
        <v>0</v>
      </c>
      <c r="M518" t="n">
        <v>0</v>
      </c>
      <c r="N518" t="n">
        <v>0</v>
      </c>
      <c r="O518" t="n">
        <v>0</v>
      </c>
      <c r="P518" t="n">
        <v>0</v>
      </c>
      <c r="Q518" t="n">
        <v>0</v>
      </c>
      <c r="R518" s="2" t="inlineStr"/>
    </row>
    <row r="519" ht="15" customHeight="1">
      <c r="A519" t="inlineStr">
        <is>
          <t>A 21843-2023</t>
        </is>
      </c>
      <c r="B519" s="1" t="n">
        <v>45068</v>
      </c>
      <c r="C519" s="1" t="n">
        <v>45473</v>
      </c>
      <c r="D519" t="inlineStr">
        <is>
          <t>DALARNAS LÄN</t>
        </is>
      </c>
      <c r="E519" t="inlineStr">
        <is>
          <t>LUDVIKA</t>
        </is>
      </c>
      <c r="G519" t="n">
        <v>4.3</v>
      </c>
      <c r="H519" t="n">
        <v>0</v>
      </c>
      <c r="I519" t="n">
        <v>0</v>
      </c>
      <c r="J519" t="n">
        <v>0</v>
      </c>
      <c r="K519" t="n">
        <v>0</v>
      </c>
      <c r="L519" t="n">
        <v>0</v>
      </c>
      <c r="M519" t="n">
        <v>0</v>
      </c>
      <c r="N519" t="n">
        <v>0</v>
      </c>
      <c r="O519" t="n">
        <v>0</v>
      </c>
      <c r="P519" t="n">
        <v>0</v>
      </c>
      <c r="Q519" t="n">
        <v>0</v>
      </c>
      <c r="R519" s="2" t="inlineStr"/>
    </row>
    <row r="520" ht="15" customHeight="1">
      <c r="A520" t="inlineStr">
        <is>
          <t>A 21842-2023</t>
        </is>
      </c>
      <c r="B520" s="1" t="n">
        <v>45068</v>
      </c>
      <c r="C520" s="1" t="n">
        <v>45473</v>
      </c>
      <c r="D520" t="inlineStr">
        <is>
          <t>DALARNAS LÄN</t>
        </is>
      </c>
      <c r="E520" t="inlineStr">
        <is>
          <t>LUDVIKA</t>
        </is>
      </c>
      <c r="G520" t="n">
        <v>3.5</v>
      </c>
      <c r="H520" t="n">
        <v>0</v>
      </c>
      <c r="I520" t="n">
        <v>0</v>
      </c>
      <c r="J520" t="n">
        <v>0</v>
      </c>
      <c r="K520" t="n">
        <v>0</v>
      </c>
      <c r="L520" t="n">
        <v>0</v>
      </c>
      <c r="M520" t="n">
        <v>0</v>
      </c>
      <c r="N520" t="n">
        <v>0</v>
      </c>
      <c r="O520" t="n">
        <v>0</v>
      </c>
      <c r="P520" t="n">
        <v>0</v>
      </c>
      <c r="Q520" t="n">
        <v>0</v>
      </c>
      <c r="R520" s="2" t="inlineStr"/>
    </row>
    <row r="521" ht="15" customHeight="1">
      <c r="A521" t="inlineStr">
        <is>
          <t>A 21870-2023</t>
        </is>
      </c>
      <c r="B521" s="1" t="n">
        <v>45068</v>
      </c>
      <c r="C521" s="1" t="n">
        <v>45473</v>
      </c>
      <c r="D521" t="inlineStr">
        <is>
          <t>DALARNAS LÄN</t>
        </is>
      </c>
      <c r="E521" t="inlineStr">
        <is>
          <t>LUDVIKA</t>
        </is>
      </c>
      <c r="F521" t="inlineStr">
        <is>
          <t>Bergvik skog väst AB</t>
        </is>
      </c>
      <c r="G521" t="n">
        <v>2.7</v>
      </c>
      <c r="H521" t="n">
        <v>0</v>
      </c>
      <c r="I521" t="n">
        <v>0</v>
      </c>
      <c r="J521" t="n">
        <v>0</v>
      </c>
      <c r="K521" t="n">
        <v>0</v>
      </c>
      <c r="L521" t="n">
        <v>0</v>
      </c>
      <c r="M521" t="n">
        <v>0</v>
      </c>
      <c r="N521" t="n">
        <v>0</v>
      </c>
      <c r="O521" t="n">
        <v>0</v>
      </c>
      <c r="P521" t="n">
        <v>0</v>
      </c>
      <c r="Q521" t="n">
        <v>0</v>
      </c>
      <c r="R521" s="2" t="inlineStr"/>
    </row>
    <row r="522" ht="15" customHeight="1">
      <c r="A522" t="inlineStr">
        <is>
          <t>A 21841-2023</t>
        </is>
      </c>
      <c r="B522" s="1" t="n">
        <v>45068</v>
      </c>
      <c r="C522" s="1" t="n">
        <v>45473</v>
      </c>
      <c r="D522" t="inlineStr">
        <is>
          <t>DALARNAS LÄN</t>
        </is>
      </c>
      <c r="E522" t="inlineStr">
        <is>
          <t>LUDVIKA</t>
        </is>
      </c>
      <c r="G522" t="n">
        <v>4.5</v>
      </c>
      <c r="H522" t="n">
        <v>0</v>
      </c>
      <c r="I522" t="n">
        <v>0</v>
      </c>
      <c r="J522" t="n">
        <v>0</v>
      </c>
      <c r="K522" t="n">
        <v>0</v>
      </c>
      <c r="L522" t="n">
        <v>0</v>
      </c>
      <c r="M522" t="n">
        <v>0</v>
      </c>
      <c r="N522" t="n">
        <v>0</v>
      </c>
      <c r="O522" t="n">
        <v>0</v>
      </c>
      <c r="P522" t="n">
        <v>0</v>
      </c>
      <c r="Q522" t="n">
        <v>0</v>
      </c>
      <c r="R522" s="2" t="inlineStr"/>
    </row>
    <row r="523" ht="15" customHeight="1">
      <c r="A523" t="inlineStr">
        <is>
          <t>A 21933-2023</t>
        </is>
      </c>
      <c r="B523" s="1" t="n">
        <v>45068</v>
      </c>
      <c r="C523" s="1" t="n">
        <v>45473</v>
      </c>
      <c r="D523" t="inlineStr">
        <is>
          <t>DALARNAS LÄN</t>
        </is>
      </c>
      <c r="E523" t="inlineStr">
        <is>
          <t>LUDVIKA</t>
        </is>
      </c>
      <c r="F523" t="inlineStr">
        <is>
          <t>Bergvik skog väst AB</t>
        </is>
      </c>
      <c r="G523" t="n">
        <v>12.5</v>
      </c>
      <c r="H523" t="n">
        <v>0</v>
      </c>
      <c r="I523" t="n">
        <v>0</v>
      </c>
      <c r="J523" t="n">
        <v>0</v>
      </c>
      <c r="K523" t="n">
        <v>0</v>
      </c>
      <c r="L523" t="n">
        <v>0</v>
      </c>
      <c r="M523" t="n">
        <v>0</v>
      </c>
      <c r="N523" t="n">
        <v>0</v>
      </c>
      <c r="O523" t="n">
        <v>0</v>
      </c>
      <c r="P523" t="n">
        <v>0</v>
      </c>
      <c r="Q523" t="n">
        <v>0</v>
      </c>
      <c r="R523" s="2" t="inlineStr"/>
    </row>
    <row r="524" ht="15" customHeight="1">
      <c r="A524" t="inlineStr">
        <is>
          <t>A 22149-2023</t>
        </is>
      </c>
      <c r="B524" s="1" t="n">
        <v>45069</v>
      </c>
      <c r="C524" s="1" t="n">
        <v>45473</v>
      </c>
      <c r="D524" t="inlineStr">
        <is>
          <t>DALARNAS LÄN</t>
        </is>
      </c>
      <c r="E524" t="inlineStr">
        <is>
          <t>LUDVIKA</t>
        </is>
      </c>
      <c r="F524" t="inlineStr">
        <is>
          <t>Bergvik skog väst AB</t>
        </is>
      </c>
      <c r="G524" t="n">
        <v>12.9</v>
      </c>
      <c r="H524" t="n">
        <v>0</v>
      </c>
      <c r="I524" t="n">
        <v>0</v>
      </c>
      <c r="J524" t="n">
        <v>0</v>
      </c>
      <c r="K524" t="n">
        <v>0</v>
      </c>
      <c r="L524" t="n">
        <v>0</v>
      </c>
      <c r="M524" t="n">
        <v>0</v>
      </c>
      <c r="N524" t="n">
        <v>0</v>
      </c>
      <c r="O524" t="n">
        <v>0</v>
      </c>
      <c r="P524" t="n">
        <v>0</v>
      </c>
      <c r="Q524" t="n">
        <v>0</v>
      </c>
      <c r="R524" s="2" t="inlineStr"/>
    </row>
    <row r="525" ht="15" customHeight="1">
      <c r="A525" t="inlineStr">
        <is>
          <t>A 22151-2023</t>
        </is>
      </c>
      <c r="B525" s="1" t="n">
        <v>45069</v>
      </c>
      <c r="C525" s="1" t="n">
        <v>45473</v>
      </c>
      <c r="D525" t="inlineStr">
        <is>
          <t>DALARNAS LÄN</t>
        </is>
      </c>
      <c r="E525" t="inlineStr">
        <is>
          <t>LUDVIKA</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22286-2023</t>
        </is>
      </c>
      <c r="B526" s="1" t="n">
        <v>45070</v>
      </c>
      <c r="C526" s="1" t="n">
        <v>45473</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22306-2023</t>
        </is>
      </c>
      <c r="B527" s="1" t="n">
        <v>45070</v>
      </c>
      <c r="C527" s="1" t="n">
        <v>45473</v>
      </c>
      <c r="D527" t="inlineStr">
        <is>
          <t>DALARNAS LÄN</t>
        </is>
      </c>
      <c r="E527" t="inlineStr">
        <is>
          <t>LUDVIKA</t>
        </is>
      </c>
      <c r="F527" t="inlineStr">
        <is>
          <t>Bergvik skog väst AB</t>
        </is>
      </c>
      <c r="G527" t="n">
        <v>2.4</v>
      </c>
      <c r="H527" t="n">
        <v>0</v>
      </c>
      <c r="I527" t="n">
        <v>0</v>
      </c>
      <c r="J527" t="n">
        <v>0</v>
      </c>
      <c r="K527" t="n">
        <v>0</v>
      </c>
      <c r="L527" t="n">
        <v>0</v>
      </c>
      <c r="M527" t="n">
        <v>0</v>
      </c>
      <c r="N527" t="n">
        <v>0</v>
      </c>
      <c r="O527" t="n">
        <v>0</v>
      </c>
      <c r="P527" t="n">
        <v>0</v>
      </c>
      <c r="Q527" t="n">
        <v>0</v>
      </c>
      <c r="R527" s="2" t="inlineStr"/>
    </row>
    <row r="528" ht="15" customHeight="1">
      <c r="A528" t="inlineStr">
        <is>
          <t>A 22375-2023</t>
        </is>
      </c>
      <c r="B528" s="1" t="n">
        <v>45070</v>
      </c>
      <c r="C528" s="1" t="n">
        <v>45473</v>
      </c>
      <c r="D528" t="inlineStr">
        <is>
          <t>DALARNAS LÄN</t>
        </is>
      </c>
      <c r="E528" t="inlineStr">
        <is>
          <t>LUDVIKA</t>
        </is>
      </c>
      <c r="F528" t="inlineStr">
        <is>
          <t>Bergvik skog väst AB</t>
        </is>
      </c>
      <c r="G528" t="n">
        <v>18.4</v>
      </c>
      <c r="H528" t="n">
        <v>0</v>
      </c>
      <c r="I528" t="n">
        <v>0</v>
      </c>
      <c r="J528" t="n">
        <v>0</v>
      </c>
      <c r="K528" t="n">
        <v>0</v>
      </c>
      <c r="L528" t="n">
        <v>0</v>
      </c>
      <c r="M528" t="n">
        <v>0</v>
      </c>
      <c r="N528" t="n">
        <v>0</v>
      </c>
      <c r="O528" t="n">
        <v>0</v>
      </c>
      <c r="P528" t="n">
        <v>0</v>
      </c>
      <c r="Q528" t="n">
        <v>0</v>
      </c>
      <c r="R528" s="2" t="inlineStr"/>
    </row>
    <row r="529" ht="15" customHeight="1">
      <c r="A529" t="inlineStr">
        <is>
          <t>A 22420-2023</t>
        </is>
      </c>
      <c r="B529" s="1" t="n">
        <v>45070</v>
      </c>
      <c r="C529" s="1" t="n">
        <v>45473</v>
      </c>
      <c r="D529" t="inlineStr">
        <is>
          <t>DALARNAS LÄN</t>
        </is>
      </c>
      <c r="E529" t="inlineStr">
        <is>
          <t>LUDVIKA</t>
        </is>
      </c>
      <c r="F529" t="inlineStr">
        <is>
          <t>Bergvik skog väst AB</t>
        </is>
      </c>
      <c r="G529" t="n">
        <v>6.5</v>
      </c>
      <c r="H529" t="n">
        <v>0</v>
      </c>
      <c r="I529" t="n">
        <v>0</v>
      </c>
      <c r="J529" t="n">
        <v>0</v>
      </c>
      <c r="K529" t="n">
        <v>0</v>
      </c>
      <c r="L529" t="n">
        <v>0</v>
      </c>
      <c r="M529" t="n">
        <v>0</v>
      </c>
      <c r="N529" t="n">
        <v>0</v>
      </c>
      <c r="O529" t="n">
        <v>0</v>
      </c>
      <c r="P529" t="n">
        <v>0</v>
      </c>
      <c r="Q529" t="n">
        <v>0</v>
      </c>
      <c r="R529" s="2" t="inlineStr"/>
    </row>
    <row r="530" ht="15" customHeight="1">
      <c r="A530" t="inlineStr">
        <is>
          <t>A 22555-2023</t>
        </is>
      </c>
      <c r="B530" s="1" t="n">
        <v>45071</v>
      </c>
      <c r="C530" s="1" t="n">
        <v>45473</v>
      </c>
      <c r="D530" t="inlineStr">
        <is>
          <t>DALARNAS LÄN</t>
        </is>
      </c>
      <c r="E530" t="inlineStr">
        <is>
          <t>LUDVIKA</t>
        </is>
      </c>
      <c r="F530" t="inlineStr">
        <is>
          <t>Bergvik skog väst AB</t>
        </is>
      </c>
      <c r="G530" t="n">
        <v>6</v>
      </c>
      <c r="H530" t="n">
        <v>0</v>
      </c>
      <c r="I530" t="n">
        <v>0</v>
      </c>
      <c r="J530" t="n">
        <v>0</v>
      </c>
      <c r="K530" t="n">
        <v>0</v>
      </c>
      <c r="L530" t="n">
        <v>0</v>
      </c>
      <c r="M530" t="n">
        <v>0</v>
      </c>
      <c r="N530" t="n">
        <v>0</v>
      </c>
      <c r="O530" t="n">
        <v>0</v>
      </c>
      <c r="P530" t="n">
        <v>0</v>
      </c>
      <c r="Q530" t="n">
        <v>0</v>
      </c>
      <c r="R530" s="2" t="inlineStr"/>
    </row>
    <row r="531" ht="15" customHeight="1">
      <c r="A531" t="inlineStr">
        <is>
          <t>A 23999-2023</t>
        </is>
      </c>
      <c r="B531" s="1" t="n">
        <v>45078</v>
      </c>
      <c r="C531" s="1" t="n">
        <v>45473</v>
      </c>
      <c r="D531" t="inlineStr">
        <is>
          <t>DALARNAS LÄN</t>
        </is>
      </c>
      <c r="E531" t="inlineStr">
        <is>
          <t>LUDVIKA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24224-2023</t>
        </is>
      </c>
      <c r="B532" s="1" t="n">
        <v>45079</v>
      </c>
      <c r="C532" s="1" t="n">
        <v>45473</v>
      </c>
      <c r="D532" t="inlineStr">
        <is>
          <t>DALARNAS LÄN</t>
        </is>
      </c>
      <c r="E532" t="inlineStr">
        <is>
          <t>LUDVIKA</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24256-2023</t>
        </is>
      </c>
      <c r="B533" s="1" t="n">
        <v>45079</v>
      </c>
      <c r="C533" s="1" t="n">
        <v>45473</v>
      </c>
      <c r="D533" t="inlineStr">
        <is>
          <t>DALARNAS LÄN</t>
        </is>
      </c>
      <c r="E533" t="inlineStr">
        <is>
          <t>LUDVIKA</t>
        </is>
      </c>
      <c r="F533" t="inlineStr">
        <is>
          <t>Bergvik skog väst AB</t>
        </is>
      </c>
      <c r="G533" t="n">
        <v>10.9</v>
      </c>
      <c r="H533" t="n">
        <v>0</v>
      </c>
      <c r="I533" t="n">
        <v>0</v>
      </c>
      <c r="J533" t="n">
        <v>0</v>
      </c>
      <c r="K533" t="n">
        <v>0</v>
      </c>
      <c r="L533" t="n">
        <v>0</v>
      </c>
      <c r="M533" t="n">
        <v>0</v>
      </c>
      <c r="N533" t="n">
        <v>0</v>
      </c>
      <c r="O533" t="n">
        <v>0</v>
      </c>
      <c r="P533" t="n">
        <v>0</v>
      </c>
      <c r="Q533" t="n">
        <v>0</v>
      </c>
      <c r="R533" s="2" t="inlineStr"/>
    </row>
    <row r="534" ht="15" customHeight="1">
      <c r="A534" t="inlineStr">
        <is>
          <t>A 24379-2023</t>
        </is>
      </c>
      <c r="B534" s="1" t="n">
        <v>45082</v>
      </c>
      <c r="C534" s="1" t="n">
        <v>45473</v>
      </c>
      <c r="D534" t="inlineStr">
        <is>
          <t>DALARNAS LÄN</t>
        </is>
      </c>
      <c r="E534" t="inlineStr">
        <is>
          <t>LUDVIKA</t>
        </is>
      </c>
      <c r="F534" t="inlineStr">
        <is>
          <t>Naturvårdsverket</t>
        </is>
      </c>
      <c r="G534" t="n">
        <v>2.1</v>
      </c>
      <c r="H534" t="n">
        <v>0</v>
      </c>
      <c r="I534" t="n">
        <v>0</v>
      </c>
      <c r="J534" t="n">
        <v>0</v>
      </c>
      <c r="K534" t="n">
        <v>0</v>
      </c>
      <c r="L534" t="n">
        <v>0</v>
      </c>
      <c r="M534" t="n">
        <v>0</v>
      </c>
      <c r="N534" t="n">
        <v>0</v>
      </c>
      <c r="O534" t="n">
        <v>0</v>
      </c>
      <c r="P534" t="n">
        <v>0</v>
      </c>
      <c r="Q534" t="n">
        <v>0</v>
      </c>
      <c r="R534" s="2" t="inlineStr"/>
    </row>
    <row r="535" ht="15" customHeight="1">
      <c r="A535" t="inlineStr">
        <is>
          <t>A 24469-2023</t>
        </is>
      </c>
      <c r="B535" s="1" t="n">
        <v>45082</v>
      </c>
      <c r="C535" s="1" t="n">
        <v>45473</v>
      </c>
      <c r="D535" t="inlineStr">
        <is>
          <t>DALARNAS LÄN</t>
        </is>
      </c>
      <c r="E535" t="inlineStr">
        <is>
          <t>LUDVIKA</t>
        </is>
      </c>
      <c r="F535" t="inlineStr">
        <is>
          <t>Naturvårdsverket</t>
        </is>
      </c>
      <c r="G535" t="n">
        <v>4</v>
      </c>
      <c r="H535" t="n">
        <v>0</v>
      </c>
      <c r="I535" t="n">
        <v>0</v>
      </c>
      <c r="J535" t="n">
        <v>0</v>
      </c>
      <c r="K535" t="n">
        <v>0</v>
      </c>
      <c r="L535" t="n">
        <v>0</v>
      </c>
      <c r="M535" t="n">
        <v>0</v>
      </c>
      <c r="N535" t="n">
        <v>0</v>
      </c>
      <c r="O535" t="n">
        <v>0</v>
      </c>
      <c r="P535" t="n">
        <v>0</v>
      </c>
      <c r="Q535" t="n">
        <v>0</v>
      </c>
      <c r="R535" s="2" t="inlineStr"/>
    </row>
    <row r="536" ht="15" customHeight="1">
      <c r="A536" t="inlineStr">
        <is>
          <t>A 24612-2023</t>
        </is>
      </c>
      <c r="B536" s="1" t="n">
        <v>45084</v>
      </c>
      <c r="C536" s="1" t="n">
        <v>45473</v>
      </c>
      <c r="D536" t="inlineStr">
        <is>
          <t>DALARNAS LÄN</t>
        </is>
      </c>
      <c r="E536" t="inlineStr">
        <is>
          <t>LUDVIKA</t>
        </is>
      </c>
      <c r="F536" t="inlineStr">
        <is>
          <t>Bergvik skog väst AB</t>
        </is>
      </c>
      <c r="G536" t="n">
        <v>11.7</v>
      </c>
      <c r="H536" t="n">
        <v>0</v>
      </c>
      <c r="I536" t="n">
        <v>0</v>
      </c>
      <c r="J536" t="n">
        <v>0</v>
      </c>
      <c r="K536" t="n">
        <v>0</v>
      </c>
      <c r="L536" t="n">
        <v>0</v>
      </c>
      <c r="M536" t="n">
        <v>0</v>
      </c>
      <c r="N536" t="n">
        <v>0</v>
      </c>
      <c r="O536" t="n">
        <v>0</v>
      </c>
      <c r="P536" t="n">
        <v>0</v>
      </c>
      <c r="Q536" t="n">
        <v>0</v>
      </c>
      <c r="R536" s="2" t="inlineStr"/>
    </row>
    <row r="537" ht="15" customHeight="1">
      <c r="A537" t="inlineStr">
        <is>
          <t>A 25077-2023</t>
        </is>
      </c>
      <c r="B537" s="1" t="n">
        <v>45086</v>
      </c>
      <c r="C537" s="1" t="n">
        <v>45473</v>
      </c>
      <c r="D537" t="inlineStr">
        <is>
          <t>DALARNAS LÄN</t>
        </is>
      </c>
      <c r="E537" t="inlineStr">
        <is>
          <t>LUDVIKA</t>
        </is>
      </c>
      <c r="F537" t="inlineStr">
        <is>
          <t>Bergvik skog väst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25099-2023</t>
        </is>
      </c>
      <c r="B538" s="1" t="n">
        <v>45086</v>
      </c>
      <c r="C538" s="1" t="n">
        <v>45473</v>
      </c>
      <c r="D538" t="inlineStr">
        <is>
          <t>DALARNAS LÄN</t>
        </is>
      </c>
      <c r="E538" t="inlineStr">
        <is>
          <t>LUDVIKA</t>
        </is>
      </c>
      <c r="F538" t="inlineStr">
        <is>
          <t>Bergvik skog väst AB</t>
        </is>
      </c>
      <c r="G538" t="n">
        <v>4.6</v>
      </c>
      <c r="H538" t="n">
        <v>0</v>
      </c>
      <c r="I538" t="n">
        <v>0</v>
      </c>
      <c r="J538" t="n">
        <v>0</v>
      </c>
      <c r="K538" t="n">
        <v>0</v>
      </c>
      <c r="L538" t="n">
        <v>0</v>
      </c>
      <c r="M538" t="n">
        <v>0</v>
      </c>
      <c r="N538" t="n">
        <v>0</v>
      </c>
      <c r="O538" t="n">
        <v>0</v>
      </c>
      <c r="P538" t="n">
        <v>0</v>
      </c>
      <c r="Q538" t="n">
        <v>0</v>
      </c>
      <c r="R538" s="2" t="inlineStr"/>
    </row>
    <row r="539" ht="15" customHeight="1">
      <c r="A539" t="inlineStr">
        <is>
          <t>A 25624-2023</t>
        </is>
      </c>
      <c r="B539" s="1" t="n">
        <v>45089</v>
      </c>
      <c r="C539" s="1" t="n">
        <v>45473</v>
      </c>
      <c r="D539" t="inlineStr">
        <is>
          <t>DALARNAS LÄN</t>
        </is>
      </c>
      <c r="E539" t="inlineStr">
        <is>
          <t>LUDVIKA</t>
        </is>
      </c>
      <c r="F539" t="inlineStr">
        <is>
          <t>Bergvik skog väst AB</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26147-2023</t>
        </is>
      </c>
      <c r="B540" s="1" t="n">
        <v>45091</v>
      </c>
      <c r="C540" s="1" t="n">
        <v>45473</v>
      </c>
      <c r="D540" t="inlineStr">
        <is>
          <t>DALARNAS LÄN</t>
        </is>
      </c>
      <c r="E540" t="inlineStr">
        <is>
          <t>LUDVIKA</t>
        </is>
      </c>
      <c r="F540" t="inlineStr">
        <is>
          <t>Naturvårdsverket</t>
        </is>
      </c>
      <c r="G540" t="n">
        <v>4.1</v>
      </c>
      <c r="H540" t="n">
        <v>0</v>
      </c>
      <c r="I540" t="n">
        <v>0</v>
      </c>
      <c r="J540" t="n">
        <v>0</v>
      </c>
      <c r="K540" t="n">
        <v>0</v>
      </c>
      <c r="L540" t="n">
        <v>0</v>
      </c>
      <c r="M540" t="n">
        <v>0</v>
      </c>
      <c r="N540" t="n">
        <v>0</v>
      </c>
      <c r="O540" t="n">
        <v>0</v>
      </c>
      <c r="P540" t="n">
        <v>0</v>
      </c>
      <c r="Q540" t="n">
        <v>0</v>
      </c>
      <c r="R540" s="2" t="inlineStr"/>
    </row>
    <row r="541" ht="15" customHeight="1">
      <c r="A541" t="inlineStr">
        <is>
          <t>A 26766-2023</t>
        </is>
      </c>
      <c r="B541" s="1" t="n">
        <v>45093</v>
      </c>
      <c r="C541" s="1" t="n">
        <v>45473</v>
      </c>
      <c r="D541" t="inlineStr">
        <is>
          <t>DALARNAS LÄN</t>
        </is>
      </c>
      <c r="E541" t="inlineStr">
        <is>
          <t>LUDVIKA</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26884-2023</t>
        </is>
      </c>
      <c r="B542" s="1" t="n">
        <v>45093</v>
      </c>
      <c r="C542" s="1" t="n">
        <v>45473</v>
      </c>
      <c r="D542" t="inlineStr">
        <is>
          <t>DALARNAS LÄN</t>
        </is>
      </c>
      <c r="E542" t="inlineStr">
        <is>
          <t>LUDVIKA</t>
        </is>
      </c>
      <c r="F542" t="inlineStr">
        <is>
          <t>Naturvårdsverket</t>
        </is>
      </c>
      <c r="G542" t="n">
        <v>3.5</v>
      </c>
      <c r="H542" t="n">
        <v>0</v>
      </c>
      <c r="I542" t="n">
        <v>0</v>
      </c>
      <c r="J542" t="n">
        <v>0</v>
      </c>
      <c r="K542" t="n">
        <v>0</v>
      </c>
      <c r="L542" t="n">
        <v>0</v>
      </c>
      <c r="M542" t="n">
        <v>0</v>
      </c>
      <c r="N542" t="n">
        <v>0</v>
      </c>
      <c r="O542" t="n">
        <v>0</v>
      </c>
      <c r="P542" t="n">
        <v>0</v>
      </c>
      <c r="Q542" t="n">
        <v>0</v>
      </c>
      <c r="R542" s="2" t="inlineStr"/>
    </row>
    <row r="543" ht="15" customHeight="1">
      <c r="A543" t="inlineStr">
        <is>
          <t>A 26789-2023</t>
        </is>
      </c>
      <c r="B543" s="1" t="n">
        <v>45093</v>
      </c>
      <c r="C543" s="1" t="n">
        <v>45473</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27870-2023</t>
        </is>
      </c>
      <c r="B544" s="1" t="n">
        <v>45098</v>
      </c>
      <c r="C544" s="1" t="n">
        <v>45473</v>
      </c>
      <c r="D544" t="inlineStr">
        <is>
          <t>DALARNAS LÄN</t>
        </is>
      </c>
      <c r="E544" t="inlineStr">
        <is>
          <t>LUDVIKA</t>
        </is>
      </c>
      <c r="F544" t="inlineStr">
        <is>
          <t>Bergvik skog väst AB</t>
        </is>
      </c>
      <c r="G544" t="n">
        <v>24.7</v>
      </c>
      <c r="H544" t="n">
        <v>0</v>
      </c>
      <c r="I544" t="n">
        <v>0</v>
      </c>
      <c r="J544" t="n">
        <v>0</v>
      </c>
      <c r="K544" t="n">
        <v>0</v>
      </c>
      <c r="L544" t="n">
        <v>0</v>
      </c>
      <c r="M544" t="n">
        <v>0</v>
      </c>
      <c r="N544" t="n">
        <v>0</v>
      </c>
      <c r="O544" t="n">
        <v>0</v>
      </c>
      <c r="P544" t="n">
        <v>0</v>
      </c>
      <c r="Q544" t="n">
        <v>0</v>
      </c>
      <c r="R544" s="2" t="inlineStr"/>
    </row>
    <row r="545" ht="15" customHeight="1">
      <c r="A545" t="inlineStr">
        <is>
          <t>A 27917-2023</t>
        </is>
      </c>
      <c r="B545" s="1" t="n">
        <v>45098</v>
      </c>
      <c r="C545" s="1" t="n">
        <v>45473</v>
      </c>
      <c r="D545" t="inlineStr">
        <is>
          <t>DALARNAS LÄN</t>
        </is>
      </c>
      <c r="E545" t="inlineStr">
        <is>
          <t>LUDVIKA</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27954-2023</t>
        </is>
      </c>
      <c r="B546" s="1" t="n">
        <v>45098</v>
      </c>
      <c r="C546" s="1" t="n">
        <v>45473</v>
      </c>
      <c r="D546" t="inlineStr">
        <is>
          <t>DALARNAS LÄN</t>
        </is>
      </c>
      <c r="E546" t="inlineStr">
        <is>
          <t>LUDVIKA</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27929-2023</t>
        </is>
      </c>
      <c r="B547" s="1" t="n">
        <v>45098</v>
      </c>
      <c r="C547" s="1" t="n">
        <v>45473</v>
      </c>
      <c r="D547" t="inlineStr">
        <is>
          <t>DALARNAS LÄN</t>
        </is>
      </c>
      <c r="E547" t="inlineStr">
        <is>
          <t>LUDVIKA</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28144-2023</t>
        </is>
      </c>
      <c r="B548" s="1" t="n">
        <v>45099</v>
      </c>
      <c r="C548" s="1" t="n">
        <v>45473</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28134-2023</t>
        </is>
      </c>
      <c r="B549" s="1" t="n">
        <v>45099</v>
      </c>
      <c r="C549" s="1" t="n">
        <v>45473</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28125-2023</t>
        </is>
      </c>
      <c r="B550" s="1" t="n">
        <v>45099</v>
      </c>
      <c r="C550" s="1" t="n">
        <v>45473</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28138-2023</t>
        </is>
      </c>
      <c r="B551" s="1" t="n">
        <v>45099</v>
      </c>
      <c r="C551" s="1" t="n">
        <v>45473</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28157-2023</t>
        </is>
      </c>
      <c r="B552" s="1" t="n">
        <v>45099</v>
      </c>
      <c r="C552" s="1" t="n">
        <v>45473</v>
      </c>
      <c r="D552" t="inlineStr">
        <is>
          <t>DALARNAS LÄN</t>
        </is>
      </c>
      <c r="E552" t="inlineStr">
        <is>
          <t>LUDVIKA</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28141-2023</t>
        </is>
      </c>
      <c r="B553" s="1" t="n">
        <v>45099</v>
      </c>
      <c r="C553" s="1" t="n">
        <v>45473</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28150-2023</t>
        </is>
      </c>
      <c r="B554" s="1" t="n">
        <v>45099</v>
      </c>
      <c r="C554" s="1" t="n">
        <v>45473</v>
      </c>
      <c r="D554" t="inlineStr">
        <is>
          <t>DALARNAS LÄN</t>
        </is>
      </c>
      <c r="E554" t="inlineStr">
        <is>
          <t>LUDVIKA</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28507-2023</t>
        </is>
      </c>
      <c r="B555" s="1" t="n">
        <v>45103</v>
      </c>
      <c r="C555" s="1" t="n">
        <v>45473</v>
      </c>
      <c r="D555" t="inlineStr">
        <is>
          <t>DALARNAS LÄN</t>
        </is>
      </c>
      <c r="E555" t="inlineStr">
        <is>
          <t>LUDVIKA</t>
        </is>
      </c>
      <c r="G555" t="n">
        <v>2.4</v>
      </c>
      <c r="H555" t="n">
        <v>0</v>
      </c>
      <c r="I555" t="n">
        <v>0</v>
      </c>
      <c r="J555" t="n">
        <v>0</v>
      </c>
      <c r="K555" t="n">
        <v>0</v>
      </c>
      <c r="L555" t="n">
        <v>0</v>
      </c>
      <c r="M555" t="n">
        <v>0</v>
      </c>
      <c r="N555" t="n">
        <v>0</v>
      </c>
      <c r="O555" t="n">
        <v>0</v>
      </c>
      <c r="P555" t="n">
        <v>0</v>
      </c>
      <c r="Q555" t="n">
        <v>0</v>
      </c>
      <c r="R555" s="2" t="inlineStr"/>
    </row>
    <row r="556" ht="15" customHeight="1">
      <c r="A556" t="inlineStr">
        <is>
          <t>A 29242-2023</t>
        </is>
      </c>
      <c r="B556" s="1" t="n">
        <v>45105</v>
      </c>
      <c r="C556" s="1" t="n">
        <v>45473</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31702-2023</t>
        </is>
      </c>
      <c r="B557" s="1" t="n">
        <v>45105</v>
      </c>
      <c r="C557" s="1" t="n">
        <v>45473</v>
      </c>
      <c r="D557" t="inlineStr">
        <is>
          <t>DALARNAS LÄN</t>
        </is>
      </c>
      <c r="E557" t="inlineStr">
        <is>
          <t>LUDVIKA</t>
        </is>
      </c>
      <c r="G557" t="n">
        <v>2.3</v>
      </c>
      <c r="H557" t="n">
        <v>0</v>
      </c>
      <c r="I557" t="n">
        <v>0</v>
      </c>
      <c r="J557" t="n">
        <v>0</v>
      </c>
      <c r="K557" t="n">
        <v>0</v>
      </c>
      <c r="L557" t="n">
        <v>0</v>
      </c>
      <c r="M557" t="n">
        <v>0</v>
      </c>
      <c r="N557" t="n">
        <v>0</v>
      </c>
      <c r="O557" t="n">
        <v>0</v>
      </c>
      <c r="P557" t="n">
        <v>0</v>
      </c>
      <c r="Q557" t="n">
        <v>0</v>
      </c>
      <c r="R557" s="2" t="inlineStr"/>
    </row>
    <row r="558" ht="15" customHeight="1">
      <c r="A558" t="inlineStr">
        <is>
          <t>A 29535-2023</t>
        </is>
      </c>
      <c r="B558" s="1" t="n">
        <v>45106</v>
      </c>
      <c r="C558" s="1" t="n">
        <v>45473</v>
      </c>
      <c r="D558" t="inlineStr">
        <is>
          <t>DALARNAS LÄN</t>
        </is>
      </c>
      <c r="E558" t="inlineStr">
        <is>
          <t>LUDVIKA</t>
        </is>
      </c>
      <c r="G558" t="n">
        <v>2.8</v>
      </c>
      <c r="H558" t="n">
        <v>0</v>
      </c>
      <c r="I558" t="n">
        <v>0</v>
      </c>
      <c r="J558" t="n">
        <v>0</v>
      </c>
      <c r="K558" t="n">
        <v>0</v>
      </c>
      <c r="L558" t="n">
        <v>0</v>
      </c>
      <c r="M558" t="n">
        <v>0</v>
      </c>
      <c r="N558" t="n">
        <v>0</v>
      </c>
      <c r="O558" t="n">
        <v>0</v>
      </c>
      <c r="P558" t="n">
        <v>0</v>
      </c>
      <c r="Q558" t="n">
        <v>0</v>
      </c>
      <c r="R558" s="2" t="inlineStr"/>
    </row>
    <row r="559" ht="15" customHeight="1">
      <c r="A559" t="inlineStr">
        <is>
          <t>A 29666-2023</t>
        </is>
      </c>
      <c r="B559" s="1" t="n">
        <v>45107</v>
      </c>
      <c r="C559" s="1" t="n">
        <v>45473</v>
      </c>
      <c r="D559" t="inlineStr">
        <is>
          <t>DALARNAS LÄN</t>
        </is>
      </c>
      <c r="E559" t="inlineStr">
        <is>
          <t>LUDVIKA</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29698-2023</t>
        </is>
      </c>
      <c r="B560" s="1" t="n">
        <v>45107</v>
      </c>
      <c r="C560" s="1" t="n">
        <v>45473</v>
      </c>
      <c r="D560" t="inlineStr">
        <is>
          <t>DALARNAS LÄN</t>
        </is>
      </c>
      <c r="E560" t="inlineStr">
        <is>
          <t>LUDVIKA</t>
        </is>
      </c>
      <c r="G560" t="n">
        <v>2.7</v>
      </c>
      <c r="H560" t="n">
        <v>0</v>
      </c>
      <c r="I560" t="n">
        <v>0</v>
      </c>
      <c r="J560" t="n">
        <v>0</v>
      </c>
      <c r="K560" t="n">
        <v>0</v>
      </c>
      <c r="L560" t="n">
        <v>0</v>
      </c>
      <c r="M560" t="n">
        <v>0</v>
      </c>
      <c r="N560" t="n">
        <v>0</v>
      </c>
      <c r="O560" t="n">
        <v>0</v>
      </c>
      <c r="P560" t="n">
        <v>0</v>
      </c>
      <c r="Q560" t="n">
        <v>0</v>
      </c>
      <c r="R560" s="2" t="inlineStr"/>
    </row>
    <row r="561" ht="15" customHeight="1">
      <c r="A561" t="inlineStr">
        <is>
          <t>A 30113-2023</t>
        </is>
      </c>
      <c r="B561" s="1" t="n">
        <v>45110</v>
      </c>
      <c r="C561" s="1" t="n">
        <v>45473</v>
      </c>
      <c r="D561" t="inlineStr">
        <is>
          <t>DALARNAS LÄN</t>
        </is>
      </c>
      <c r="E561" t="inlineStr">
        <is>
          <t>LUDVIKA</t>
        </is>
      </c>
      <c r="G561" t="n">
        <v>3.3</v>
      </c>
      <c r="H561" t="n">
        <v>0</v>
      </c>
      <c r="I561" t="n">
        <v>0</v>
      </c>
      <c r="J561" t="n">
        <v>0</v>
      </c>
      <c r="K561" t="n">
        <v>0</v>
      </c>
      <c r="L561" t="n">
        <v>0</v>
      </c>
      <c r="M561" t="n">
        <v>0</v>
      </c>
      <c r="N561" t="n">
        <v>0</v>
      </c>
      <c r="O561" t="n">
        <v>0</v>
      </c>
      <c r="P561" t="n">
        <v>0</v>
      </c>
      <c r="Q561" t="n">
        <v>0</v>
      </c>
      <c r="R561" s="2" t="inlineStr"/>
    </row>
    <row r="562" ht="15" customHeight="1">
      <c r="A562" t="inlineStr">
        <is>
          <t>A 30123-2023</t>
        </is>
      </c>
      <c r="B562" s="1" t="n">
        <v>45110</v>
      </c>
      <c r="C562" s="1" t="n">
        <v>45473</v>
      </c>
      <c r="D562" t="inlineStr">
        <is>
          <t>DALARNAS LÄN</t>
        </is>
      </c>
      <c r="E562" t="inlineStr">
        <is>
          <t>LUDVIKA</t>
        </is>
      </c>
      <c r="G562" t="n">
        <v>1.9</v>
      </c>
      <c r="H562" t="n">
        <v>0</v>
      </c>
      <c r="I562" t="n">
        <v>0</v>
      </c>
      <c r="J562" t="n">
        <v>0</v>
      </c>
      <c r="K562" t="n">
        <v>0</v>
      </c>
      <c r="L562" t="n">
        <v>0</v>
      </c>
      <c r="M562" t="n">
        <v>0</v>
      </c>
      <c r="N562" t="n">
        <v>0</v>
      </c>
      <c r="O562" t="n">
        <v>0</v>
      </c>
      <c r="P562" t="n">
        <v>0</v>
      </c>
      <c r="Q562" t="n">
        <v>0</v>
      </c>
      <c r="R562" s="2" t="inlineStr"/>
    </row>
    <row r="563" ht="15" customHeight="1">
      <c r="A563" t="inlineStr">
        <is>
          <t>A 30127-2023</t>
        </is>
      </c>
      <c r="B563" s="1" t="n">
        <v>45110</v>
      </c>
      <c r="C563" s="1" t="n">
        <v>45473</v>
      </c>
      <c r="D563" t="inlineStr">
        <is>
          <t>DALARNAS LÄN</t>
        </is>
      </c>
      <c r="E563" t="inlineStr">
        <is>
          <t>LUDVIKA</t>
        </is>
      </c>
      <c r="G563" t="n">
        <v>1.1</v>
      </c>
      <c r="H563" t="n">
        <v>0</v>
      </c>
      <c r="I563" t="n">
        <v>0</v>
      </c>
      <c r="J563" t="n">
        <v>0</v>
      </c>
      <c r="K563" t="n">
        <v>0</v>
      </c>
      <c r="L563" t="n">
        <v>0</v>
      </c>
      <c r="M563" t="n">
        <v>0</v>
      </c>
      <c r="N563" t="n">
        <v>0</v>
      </c>
      <c r="O563" t="n">
        <v>0</v>
      </c>
      <c r="P563" t="n">
        <v>0</v>
      </c>
      <c r="Q563" t="n">
        <v>0</v>
      </c>
      <c r="R563" s="2" t="inlineStr"/>
    </row>
    <row r="564" ht="15" customHeight="1">
      <c r="A564" t="inlineStr">
        <is>
          <t>A 30581-2023</t>
        </is>
      </c>
      <c r="B564" s="1" t="n">
        <v>45112</v>
      </c>
      <c r="C564" s="1" t="n">
        <v>45473</v>
      </c>
      <c r="D564" t="inlineStr">
        <is>
          <t>DALARNAS LÄN</t>
        </is>
      </c>
      <c r="E564" t="inlineStr">
        <is>
          <t>LUDVIKA</t>
        </is>
      </c>
      <c r="F564" t="inlineStr">
        <is>
          <t>Bergvik skog väst AB</t>
        </is>
      </c>
      <c r="G564" t="n">
        <v>14.4</v>
      </c>
      <c r="H564" t="n">
        <v>0</v>
      </c>
      <c r="I564" t="n">
        <v>0</v>
      </c>
      <c r="J564" t="n">
        <v>0</v>
      </c>
      <c r="K564" t="n">
        <v>0</v>
      </c>
      <c r="L564" t="n">
        <v>0</v>
      </c>
      <c r="M564" t="n">
        <v>0</v>
      </c>
      <c r="N564" t="n">
        <v>0</v>
      </c>
      <c r="O564" t="n">
        <v>0</v>
      </c>
      <c r="P564" t="n">
        <v>0</v>
      </c>
      <c r="Q564" t="n">
        <v>0</v>
      </c>
      <c r="R564" s="2" t="inlineStr"/>
    </row>
    <row r="565" ht="15" customHeight="1">
      <c r="A565" t="inlineStr">
        <is>
          <t>A 32852-2023</t>
        </is>
      </c>
      <c r="B565" s="1" t="n">
        <v>45112</v>
      </c>
      <c r="C565" s="1" t="n">
        <v>45473</v>
      </c>
      <c r="D565" t="inlineStr">
        <is>
          <t>DALARNAS LÄN</t>
        </is>
      </c>
      <c r="E565" t="inlineStr">
        <is>
          <t>LUDVIKA</t>
        </is>
      </c>
      <c r="F565" t="inlineStr">
        <is>
          <t>Kommuner</t>
        </is>
      </c>
      <c r="G565" t="n">
        <v>2</v>
      </c>
      <c r="H565" t="n">
        <v>0</v>
      </c>
      <c r="I565" t="n">
        <v>0</v>
      </c>
      <c r="J565" t="n">
        <v>0</v>
      </c>
      <c r="K565" t="n">
        <v>0</v>
      </c>
      <c r="L565" t="n">
        <v>0</v>
      </c>
      <c r="M565" t="n">
        <v>0</v>
      </c>
      <c r="N565" t="n">
        <v>0</v>
      </c>
      <c r="O565" t="n">
        <v>0</v>
      </c>
      <c r="P565" t="n">
        <v>0</v>
      </c>
      <c r="Q565" t="n">
        <v>0</v>
      </c>
      <c r="R565" s="2" t="inlineStr"/>
    </row>
    <row r="566" ht="15" customHeight="1">
      <c r="A566" t="inlineStr">
        <is>
          <t>A 32854-2023</t>
        </is>
      </c>
      <c r="B566" s="1" t="n">
        <v>45112</v>
      </c>
      <c r="C566" s="1" t="n">
        <v>45473</v>
      </c>
      <c r="D566" t="inlineStr">
        <is>
          <t>DALARNAS LÄN</t>
        </is>
      </c>
      <c r="E566" t="inlineStr">
        <is>
          <t>LUDVIKA</t>
        </is>
      </c>
      <c r="F566" t="inlineStr">
        <is>
          <t>Kommuner</t>
        </is>
      </c>
      <c r="G566" t="n">
        <v>2</v>
      </c>
      <c r="H566" t="n">
        <v>0</v>
      </c>
      <c r="I566" t="n">
        <v>0</v>
      </c>
      <c r="J566" t="n">
        <v>0</v>
      </c>
      <c r="K566" t="n">
        <v>0</v>
      </c>
      <c r="L566" t="n">
        <v>0</v>
      </c>
      <c r="M566" t="n">
        <v>0</v>
      </c>
      <c r="N566" t="n">
        <v>0</v>
      </c>
      <c r="O566" t="n">
        <v>0</v>
      </c>
      <c r="P566" t="n">
        <v>0</v>
      </c>
      <c r="Q566" t="n">
        <v>0</v>
      </c>
      <c r="R566" s="2" t="inlineStr"/>
    </row>
    <row r="567" ht="15" customHeight="1">
      <c r="A567" t="inlineStr">
        <is>
          <t>A 30892-2023</t>
        </is>
      </c>
      <c r="B567" s="1" t="n">
        <v>45113</v>
      </c>
      <c r="C567" s="1" t="n">
        <v>45473</v>
      </c>
      <c r="D567" t="inlineStr">
        <is>
          <t>DALARNAS LÄN</t>
        </is>
      </c>
      <c r="E567" t="inlineStr">
        <is>
          <t>LUDVIKA</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32995-2023</t>
        </is>
      </c>
      <c r="B568" s="1" t="n">
        <v>45113</v>
      </c>
      <c r="C568" s="1" t="n">
        <v>45473</v>
      </c>
      <c r="D568" t="inlineStr">
        <is>
          <t>DALARNAS LÄN</t>
        </is>
      </c>
      <c r="E568" t="inlineStr">
        <is>
          <t>LUDVIKA</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31353-2023</t>
        </is>
      </c>
      <c r="B569" s="1" t="n">
        <v>45114</v>
      </c>
      <c r="C569" s="1" t="n">
        <v>45473</v>
      </c>
      <c r="D569" t="inlineStr">
        <is>
          <t>DALARNAS LÄN</t>
        </is>
      </c>
      <c r="E569" t="inlineStr">
        <is>
          <t>LUDVIKA</t>
        </is>
      </c>
      <c r="F569" t="inlineStr">
        <is>
          <t>Naturvårdsverket</t>
        </is>
      </c>
      <c r="G569" t="n">
        <v>2.5</v>
      </c>
      <c r="H569" t="n">
        <v>0</v>
      </c>
      <c r="I569" t="n">
        <v>0</v>
      </c>
      <c r="J569" t="n">
        <v>0</v>
      </c>
      <c r="K569" t="n">
        <v>0</v>
      </c>
      <c r="L569" t="n">
        <v>0</v>
      </c>
      <c r="M569" t="n">
        <v>0</v>
      </c>
      <c r="N569" t="n">
        <v>0</v>
      </c>
      <c r="O569" t="n">
        <v>0</v>
      </c>
      <c r="P569" t="n">
        <v>0</v>
      </c>
      <c r="Q569" t="n">
        <v>0</v>
      </c>
      <c r="R569" s="2" t="inlineStr"/>
    </row>
    <row r="570" ht="15" customHeight="1">
      <c r="A570" t="inlineStr">
        <is>
          <t>A 31478-2023</t>
        </is>
      </c>
      <c r="B570" s="1" t="n">
        <v>45114</v>
      </c>
      <c r="C570" s="1" t="n">
        <v>45473</v>
      </c>
      <c r="D570" t="inlineStr">
        <is>
          <t>DALARNAS LÄN</t>
        </is>
      </c>
      <c r="E570" t="inlineStr">
        <is>
          <t>LUDVIKA</t>
        </is>
      </c>
      <c r="G570" t="n">
        <v>6.2</v>
      </c>
      <c r="H570" t="n">
        <v>0</v>
      </c>
      <c r="I570" t="n">
        <v>0</v>
      </c>
      <c r="J570" t="n">
        <v>0</v>
      </c>
      <c r="K570" t="n">
        <v>0</v>
      </c>
      <c r="L570" t="n">
        <v>0</v>
      </c>
      <c r="M570" t="n">
        <v>0</v>
      </c>
      <c r="N570" t="n">
        <v>0</v>
      </c>
      <c r="O570" t="n">
        <v>0</v>
      </c>
      <c r="P570" t="n">
        <v>0</v>
      </c>
      <c r="Q570" t="n">
        <v>0</v>
      </c>
      <c r="R570" s="2" t="inlineStr"/>
    </row>
    <row r="571" ht="15" customHeight="1">
      <c r="A571" t="inlineStr">
        <is>
          <t>A 31341-2023</t>
        </is>
      </c>
      <c r="B571" s="1" t="n">
        <v>45114</v>
      </c>
      <c r="C571" s="1" t="n">
        <v>45473</v>
      </c>
      <c r="D571" t="inlineStr">
        <is>
          <t>DALARNAS LÄN</t>
        </is>
      </c>
      <c r="E571" t="inlineStr">
        <is>
          <t>LUDVIKA</t>
        </is>
      </c>
      <c r="F571" t="inlineStr">
        <is>
          <t>Naturvårdsverket</t>
        </is>
      </c>
      <c r="G571" t="n">
        <v>2.4</v>
      </c>
      <c r="H571" t="n">
        <v>0</v>
      </c>
      <c r="I571" t="n">
        <v>0</v>
      </c>
      <c r="J571" t="n">
        <v>0</v>
      </c>
      <c r="K571" t="n">
        <v>0</v>
      </c>
      <c r="L571" t="n">
        <v>0</v>
      </c>
      <c r="M571" t="n">
        <v>0</v>
      </c>
      <c r="N571" t="n">
        <v>0</v>
      </c>
      <c r="O571" t="n">
        <v>0</v>
      </c>
      <c r="P571" t="n">
        <v>0</v>
      </c>
      <c r="Q571" t="n">
        <v>0</v>
      </c>
      <c r="R571" s="2" t="inlineStr"/>
    </row>
    <row r="572" ht="15" customHeight="1">
      <c r="A572" t="inlineStr">
        <is>
          <t>A 31477-2023</t>
        </is>
      </c>
      <c r="B572" s="1" t="n">
        <v>45114</v>
      </c>
      <c r="C572" s="1" t="n">
        <v>45473</v>
      </c>
      <c r="D572" t="inlineStr">
        <is>
          <t>DALARNAS LÄN</t>
        </is>
      </c>
      <c r="E572" t="inlineStr">
        <is>
          <t>LUDVIKA</t>
        </is>
      </c>
      <c r="G572" t="n">
        <v>3.4</v>
      </c>
      <c r="H572" t="n">
        <v>0</v>
      </c>
      <c r="I572" t="n">
        <v>0</v>
      </c>
      <c r="J572" t="n">
        <v>0</v>
      </c>
      <c r="K572" t="n">
        <v>0</v>
      </c>
      <c r="L572" t="n">
        <v>0</v>
      </c>
      <c r="M572" t="n">
        <v>0</v>
      </c>
      <c r="N572" t="n">
        <v>0</v>
      </c>
      <c r="O572" t="n">
        <v>0</v>
      </c>
      <c r="P572" t="n">
        <v>0</v>
      </c>
      <c r="Q572" t="n">
        <v>0</v>
      </c>
      <c r="R572" s="2" t="inlineStr"/>
    </row>
    <row r="573" ht="15" customHeight="1">
      <c r="A573" t="inlineStr">
        <is>
          <t>A 31625-2023</t>
        </is>
      </c>
      <c r="B573" s="1" t="n">
        <v>45117</v>
      </c>
      <c r="C573" s="1" t="n">
        <v>45473</v>
      </c>
      <c r="D573" t="inlineStr">
        <is>
          <t>DALARNAS LÄN</t>
        </is>
      </c>
      <c r="E573" t="inlineStr">
        <is>
          <t>LUDVIKA</t>
        </is>
      </c>
      <c r="G573" t="n">
        <v>4.1</v>
      </c>
      <c r="H573" t="n">
        <v>0</v>
      </c>
      <c r="I573" t="n">
        <v>0</v>
      </c>
      <c r="J573" t="n">
        <v>0</v>
      </c>
      <c r="K573" t="n">
        <v>0</v>
      </c>
      <c r="L573" t="n">
        <v>0</v>
      </c>
      <c r="M573" t="n">
        <v>0</v>
      </c>
      <c r="N573" t="n">
        <v>0</v>
      </c>
      <c r="O573" t="n">
        <v>0</v>
      </c>
      <c r="P573" t="n">
        <v>0</v>
      </c>
      <c r="Q573" t="n">
        <v>0</v>
      </c>
      <c r="R573" s="2" t="inlineStr"/>
    </row>
    <row r="574" ht="15" customHeight="1">
      <c r="A574" t="inlineStr">
        <is>
          <t>A 33535-2023</t>
        </is>
      </c>
      <c r="B574" s="1" t="n">
        <v>45118</v>
      </c>
      <c r="C574" s="1" t="n">
        <v>45473</v>
      </c>
      <c r="D574" t="inlineStr">
        <is>
          <t>DALARNAS LÄN</t>
        </is>
      </c>
      <c r="E574" t="inlineStr">
        <is>
          <t>LUDVIKA</t>
        </is>
      </c>
      <c r="F574" t="inlineStr">
        <is>
          <t>Kommuner</t>
        </is>
      </c>
      <c r="G574" t="n">
        <v>0.6</v>
      </c>
      <c r="H574" t="n">
        <v>0</v>
      </c>
      <c r="I574" t="n">
        <v>0</v>
      </c>
      <c r="J574" t="n">
        <v>0</v>
      </c>
      <c r="K574" t="n">
        <v>0</v>
      </c>
      <c r="L574" t="n">
        <v>0</v>
      </c>
      <c r="M574" t="n">
        <v>0</v>
      </c>
      <c r="N574" t="n">
        <v>0</v>
      </c>
      <c r="O574" t="n">
        <v>0</v>
      </c>
      <c r="P574" t="n">
        <v>0</v>
      </c>
      <c r="Q574" t="n">
        <v>0</v>
      </c>
      <c r="R574" s="2" t="inlineStr"/>
    </row>
    <row r="575" ht="15" customHeight="1">
      <c r="A575" t="inlineStr">
        <is>
          <t>A 32119-2023</t>
        </is>
      </c>
      <c r="B575" s="1" t="n">
        <v>45119</v>
      </c>
      <c r="C575" s="1" t="n">
        <v>45473</v>
      </c>
      <c r="D575" t="inlineStr">
        <is>
          <t>DALARNAS LÄN</t>
        </is>
      </c>
      <c r="E575" t="inlineStr">
        <is>
          <t>LUDVIKA</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32091-2023</t>
        </is>
      </c>
      <c r="B576" s="1" t="n">
        <v>45119</v>
      </c>
      <c r="C576" s="1" t="n">
        <v>45473</v>
      </c>
      <c r="D576" t="inlineStr">
        <is>
          <t>DALARNAS LÄN</t>
        </is>
      </c>
      <c r="E576" t="inlineStr">
        <is>
          <t>LUDVIKA</t>
        </is>
      </c>
      <c r="F576" t="inlineStr">
        <is>
          <t>Bergvik skog väst AB</t>
        </is>
      </c>
      <c r="G576" t="n">
        <v>7.3</v>
      </c>
      <c r="H576" t="n">
        <v>0</v>
      </c>
      <c r="I576" t="n">
        <v>0</v>
      </c>
      <c r="J576" t="n">
        <v>0</v>
      </c>
      <c r="K576" t="n">
        <v>0</v>
      </c>
      <c r="L576" t="n">
        <v>0</v>
      </c>
      <c r="M576" t="n">
        <v>0</v>
      </c>
      <c r="N576" t="n">
        <v>0</v>
      </c>
      <c r="O576" t="n">
        <v>0</v>
      </c>
      <c r="P576" t="n">
        <v>0</v>
      </c>
      <c r="Q576" t="n">
        <v>0</v>
      </c>
      <c r="R576" s="2" t="inlineStr"/>
    </row>
    <row r="577" ht="15" customHeight="1">
      <c r="A577" t="inlineStr">
        <is>
          <t>A 32124-2023</t>
        </is>
      </c>
      <c r="B577" s="1" t="n">
        <v>45119</v>
      </c>
      <c r="C577" s="1" t="n">
        <v>45473</v>
      </c>
      <c r="D577" t="inlineStr">
        <is>
          <t>DALARNAS LÄN</t>
        </is>
      </c>
      <c r="E577" t="inlineStr">
        <is>
          <t>LUDVIKA</t>
        </is>
      </c>
      <c r="F577" t="inlineStr">
        <is>
          <t>Naturvårdsverket</t>
        </is>
      </c>
      <c r="G577" t="n">
        <v>1.5</v>
      </c>
      <c r="H577" t="n">
        <v>0</v>
      </c>
      <c r="I577" t="n">
        <v>0</v>
      </c>
      <c r="J577" t="n">
        <v>0</v>
      </c>
      <c r="K577" t="n">
        <v>0</v>
      </c>
      <c r="L577" t="n">
        <v>0</v>
      </c>
      <c r="M577" t="n">
        <v>0</v>
      </c>
      <c r="N577" t="n">
        <v>0</v>
      </c>
      <c r="O577" t="n">
        <v>0</v>
      </c>
      <c r="P577" t="n">
        <v>0</v>
      </c>
      <c r="Q577" t="n">
        <v>0</v>
      </c>
      <c r="R577" s="2" t="inlineStr"/>
    </row>
    <row r="578" ht="15" customHeight="1">
      <c r="A578" t="inlineStr">
        <is>
          <t>A 32526-2023</t>
        </is>
      </c>
      <c r="B578" s="1" t="n">
        <v>45121</v>
      </c>
      <c r="C578" s="1" t="n">
        <v>45473</v>
      </c>
      <c r="D578" t="inlineStr">
        <is>
          <t>DALARNAS LÄN</t>
        </is>
      </c>
      <c r="E578" t="inlineStr">
        <is>
          <t>LUDVIKA</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32527-2023</t>
        </is>
      </c>
      <c r="B579" s="1" t="n">
        <v>45121</v>
      </c>
      <c r="C579" s="1" t="n">
        <v>45473</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32927-2023</t>
        </is>
      </c>
      <c r="B580" s="1" t="n">
        <v>45125</v>
      </c>
      <c r="C580" s="1" t="n">
        <v>45473</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32930-2023</t>
        </is>
      </c>
      <c r="B581" s="1" t="n">
        <v>45125</v>
      </c>
      <c r="C581" s="1" t="n">
        <v>45473</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34041-2023</t>
        </is>
      </c>
      <c r="B582" s="1" t="n">
        <v>45125</v>
      </c>
      <c r="C582" s="1" t="n">
        <v>45473</v>
      </c>
      <c r="D582" t="inlineStr">
        <is>
          <t>DALARNAS LÄN</t>
        </is>
      </c>
      <c r="E582" t="inlineStr">
        <is>
          <t>LUDVIKA</t>
        </is>
      </c>
      <c r="G582" t="n">
        <v>4.2</v>
      </c>
      <c r="H582" t="n">
        <v>0</v>
      </c>
      <c r="I582" t="n">
        <v>0</v>
      </c>
      <c r="J582" t="n">
        <v>0</v>
      </c>
      <c r="K582" t="n">
        <v>0</v>
      </c>
      <c r="L582" t="n">
        <v>0</v>
      </c>
      <c r="M582" t="n">
        <v>0</v>
      </c>
      <c r="N582" t="n">
        <v>0</v>
      </c>
      <c r="O582" t="n">
        <v>0</v>
      </c>
      <c r="P582" t="n">
        <v>0</v>
      </c>
      <c r="Q582" t="n">
        <v>0</v>
      </c>
      <c r="R582" s="2" t="inlineStr"/>
    </row>
    <row r="583" ht="15" customHeight="1">
      <c r="A583" t="inlineStr">
        <is>
          <t>A 33063-2023</t>
        </is>
      </c>
      <c r="B583" s="1" t="n">
        <v>45126</v>
      </c>
      <c r="C583" s="1" t="n">
        <v>45473</v>
      </c>
      <c r="D583" t="inlineStr">
        <is>
          <t>DALARNAS LÄN</t>
        </is>
      </c>
      <c r="E583" t="inlineStr">
        <is>
          <t>LUDVIKA</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33275-2023</t>
        </is>
      </c>
      <c r="B584" s="1" t="n">
        <v>45127</v>
      </c>
      <c r="C584" s="1" t="n">
        <v>45473</v>
      </c>
      <c r="D584" t="inlineStr">
        <is>
          <t>DALARNAS LÄN</t>
        </is>
      </c>
      <c r="E584" t="inlineStr">
        <is>
          <t>LUDVIKA</t>
        </is>
      </c>
      <c r="F584" t="inlineStr">
        <is>
          <t>Naturvårdsverket</t>
        </is>
      </c>
      <c r="G584" t="n">
        <v>3.2</v>
      </c>
      <c r="H584" t="n">
        <v>0</v>
      </c>
      <c r="I584" t="n">
        <v>0</v>
      </c>
      <c r="J584" t="n">
        <v>0</v>
      </c>
      <c r="K584" t="n">
        <v>0</v>
      </c>
      <c r="L584" t="n">
        <v>0</v>
      </c>
      <c r="M584" t="n">
        <v>0</v>
      </c>
      <c r="N584" t="n">
        <v>0</v>
      </c>
      <c r="O584" t="n">
        <v>0</v>
      </c>
      <c r="P584" t="n">
        <v>0</v>
      </c>
      <c r="Q584" t="n">
        <v>0</v>
      </c>
      <c r="R584" s="2" t="inlineStr"/>
    </row>
    <row r="585" ht="15" customHeight="1">
      <c r="A585" t="inlineStr">
        <is>
          <t>A 33347-2023</t>
        </is>
      </c>
      <c r="B585" s="1" t="n">
        <v>45128</v>
      </c>
      <c r="C585" s="1" t="n">
        <v>45473</v>
      </c>
      <c r="D585" t="inlineStr">
        <is>
          <t>DALARNAS LÄN</t>
        </is>
      </c>
      <c r="E585" t="inlineStr">
        <is>
          <t>LUDVIKA</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33344-2023</t>
        </is>
      </c>
      <c r="B586" s="1" t="n">
        <v>45128</v>
      </c>
      <c r="C586" s="1" t="n">
        <v>45473</v>
      </c>
      <c r="D586" t="inlineStr">
        <is>
          <t>DALARNAS LÄN</t>
        </is>
      </c>
      <c r="E586" t="inlineStr">
        <is>
          <t>LUDVIKA</t>
        </is>
      </c>
      <c r="F586" t="inlineStr">
        <is>
          <t>Bergvik skog väst AB</t>
        </is>
      </c>
      <c r="G586" t="n">
        <v>2.7</v>
      </c>
      <c r="H586" t="n">
        <v>0</v>
      </c>
      <c r="I586" t="n">
        <v>0</v>
      </c>
      <c r="J586" t="n">
        <v>0</v>
      </c>
      <c r="K586" t="n">
        <v>0</v>
      </c>
      <c r="L586" t="n">
        <v>0</v>
      </c>
      <c r="M586" t="n">
        <v>0</v>
      </c>
      <c r="N586" t="n">
        <v>0</v>
      </c>
      <c r="O586" t="n">
        <v>0</v>
      </c>
      <c r="P586" t="n">
        <v>0</v>
      </c>
      <c r="Q586" t="n">
        <v>0</v>
      </c>
      <c r="R586" s="2" t="inlineStr"/>
    </row>
    <row r="587" ht="15" customHeight="1">
      <c r="A587" t="inlineStr">
        <is>
          <t>A 33361-2023</t>
        </is>
      </c>
      <c r="B587" s="1" t="n">
        <v>45128</v>
      </c>
      <c r="C587" s="1" t="n">
        <v>45473</v>
      </c>
      <c r="D587" t="inlineStr">
        <is>
          <t>DALARNAS LÄN</t>
        </is>
      </c>
      <c r="E587" t="inlineStr">
        <is>
          <t>LUDVIKA</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33560-2023</t>
        </is>
      </c>
      <c r="B588" s="1" t="n">
        <v>45131</v>
      </c>
      <c r="C588" s="1" t="n">
        <v>45473</v>
      </c>
      <c r="D588" t="inlineStr">
        <is>
          <t>DALARNAS LÄN</t>
        </is>
      </c>
      <c r="E588" t="inlineStr">
        <is>
          <t>LUDVIKA</t>
        </is>
      </c>
      <c r="G588" t="n">
        <v>7</v>
      </c>
      <c r="H588" t="n">
        <v>0</v>
      </c>
      <c r="I588" t="n">
        <v>0</v>
      </c>
      <c r="J588" t="n">
        <v>0</v>
      </c>
      <c r="K588" t="n">
        <v>0</v>
      </c>
      <c r="L588" t="n">
        <v>0</v>
      </c>
      <c r="M588" t="n">
        <v>0</v>
      </c>
      <c r="N588" t="n">
        <v>0</v>
      </c>
      <c r="O588" t="n">
        <v>0</v>
      </c>
      <c r="P588" t="n">
        <v>0</v>
      </c>
      <c r="Q588" t="n">
        <v>0</v>
      </c>
      <c r="R588" s="2" t="inlineStr"/>
    </row>
    <row r="589" ht="15" customHeight="1">
      <c r="A589" t="inlineStr">
        <is>
          <t>A 34341-2023</t>
        </is>
      </c>
      <c r="B589" s="1" t="n">
        <v>45131</v>
      </c>
      <c r="C589" s="1" t="n">
        <v>45473</v>
      </c>
      <c r="D589" t="inlineStr">
        <is>
          <t>DALARNAS LÄN</t>
        </is>
      </c>
      <c r="E589" t="inlineStr">
        <is>
          <t>LUDVIKA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33620-2023</t>
        </is>
      </c>
      <c r="B590" s="1" t="n">
        <v>45132</v>
      </c>
      <c r="C590" s="1" t="n">
        <v>45473</v>
      </c>
      <c r="D590" t="inlineStr">
        <is>
          <t>DALARNAS LÄN</t>
        </is>
      </c>
      <c r="E590" t="inlineStr">
        <is>
          <t>LUDVIKA</t>
        </is>
      </c>
      <c r="F590" t="inlineStr">
        <is>
          <t>Bergvik skog väst AB</t>
        </is>
      </c>
      <c r="G590" t="n">
        <v>7.4</v>
      </c>
      <c r="H590" t="n">
        <v>0</v>
      </c>
      <c r="I590" t="n">
        <v>0</v>
      </c>
      <c r="J590" t="n">
        <v>0</v>
      </c>
      <c r="K590" t="n">
        <v>0</v>
      </c>
      <c r="L590" t="n">
        <v>0</v>
      </c>
      <c r="M590" t="n">
        <v>0</v>
      </c>
      <c r="N590" t="n">
        <v>0</v>
      </c>
      <c r="O590" t="n">
        <v>0</v>
      </c>
      <c r="P590" t="n">
        <v>0</v>
      </c>
      <c r="Q590" t="n">
        <v>0</v>
      </c>
      <c r="R590" s="2" t="inlineStr"/>
    </row>
    <row r="591" ht="15" customHeight="1">
      <c r="A591" t="inlineStr">
        <is>
          <t>A 33914-2023</t>
        </is>
      </c>
      <c r="B591" s="1" t="n">
        <v>45134</v>
      </c>
      <c r="C591" s="1" t="n">
        <v>45473</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33933-2023</t>
        </is>
      </c>
      <c r="B592" s="1" t="n">
        <v>45134</v>
      </c>
      <c r="C592" s="1" t="n">
        <v>45473</v>
      </c>
      <c r="D592" t="inlineStr">
        <is>
          <t>DALARNAS LÄN</t>
        </is>
      </c>
      <c r="E592" t="inlineStr">
        <is>
          <t>LUDVIKA</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33916-2023</t>
        </is>
      </c>
      <c r="B593" s="1" t="n">
        <v>45134</v>
      </c>
      <c r="C593" s="1" t="n">
        <v>45473</v>
      </c>
      <c r="D593" t="inlineStr">
        <is>
          <t>DALARNAS LÄN</t>
        </is>
      </c>
      <c r="E593" t="inlineStr">
        <is>
          <t>LUDVIKA</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33917-2023</t>
        </is>
      </c>
      <c r="B594" s="1" t="n">
        <v>45134</v>
      </c>
      <c r="C594" s="1" t="n">
        <v>45473</v>
      </c>
      <c r="D594" t="inlineStr">
        <is>
          <t>DALARNAS LÄN</t>
        </is>
      </c>
      <c r="E594" t="inlineStr">
        <is>
          <t>LUDVIKA</t>
        </is>
      </c>
      <c r="F594" t="inlineStr">
        <is>
          <t>Bergvik skog väst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33947-2023</t>
        </is>
      </c>
      <c r="B595" s="1" t="n">
        <v>45134</v>
      </c>
      <c r="C595" s="1" t="n">
        <v>45473</v>
      </c>
      <c r="D595" t="inlineStr">
        <is>
          <t>DALARNAS LÄN</t>
        </is>
      </c>
      <c r="E595" t="inlineStr">
        <is>
          <t>LUDVIKA</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34024-2023</t>
        </is>
      </c>
      <c r="B596" s="1" t="n">
        <v>45135</v>
      </c>
      <c r="C596" s="1" t="n">
        <v>45473</v>
      </c>
      <c r="D596" t="inlineStr">
        <is>
          <t>DALARNAS LÄN</t>
        </is>
      </c>
      <c r="E596" t="inlineStr">
        <is>
          <t>LUDVIKA</t>
        </is>
      </c>
      <c r="F596" t="inlineStr">
        <is>
          <t>Bergvik skog väst AB</t>
        </is>
      </c>
      <c r="G596" t="n">
        <v>18.3</v>
      </c>
      <c r="H596" t="n">
        <v>0</v>
      </c>
      <c r="I596" t="n">
        <v>0</v>
      </c>
      <c r="J596" t="n">
        <v>0</v>
      </c>
      <c r="K596" t="n">
        <v>0</v>
      </c>
      <c r="L596" t="n">
        <v>0</v>
      </c>
      <c r="M596" t="n">
        <v>0</v>
      </c>
      <c r="N596" t="n">
        <v>0</v>
      </c>
      <c r="O596" t="n">
        <v>0</v>
      </c>
      <c r="P596" t="n">
        <v>0</v>
      </c>
      <c r="Q596" t="n">
        <v>0</v>
      </c>
      <c r="R596" s="2" t="inlineStr"/>
    </row>
    <row r="597" ht="15" customHeight="1">
      <c r="A597" t="inlineStr">
        <is>
          <t>A 34503-2023</t>
        </is>
      </c>
      <c r="B597" s="1" t="n">
        <v>45140</v>
      </c>
      <c r="C597" s="1" t="n">
        <v>45473</v>
      </c>
      <c r="D597" t="inlineStr">
        <is>
          <t>DALARNAS LÄN</t>
        </is>
      </c>
      <c r="E597" t="inlineStr">
        <is>
          <t>LUDVIKA</t>
        </is>
      </c>
      <c r="F597" t="inlineStr">
        <is>
          <t>Bergvik skog väst AB</t>
        </is>
      </c>
      <c r="G597" t="n">
        <v>7.4</v>
      </c>
      <c r="H597" t="n">
        <v>0</v>
      </c>
      <c r="I597" t="n">
        <v>0</v>
      </c>
      <c r="J597" t="n">
        <v>0</v>
      </c>
      <c r="K597" t="n">
        <v>0</v>
      </c>
      <c r="L597" t="n">
        <v>0</v>
      </c>
      <c r="M597" t="n">
        <v>0</v>
      </c>
      <c r="N597" t="n">
        <v>0</v>
      </c>
      <c r="O597" t="n">
        <v>0</v>
      </c>
      <c r="P597" t="n">
        <v>0</v>
      </c>
      <c r="Q597" t="n">
        <v>0</v>
      </c>
      <c r="R597" s="2" t="inlineStr"/>
    </row>
    <row r="598" ht="15" customHeight="1">
      <c r="A598" t="inlineStr">
        <is>
          <t>A 34555-2023</t>
        </is>
      </c>
      <c r="B598" s="1" t="n">
        <v>45140</v>
      </c>
      <c r="C598" s="1" t="n">
        <v>45473</v>
      </c>
      <c r="D598" t="inlineStr">
        <is>
          <t>DALARNAS LÄN</t>
        </is>
      </c>
      <c r="E598" t="inlineStr">
        <is>
          <t>LUDVIKA</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34895-2023</t>
        </is>
      </c>
      <c r="B599" s="1" t="n">
        <v>45142</v>
      </c>
      <c r="C599" s="1" t="n">
        <v>45473</v>
      </c>
      <c r="D599" t="inlineStr">
        <is>
          <t>DALARNAS LÄN</t>
        </is>
      </c>
      <c r="E599" t="inlineStr">
        <is>
          <t>LUDVIKA</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35791-2023</t>
        </is>
      </c>
      <c r="B600" s="1" t="n">
        <v>45148</v>
      </c>
      <c r="C600" s="1" t="n">
        <v>45473</v>
      </c>
      <c r="D600" t="inlineStr">
        <is>
          <t>DALARNAS LÄN</t>
        </is>
      </c>
      <c r="E600" t="inlineStr">
        <is>
          <t>LUDVIKA</t>
        </is>
      </c>
      <c r="F600" t="inlineStr">
        <is>
          <t>Bergvik skog väst AB</t>
        </is>
      </c>
      <c r="G600" t="n">
        <v>9.4</v>
      </c>
      <c r="H600" t="n">
        <v>0</v>
      </c>
      <c r="I600" t="n">
        <v>0</v>
      </c>
      <c r="J600" t="n">
        <v>0</v>
      </c>
      <c r="K600" t="n">
        <v>0</v>
      </c>
      <c r="L600" t="n">
        <v>0</v>
      </c>
      <c r="M600" t="n">
        <v>0</v>
      </c>
      <c r="N600" t="n">
        <v>0</v>
      </c>
      <c r="O600" t="n">
        <v>0</v>
      </c>
      <c r="P600" t="n">
        <v>0</v>
      </c>
      <c r="Q600" t="n">
        <v>0</v>
      </c>
      <c r="R600" s="2" t="inlineStr"/>
    </row>
    <row r="601" ht="15" customHeight="1">
      <c r="A601" t="inlineStr">
        <is>
          <t>A 35789-2023</t>
        </is>
      </c>
      <c r="B601" s="1" t="n">
        <v>45148</v>
      </c>
      <c r="C601" s="1" t="n">
        <v>45473</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36079-2023</t>
        </is>
      </c>
      <c r="B602" s="1" t="n">
        <v>45149</v>
      </c>
      <c r="C602" s="1" t="n">
        <v>45473</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36083-2023</t>
        </is>
      </c>
      <c r="B603" s="1" t="n">
        <v>45149</v>
      </c>
      <c r="C603" s="1" t="n">
        <v>45473</v>
      </c>
      <c r="D603" t="inlineStr">
        <is>
          <t>DALARNAS LÄN</t>
        </is>
      </c>
      <c r="E603" t="inlineStr">
        <is>
          <t>LUDVIKA</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36073-2023</t>
        </is>
      </c>
      <c r="B604" s="1" t="n">
        <v>45149</v>
      </c>
      <c r="C604" s="1" t="n">
        <v>45473</v>
      </c>
      <c r="D604" t="inlineStr">
        <is>
          <t>DALARNAS LÄN</t>
        </is>
      </c>
      <c r="E604" t="inlineStr">
        <is>
          <t>LUDVIKA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36296-2023</t>
        </is>
      </c>
      <c r="B605" s="1" t="n">
        <v>45152</v>
      </c>
      <c r="C605" s="1" t="n">
        <v>45473</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36294-2023</t>
        </is>
      </c>
      <c r="B606" s="1" t="n">
        <v>45152</v>
      </c>
      <c r="C606" s="1" t="n">
        <v>45473</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36297-2023</t>
        </is>
      </c>
      <c r="B607" s="1" t="n">
        <v>45152</v>
      </c>
      <c r="C607" s="1" t="n">
        <v>45473</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37008-2023</t>
        </is>
      </c>
      <c r="B608" s="1" t="n">
        <v>45155</v>
      </c>
      <c r="C608" s="1" t="n">
        <v>45473</v>
      </c>
      <c r="D608" t="inlineStr">
        <is>
          <t>DALARNAS LÄN</t>
        </is>
      </c>
      <c r="E608" t="inlineStr">
        <is>
          <t>LUDVIKA</t>
        </is>
      </c>
      <c r="G608" t="n">
        <v>3</v>
      </c>
      <c r="H608" t="n">
        <v>0</v>
      </c>
      <c r="I608" t="n">
        <v>0</v>
      </c>
      <c r="J608" t="n">
        <v>0</v>
      </c>
      <c r="K608" t="n">
        <v>0</v>
      </c>
      <c r="L608" t="n">
        <v>0</v>
      </c>
      <c r="M608" t="n">
        <v>0</v>
      </c>
      <c r="N608" t="n">
        <v>0</v>
      </c>
      <c r="O608" t="n">
        <v>0</v>
      </c>
      <c r="P608" t="n">
        <v>0</v>
      </c>
      <c r="Q608" t="n">
        <v>0</v>
      </c>
      <c r="R608" s="2" t="inlineStr"/>
    </row>
    <row r="609" ht="15" customHeight="1">
      <c r="A609" t="inlineStr">
        <is>
          <t>A 37273-2023</t>
        </is>
      </c>
      <c r="B609" s="1" t="n">
        <v>45156</v>
      </c>
      <c r="C609" s="1" t="n">
        <v>45473</v>
      </c>
      <c r="D609" t="inlineStr">
        <is>
          <t>DALARNAS LÄN</t>
        </is>
      </c>
      <c r="E609" t="inlineStr">
        <is>
          <t>LUDVIKA</t>
        </is>
      </c>
      <c r="G609" t="n">
        <v>4</v>
      </c>
      <c r="H609" t="n">
        <v>0</v>
      </c>
      <c r="I609" t="n">
        <v>0</v>
      </c>
      <c r="J609" t="n">
        <v>0</v>
      </c>
      <c r="K609" t="n">
        <v>0</v>
      </c>
      <c r="L609" t="n">
        <v>0</v>
      </c>
      <c r="M609" t="n">
        <v>0</v>
      </c>
      <c r="N609" t="n">
        <v>0</v>
      </c>
      <c r="O609" t="n">
        <v>0</v>
      </c>
      <c r="P609" t="n">
        <v>0</v>
      </c>
      <c r="Q609" t="n">
        <v>0</v>
      </c>
      <c r="R609" s="2" t="inlineStr"/>
    </row>
    <row r="610" ht="15" customHeight="1">
      <c r="A610" t="inlineStr">
        <is>
          <t>A 37272-2023</t>
        </is>
      </c>
      <c r="B610" s="1" t="n">
        <v>45156</v>
      </c>
      <c r="C610" s="1" t="n">
        <v>45473</v>
      </c>
      <c r="D610" t="inlineStr">
        <is>
          <t>DALARNAS LÄN</t>
        </is>
      </c>
      <c r="E610" t="inlineStr">
        <is>
          <t>LUDVIKA</t>
        </is>
      </c>
      <c r="G610" t="n">
        <v>6</v>
      </c>
      <c r="H610" t="n">
        <v>0</v>
      </c>
      <c r="I610" t="n">
        <v>0</v>
      </c>
      <c r="J610" t="n">
        <v>0</v>
      </c>
      <c r="K610" t="n">
        <v>0</v>
      </c>
      <c r="L610" t="n">
        <v>0</v>
      </c>
      <c r="M610" t="n">
        <v>0</v>
      </c>
      <c r="N610" t="n">
        <v>0</v>
      </c>
      <c r="O610" t="n">
        <v>0</v>
      </c>
      <c r="P610" t="n">
        <v>0</v>
      </c>
      <c r="Q610" t="n">
        <v>0</v>
      </c>
      <c r="R610" s="2" t="inlineStr"/>
    </row>
    <row r="611" ht="15" customHeight="1">
      <c r="A611" t="inlineStr">
        <is>
          <t>A 37333-2023</t>
        </is>
      </c>
      <c r="B611" s="1" t="n">
        <v>45156</v>
      </c>
      <c r="C611" s="1" t="n">
        <v>45473</v>
      </c>
      <c r="D611" t="inlineStr">
        <is>
          <t>DALARNAS LÄN</t>
        </is>
      </c>
      <c r="E611" t="inlineStr">
        <is>
          <t>LUDVIKA</t>
        </is>
      </c>
      <c r="F611" t="inlineStr">
        <is>
          <t>Bergvik skog väst AB</t>
        </is>
      </c>
      <c r="G611" t="n">
        <v>5</v>
      </c>
      <c r="H611" t="n">
        <v>0</v>
      </c>
      <c r="I611" t="n">
        <v>0</v>
      </c>
      <c r="J611" t="n">
        <v>0</v>
      </c>
      <c r="K611" t="n">
        <v>0</v>
      </c>
      <c r="L611" t="n">
        <v>0</v>
      </c>
      <c r="M611" t="n">
        <v>0</v>
      </c>
      <c r="N611" t="n">
        <v>0</v>
      </c>
      <c r="O611" t="n">
        <v>0</v>
      </c>
      <c r="P611" t="n">
        <v>0</v>
      </c>
      <c r="Q611" t="n">
        <v>0</v>
      </c>
      <c r="R611" s="2" t="inlineStr"/>
    </row>
    <row r="612" ht="15" customHeight="1">
      <c r="A612" t="inlineStr">
        <is>
          <t>A 37366-2023</t>
        </is>
      </c>
      <c r="B612" s="1" t="n">
        <v>45156</v>
      </c>
      <c r="C612" s="1" t="n">
        <v>45473</v>
      </c>
      <c r="D612" t="inlineStr">
        <is>
          <t>DALARNAS LÄN</t>
        </is>
      </c>
      <c r="E612" t="inlineStr">
        <is>
          <t>LUDVIKA</t>
        </is>
      </c>
      <c r="F612" t="inlineStr">
        <is>
          <t>Bergvik skog väst AB</t>
        </is>
      </c>
      <c r="G612" t="n">
        <v>6.7</v>
      </c>
      <c r="H612" t="n">
        <v>0</v>
      </c>
      <c r="I612" t="n">
        <v>0</v>
      </c>
      <c r="J612" t="n">
        <v>0</v>
      </c>
      <c r="K612" t="n">
        <v>0</v>
      </c>
      <c r="L612" t="n">
        <v>0</v>
      </c>
      <c r="M612" t="n">
        <v>0</v>
      </c>
      <c r="N612" t="n">
        <v>0</v>
      </c>
      <c r="O612" t="n">
        <v>0</v>
      </c>
      <c r="P612" t="n">
        <v>0</v>
      </c>
      <c r="Q612" t="n">
        <v>0</v>
      </c>
      <c r="R612" s="2" t="inlineStr"/>
    </row>
    <row r="613" ht="15" customHeight="1">
      <c r="A613" t="inlineStr">
        <is>
          <t>A 37392-2023</t>
        </is>
      </c>
      <c r="B613" s="1" t="n">
        <v>45156</v>
      </c>
      <c r="C613" s="1" t="n">
        <v>45473</v>
      </c>
      <c r="D613" t="inlineStr">
        <is>
          <t>DALARNAS LÄN</t>
        </is>
      </c>
      <c r="E613" t="inlineStr">
        <is>
          <t>LUDVIKA</t>
        </is>
      </c>
      <c r="G613" t="n">
        <v>0.5</v>
      </c>
      <c r="H613" t="n">
        <v>0</v>
      </c>
      <c r="I613" t="n">
        <v>0</v>
      </c>
      <c r="J613" t="n">
        <v>0</v>
      </c>
      <c r="K613" t="n">
        <v>0</v>
      </c>
      <c r="L613" t="n">
        <v>0</v>
      </c>
      <c r="M613" t="n">
        <v>0</v>
      </c>
      <c r="N613" t="n">
        <v>0</v>
      </c>
      <c r="O613" t="n">
        <v>0</v>
      </c>
      <c r="P613" t="n">
        <v>0</v>
      </c>
      <c r="Q613" t="n">
        <v>0</v>
      </c>
      <c r="R613" s="2" t="inlineStr"/>
    </row>
    <row r="614" ht="15" customHeight="1">
      <c r="A614" t="inlineStr">
        <is>
          <t>A 38170-2023</t>
        </is>
      </c>
      <c r="B614" s="1" t="n">
        <v>45161</v>
      </c>
      <c r="C614" s="1" t="n">
        <v>45473</v>
      </c>
      <c r="D614" t="inlineStr">
        <is>
          <t>DALARNAS LÄN</t>
        </is>
      </c>
      <c r="E614" t="inlineStr">
        <is>
          <t>LUDVIKA</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38138-2023</t>
        </is>
      </c>
      <c r="B615" s="1" t="n">
        <v>45161</v>
      </c>
      <c r="C615" s="1" t="n">
        <v>45473</v>
      </c>
      <c r="D615" t="inlineStr">
        <is>
          <t>DALARNAS LÄN</t>
        </is>
      </c>
      <c r="E615" t="inlineStr">
        <is>
          <t>LUDVIKA</t>
        </is>
      </c>
      <c r="G615" t="n">
        <v>2.5</v>
      </c>
      <c r="H615" t="n">
        <v>0</v>
      </c>
      <c r="I615" t="n">
        <v>0</v>
      </c>
      <c r="J615" t="n">
        <v>0</v>
      </c>
      <c r="K615" t="n">
        <v>0</v>
      </c>
      <c r="L615" t="n">
        <v>0</v>
      </c>
      <c r="M615" t="n">
        <v>0</v>
      </c>
      <c r="N615" t="n">
        <v>0</v>
      </c>
      <c r="O615" t="n">
        <v>0</v>
      </c>
      <c r="P615" t="n">
        <v>0</v>
      </c>
      <c r="Q615" t="n">
        <v>0</v>
      </c>
      <c r="R615" s="2" t="inlineStr"/>
    </row>
    <row r="616" ht="15" customHeight="1">
      <c r="A616" t="inlineStr">
        <is>
          <t>A 38279-2023</t>
        </is>
      </c>
      <c r="B616" s="1" t="n">
        <v>45161</v>
      </c>
      <c r="C616" s="1" t="n">
        <v>45473</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38168-2023</t>
        </is>
      </c>
      <c r="B617" s="1" t="n">
        <v>45161</v>
      </c>
      <c r="C617" s="1" t="n">
        <v>45473</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38197-2023</t>
        </is>
      </c>
      <c r="B618" s="1" t="n">
        <v>45161</v>
      </c>
      <c r="C618" s="1" t="n">
        <v>45473</v>
      </c>
      <c r="D618" t="inlineStr">
        <is>
          <t>DALARNAS LÄN</t>
        </is>
      </c>
      <c r="E618" t="inlineStr">
        <is>
          <t>LUDVIKA</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38243-2023</t>
        </is>
      </c>
      <c r="B619" s="1" t="n">
        <v>45161</v>
      </c>
      <c r="C619" s="1" t="n">
        <v>45473</v>
      </c>
      <c r="D619" t="inlineStr">
        <is>
          <t>DALARNAS LÄN</t>
        </is>
      </c>
      <c r="E619" t="inlineStr">
        <is>
          <t>LUDVIKA</t>
        </is>
      </c>
      <c r="G619" t="n">
        <v>1.2</v>
      </c>
      <c r="H619" t="n">
        <v>0</v>
      </c>
      <c r="I619" t="n">
        <v>0</v>
      </c>
      <c r="J619" t="n">
        <v>0</v>
      </c>
      <c r="K619" t="n">
        <v>0</v>
      </c>
      <c r="L619" t="n">
        <v>0</v>
      </c>
      <c r="M619" t="n">
        <v>0</v>
      </c>
      <c r="N619" t="n">
        <v>0</v>
      </c>
      <c r="O619" t="n">
        <v>0</v>
      </c>
      <c r="P619" t="n">
        <v>0</v>
      </c>
      <c r="Q619" t="n">
        <v>0</v>
      </c>
      <c r="R619" s="2" t="inlineStr"/>
    </row>
    <row r="620" ht="15" customHeight="1">
      <c r="A620" t="inlineStr">
        <is>
          <t>A 38280-2023</t>
        </is>
      </c>
      <c r="B620" s="1" t="n">
        <v>45161</v>
      </c>
      <c r="C620" s="1" t="n">
        <v>45473</v>
      </c>
      <c r="D620" t="inlineStr">
        <is>
          <t>DALARNAS LÄN</t>
        </is>
      </c>
      <c r="E620" t="inlineStr">
        <is>
          <t>LUDVIKA</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38963-2023</t>
        </is>
      </c>
      <c r="B621" s="1" t="n">
        <v>45163</v>
      </c>
      <c r="C621" s="1" t="n">
        <v>45473</v>
      </c>
      <c r="D621" t="inlineStr">
        <is>
          <t>DALARNAS LÄN</t>
        </is>
      </c>
      <c r="E621" t="inlineStr">
        <is>
          <t>LUDVIKA</t>
        </is>
      </c>
      <c r="F621" t="inlineStr">
        <is>
          <t>Bergvik skog väst AB</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38925-2023</t>
        </is>
      </c>
      <c r="B622" s="1" t="n">
        <v>45163</v>
      </c>
      <c r="C622" s="1" t="n">
        <v>45473</v>
      </c>
      <c r="D622" t="inlineStr">
        <is>
          <t>DALARNAS LÄN</t>
        </is>
      </c>
      <c r="E622" t="inlineStr">
        <is>
          <t>LUDVIKA</t>
        </is>
      </c>
      <c r="G622" t="n">
        <v>3</v>
      </c>
      <c r="H622" t="n">
        <v>0</v>
      </c>
      <c r="I622" t="n">
        <v>0</v>
      </c>
      <c r="J622" t="n">
        <v>0</v>
      </c>
      <c r="K622" t="n">
        <v>0</v>
      </c>
      <c r="L622" t="n">
        <v>0</v>
      </c>
      <c r="M622" t="n">
        <v>0</v>
      </c>
      <c r="N622" t="n">
        <v>0</v>
      </c>
      <c r="O622" t="n">
        <v>0</v>
      </c>
      <c r="P622" t="n">
        <v>0</v>
      </c>
      <c r="Q622" t="n">
        <v>0</v>
      </c>
      <c r="R622" s="2" t="inlineStr"/>
    </row>
    <row r="623" ht="15" customHeight="1">
      <c r="A623" t="inlineStr">
        <is>
          <t>A 39400-2023</t>
        </is>
      </c>
      <c r="B623" s="1" t="n">
        <v>45166</v>
      </c>
      <c r="C623" s="1" t="n">
        <v>45473</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39437-2023</t>
        </is>
      </c>
      <c r="B624" s="1" t="n">
        <v>45166</v>
      </c>
      <c r="C624" s="1" t="n">
        <v>45473</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39405-2023</t>
        </is>
      </c>
      <c r="B625" s="1" t="n">
        <v>45166</v>
      </c>
      <c r="C625" s="1" t="n">
        <v>45473</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39417-2023</t>
        </is>
      </c>
      <c r="B626" s="1" t="n">
        <v>45166</v>
      </c>
      <c r="C626" s="1" t="n">
        <v>45473</v>
      </c>
      <c r="D626" t="inlineStr">
        <is>
          <t>DALARNAS LÄN</t>
        </is>
      </c>
      <c r="E626" t="inlineStr">
        <is>
          <t>LUDVIKA</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39438-2023</t>
        </is>
      </c>
      <c r="B627" s="1" t="n">
        <v>45166</v>
      </c>
      <c r="C627" s="1" t="n">
        <v>45473</v>
      </c>
      <c r="D627" t="inlineStr">
        <is>
          <t>DALARNAS LÄN</t>
        </is>
      </c>
      <c r="E627" t="inlineStr">
        <is>
          <t>LUDVIKA</t>
        </is>
      </c>
      <c r="F627" t="inlineStr">
        <is>
          <t>Bergvik skog väst AB</t>
        </is>
      </c>
      <c r="G627" t="n">
        <v>3.2</v>
      </c>
      <c r="H627" t="n">
        <v>0</v>
      </c>
      <c r="I627" t="n">
        <v>0</v>
      </c>
      <c r="J627" t="n">
        <v>0</v>
      </c>
      <c r="K627" t="n">
        <v>0</v>
      </c>
      <c r="L627" t="n">
        <v>0</v>
      </c>
      <c r="M627" t="n">
        <v>0</v>
      </c>
      <c r="N627" t="n">
        <v>0</v>
      </c>
      <c r="O627" t="n">
        <v>0</v>
      </c>
      <c r="P627" t="n">
        <v>0</v>
      </c>
      <c r="Q627" t="n">
        <v>0</v>
      </c>
      <c r="R627" s="2" t="inlineStr"/>
    </row>
    <row r="628" ht="15" customHeight="1">
      <c r="A628" t="inlineStr">
        <is>
          <t>A 39441-2023</t>
        </is>
      </c>
      <c r="B628" s="1" t="n">
        <v>45166</v>
      </c>
      <c r="C628" s="1" t="n">
        <v>45473</v>
      </c>
      <c r="D628" t="inlineStr">
        <is>
          <t>DALARNAS LÄN</t>
        </is>
      </c>
      <c r="E628" t="inlineStr">
        <is>
          <t>LUDVIKA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39447-2023</t>
        </is>
      </c>
      <c r="B629" s="1" t="n">
        <v>45166</v>
      </c>
      <c r="C629" s="1" t="n">
        <v>45473</v>
      </c>
      <c r="D629" t="inlineStr">
        <is>
          <t>DALARNAS LÄN</t>
        </is>
      </c>
      <c r="E629" t="inlineStr">
        <is>
          <t>LUDVIKA</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39675-2023</t>
        </is>
      </c>
      <c r="B630" s="1" t="n">
        <v>45167</v>
      </c>
      <c r="C630" s="1" t="n">
        <v>45473</v>
      </c>
      <c r="D630" t="inlineStr">
        <is>
          <t>DALARNAS LÄN</t>
        </is>
      </c>
      <c r="E630" t="inlineStr">
        <is>
          <t>LUDVIKA</t>
        </is>
      </c>
      <c r="F630" t="inlineStr">
        <is>
          <t>Naturvårdsverket</t>
        </is>
      </c>
      <c r="G630" t="n">
        <v>0.9</v>
      </c>
      <c r="H630" t="n">
        <v>0</v>
      </c>
      <c r="I630" t="n">
        <v>0</v>
      </c>
      <c r="J630" t="n">
        <v>0</v>
      </c>
      <c r="K630" t="n">
        <v>0</v>
      </c>
      <c r="L630" t="n">
        <v>0</v>
      </c>
      <c r="M630" t="n">
        <v>0</v>
      </c>
      <c r="N630" t="n">
        <v>0</v>
      </c>
      <c r="O630" t="n">
        <v>0</v>
      </c>
      <c r="P630" t="n">
        <v>0</v>
      </c>
      <c r="Q630" t="n">
        <v>0</v>
      </c>
      <c r="R630" s="2" t="inlineStr"/>
    </row>
    <row r="631" ht="15" customHeight="1">
      <c r="A631" t="inlineStr">
        <is>
          <t>A 39673-2023</t>
        </is>
      </c>
      <c r="B631" s="1" t="n">
        <v>45167</v>
      </c>
      <c r="C631" s="1" t="n">
        <v>45473</v>
      </c>
      <c r="D631" t="inlineStr">
        <is>
          <t>DALARNAS LÄN</t>
        </is>
      </c>
      <c r="E631" t="inlineStr">
        <is>
          <t>LUDVIKA</t>
        </is>
      </c>
      <c r="F631" t="inlineStr">
        <is>
          <t>Naturvårdsverket</t>
        </is>
      </c>
      <c r="G631" t="n">
        <v>1.1</v>
      </c>
      <c r="H631" t="n">
        <v>0</v>
      </c>
      <c r="I631" t="n">
        <v>0</v>
      </c>
      <c r="J631" t="n">
        <v>0</v>
      </c>
      <c r="K631" t="n">
        <v>0</v>
      </c>
      <c r="L631" t="n">
        <v>0</v>
      </c>
      <c r="M631" t="n">
        <v>0</v>
      </c>
      <c r="N631" t="n">
        <v>0</v>
      </c>
      <c r="O631" t="n">
        <v>0</v>
      </c>
      <c r="P631" t="n">
        <v>0</v>
      </c>
      <c r="Q631" t="n">
        <v>0</v>
      </c>
      <c r="R631" s="2" t="inlineStr"/>
    </row>
    <row r="632" ht="15" customHeight="1">
      <c r="A632" t="inlineStr">
        <is>
          <t>A 39678-2023</t>
        </is>
      </c>
      <c r="B632" s="1" t="n">
        <v>45167</v>
      </c>
      <c r="C632" s="1" t="n">
        <v>45473</v>
      </c>
      <c r="D632" t="inlineStr">
        <is>
          <t>DALARNAS LÄN</t>
        </is>
      </c>
      <c r="E632" t="inlineStr">
        <is>
          <t>LUDVIKA</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39670-2023</t>
        </is>
      </c>
      <c r="B633" s="1" t="n">
        <v>45167</v>
      </c>
      <c r="C633" s="1" t="n">
        <v>45473</v>
      </c>
      <c r="D633" t="inlineStr">
        <is>
          <t>DALARNAS LÄN</t>
        </is>
      </c>
      <c r="E633" t="inlineStr">
        <is>
          <t>LUDVIKA</t>
        </is>
      </c>
      <c r="F633" t="inlineStr">
        <is>
          <t>Naturvårdsverket</t>
        </is>
      </c>
      <c r="G633" t="n">
        <v>3.9</v>
      </c>
      <c r="H633" t="n">
        <v>0</v>
      </c>
      <c r="I633" t="n">
        <v>0</v>
      </c>
      <c r="J633" t="n">
        <v>0</v>
      </c>
      <c r="K633" t="n">
        <v>0</v>
      </c>
      <c r="L633" t="n">
        <v>0</v>
      </c>
      <c r="M633" t="n">
        <v>0</v>
      </c>
      <c r="N633" t="n">
        <v>0</v>
      </c>
      <c r="O633" t="n">
        <v>0</v>
      </c>
      <c r="P633" t="n">
        <v>0</v>
      </c>
      <c r="Q633" t="n">
        <v>0</v>
      </c>
      <c r="R633" s="2" t="inlineStr"/>
    </row>
    <row r="634" ht="15" customHeight="1">
      <c r="A634" t="inlineStr">
        <is>
          <t>A 39849-2023</t>
        </is>
      </c>
      <c r="B634" s="1" t="n">
        <v>45168</v>
      </c>
      <c r="C634" s="1" t="n">
        <v>45473</v>
      </c>
      <c r="D634" t="inlineStr">
        <is>
          <t>DALARNAS LÄN</t>
        </is>
      </c>
      <c r="E634" t="inlineStr">
        <is>
          <t>LUDVIKA</t>
        </is>
      </c>
      <c r="F634" t="inlineStr">
        <is>
          <t>Bergvik skog väst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39878-2023</t>
        </is>
      </c>
      <c r="B635" s="1" t="n">
        <v>45168</v>
      </c>
      <c r="C635" s="1" t="n">
        <v>45473</v>
      </c>
      <c r="D635" t="inlineStr">
        <is>
          <t>DALARNAS LÄN</t>
        </is>
      </c>
      <c r="E635" t="inlineStr">
        <is>
          <t>LUDVIKA</t>
        </is>
      </c>
      <c r="F635" t="inlineStr">
        <is>
          <t>Bergvik skog väst AB</t>
        </is>
      </c>
      <c r="G635" t="n">
        <v>2.7</v>
      </c>
      <c r="H635" t="n">
        <v>0</v>
      </c>
      <c r="I635" t="n">
        <v>0</v>
      </c>
      <c r="J635" t="n">
        <v>0</v>
      </c>
      <c r="K635" t="n">
        <v>0</v>
      </c>
      <c r="L635" t="n">
        <v>0</v>
      </c>
      <c r="M635" t="n">
        <v>0</v>
      </c>
      <c r="N635" t="n">
        <v>0</v>
      </c>
      <c r="O635" t="n">
        <v>0</v>
      </c>
      <c r="P635" t="n">
        <v>0</v>
      </c>
      <c r="Q635" t="n">
        <v>0</v>
      </c>
      <c r="R635" s="2" t="inlineStr"/>
    </row>
    <row r="636" ht="15" customHeight="1">
      <c r="A636" t="inlineStr">
        <is>
          <t>A 40016-2023</t>
        </is>
      </c>
      <c r="B636" s="1" t="n">
        <v>45168</v>
      </c>
      <c r="C636" s="1" t="n">
        <v>45473</v>
      </c>
      <c r="D636" t="inlineStr">
        <is>
          <t>DALARNAS LÄN</t>
        </is>
      </c>
      <c r="E636" t="inlineStr">
        <is>
          <t>LUDVIKA</t>
        </is>
      </c>
      <c r="F636" t="inlineStr">
        <is>
          <t>Bergvik skog väst AB</t>
        </is>
      </c>
      <c r="G636" t="n">
        <v>7.6</v>
      </c>
      <c r="H636" t="n">
        <v>0</v>
      </c>
      <c r="I636" t="n">
        <v>0</v>
      </c>
      <c r="J636" t="n">
        <v>0</v>
      </c>
      <c r="K636" t="n">
        <v>0</v>
      </c>
      <c r="L636" t="n">
        <v>0</v>
      </c>
      <c r="M636" t="n">
        <v>0</v>
      </c>
      <c r="N636" t="n">
        <v>0</v>
      </c>
      <c r="O636" t="n">
        <v>0</v>
      </c>
      <c r="P636" t="n">
        <v>0</v>
      </c>
      <c r="Q636" t="n">
        <v>0</v>
      </c>
      <c r="R636" s="2" t="inlineStr"/>
    </row>
    <row r="637" ht="15" customHeight="1">
      <c r="A637" t="inlineStr">
        <is>
          <t>A 39971-2023</t>
        </is>
      </c>
      <c r="B637" s="1" t="n">
        <v>45168</v>
      </c>
      <c r="C637" s="1" t="n">
        <v>45473</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39886-2023</t>
        </is>
      </c>
      <c r="B638" s="1" t="n">
        <v>45168</v>
      </c>
      <c r="C638" s="1" t="n">
        <v>45473</v>
      </c>
      <c r="D638" t="inlineStr">
        <is>
          <t>DALARNAS LÄN</t>
        </is>
      </c>
      <c r="E638" t="inlineStr">
        <is>
          <t>LUDVIKA</t>
        </is>
      </c>
      <c r="F638" t="inlineStr">
        <is>
          <t>Bergvik skog väst AB</t>
        </is>
      </c>
      <c r="G638" t="n">
        <v>28.4</v>
      </c>
      <c r="H638" t="n">
        <v>0</v>
      </c>
      <c r="I638" t="n">
        <v>0</v>
      </c>
      <c r="J638" t="n">
        <v>0</v>
      </c>
      <c r="K638" t="n">
        <v>0</v>
      </c>
      <c r="L638" t="n">
        <v>0</v>
      </c>
      <c r="M638" t="n">
        <v>0</v>
      </c>
      <c r="N638" t="n">
        <v>0</v>
      </c>
      <c r="O638" t="n">
        <v>0</v>
      </c>
      <c r="P638" t="n">
        <v>0</v>
      </c>
      <c r="Q638" t="n">
        <v>0</v>
      </c>
      <c r="R638" s="2" t="inlineStr"/>
    </row>
    <row r="639" ht="15" customHeight="1">
      <c r="A639" t="inlineStr">
        <is>
          <t>A 40020-2023</t>
        </is>
      </c>
      <c r="B639" s="1" t="n">
        <v>45168</v>
      </c>
      <c r="C639" s="1" t="n">
        <v>45473</v>
      </c>
      <c r="D639" t="inlineStr">
        <is>
          <t>DALARNAS LÄN</t>
        </is>
      </c>
      <c r="E639" t="inlineStr">
        <is>
          <t>LUDVIKA</t>
        </is>
      </c>
      <c r="F639" t="inlineStr">
        <is>
          <t>Bergvik skog väst AB</t>
        </is>
      </c>
      <c r="G639" t="n">
        <v>8.4</v>
      </c>
      <c r="H639" t="n">
        <v>0</v>
      </c>
      <c r="I639" t="n">
        <v>0</v>
      </c>
      <c r="J639" t="n">
        <v>0</v>
      </c>
      <c r="K639" t="n">
        <v>0</v>
      </c>
      <c r="L639" t="n">
        <v>0</v>
      </c>
      <c r="M639" t="n">
        <v>0</v>
      </c>
      <c r="N639" t="n">
        <v>0</v>
      </c>
      <c r="O639" t="n">
        <v>0</v>
      </c>
      <c r="P639" t="n">
        <v>0</v>
      </c>
      <c r="Q639" t="n">
        <v>0</v>
      </c>
      <c r="R639" s="2" t="inlineStr"/>
    </row>
    <row r="640" ht="15" customHeight="1">
      <c r="A640" t="inlineStr">
        <is>
          <t>A 40489-2023</t>
        </is>
      </c>
      <c r="B640" s="1" t="n">
        <v>45170</v>
      </c>
      <c r="C640" s="1" t="n">
        <v>45473</v>
      </c>
      <c r="D640" t="inlineStr">
        <is>
          <t>DALARNAS LÄN</t>
        </is>
      </c>
      <c r="E640" t="inlineStr">
        <is>
          <t>LUDVIKA</t>
        </is>
      </c>
      <c r="F640" t="inlineStr">
        <is>
          <t>Sveaskog</t>
        </is>
      </c>
      <c r="G640" t="n">
        <v>22.5</v>
      </c>
      <c r="H640" t="n">
        <v>0</v>
      </c>
      <c r="I640" t="n">
        <v>0</v>
      </c>
      <c r="J640" t="n">
        <v>0</v>
      </c>
      <c r="K640" t="n">
        <v>0</v>
      </c>
      <c r="L640" t="n">
        <v>0</v>
      </c>
      <c r="M640" t="n">
        <v>0</v>
      </c>
      <c r="N640" t="n">
        <v>0</v>
      </c>
      <c r="O640" t="n">
        <v>0</v>
      </c>
      <c r="P640" t="n">
        <v>0</v>
      </c>
      <c r="Q640" t="n">
        <v>0</v>
      </c>
      <c r="R640" s="2" t="inlineStr"/>
    </row>
    <row r="641" ht="15" customHeight="1">
      <c r="A641" t="inlineStr">
        <is>
          <t>A 40499-2023</t>
        </is>
      </c>
      <c r="B641" s="1" t="n">
        <v>45170</v>
      </c>
      <c r="C641" s="1" t="n">
        <v>45473</v>
      </c>
      <c r="D641" t="inlineStr">
        <is>
          <t>DALARNAS LÄN</t>
        </is>
      </c>
      <c r="E641" t="inlineStr">
        <is>
          <t>LUDVIKA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40672-2023</t>
        </is>
      </c>
      <c r="B642" s="1" t="n">
        <v>45170</v>
      </c>
      <c r="C642" s="1" t="n">
        <v>45473</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40646-2023</t>
        </is>
      </c>
      <c r="B643" s="1" t="n">
        <v>45170</v>
      </c>
      <c r="C643" s="1" t="n">
        <v>45473</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40473-2023</t>
        </is>
      </c>
      <c r="B644" s="1" t="n">
        <v>45170</v>
      </c>
      <c r="C644" s="1" t="n">
        <v>45473</v>
      </c>
      <c r="D644" t="inlineStr">
        <is>
          <t>DALARNAS LÄN</t>
        </is>
      </c>
      <c r="E644" t="inlineStr">
        <is>
          <t>LUDVIKA</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40687-2023</t>
        </is>
      </c>
      <c r="B645" s="1" t="n">
        <v>45170</v>
      </c>
      <c r="C645" s="1" t="n">
        <v>45473</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40869-2023</t>
        </is>
      </c>
      <c r="B646" s="1" t="n">
        <v>45173</v>
      </c>
      <c r="C646" s="1" t="n">
        <v>45473</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41177-2023</t>
        </is>
      </c>
      <c r="B647" s="1" t="n">
        <v>45174</v>
      </c>
      <c r="C647" s="1" t="n">
        <v>45473</v>
      </c>
      <c r="D647" t="inlineStr">
        <is>
          <t>DALARNAS LÄN</t>
        </is>
      </c>
      <c r="E647" t="inlineStr">
        <is>
          <t>LUDVIKA</t>
        </is>
      </c>
      <c r="F647" t="inlineStr">
        <is>
          <t>Övriga Aktiebolag</t>
        </is>
      </c>
      <c r="G647" t="n">
        <v>6.7</v>
      </c>
      <c r="H647" t="n">
        <v>0</v>
      </c>
      <c r="I647" t="n">
        <v>0</v>
      </c>
      <c r="J647" t="n">
        <v>0</v>
      </c>
      <c r="K647" t="n">
        <v>0</v>
      </c>
      <c r="L647" t="n">
        <v>0</v>
      </c>
      <c r="M647" t="n">
        <v>0</v>
      </c>
      <c r="N647" t="n">
        <v>0</v>
      </c>
      <c r="O647" t="n">
        <v>0</v>
      </c>
      <c r="P647" t="n">
        <v>0</v>
      </c>
      <c r="Q647" t="n">
        <v>0</v>
      </c>
      <c r="R647" s="2" t="inlineStr"/>
    </row>
    <row r="648" ht="15" customHeight="1">
      <c r="A648" t="inlineStr">
        <is>
          <t>A 41628-2023</t>
        </is>
      </c>
      <c r="B648" s="1" t="n">
        <v>45175</v>
      </c>
      <c r="C648" s="1" t="n">
        <v>45473</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41627-2023</t>
        </is>
      </c>
      <c r="B649" s="1" t="n">
        <v>45175</v>
      </c>
      <c r="C649" s="1" t="n">
        <v>45473</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41631-2023</t>
        </is>
      </c>
      <c r="B650" s="1" t="n">
        <v>45175</v>
      </c>
      <c r="C650" s="1" t="n">
        <v>45473</v>
      </c>
      <c r="D650" t="inlineStr">
        <is>
          <t>DALARNAS LÄN</t>
        </is>
      </c>
      <c r="E650" t="inlineStr">
        <is>
          <t>LUDVIKA</t>
        </is>
      </c>
      <c r="F650" t="inlineStr">
        <is>
          <t>Bergvik skog väst AB</t>
        </is>
      </c>
      <c r="G650" t="n">
        <v>3.8</v>
      </c>
      <c r="H650" t="n">
        <v>0</v>
      </c>
      <c r="I650" t="n">
        <v>0</v>
      </c>
      <c r="J650" t="n">
        <v>0</v>
      </c>
      <c r="K650" t="n">
        <v>0</v>
      </c>
      <c r="L650" t="n">
        <v>0</v>
      </c>
      <c r="M650" t="n">
        <v>0</v>
      </c>
      <c r="N650" t="n">
        <v>0</v>
      </c>
      <c r="O650" t="n">
        <v>0</v>
      </c>
      <c r="P650" t="n">
        <v>0</v>
      </c>
      <c r="Q650" t="n">
        <v>0</v>
      </c>
      <c r="R650" s="2" t="inlineStr"/>
    </row>
    <row r="651" ht="15" customHeight="1">
      <c r="A651" t="inlineStr">
        <is>
          <t>A 41668-2023</t>
        </is>
      </c>
      <c r="B651" s="1" t="n">
        <v>45176</v>
      </c>
      <c r="C651" s="1" t="n">
        <v>45473</v>
      </c>
      <c r="D651" t="inlineStr">
        <is>
          <t>DALARNAS LÄN</t>
        </is>
      </c>
      <c r="E651" t="inlineStr">
        <is>
          <t>LUDVIKA</t>
        </is>
      </c>
      <c r="G651" t="n">
        <v>1.4</v>
      </c>
      <c r="H651" t="n">
        <v>0</v>
      </c>
      <c r="I651" t="n">
        <v>0</v>
      </c>
      <c r="J651" t="n">
        <v>0</v>
      </c>
      <c r="K651" t="n">
        <v>0</v>
      </c>
      <c r="L651" t="n">
        <v>0</v>
      </c>
      <c r="M651" t="n">
        <v>0</v>
      </c>
      <c r="N651" t="n">
        <v>0</v>
      </c>
      <c r="O651" t="n">
        <v>0</v>
      </c>
      <c r="P651" t="n">
        <v>0</v>
      </c>
      <c r="Q651" t="n">
        <v>0</v>
      </c>
      <c r="R651" s="2" t="inlineStr"/>
    </row>
    <row r="652" ht="15" customHeight="1">
      <c r="A652" t="inlineStr">
        <is>
          <t>A 41993-2023</t>
        </is>
      </c>
      <c r="B652" s="1" t="n">
        <v>45177</v>
      </c>
      <c r="C652" s="1" t="n">
        <v>45473</v>
      </c>
      <c r="D652" t="inlineStr">
        <is>
          <t>DALARNAS LÄN</t>
        </is>
      </c>
      <c r="E652" t="inlineStr">
        <is>
          <t>LUDVIKA</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41988-2023</t>
        </is>
      </c>
      <c r="B653" s="1" t="n">
        <v>45177</v>
      </c>
      <c r="C653" s="1" t="n">
        <v>45473</v>
      </c>
      <c r="D653" t="inlineStr">
        <is>
          <t>DALARNAS LÄN</t>
        </is>
      </c>
      <c r="E653" t="inlineStr">
        <is>
          <t>LUDVIKA</t>
        </is>
      </c>
      <c r="F653" t="inlineStr">
        <is>
          <t>Sveaskog</t>
        </is>
      </c>
      <c r="G653" t="n">
        <v>22.2</v>
      </c>
      <c r="H653" t="n">
        <v>0</v>
      </c>
      <c r="I653" t="n">
        <v>0</v>
      </c>
      <c r="J653" t="n">
        <v>0</v>
      </c>
      <c r="K653" t="n">
        <v>0</v>
      </c>
      <c r="L653" t="n">
        <v>0</v>
      </c>
      <c r="M653" t="n">
        <v>0</v>
      </c>
      <c r="N653" t="n">
        <v>0</v>
      </c>
      <c r="O653" t="n">
        <v>0</v>
      </c>
      <c r="P653" t="n">
        <v>0</v>
      </c>
      <c r="Q653" t="n">
        <v>0</v>
      </c>
      <c r="R653" s="2" t="inlineStr"/>
    </row>
    <row r="654" ht="15" customHeight="1">
      <c r="A654" t="inlineStr">
        <is>
          <t>A 42022-2023</t>
        </is>
      </c>
      <c r="B654" s="1" t="n">
        <v>45177</v>
      </c>
      <c r="C654" s="1" t="n">
        <v>45473</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41991-2023</t>
        </is>
      </c>
      <c r="B655" s="1" t="n">
        <v>45177</v>
      </c>
      <c r="C655" s="1" t="n">
        <v>45473</v>
      </c>
      <c r="D655" t="inlineStr">
        <is>
          <t>DALARNAS LÄN</t>
        </is>
      </c>
      <c r="E655" t="inlineStr">
        <is>
          <t>LUDVIKA</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42268-2023</t>
        </is>
      </c>
      <c r="B656" s="1" t="n">
        <v>45180</v>
      </c>
      <c r="C656" s="1" t="n">
        <v>45473</v>
      </c>
      <c r="D656" t="inlineStr">
        <is>
          <t>DALARNAS LÄN</t>
        </is>
      </c>
      <c r="E656" t="inlineStr">
        <is>
          <t>LUDVIKA</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42367-2023</t>
        </is>
      </c>
      <c r="B657" s="1" t="n">
        <v>45180</v>
      </c>
      <c r="C657" s="1" t="n">
        <v>45473</v>
      </c>
      <c r="D657" t="inlineStr">
        <is>
          <t>DALARNAS LÄN</t>
        </is>
      </c>
      <c r="E657" t="inlineStr">
        <is>
          <t>LUDVIKA</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42860-2023</t>
        </is>
      </c>
      <c r="B658" s="1" t="n">
        <v>45182</v>
      </c>
      <c r="C658" s="1" t="n">
        <v>45473</v>
      </c>
      <c r="D658" t="inlineStr">
        <is>
          <t>DALARNAS LÄN</t>
        </is>
      </c>
      <c r="E658" t="inlineStr">
        <is>
          <t>LUDVIKA</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42843-2023</t>
        </is>
      </c>
      <c r="B659" s="1" t="n">
        <v>45182</v>
      </c>
      <c r="C659" s="1" t="n">
        <v>45473</v>
      </c>
      <c r="D659" t="inlineStr">
        <is>
          <t>DALARNAS LÄN</t>
        </is>
      </c>
      <c r="E659" t="inlineStr">
        <is>
          <t>LUDVIKA</t>
        </is>
      </c>
      <c r="F659" t="inlineStr">
        <is>
          <t>Bergvik skog väst AB</t>
        </is>
      </c>
      <c r="G659" t="n">
        <v>15.6</v>
      </c>
      <c r="H659" t="n">
        <v>0</v>
      </c>
      <c r="I659" t="n">
        <v>0</v>
      </c>
      <c r="J659" t="n">
        <v>0</v>
      </c>
      <c r="K659" t="n">
        <v>0</v>
      </c>
      <c r="L659" t="n">
        <v>0</v>
      </c>
      <c r="M659" t="n">
        <v>0</v>
      </c>
      <c r="N659" t="n">
        <v>0</v>
      </c>
      <c r="O659" t="n">
        <v>0</v>
      </c>
      <c r="P659" t="n">
        <v>0</v>
      </c>
      <c r="Q659" t="n">
        <v>0</v>
      </c>
      <c r="R659" s="2" t="inlineStr"/>
    </row>
    <row r="660" ht="15" customHeight="1">
      <c r="A660" t="inlineStr">
        <is>
          <t>A 42857-2023</t>
        </is>
      </c>
      <c r="B660" s="1" t="n">
        <v>45182</v>
      </c>
      <c r="C660" s="1" t="n">
        <v>45473</v>
      </c>
      <c r="D660" t="inlineStr">
        <is>
          <t>DALARNAS LÄN</t>
        </is>
      </c>
      <c r="E660" t="inlineStr">
        <is>
          <t>LUDVIKA</t>
        </is>
      </c>
      <c r="F660" t="inlineStr">
        <is>
          <t>Bergvik skog väst AB</t>
        </is>
      </c>
      <c r="G660" t="n">
        <v>6.7</v>
      </c>
      <c r="H660" t="n">
        <v>0</v>
      </c>
      <c r="I660" t="n">
        <v>0</v>
      </c>
      <c r="J660" t="n">
        <v>0</v>
      </c>
      <c r="K660" t="n">
        <v>0</v>
      </c>
      <c r="L660" t="n">
        <v>0</v>
      </c>
      <c r="M660" t="n">
        <v>0</v>
      </c>
      <c r="N660" t="n">
        <v>0</v>
      </c>
      <c r="O660" t="n">
        <v>0</v>
      </c>
      <c r="P660" t="n">
        <v>0</v>
      </c>
      <c r="Q660" t="n">
        <v>0</v>
      </c>
      <c r="R660" s="2" t="inlineStr"/>
    </row>
    <row r="661" ht="15" customHeight="1">
      <c r="A661" t="inlineStr">
        <is>
          <t>A 43214-2023</t>
        </is>
      </c>
      <c r="B661" s="1" t="n">
        <v>45183</v>
      </c>
      <c r="C661" s="1" t="n">
        <v>45473</v>
      </c>
      <c r="D661" t="inlineStr">
        <is>
          <t>DALARNAS LÄN</t>
        </is>
      </c>
      <c r="E661" t="inlineStr">
        <is>
          <t>LUDVIKA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43470-2023</t>
        </is>
      </c>
      <c r="B662" s="1" t="n">
        <v>45184</v>
      </c>
      <c r="C662" s="1" t="n">
        <v>45473</v>
      </c>
      <c r="D662" t="inlineStr">
        <is>
          <t>DALARNAS LÄN</t>
        </is>
      </c>
      <c r="E662" t="inlineStr">
        <is>
          <t>LUDVIKA</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43586-2023</t>
        </is>
      </c>
      <c r="B663" s="1" t="n">
        <v>45184</v>
      </c>
      <c r="C663" s="1" t="n">
        <v>45473</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43589-2023</t>
        </is>
      </c>
      <c r="B664" s="1" t="n">
        <v>45184</v>
      </c>
      <c r="C664" s="1" t="n">
        <v>45473</v>
      </c>
      <c r="D664" t="inlineStr">
        <is>
          <t>DALARNAS LÄN</t>
        </is>
      </c>
      <c r="E664" t="inlineStr">
        <is>
          <t>LUDVIKA</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43681-2023</t>
        </is>
      </c>
      <c r="B665" s="1" t="n">
        <v>45187</v>
      </c>
      <c r="C665" s="1" t="n">
        <v>45473</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43679-2023</t>
        </is>
      </c>
      <c r="B666" s="1" t="n">
        <v>45187</v>
      </c>
      <c r="C666" s="1" t="n">
        <v>45473</v>
      </c>
      <c r="D666" t="inlineStr">
        <is>
          <t>DALARNAS LÄN</t>
        </is>
      </c>
      <c r="E666" t="inlineStr">
        <is>
          <t>LUDVIKA</t>
        </is>
      </c>
      <c r="F666" t="inlineStr">
        <is>
          <t>Bergvik skog väst AB</t>
        </is>
      </c>
      <c r="G666" t="n">
        <v>5.2</v>
      </c>
      <c r="H666" t="n">
        <v>0</v>
      </c>
      <c r="I666" t="n">
        <v>0</v>
      </c>
      <c r="J666" t="n">
        <v>0</v>
      </c>
      <c r="K666" t="n">
        <v>0</v>
      </c>
      <c r="L666" t="n">
        <v>0</v>
      </c>
      <c r="M666" t="n">
        <v>0</v>
      </c>
      <c r="N666" t="n">
        <v>0</v>
      </c>
      <c r="O666" t="n">
        <v>0</v>
      </c>
      <c r="P666" t="n">
        <v>0</v>
      </c>
      <c r="Q666" t="n">
        <v>0</v>
      </c>
      <c r="R666" s="2" t="inlineStr"/>
    </row>
    <row r="667" ht="15" customHeight="1">
      <c r="A667" t="inlineStr">
        <is>
          <t>A 43674-2023</t>
        </is>
      </c>
      <c r="B667" s="1" t="n">
        <v>45187</v>
      </c>
      <c r="C667" s="1" t="n">
        <v>45473</v>
      </c>
      <c r="D667" t="inlineStr">
        <is>
          <t>DALARNAS LÄN</t>
        </is>
      </c>
      <c r="E667" t="inlineStr">
        <is>
          <t>LUDVIKA</t>
        </is>
      </c>
      <c r="F667" t="inlineStr">
        <is>
          <t>Bergvik skog väst AB</t>
        </is>
      </c>
      <c r="G667" t="n">
        <v>1.6</v>
      </c>
      <c r="H667" t="n">
        <v>0</v>
      </c>
      <c r="I667" t="n">
        <v>0</v>
      </c>
      <c r="J667" t="n">
        <v>0</v>
      </c>
      <c r="K667" t="n">
        <v>0</v>
      </c>
      <c r="L667" t="n">
        <v>0</v>
      </c>
      <c r="M667" t="n">
        <v>0</v>
      </c>
      <c r="N667" t="n">
        <v>0</v>
      </c>
      <c r="O667" t="n">
        <v>0</v>
      </c>
      <c r="P667" t="n">
        <v>0</v>
      </c>
      <c r="Q667" t="n">
        <v>0</v>
      </c>
      <c r="R667" s="2" t="inlineStr"/>
    </row>
    <row r="668" ht="15" customHeight="1">
      <c r="A668" t="inlineStr">
        <is>
          <t>A 43797-2023</t>
        </is>
      </c>
      <c r="B668" s="1" t="n">
        <v>45187</v>
      </c>
      <c r="C668" s="1" t="n">
        <v>45473</v>
      </c>
      <c r="D668" t="inlineStr">
        <is>
          <t>DALARNAS LÄN</t>
        </is>
      </c>
      <c r="E668" t="inlineStr">
        <is>
          <t>LUDVIKA</t>
        </is>
      </c>
      <c r="F668" t="inlineStr">
        <is>
          <t>Bergvik skog väst AB</t>
        </is>
      </c>
      <c r="G668" t="n">
        <v>5.7</v>
      </c>
      <c r="H668" t="n">
        <v>0</v>
      </c>
      <c r="I668" t="n">
        <v>0</v>
      </c>
      <c r="J668" t="n">
        <v>0</v>
      </c>
      <c r="K668" t="n">
        <v>0</v>
      </c>
      <c r="L668" t="n">
        <v>0</v>
      </c>
      <c r="M668" t="n">
        <v>0</v>
      </c>
      <c r="N668" t="n">
        <v>0</v>
      </c>
      <c r="O668" t="n">
        <v>0</v>
      </c>
      <c r="P668" t="n">
        <v>0</v>
      </c>
      <c r="Q668" t="n">
        <v>0</v>
      </c>
      <c r="R668" s="2" t="inlineStr"/>
    </row>
    <row r="669" ht="15" customHeight="1">
      <c r="A669" t="inlineStr">
        <is>
          <t>A 43839-2023</t>
        </is>
      </c>
      <c r="B669" s="1" t="n">
        <v>45187</v>
      </c>
      <c r="C669" s="1" t="n">
        <v>45473</v>
      </c>
      <c r="D669" t="inlineStr">
        <is>
          <t>DALARNAS LÄN</t>
        </is>
      </c>
      <c r="E669" t="inlineStr">
        <is>
          <t>LUDVIKA</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43867-2023</t>
        </is>
      </c>
      <c r="B670" s="1" t="n">
        <v>45187</v>
      </c>
      <c r="C670" s="1" t="n">
        <v>45473</v>
      </c>
      <c r="D670" t="inlineStr">
        <is>
          <t>DALARNAS LÄN</t>
        </is>
      </c>
      <c r="E670" t="inlineStr">
        <is>
          <t>LUDVIKA</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44088-2023</t>
        </is>
      </c>
      <c r="B671" s="1" t="n">
        <v>45188</v>
      </c>
      <c r="C671" s="1" t="n">
        <v>45473</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44099-2023</t>
        </is>
      </c>
      <c r="B672" s="1" t="n">
        <v>45188</v>
      </c>
      <c r="C672" s="1" t="n">
        <v>45473</v>
      </c>
      <c r="D672" t="inlineStr">
        <is>
          <t>DALARNAS LÄN</t>
        </is>
      </c>
      <c r="E672" t="inlineStr">
        <is>
          <t>LUDVIKA</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44103-2023</t>
        </is>
      </c>
      <c r="B673" s="1" t="n">
        <v>45188</v>
      </c>
      <c r="C673" s="1" t="n">
        <v>45473</v>
      </c>
      <c r="D673" t="inlineStr">
        <is>
          <t>DALARNAS LÄN</t>
        </is>
      </c>
      <c r="E673" t="inlineStr">
        <is>
          <t>LUDVIKA</t>
        </is>
      </c>
      <c r="F673" t="inlineStr">
        <is>
          <t>Bergvik skog väst AB</t>
        </is>
      </c>
      <c r="G673" t="n">
        <v>2.3</v>
      </c>
      <c r="H673" t="n">
        <v>0</v>
      </c>
      <c r="I673" t="n">
        <v>0</v>
      </c>
      <c r="J673" t="n">
        <v>0</v>
      </c>
      <c r="K673" t="n">
        <v>0</v>
      </c>
      <c r="L673" t="n">
        <v>0</v>
      </c>
      <c r="M673" t="n">
        <v>0</v>
      </c>
      <c r="N673" t="n">
        <v>0</v>
      </c>
      <c r="O673" t="n">
        <v>0</v>
      </c>
      <c r="P673" t="n">
        <v>0</v>
      </c>
      <c r="Q673" t="n">
        <v>0</v>
      </c>
      <c r="R673" s="2" t="inlineStr"/>
    </row>
    <row r="674" ht="15" customHeight="1">
      <c r="A674" t="inlineStr">
        <is>
          <t>A 44312-2023</t>
        </is>
      </c>
      <c r="B674" s="1" t="n">
        <v>45188</v>
      </c>
      <c r="C674" s="1" t="n">
        <v>45473</v>
      </c>
      <c r="D674" t="inlineStr">
        <is>
          <t>DALARNAS LÄN</t>
        </is>
      </c>
      <c r="E674" t="inlineStr">
        <is>
          <t>LUDVIKA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44093-2023</t>
        </is>
      </c>
      <c r="B675" s="1" t="n">
        <v>45188</v>
      </c>
      <c r="C675" s="1" t="n">
        <v>45473</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44110-2023</t>
        </is>
      </c>
      <c r="B676" s="1" t="n">
        <v>45188</v>
      </c>
      <c r="C676" s="1" t="n">
        <v>45473</v>
      </c>
      <c r="D676" t="inlineStr">
        <is>
          <t>DALARNAS LÄN</t>
        </is>
      </c>
      <c r="E676" t="inlineStr">
        <is>
          <t>LUDVIKA</t>
        </is>
      </c>
      <c r="F676" t="inlineStr">
        <is>
          <t>Bergvik skog väst AB</t>
        </is>
      </c>
      <c r="G676" t="n">
        <v>2</v>
      </c>
      <c r="H676" t="n">
        <v>0</v>
      </c>
      <c r="I676" t="n">
        <v>0</v>
      </c>
      <c r="J676" t="n">
        <v>0</v>
      </c>
      <c r="K676" t="n">
        <v>0</v>
      </c>
      <c r="L676" t="n">
        <v>0</v>
      </c>
      <c r="M676" t="n">
        <v>0</v>
      </c>
      <c r="N676" t="n">
        <v>0</v>
      </c>
      <c r="O676" t="n">
        <v>0</v>
      </c>
      <c r="P676" t="n">
        <v>0</v>
      </c>
      <c r="Q676" t="n">
        <v>0</v>
      </c>
      <c r="R676" s="2" t="inlineStr"/>
    </row>
    <row r="677" ht="15" customHeight="1">
      <c r="A677" t="inlineStr">
        <is>
          <t>A 44520-2023</t>
        </is>
      </c>
      <c r="B677" s="1" t="n">
        <v>45189</v>
      </c>
      <c r="C677" s="1" t="n">
        <v>45473</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45094-2023</t>
        </is>
      </c>
      <c r="B678" s="1" t="n">
        <v>45191</v>
      </c>
      <c r="C678" s="1" t="n">
        <v>45473</v>
      </c>
      <c r="D678" t="inlineStr">
        <is>
          <t>DALARNAS LÄN</t>
        </is>
      </c>
      <c r="E678" t="inlineStr">
        <is>
          <t>LUDVIKA</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45045-2023</t>
        </is>
      </c>
      <c r="B679" s="1" t="n">
        <v>45191</v>
      </c>
      <c r="C679" s="1" t="n">
        <v>45473</v>
      </c>
      <c r="D679" t="inlineStr">
        <is>
          <t>DALARNAS LÄN</t>
        </is>
      </c>
      <c r="E679" t="inlineStr">
        <is>
          <t>LUDVIKA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45046-2023</t>
        </is>
      </c>
      <c r="B680" s="1" t="n">
        <v>45191</v>
      </c>
      <c r="C680" s="1" t="n">
        <v>45473</v>
      </c>
      <c r="D680" t="inlineStr">
        <is>
          <t>DALARNAS LÄN</t>
        </is>
      </c>
      <c r="E680" t="inlineStr">
        <is>
          <t>LUDVIKA</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45083-2023</t>
        </is>
      </c>
      <c r="B681" s="1" t="n">
        <v>45191</v>
      </c>
      <c r="C681" s="1" t="n">
        <v>45473</v>
      </c>
      <c r="D681" t="inlineStr">
        <is>
          <t>DALARNAS LÄN</t>
        </is>
      </c>
      <c r="E681" t="inlineStr">
        <is>
          <t>LUDVIKA</t>
        </is>
      </c>
      <c r="F681" t="inlineStr">
        <is>
          <t>Bergvik skog väst AB</t>
        </is>
      </c>
      <c r="G681" t="n">
        <v>2</v>
      </c>
      <c r="H681" t="n">
        <v>0</v>
      </c>
      <c r="I681" t="n">
        <v>0</v>
      </c>
      <c r="J681" t="n">
        <v>0</v>
      </c>
      <c r="K681" t="n">
        <v>0</v>
      </c>
      <c r="L681" t="n">
        <v>0</v>
      </c>
      <c r="M681" t="n">
        <v>0</v>
      </c>
      <c r="N681" t="n">
        <v>0</v>
      </c>
      <c r="O681" t="n">
        <v>0</v>
      </c>
      <c r="P681" t="n">
        <v>0</v>
      </c>
      <c r="Q681" t="n">
        <v>0</v>
      </c>
      <c r="R681" s="2" t="inlineStr"/>
    </row>
    <row r="682" ht="15" customHeight="1">
      <c r="A682" t="inlineStr">
        <is>
          <t>A 45128-2023</t>
        </is>
      </c>
      <c r="B682" s="1" t="n">
        <v>45191</v>
      </c>
      <c r="C682" s="1" t="n">
        <v>45473</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45140-2023</t>
        </is>
      </c>
      <c r="B683" s="1" t="n">
        <v>45191</v>
      </c>
      <c r="C683" s="1" t="n">
        <v>45473</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45127-2023</t>
        </is>
      </c>
      <c r="B684" s="1" t="n">
        <v>45191</v>
      </c>
      <c r="C684" s="1" t="n">
        <v>45473</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45124-2023</t>
        </is>
      </c>
      <c r="B685" s="1" t="n">
        <v>45191</v>
      </c>
      <c r="C685" s="1" t="n">
        <v>45473</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45541-2023</t>
        </is>
      </c>
      <c r="B686" s="1" t="n">
        <v>45194</v>
      </c>
      <c r="C686" s="1" t="n">
        <v>45473</v>
      </c>
      <c r="D686" t="inlineStr">
        <is>
          <t>DALARNAS LÄN</t>
        </is>
      </c>
      <c r="E686" t="inlineStr">
        <is>
          <t>LUDVIKA</t>
        </is>
      </c>
      <c r="G686" t="n">
        <v>2.8</v>
      </c>
      <c r="H686" t="n">
        <v>0</v>
      </c>
      <c r="I686" t="n">
        <v>0</v>
      </c>
      <c r="J686" t="n">
        <v>0</v>
      </c>
      <c r="K686" t="n">
        <v>0</v>
      </c>
      <c r="L686" t="n">
        <v>0</v>
      </c>
      <c r="M686" t="n">
        <v>0</v>
      </c>
      <c r="N686" t="n">
        <v>0</v>
      </c>
      <c r="O686" t="n">
        <v>0</v>
      </c>
      <c r="P686" t="n">
        <v>0</v>
      </c>
      <c r="Q686" t="n">
        <v>0</v>
      </c>
      <c r="R686" s="2" t="inlineStr"/>
    </row>
    <row r="687" ht="15" customHeight="1">
      <c r="A687" t="inlineStr">
        <is>
          <t>A 45853-2023</t>
        </is>
      </c>
      <c r="B687" s="1" t="n">
        <v>45195</v>
      </c>
      <c r="C687" s="1" t="n">
        <v>45473</v>
      </c>
      <c r="D687" t="inlineStr">
        <is>
          <t>DALARNAS LÄN</t>
        </is>
      </c>
      <c r="E687" t="inlineStr">
        <is>
          <t>LUDVIKA</t>
        </is>
      </c>
      <c r="G687" t="n">
        <v>3.8</v>
      </c>
      <c r="H687" t="n">
        <v>0</v>
      </c>
      <c r="I687" t="n">
        <v>0</v>
      </c>
      <c r="J687" t="n">
        <v>0</v>
      </c>
      <c r="K687" t="n">
        <v>0</v>
      </c>
      <c r="L687" t="n">
        <v>0</v>
      </c>
      <c r="M687" t="n">
        <v>0</v>
      </c>
      <c r="N687" t="n">
        <v>0</v>
      </c>
      <c r="O687" t="n">
        <v>0</v>
      </c>
      <c r="P687" t="n">
        <v>0</v>
      </c>
      <c r="Q687" t="n">
        <v>0</v>
      </c>
      <c r="R687" s="2" t="inlineStr"/>
    </row>
    <row r="688" ht="15" customHeight="1">
      <c r="A688" t="inlineStr">
        <is>
          <t>A 46074-2023</t>
        </is>
      </c>
      <c r="B688" s="1" t="n">
        <v>45196</v>
      </c>
      <c r="C688" s="1" t="n">
        <v>45473</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46140-2023</t>
        </is>
      </c>
      <c r="B689" s="1" t="n">
        <v>45196</v>
      </c>
      <c r="C689" s="1" t="n">
        <v>45473</v>
      </c>
      <c r="D689" t="inlineStr">
        <is>
          <t>DALARNAS LÄN</t>
        </is>
      </c>
      <c r="E689" t="inlineStr">
        <is>
          <t>LUDVIKA</t>
        </is>
      </c>
      <c r="F689" t="inlineStr">
        <is>
          <t>Bergvik skog väst AB</t>
        </is>
      </c>
      <c r="G689" t="n">
        <v>4.7</v>
      </c>
      <c r="H689" t="n">
        <v>0</v>
      </c>
      <c r="I689" t="n">
        <v>0</v>
      </c>
      <c r="J689" t="n">
        <v>0</v>
      </c>
      <c r="K689" t="n">
        <v>0</v>
      </c>
      <c r="L689" t="n">
        <v>0</v>
      </c>
      <c r="M689" t="n">
        <v>0</v>
      </c>
      <c r="N689" t="n">
        <v>0</v>
      </c>
      <c r="O689" t="n">
        <v>0</v>
      </c>
      <c r="P689" t="n">
        <v>0</v>
      </c>
      <c r="Q689" t="n">
        <v>0</v>
      </c>
      <c r="R689" s="2" t="inlineStr"/>
    </row>
    <row r="690" ht="15" customHeight="1">
      <c r="A690" t="inlineStr">
        <is>
          <t>A 46571-2023</t>
        </is>
      </c>
      <c r="B690" s="1" t="n">
        <v>45198</v>
      </c>
      <c r="C690" s="1" t="n">
        <v>45473</v>
      </c>
      <c r="D690" t="inlineStr">
        <is>
          <t>DALARNAS LÄN</t>
        </is>
      </c>
      <c r="E690" t="inlineStr">
        <is>
          <t>LUDVIKA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46570-2023</t>
        </is>
      </c>
      <c r="B691" s="1" t="n">
        <v>45198</v>
      </c>
      <c r="C691" s="1" t="n">
        <v>45473</v>
      </c>
      <c r="D691" t="inlineStr">
        <is>
          <t>DALARNAS LÄN</t>
        </is>
      </c>
      <c r="E691" t="inlineStr">
        <is>
          <t>LUDVIKA</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46622-2023</t>
        </is>
      </c>
      <c r="B692" s="1" t="n">
        <v>45198</v>
      </c>
      <c r="C692" s="1" t="n">
        <v>45473</v>
      </c>
      <c r="D692" t="inlineStr">
        <is>
          <t>DALARNAS LÄN</t>
        </is>
      </c>
      <c r="E692" t="inlineStr">
        <is>
          <t>LUDVIKA</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46654-2023</t>
        </is>
      </c>
      <c r="B693" s="1" t="n">
        <v>45198</v>
      </c>
      <c r="C693" s="1" t="n">
        <v>45473</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46647-2023</t>
        </is>
      </c>
      <c r="B694" s="1" t="n">
        <v>45198</v>
      </c>
      <c r="C694" s="1" t="n">
        <v>45473</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46656-2023</t>
        </is>
      </c>
      <c r="B695" s="1" t="n">
        <v>45198</v>
      </c>
      <c r="C695" s="1" t="n">
        <v>45473</v>
      </c>
      <c r="D695" t="inlineStr">
        <is>
          <t>DALARNAS LÄN</t>
        </is>
      </c>
      <c r="E695" t="inlineStr">
        <is>
          <t>LUDVIKA</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46660-2023</t>
        </is>
      </c>
      <c r="B696" s="1" t="n">
        <v>45198</v>
      </c>
      <c r="C696" s="1" t="n">
        <v>45473</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46620-2023</t>
        </is>
      </c>
      <c r="B697" s="1" t="n">
        <v>45198</v>
      </c>
      <c r="C697" s="1" t="n">
        <v>45473</v>
      </c>
      <c r="D697" t="inlineStr">
        <is>
          <t>DALARNAS LÄN</t>
        </is>
      </c>
      <c r="E697" t="inlineStr">
        <is>
          <t>LUDVIKA</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46657-2023</t>
        </is>
      </c>
      <c r="B698" s="1" t="n">
        <v>45198</v>
      </c>
      <c r="C698" s="1" t="n">
        <v>45473</v>
      </c>
      <c r="D698" t="inlineStr">
        <is>
          <t>DALARNAS LÄN</t>
        </is>
      </c>
      <c r="E698" t="inlineStr">
        <is>
          <t>LUDVIKA</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47269-2023</t>
        </is>
      </c>
      <c r="B699" s="1" t="n">
        <v>45202</v>
      </c>
      <c r="C699" s="1" t="n">
        <v>45473</v>
      </c>
      <c r="D699" t="inlineStr">
        <is>
          <t>DALARNAS LÄN</t>
        </is>
      </c>
      <c r="E699" t="inlineStr">
        <is>
          <t>LUDVIKA</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47349-2023</t>
        </is>
      </c>
      <c r="B700" s="1" t="n">
        <v>45202</v>
      </c>
      <c r="C700" s="1" t="n">
        <v>45473</v>
      </c>
      <c r="D700" t="inlineStr">
        <is>
          <t>DALARNAS LÄN</t>
        </is>
      </c>
      <c r="E700" t="inlineStr">
        <is>
          <t>LUDVIKA</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47281-2023</t>
        </is>
      </c>
      <c r="B701" s="1" t="n">
        <v>45202</v>
      </c>
      <c r="C701" s="1" t="n">
        <v>45473</v>
      </c>
      <c r="D701" t="inlineStr">
        <is>
          <t>DALARNAS LÄN</t>
        </is>
      </c>
      <c r="E701" t="inlineStr">
        <is>
          <t>LUDVIKA</t>
        </is>
      </c>
      <c r="G701" t="n">
        <v>2.6</v>
      </c>
      <c r="H701" t="n">
        <v>0</v>
      </c>
      <c r="I701" t="n">
        <v>0</v>
      </c>
      <c r="J701" t="n">
        <v>0</v>
      </c>
      <c r="K701" t="n">
        <v>0</v>
      </c>
      <c r="L701" t="n">
        <v>0</v>
      </c>
      <c r="M701" t="n">
        <v>0</v>
      </c>
      <c r="N701" t="n">
        <v>0</v>
      </c>
      <c r="O701" t="n">
        <v>0</v>
      </c>
      <c r="P701" t="n">
        <v>0</v>
      </c>
      <c r="Q701" t="n">
        <v>0</v>
      </c>
      <c r="R701" s="2" t="inlineStr"/>
    </row>
    <row r="702" ht="15" customHeight="1">
      <c r="A702" t="inlineStr">
        <is>
          <t>A 47366-2023</t>
        </is>
      </c>
      <c r="B702" s="1" t="n">
        <v>45202</v>
      </c>
      <c r="C702" s="1" t="n">
        <v>45473</v>
      </c>
      <c r="D702" t="inlineStr">
        <is>
          <t>DALARNAS LÄN</t>
        </is>
      </c>
      <c r="E702" t="inlineStr">
        <is>
          <t>LUDVIKA</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47429-2023</t>
        </is>
      </c>
      <c r="B703" s="1" t="n">
        <v>45202</v>
      </c>
      <c r="C703" s="1" t="n">
        <v>45473</v>
      </c>
      <c r="D703" t="inlineStr">
        <is>
          <t>DALARNAS LÄN</t>
        </is>
      </c>
      <c r="E703" t="inlineStr">
        <is>
          <t>LUDVIKA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47940-2023</t>
        </is>
      </c>
      <c r="B704" s="1" t="n">
        <v>45204</v>
      </c>
      <c r="C704" s="1" t="n">
        <v>45473</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48003-2023</t>
        </is>
      </c>
      <c r="B705" s="1" t="n">
        <v>45204</v>
      </c>
      <c r="C705" s="1" t="n">
        <v>45473</v>
      </c>
      <c r="D705" t="inlineStr">
        <is>
          <t>DALARNAS LÄN</t>
        </is>
      </c>
      <c r="E705" t="inlineStr">
        <is>
          <t>LUDVIKA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48212-2023</t>
        </is>
      </c>
      <c r="B706" s="1" t="n">
        <v>45205</v>
      </c>
      <c r="C706" s="1" t="n">
        <v>45473</v>
      </c>
      <c r="D706" t="inlineStr">
        <is>
          <t>DALARNAS LÄN</t>
        </is>
      </c>
      <c r="E706" t="inlineStr">
        <is>
          <t>LUDVIKA</t>
        </is>
      </c>
      <c r="F706" t="inlineStr">
        <is>
          <t>Bergvik skog väst AB</t>
        </is>
      </c>
      <c r="G706" t="n">
        <v>6.5</v>
      </c>
      <c r="H706" t="n">
        <v>0</v>
      </c>
      <c r="I706" t="n">
        <v>0</v>
      </c>
      <c r="J706" t="n">
        <v>0</v>
      </c>
      <c r="K706" t="n">
        <v>0</v>
      </c>
      <c r="L706" t="n">
        <v>0</v>
      </c>
      <c r="M706" t="n">
        <v>0</v>
      </c>
      <c r="N706" t="n">
        <v>0</v>
      </c>
      <c r="O706" t="n">
        <v>0</v>
      </c>
      <c r="P706" t="n">
        <v>0</v>
      </c>
      <c r="Q706" t="n">
        <v>0</v>
      </c>
      <c r="R706" s="2" t="inlineStr"/>
    </row>
    <row r="707" ht="15" customHeight="1">
      <c r="A707" t="inlineStr">
        <is>
          <t>A 48288-2023</t>
        </is>
      </c>
      <c r="B707" s="1" t="n">
        <v>45205</v>
      </c>
      <c r="C707" s="1" t="n">
        <v>45473</v>
      </c>
      <c r="D707" t="inlineStr">
        <is>
          <t>DALARNAS LÄN</t>
        </is>
      </c>
      <c r="E707" t="inlineStr">
        <is>
          <t>LUDVIKA</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48352-2023</t>
        </is>
      </c>
      <c r="B708" s="1" t="n">
        <v>45205</v>
      </c>
      <c r="C708" s="1" t="n">
        <v>45473</v>
      </c>
      <c r="D708" t="inlineStr">
        <is>
          <t>DALARNAS LÄN</t>
        </is>
      </c>
      <c r="E708" t="inlineStr">
        <is>
          <t>LUDVIKA</t>
        </is>
      </c>
      <c r="F708" t="inlineStr">
        <is>
          <t>Bergvik skog väst AB</t>
        </is>
      </c>
      <c r="G708" t="n">
        <v>12.8</v>
      </c>
      <c r="H708" t="n">
        <v>0</v>
      </c>
      <c r="I708" t="n">
        <v>0</v>
      </c>
      <c r="J708" t="n">
        <v>0</v>
      </c>
      <c r="K708" t="n">
        <v>0</v>
      </c>
      <c r="L708" t="n">
        <v>0</v>
      </c>
      <c r="M708" t="n">
        <v>0</v>
      </c>
      <c r="N708" t="n">
        <v>0</v>
      </c>
      <c r="O708" t="n">
        <v>0</v>
      </c>
      <c r="P708" t="n">
        <v>0</v>
      </c>
      <c r="Q708" t="n">
        <v>0</v>
      </c>
      <c r="R708" s="2" t="inlineStr"/>
    </row>
    <row r="709" ht="15" customHeight="1">
      <c r="A709" t="inlineStr">
        <is>
          <t>A 48331-2023</t>
        </is>
      </c>
      <c r="B709" s="1" t="n">
        <v>45205</v>
      </c>
      <c r="C709" s="1" t="n">
        <v>45473</v>
      </c>
      <c r="D709" t="inlineStr">
        <is>
          <t>DALARNAS LÄN</t>
        </is>
      </c>
      <c r="E709" t="inlineStr">
        <is>
          <t>LUDVIKA</t>
        </is>
      </c>
      <c r="F709" t="inlineStr">
        <is>
          <t>Bergvik skog väst AB</t>
        </is>
      </c>
      <c r="G709" t="n">
        <v>4.2</v>
      </c>
      <c r="H709" t="n">
        <v>0</v>
      </c>
      <c r="I709" t="n">
        <v>0</v>
      </c>
      <c r="J709" t="n">
        <v>0</v>
      </c>
      <c r="K709" t="n">
        <v>0</v>
      </c>
      <c r="L709" t="n">
        <v>0</v>
      </c>
      <c r="M709" t="n">
        <v>0</v>
      </c>
      <c r="N709" t="n">
        <v>0</v>
      </c>
      <c r="O709" t="n">
        <v>0</v>
      </c>
      <c r="P709" t="n">
        <v>0</v>
      </c>
      <c r="Q709" t="n">
        <v>0</v>
      </c>
      <c r="R709" s="2" t="inlineStr"/>
    </row>
    <row r="710" ht="15" customHeight="1">
      <c r="A710" t="inlineStr">
        <is>
          <t>A 48559-2023</t>
        </is>
      </c>
      <c r="B710" s="1" t="n">
        <v>45208</v>
      </c>
      <c r="C710" s="1" t="n">
        <v>45473</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48589-2023</t>
        </is>
      </c>
      <c r="B711" s="1" t="n">
        <v>45208</v>
      </c>
      <c r="C711" s="1" t="n">
        <v>45473</v>
      </c>
      <c r="D711" t="inlineStr">
        <is>
          <t>DALARNAS LÄN</t>
        </is>
      </c>
      <c r="E711" t="inlineStr">
        <is>
          <t>LUDVIKA</t>
        </is>
      </c>
      <c r="F711" t="inlineStr">
        <is>
          <t>Naturvårdsverket</t>
        </is>
      </c>
      <c r="G711" t="n">
        <v>0.7</v>
      </c>
      <c r="H711" t="n">
        <v>0</v>
      </c>
      <c r="I711" t="n">
        <v>0</v>
      </c>
      <c r="J711" t="n">
        <v>0</v>
      </c>
      <c r="K711" t="n">
        <v>0</v>
      </c>
      <c r="L711" t="n">
        <v>0</v>
      </c>
      <c r="M711" t="n">
        <v>0</v>
      </c>
      <c r="N711" t="n">
        <v>0</v>
      </c>
      <c r="O711" t="n">
        <v>0</v>
      </c>
      <c r="P711" t="n">
        <v>0</v>
      </c>
      <c r="Q711" t="n">
        <v>0</v>
      </c>
      <c r="R711" s="2" t="inlineStr"/>
    </row>
    <row r="712" ht="15" customHeight="1">
      <c r="A712" t="inlineStr">
        <is>
          <t>A 48522-2023</t>
        </is>
      </c>
      <c r="B712" s="1" t="n">
        <v>45208</v>
      </c>
      <c r="C712" s="1" t="n">
        <v>45473</v>
      </c>
      <c r="D712" t="inlineStr">
        <is>
          <t>DALARNAS LÄN</t>
        </is>
      </c>
      <c r="E712" t="inlineStr">
        <is>
          <t>LUDVIKA</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48615-2023</t>
        </is>
      </c>
      <c r="B713" s="1" t="n">
        <v>45208</v>
      </c>
      <c r="C713" s="1" t="n">
        <v>45473</v>
      </c>
      <c r="D713" t="inlineStr">
        <is>
          <t>DALARNAS LÄN</t>
        </is>
      </c>
      <c r="E713" t="inlineStr">
        <is>
          <t>LUDVIKA</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48683-2023</t>
        </is>
      </c>
      <c r="B714" s="1" t="n">
        <v>45208</v>
      </c>
      <c r="C714" s="1" t="n">
        <v>45473</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49060-2023</t>
        </is>
      </c>
      <c r="B715" s="1" t="n">
        <v>45210</v>
      </c>
      <c r="C715" s="1" t="n">
        <v>45473</v>
      </c>
      <c r="D715" t="inlineStr">
        <is>
          <t>DALARNAS LÄN</t>
        </is>
      </c>
      <c r="E715" t="inlineStr">
        <is>
          <t>LUDVIKA</t>
        </is>
      </c>
      <c r="F715" t="inlineStr">
        <is>
          <t>Naturvårdsverket</t>
        </is>
      </c>
      <c r="G715" t="n">
        <v>0.8</v>
      </c>
      <c r="H715" t="n">
        <v>0</v>
      </c>
      <c r="I715" t="n">
        <v>0</v>
      </c>
      <c r="J715" t="n">
        <v>0</v>
      </c>
      <c r="K715" t="n">
        <v>0</v>
      </c>
      <c r="L715" t="n">
        <v>0</v>
      </c>
      <c r="M715" t="n">
        <v>0</v>
      </c>
      <c r="N715" t="n">
        <v>0</v>
      </c>
      <c r="O715" t="n">
        <v>0</v>
      </c>
      <c r="P715" t="n">
        <v>0</v>
      </c>
      <c r="Q715" t="n">
        <v>0</v>
      </c>
      <c r="R715" s="2" t="inlineStr"/>
    </row>
    <row r="716" ht="15" customHeight="1">
      <c r="A716" t="inlineStr">
        <is>
          <t>A 49114-2023</t>
        </is>
      </c>
      <c r="B716" s="1" t="n">
        <v>45210</v>
      </c>
      <c r="C716" s="1" t="n">
        <v>45473</v>
      </c>
      <c r="D716" t="inlineStr">
        <is>
          <t>DALARNAS LÄN</t>
        </is>
      </c>
      <c r="E716" t="inlineStr">
        <is>
          <t>LUDVIKA</t>
        </is>
      </c>
      <c r="F716" t="inlineStr">
        <is>
          <t>Naturvårdsverket</t>
        </is>
      </c>
      <c r="G716" t="n">
        <v>4</v>
      </c>
      <c r="H716" t="n">
        <v>0</v>
      </c>
      <c r="I716" t="n">
        <v>0</v>
      </c>
      <c r="J716" t="n">
        <v>0</v>
      </c>
      <c r="K716" t="n">
        <v>0</v>
      </c>
      <c r="L716" t="n">
        <v>0</v>
      </c>
      <c r="M716" t="n">
        <v>0</v>
      </c>
      <c r="N716" t="n">
        <v>0</v>
      </c>
      <c r="O716" t="n">
        <v>0</v>
      </c>
      <c r="P716" t="n">
        <v>0</v>
      </c>
      <c r="Q716" t="n">
        <v>0</v>
      </c>
      <c r="R716" s="2" t="inlineStr"/>
    </row>
    <row r="717" ht="15" customHeight="1">
      <c r="A717" t="inlineStr">
        <is>
          <t>A 49714-2023</t>
        </is>
      </c>
      <c r="B717" s="1" t="n">
        <v>45212</v>
      </c>
      <c r="C717" s="1" t="n">
        <v>45473</v>
      </c>
      <c r="D717" t="inlineStr">
        <is>
          <t>DALARNAS LÄN</t>
        </is>
      </c>
      <c r="E717" t="inlineStr">
        <is>
          <t>LUDVIKA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49798-2023</t>
        </is>
      </c>
      <c r="B718" s="1" t="n">
        <v>45212</v>
      </c>
      <c r="C718" s="1" t="n">
        <v>45473</v>
      </c>
      <c r="D718" t="inlineStr">
        <is>
          <t>DALARNAS LÄN</t>
        </is>
      </c>
      <c r="E718" t="inlineStr">
        <is>
          <t>LUDVIKA</t>
        </is>
      </c>
      <c r="F718" t="inlineStr">
        <is>
          <t>Bergvik skog väst AB</t>
        </is>
      </c>
      <c r="G718" t="n">
        <v>9.6</v>
      </c>
      <c r="H718" t="n">
        <v>0</v>
      </c>
      <c r="I718" t="n">
        <v>0</v>
      </c>
      <c r="J718" t="n">
        <v>0</v>
      </c>
      <c r="K718" t="n">
        <v>0</v>
      </c>
      <c r="L718" t="n">
        <v>0</v>
      </c>
      <c r="M718" t="n">
        <v>0</v>
      </c>
      <c r="N718" t="n">
        <v>0</v>
      </c>
      <c r="O718" t="n">
        <v>0</v>
      </c>
      <c r="P718" t="n">
        <v>0</v>
      </c>
      <c r="Q718" t="n">
        <v>0</v>
      </c>
      <c r="R718" s="2" t="inlineStr"/>
    </row>
    <row r="719" ht="15" customHeight="1">
      <c r="A719" t="inlineStr">
        <is>
          <t>A 49805-2023</t>
        </is>
      </c>
      <c r="B719" s="1" t="n">
        <v>45212</v>
      </c>
      <c r="C719" s="1" t="n">
        <v>45473</v>
      </c>
      <c r="D719" t="inlineStr">
        <is>
          <t>DALARNAS LÄN</t>
        </is>
      </c>
      <c r="E719" t="inlineStr">
        <is>
          <t>LUDVIKA</t>
        </is>
      </c>
      <c r="G719" t="n">
        <v>1.9</v>
      </c>
      <c r="H719" t="n">
        <v>0</v>
      </c>
      <c r="I719" t="n">
        <v>0</v>
      </c>
      <c r="J719" t="n">
        <v>0</v>
      </c>
      <c r="K719" t="n">
        <v>0</v>
      </c>
      <c r="L719" t="n">
        <v>0</v>
      </c>
      <c r="M719" t="n">
        <v>0</v>
      </c>
      <c r="N719" t="n">
        <v>0</v>
      </c>
      <c r="O719" t="n">
        <v>0</v>
      </c>
      <c r="P719" t="n">
        <v>0</v>
      </c>
      <c r="Q719" t="n">
        <v>0</v>
      </c>
      <c r="R719" s="2" t="inlineStr"/>
    </row>
    <row r="720" ht="15" customHeight="1">
      <c r="A720" t="inlineStr">
        <is>
          <t>A 50132-2023</t>
        </is>
      </c>
      <c r="B720" s="1" t="n">
        <v>45215</v>
      </c>
      <c r="C720" s="1" t="n">
        <v>45473</v>
      </c>
      <c r="D720" t="inlineStr">
        <is>
          <t>DALARNAS LÄN</t>
        </is>
      </c>
      <c r="E720" t="inlineStr">
        <is>
          <t>LUDVIKA</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50054-2023</t>
        </is>
      </c>
      <c r="B721" s="1" t="n">
        <v>45215</v>
      </c>
      <c r="C721" s="1" t="n">
        <v>45473</v>
      </c>
      <c r="D721" t="inlineStr">
        <is>
          <t>DALARNAS LÄN</t>
        </is>
      </c>
      <c r="E721" t="inlineStr">
        <is>
          <t>LUDVIKA</t>
        </is>
      </c>
      <c r="F721" t="inlineStr">
        <is>
          <t>Bergvik skog väst AB</t>
        </is>
      </c>
      <c r="G721" t="n">
        <v>11.4</v>
      </c>
      <c r="H721" t="n">
        <v>0</v>
      </c>
      <c r="I721" t="n">
        <v>0</v>
      </c>
      <c r="J721" t="n">
        <v>0</v>
      </c>
      <c r="K721" t="n">
        <v>0</v>
      </c>
      <c r="L721" t="n">
        <v>0</v>
      </c>
      <c r="M721" t="n">
        <v>0</v>
      </c>
      <c r="N721" t="n">
        <v>0</v>
      </c>
      <c r="O721" t="n">
        <v>0</v>
      </c>
      <c r="P721" t="n">
        <v>0</v>
      </c>
      <c r="Q721" t="n">
        <v>0</v>
      </c>
      <c r="R721" s="2" t="inlineStr"/>
    </row>
    <row r="722" ht="15" customHeight="1">
      <c r="A722" t="inlineStr">
        <is>
          <t>A 50310-2023</t>
        </is>
      </c>
      <c r="B722" s="1" t="n">
        <v>45216</v>
      </c>
      <c r="C722" s="1" t="n">
        <v>45473</v>
      </c>
      <c r="D722" t="inlineStr">
        <is>
          <t>DALARNAS LÄN</t>
        </is>
      </c>
      <c r="E722" t="inlineStr">
        <is>
          <t>LUDVIKA</t>
        </is>
      </c>
      <c r="G722" t="n">
        <v>2</v>
      </c>
      <c r="H722" t="n">
        <v>0</v>
      </c>
      <c r="I722" t="n">
        <v>0</v>
      </c>
      <c r="J722" t="n">
        <v>0</v>
      </c>
      <c r="K722" t="n">
        <v>0</v>
      </c>
      <c r="L722" t="n">
        <v>0</v>
      </c>
      <c r="M722" t="n">
        <v>0</v>
      </c>
      <c r="N722" t="n">
        <v>0</v>
      </c>
      <c r="O722" t="n">
        <v>0</v>
      </c>
      <c r="P722" t="n">
        <v>0</v>
      </c>
      <c r="Q722" t="n">
        <v>0</v>
      </c>
      <c r="R722" s="2" t="inlineStr"/>
    </row>
    <row r="723" ht="15" customHeight="1">
      <c r="A723" t="inlineStr">
        <is>
          <t>A 50594-2023</t>
        </is>
      </c>
      <c r="B723" s="1" t="n">
        <v>45217</v>
      </c>
      <c r="C723" s="1" t="n">
        <v>45473</v>
      </c>
      <c r="D723" t="inlineStr">
        <is>
          <t>DALARNAS LÄN</t>
        </is>
      </c>
      <c r="E723" t="inlineStr">
        <is>
          <t>LUDVIKA</t>
        </is>
      </c>
      <c r="F723" t="inlineStr">
        <is>
          <t>Bergvik skog väst AB</t>
        </is>
      </c>
      <c r="G723" t="n">
        <v>10.3</v>
      </c>
      <c r="H723" t="n">
        <v>0</v>
      </c>
      <c r="I723" t="n">
        <v>0</v>
      </c>
      <c r="J723" t="n">
        <v>0</v>
      </c>
      <c r="K723" t="n">
        <v>0</v>
      </c>
      <c r="L723" t="n">
        <v>0</v>
      </c>
      <c r="M723" t="n">
        <v>0</v>
      </c>
      <c r="N723" t="n">
        <v>0</v>
      </c>
      <c r="O723" t="n">
        <v>0</v>
      </c>
      <c r="P723" t="n">
        <v>0</v>
      </c>
      <c r="Q723" t="n">
        <v>0</v>
      </c>
      <c r="R723" s="2" t="inlineStr"/>
    </row>
    <row r="724" ht="15" customHeight="1">
      <c r="A724" t="inlineStr">
        <is>
          <t>A 51015-2023</t>
        </is>
      </c>
      <c r="B724" s="1" t="n">
        <v>45218</v>
      </c>
      <c r="C724" s="1" t="n">
        <v>45473</v>
      </c>
      <c r="D724" t="inlineStr">
        <is>
          <t>DALARNAS LÄN</t>
        </is>
      </c>
      <c r="E724" t="inlineStr">
        <is>
          <t>LUDVIKA</t>
        </is>
      </c>
      <c r="G724" t="n">
        <v>5.9</v>
      </c>
      <c r="H724" t="n">
        <v>0</v>
      </c>
      <c r="I724" t="n">
        <v>0</v>
      </c>
      <c r="J724" t="n">
        <v>0</v>
      </c>
      <c r="K724" t="n">
        <v>0</v>
      </c>
      <c r="L724" t="n">
        <v>0</v>
      </c>
      <c r="M724" t="n">
        <v>0</v>
      </c>
      <c r="N724" t="n">
        <v>0</v>
      </c>
      <c r="O724" t="n">
        <v>0</v>
      </c>
      <c r="P724" t="n">
        <v>0</v>
      </c>
      <c r="Q724" t="n">
        <v>0</v>
      </c>
      <c r="R724" s="2" t="inlineStr"/>
    </row>
    <row r="725" ht="15" customHeight="1">
      <c r="A725" t="inlineStr">
        <is>
          <t>A 51208-2023</t>
        </is>
      </c>
      <c r="B725" s="1" t="n">
        <v>45219</v>
      </c>
      <c r="C725" s="1" t="n">
        <v>45473</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51181-2023</t>
        </is>
      </c>
      <c r="B726" s="1" t="n">
        <v>45219</v>
      </c>
      <c r="C726" s="1" t="n">
        <v>45473</v>
      </c>
      <c r="D726" t="inlineStr">
        <is>
          <t>DALARNAS LÄN</t>
        </is>
      </c>
      <c r="E726" t="inlineStr">
        <is>
          <t>LUDVIKA</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51160-2023</t>
        </is>
      </c>
      <c r="B727" s="1" t="n">
        <v>45219</v>
      </c>
      <c r="C727" s="1" t="n">
        <v>45473</v>
      </c>
      <c r="D727" t="inlineStr">
        <is>
          <t>DALARNAS LÄN</t>
        </is>
      </c>
      <c r="E727" t="inlineStr">
        <is>
          <t>LUDVIKA</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51200-2023</t>
        </is>
      </c>
      <c r="B728" s="1" t="n">
        <v>45219</v>
      </c>
      <c r="C728" s="1" t="n">
        <v>45473</v>
      </c>
      <c r="D728" t="inlineStr">
        <is>
          <t>DALARNAS LÄN</t>
        </is>
      </c>
      <c r="E728" t="inlineStr">
        <is>
          <t>LUDVIKA</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52038-2023</t>
        </is>
      </c>
      <c r="B729" s="1" t="n">
        <v>45223</v>
      </c>
      <c r="C729" s="1" t="n">
        <v>45473</v>
      </c>
      <c r="D729" t="inlineStr">
        <is>
          <t>DALARNAS LÄN</t>
        </is>
      </c>
      <c r="E729" t="inlineStr">
        <is>
          <t>LUDVIKA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52230-2023</t>
        </is>
      </c>
      <c r="B730" s="1" t="n">
        <v>45224</v>
      </c>
      <c r="C730" s="1" t="n">
        <v>45473</v>
      </c>
      <c r="D730" t="inlineStr">
        <is>
          <t>DALARNAS LÄN</t>
        </is>
      </c>
      <c r="E730" t="inlineStr">
        <is>
          <t>LUDVIKA</t>
        </is>
      </c>
      <c r="G730" t="n">
        <v>3.5</v>
      </c>
      <c r="H730" t="n">
        <v>0</v>
      </c>
      <c r="I730" t="n">
        <v>0</v>
      </c>
      <c r="J730" t="n">
        <v>0</v>
      </c>
      <c r="K730" t="n">
        <v>0</v>
      </c>
      <c r="L730" t="n">
        <v>0</v>
      </c>
      <c r="M730" t="n">
        <v>0</v>
      </c>
      <c r="N730" t="n">
        <v>0</v>
      </c>
      <c r="O730" t="n">
        <v>0</v>
      </c>
      <c r="P730" t="n">
        <v>0</v>
      </c>
      <c r="Q730" t="n">
        <v>0</v>
      </c>
      <c r="R730" s="2" t="inlineStr"/>
    </row>
    <row r="731" ht="15" customHeight="1">
      <c r="A731" t="inlineStr">
        <is>
          <t>A 52440-2023</t>
        </is>
      </c>
      <c r="B731" s="1" t="n">
        <v>45225</v>
      </c>
      <c r="C731" s="1" t="n">
        <v>45473</v>
      </c>
      <c r="D731" t="inlineStr">
        <is>
          <t>DALARNAS LÄN</t>
        </is>
      </c>
      <c r="E731" t="inlineStr">
        <is>
          <t>LUDVIKA</t>
        </is>
      </c>
      <c r="F731" t="inlineStr">
        <is>
          <t>Bergvik skog väst AB</t>
        </is>
      </c>
      <c r="G731" t="n">
        <v>4.8</v>
      </c>
      <c r="H731" t="n">
        <v>0</v>
      </c>
      <c r="I731" t="n">
        <v>0</v>
      </c>
      <c r="J731" t="n">
        <v>0</v>
      </c>
      <c r="K731" t="n">
        <v>0</v>
      </c>
      <c r="L731" t="n">
        <v>0</v>
      </c>
      <c r="M731" t="n">
        <v>0</v>
      </c>
      <c r="N731" t="n">
        <v>0</v>
      </c>
      <c r="O731" t="n">
        <v>0</v>
      </c>
      <c r="P731" t="n">
        <v>0</v>
      </c>
      <c r="Q731" t="n">
        <v>0</v>
      </c>
      <c r="R731" s="2" t="inlineStr"/>
    </row>
    <row r="732" ht="15" customHeight="1">
      <c r="A732" t="inlineStr">
        <is>
          <t>A 52466-2023</t>
        </is>
      </c>
      <c r="B732" s="1" t="n">
        <v>45225</v>
      </c>
      <c r="C732" s="1" t="n">
        <v>45473</v>
      </c>
      <c r="D732" t="inlineStr">
        <is>
          <t>DALARNAS LÄN</t>
        </is>
      </c>
      <c r="E732" t="inlineStr">
        <is>
          <t>LUDVIKA</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52461-2023</t>
        </is>
      </c>
      <c r="B733" s="1" t="n">
        <v>45225</v>
      </c>
      <c r="C733" s="1" t="n">
        <v>45473</v>
      </c>
      <c r="D733" t="inlineStr">
        <is>
          <t>DALARNAS LÄN</t>
        </is>
      </c>
      <c r="E733" t="inlineStr">
        <is>
          <t>LUDVIKA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52720-2023</t>
        </is>
      </c>
      <c r="B734" s="1" t="n">
        <v>45225</v>
      </c>
      <c r="C734" s="1" t="n">
        <v>45473</v>
      </c>
      <c r="D734" t="inlineStr">
        <is>
          <t>DALARNAS LÄN</t>
        </is>
      </c>
      <c r="E734" t="inlineStr">
        <is>
          <t>LUDVIKA</t>
        </is>
      </c>
      <c r="G734" t="n">
        <v>6.2</v>
      </c>
      <c r="H734" t="n">
        <v>0</v>
      </c>
      <c r="I734" t="n">
        <v>0</v>
      </c>
      <c r="J734" t="n">
        <v>0</v>
      </c>
      <c r="K734" t="n">
        <v>0</v>
      </c>
      <c r="L734" t="n">
        <v>0</v>
      </c>
      <c r="M734" t="n">
        <v>0</v>
      </c>
      <c r="N734" t="n">
        <v>0</v>
      </c>
      <c r="O734" t="n">
        <v>0</v>
      </c>
      <c r="P734" t="n">
        <v>0</v>
      </c>
      <c r="Q734" t="n">
        <v>0</v>
      </c>
      <c r="R734" s="2" t="inlineStr"/>
    </row>
    <row r="735" ht="15" customHeight="1">
      <c r="A735" t="inlineStr">
        <is>
          <t>A 52868-2023</t>
        </is>
      </c>
      <c r="B735" s="1" t="n">
        <v>45226</v>
      </c>
      <c r="C735" s="1" t="n">
        <v>45473</v>
      </c>
      <c r="D735" t="inlineStr">
        <is>
          <t>DALARNAS LÄN</t>
        </is>
      </c>
      <c r="E735" t="inlineStr">
        <is>
          <t>LUDVIKA</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52894-2023</t>
        </is>
      </c>
      <c r="B736" s="1" t="n">
        <v>45226</v>
      </c>
      <c r="C736" s="1" t="n">
        <v>45473</v>
      </c>
      <c r="D736" t="inlineStr">
        <is>
          <t>DALARNAS LÄN</t>
        </is>
      </c>
      <c r="E736" t="inlineStr">
        <is>
          <t>LUDVIKA</t>
        </is>
      </c>
      <c r="F736" t="inlineStr">
        <is>
          <t>Bergvik skog väst AB</t>
        </is>
      </c>
      <c r="G736" t="n">
        <v>6.9</v>
      </c>
      <c r="H736" t="n">
        <v>0</v>
      </c>
      <c r="I736" t="n">
        <v>0</v>
      </c>
      <c r="J736" t="n">
        <v>0</v>
      </c>
      <c r="K736" t="n">
        <v>0</v>
      </c>
      <c r="L736" t="n">
        <v>0</v>
      </c>
      <c r="M736" t="n">
        <v>0</v>
      </c>
      <c r="N736" t="n">
        <v>0</v>
      </c>
      <c r="O736" t="n">
        <v>0</v>
      </c>
      <c r="P736" t="n">
        <v>0</v>
      </c>
      <c r="Q736" t="n">
        <v>0</v>
      </c>
      <c r="R736" s="2" t="inlineStr"/>
    </row>
    <row r="737" ht="15" customHeight="1">
      <c r="A737" t="inlineStr">
        <is>
          <t>A 52932-2023</t>
        </is>
      </c>
      <c r="B737" s="1" t="n">
        <v>45226</v>
      </c>
      <c r="C737" s="1" t="n">
        <v>45473</v>
      </c>
      <c r="D737" t="inlineStr">
        <is>
          <t>DALARNAS LÄN</t>
        </is>
      </c>
      <c r="E737" t="inlineStr">
        <is>
          <t>LUDVIKA</t>
        </is>
      </c>
      <c r="F737" t="inlineStr">
        <is>
          <t>Bergvik skog väst AB</t>
        </is>
      </c>
      <c r="G737" t="n">
        <v>4.5</v>
      </c>
      <c r="H737" t="n">
        <v>0</v>
      </c>
      <c r="I737" t="n">
        <v>0</v>
      </c>
      <c r="J737" t="n">
        <v>0</v>
      </c>
      <c r="K737" t="n">
        <v>0</v>
      </c>
      <c r="L737" t="n">
        <v>0</v>
      </c>
      <c r="M737" t="n">
        <v>0</v>
      </c>
      <c r="N737" t="n">
        <v>0</v>
      </c>
      <c r="O737" t="n">
        <v>0</v>
      </c>
      <c r="P737" t="n">
        <v>0</v>
      </c>
      <c r="Q737" t="n">
        <v>0</v>
      </c>
      <c r="R737" s="2" t="inlineStr"/>
    </row>
    <row r="738" ht="15" customHeight="1">
      <c r="A738" t="inlineStr">
        <is>
          <t>A 53632-2023</t>
        </is>
      </c>
      <c r="B738" s="1" t="n">
        <v>45230</v>
      </c>
      <c r="C738" s="1" t="n">
        <v>45473</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53622-2023</t>
        </is>
      </c>
      <c r="B739" s="1" t="n">
        <v>45230</v>
      </c>
      <c r="C739" s="1" t="n">
        <v>45473</v>
      </c>
      <c r="D739" t="inlineStr">
        <is>
          <t>DALARNAS LÄN</t>
        </is>
      </c>
      <c r="E739" t="inlineStr">
        <is>
          <t>LUDVIKA</t>
        </is>
      </c>
      <c r="G739" t="n">
        <v>2.3</v>
      </c>
      <c r="H739" t="n">
        <v>0</v>
      </c>
      <c r="I739" t="n">
        <v>0</v>
      </c>
      <c r="J739" t="n">
        <v>0</v>
      </c>
      <c r="K739" t="n">
        <v>0</v>
      </c>
      <c r="L739" t="n">
        <v>0</v>
      </c>
      <c r="M739" t="n">
        <v>0</v>
      </c>
      <c r="N739" t="n">
        <v>0</v>
      </c>
      <c r="O739" t="n">
        <v>0</v>
      </c>
      <c r="P739" t="n">
        <v>0</v>
      </c>
      <c r="Q739" t="n">
        <v>0</v>
      </c>
      <c r="R739" s="2" t="inlineStr"/>
    </row>
    <row r="740" ht="15" customHeight="1">
      <c r="A740" t="inlineStr">
        <is>
          <t>A 53602-2023</t>
        </is>
      </c>
      <c r="B740" s="1" t="n">
        <v>45230</v>
      </c>
      <c r="C740" s="1" t="n">
        <v>45473</v>
      </c>
      <c r="D740" t="inlineStr">
        <is>
          <t>DALARNAS LÄN</t>
        </is>
      </c>
      <c r="E740" t="inlineStr">
        <is>
          <t>LUDVIKA</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53633-2023</t>
        </is>
      </c>
      <c r="B741" s="1" t="n">
        <v>45230</v>
      </c>
      <c r="C741" s="1" t="n">
        <v>45473</v>
      </c>
      <c r="D741" t="inlineStr">
        <is>
          <t>DALARNAS LÄN</t>
        </is>
      </c>
      <c r="E741" t="inlineStr">
        <is>
          <t>LUDVIKA</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53570-2023</t>
        </is>
      </c>
      <c r="B742" s="1" t="n">
        <v>45230</v>
      </c>
      <c r="C742" s="1" t="n">
        <v>45473</v>
      </c>
      <c r="D742" t="inlineStr">
        <is>
          <t>DALARNAS LÄN</t>
        </is>
      </c>
      <c r="E742" t="inlineStr">
        <is>
          <t>LUDVIKA</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54744-2023</t>
        </is>
      </c>
      <c r="B743" s="1" t="n">
        <v>45236</v>
      </c>
      <c r="C743" s="1" t="n">
        <v>45473</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54886-2023</t>
        </is>
      </c>
      <c r="B744" s="1" t="n">
        <v>45236</v>
      </c>
      <c r="C744" s="1" t="n">
        <v>45473</v>
      </c>
      <c r="D744" t="inlineStr">
        <is>
          <t>DALARNAS LÄN</t>
        </is>
      </c>
      <c r="E744" t="inlineStr">
        <is>
          <t>LUDVIKA</t>
        </is>
      </c>
      <c r="F744" t="inlineStr">
        <is>
          <t>Bergvik skog väst AB</t>
        </is>
      </c>
      <c r="G744" t="n">
        <v>4.6</v>
      </c>
      <c r="H744" t="n">
        <v>0</v>
      </c>
      <c r="I744" t="n">
        <v>0</v>
      </c>
      <c r="J744" t="n">
        <v>0</v>
      </c>
      <c r="K744" t="n">
        <v>0</v>
      </c>
      <c r="L744" t="n">
        <v>0</v>
      </c>
      <c r="M744" t="n">
        <v>0</v>
      </c>
      <c r="N744" t="n">
        <v>0</v>
      </c>
      <c r="O744" t="n">
        <v>0</v>
      </c>
      <c r="P744" t="n">
        <v>0</v>
      </c>
      <c r="Q744" t="n">
        <v>0</v>
      </c>
      <c r="R744" s="2" t="inlineStr"/>
    </row>
    <row r="745" ht="15" customHeight="1">
      <c r="A745" t="inlineStr">
        <is>
          <t>A 55213-2023</t>
        </is>
      </c>
      <c r="B745" s="1" t="n">
        <v>45237</v>
      </c>
      <c r="C745" s="1" t="n">
        <v>45473</v>
      </c>
      <c r="D745" t="inlineStr">
        <is>
          <t>DALARNAS LÄN</t>
        </is>
      </c>
      <c r="E745" t="inlineStr">
        <is>
          <t>LUDVIKA</t>
        </is>
      </c>
      <c r="G745" t="n">
        <v>5.1</v>
      </c>
      <c r="H745" t="n">
        <v>0</v>
      </c>
      <c r="I745" t="n">
        <v>0</v>
      </c>
      <c r="J745" t="n">
        <v>0</v>
      </c>
      <c r="K745" t="n">
        <v>0</v>
      </c>
      <c r="L745" t="n">
        <v>0</v>
      </c>
      <c r="M745" t="n">
        <v>0</v>
      </c>
      <c r="N745" t="n">
        <v>0</v>
      </c>
      <c r="O745" t="n">
        <v>0</v>
      </c>
      <c r="P745" t="n">
        <v>0</v>
      </c>
      <c r="Q745" t="n">
        <v>0</v>
      </c>
      <c r="R745" s="2" t="inlineStr"/>
    </row>
    <row r="746" ht="15" customHeight="1">
      <c r="A746" t="inlineStr">
        <is>
          <t>A 55760-2023</t>
        </is>
      </c>
      <c r="B746" s="1" t="n">
        <v>45239</v>
      </c>
      <c r="C746" s="1" t="n">
        <v>45473</v>
      </c>
      <c r="D746" t="inlineStr">
        <is>
          <t>DALARNAS LÄN</t>
        </is>
      </c>
      <c r="E746" t="inlineStr">
        <is>
          <t>LUDVIKA</t>
        </is>
      </c>
      <c r="F746" t="inlineStr">
        <is>
          <t>Bergvik skog väst AB</t>
        </is>
      </c>
      <c r="G746" t="n">
        <v>9.1</v>
      </c>
      <c r="H746" t="n">
        <v>0</v>
      </c>
      <c r="I746" t="n">
        <v>0</v>
      </c>
      <c r="J746" t="n">
        <v>0</v>
      </c>
      <c r="K746" t="n">
        <v>0</v>
      </c>
      <c r="L746" t="n">
        <v>0</v>
      </c>
      <c r="M746" t="n">
        <v>0</v>
      </c>
      <c r="N746" t="n">
        <v>0</v>
      </c>
      <c r="O746" t="n">
        <v>0</v>
      </c>
      <c r="P746" t="n">
        <v>0</v>
      </c>
      <c r="Q746" t="n">
        <v>0</v>
      </c>
      <c r="R746" s="2" t="inlineStr"/>
    </row>
    <row r="747" ht="15" customHeight="1">
      <c r="A747" t="inlineStr">
        <is>
          <t>A 56604-2023</t>
        </is>
      </c>
      <c r="B747" s="1" t="n">
        <v>45243</v>
      </c>
      <c r="C747" s="1" t="n">
        <v>45473</v>
      </c>
      <c r="D747" t="inlineStr">
        <is>
          <t>DALARNAS LÄN</t>
        </is>
      </c>
      <c r="E747" t="inlineStr">
        <is>
          <t>LUDVIKA</t>
        </is>
      </c>
      <c r="G747" t="n">
        <v>2.5</v>
      </c>
      <c r="H747" t="n">
        <v>0</v>
      </c>
      <c r="I747" t="n">
        <v>0</v>
      </c>
      <c r="J747" t="n">
        <v>0</v>
      </c>
      <c r="K747" t="n">
        <v>0</v>
      </c>
      <c r="L747" t="n">
        <v>0</v>
      </c>
      <c r="M747" t="n">
        <v>0</v>
      </c>
      <c r="N747" t="n">
        <v>0</v>
      </c>
      <c r="O747" t="n">
        <v>0</v>
      </c>
      <c r="P747" t="n">
        <v>0</v>
      </c>
      <c r="Q747" t="n">
        <v>0</v>
      </c>
      <c r="R747" s="2" t="inlineStr"/>
    </row>
    <row r="748" ht="15" customHeight="1">
      <c r="A748" t="inlineStr">
        <is>
          <t>A 56672-2023</t>
        </is>
      </c>
      <c r="B748" s="1" t="n">
        <v>45243</v>
      </c>
      <c r="C748" s="1" t="n">
        <v>45473</v>
      </c>
      <c r="D748" t="inlineStr">
        <is>
          <t>DALARNAS LÄN</t>
        </is>
      </c>
      <c r="E748" t="inlineStr">
        <is>
          <t>LUDVIKA</t>
        </is>
      </c>
      <c r="G748" t="n">
        <v>2.9</v>
      </c>
      <c r="H748" t="n">
        <v>0</v>
      </c>
      <c r="I748" t="n">
        <v>0</v>
      </c>
      <c r="J748" t="n">
        <v>0</v>
      </c>
      <c r="K748" t="n">
        <v>0</v>
      </c>
      <c r="L748" t="n">
        <v>0</v>
      </c>
      <c r="M748" t="n">
        <v>0</v>
      </c>
      <c r="N748" t="n">
        <v>0</v>
      </c>
      <c r="O748" t="n">
        <v>0</v>
      </c>
      <c r="P748" t="n">
        <v>0</v>
      </c>
      <c r="Q748" t="n">
        <v>0</v>
      </c>
      <c r="R748" s="2" t="inlineStr"/>
    </row>
    <row r="749" ht="15" customHeight="1">
      <c r="A749" t="inlineStr">
        <is>
          <t>A 56621-2023</t>
        </is>
      </c>
      <c r="B749" s="1" t="n">
        <v>45243</v>
      </c>
      <c r="C749" s="1" t="n">
        <v>45473</v>
      </c>
      <c r="D749" t="inlineStr">
        <is>
          <t>DALARNAS LÄN</t>
        </is>
      </c>
      <c r="E749" t="inlineStr">
        <is>
          <t>LUDVIKA</t>
        </is>
      </c>
      <c r="G749" t="n">
        <v>0.5</v>
      </c>
      <c r="H749" t="n">
        <v>0</v>
      </c>
      <c r="I749" t="n">
        <v>0</v>
      </c>
      <c r="J749" t="n">
        <v>0</v>
      </c>
      <c r="K749" t="n">
        <v>0</v>
      </c>
      <c r="L749" t="n">
        <v>0</v>
      </c>
      <c r="M749" t="n">
        <v>0</v>
      </c>
      <c r="N749" t="n">
        <v>0</v>
      </c>
      <c r="O749" t="n">
        <v>0</v>
      </c>
      <c r="P749" t="n">
        <v>0</v>
      </c>
      <c r="Q749" t="n">
        <v>0</v>
      </c>
      <c r="R749" s="2" t="inlineStr"/>
    </row>
    <row r="750" ht="15" customHeight="1">
      <c r="A750" t="inlineStr">
        <is>
          <t>A 56818-2023</t>
        </is>
      </c>
      <c r="B750" s="1" t="n">
        <v>45244</v>
      </c>
      <c r="C750" s="1" t="n">
        <v>45473</v>
      </c>
      <c r="D750" t="inlineStr">
        <is>
          <t>DALARNAS LÄN</t>
        </is>
      </c>
      <c r="E750" t="inlineStr">
        <is>
          <t>LUDVIKA</t>
        </is>
      </c>
      <c r="G750" t="n">
        <v>1.4</v>
      </c>
      <c r="H750" t="n">
        <v>0</v>
      </c>
      <c r="I750" t="n">
        <v>0</v>
      </c>
      <c r="J750" t="n">
        <v>0</v>
      </c>
      <c r="K750" t="n">
        <v>0</v>
      </c>
      <c r="L750" t="n">
        <v>0</v>
      </c>
      <c r="M750" t="n">
        <v>0</v>
      </c>
      <c r="N750" t="n">
        <v>0</v>
      </c>
      <c r="O750" t="n">
        <v>0</v>
      </c>
      <c r="P750" t="n">
        <v>0</v>
      </c>
      <c r="Q750" t="n">
        <v>0</v>
      </c>
      <c r="R750" s="2" t="inlineStr"/>
    </row>
    <row r="751" ht="15" customHeight="1">
      <c r="A751" t="inlineStr">
        <is>
          <t>A 57557-2023</t>
        </is>
      </c>
      <c r="B751" s="1" t="n">
        <v>45246</v>
      </c>
      <c r="C751" s="1" t="n">
        <v>45473</v>
      </c>
      <c r="D751" t="inlineStr">
        <is>
          <t>DALARNAS LÄN</t>
        </is>
      </c>
      <c r="E751" t="inlineStr">
        <is>
          <t>LUDVIKA</t>
        </is>
      </c>
      <c r="G751" t="n">
        <v>12.7</v>
      </c>
      <c r="H751" t="n">
        <v>0</v>
      </c>
      <c r="I751" t="n">
        <v>0</v>
      </c>
      <c r="J751" t="n">
        <v>0</v>
      </c>
      <c r="K751" t="n">
        <v>0</v>
      </c>
      <c r="L751" t="n">
        <v>0</v>
      </c>
      <c r="M751" t="n">
        <v>0</v>
      </c>
      <c r="N751" t="n">
        <v>0</v>
      </c>
      <c r="O751" t="n">
        <v>0</v>
      </c>
      <c r="P751" t="n">
        <v>0</v>
      </c>
      <c r="Q751" t="n">
        <v>0</v>
      </c>
      <c r="R751" s="2" t="inlineStr"/>
    </row>
    <row r="752" ht="15" customHeight="1">
      <c r="A752" t="inlineStr">
        <is>
          <t>A 57424-2023</t>
        </is>
      </c>
      <c r="B752" s="1" t="n">
        <v>45246</v>
      </c>
      <c r="C752" s="1" t="n">
        <v>45473</v>
      </c>
      <c r="D752" t="inlineStr">
        <is>
          <t>DALARNAS LÄN</t>
        </is>
      </c>
      <c r="E752" t="inlineStr">
        <is>
          <t>LUDVIKA</t>
        </is>
      </c>
      <c r="G752" t="n">
        <v>4.5</v>
      </c>
      <c r="H752" t="n">
        <v>0</v>
      </c>
      <c r="I752" t="n">
        <v>0</v>
      </c>
      <c r="J752" t="n">
        <v>0</v>
      </c>
      <c r="K752" t="n">
        <v>0</v>
      </c>
      <c r="L752" t="n">
        <v>0</v>
      </c>
      <c r="M752" t="n">
        <v>0</v>
      </c>
      <c r="N752" t="n">
        <v>0</v>
      </c>
      <c r="O752" t="n">
        <v>0</v>
      </c>
      <c r="P752" t="n">
        <v>0</v>
      </c>
      <c r="Q752" t="n">
        <v>0</v>
      </c>
      <c r="R752" s="2" t="inlineStr"/>
    </row>
    <row r="753" ht="15" customHeight="1">
      <c r="A753" t="inlineStr">
        <is>
          <t>A 57803-2023</t>
        </is>
      </c>
      <c r="B753" s="1" t="n">
        <v>45246</v>
      </c>
      <c r="C753" s="1" t="n">
        <v>45473</v>
      </c>
      <c r="D753" t="inlineStr">
        <is>
          <t>DALARNAS LÄN</t>
        </is>
      </c>
      <c r="E753" t="inlineStr">
        <is>
          <t>LUDVIKA</t>
        </is>
      </c>
      <c r="G753" t="n">
        <v>3.3</v>
      </c>
      <c r="H753" t="n">
        <v>0</v>
      </c>
      <c r="I753" t="n">
        <v>0</v>
      </c>
      <c r="J753" t="n">
        <v>0</v>
      </c>
      <c r="K753" t="n">
        <v>0</v>
      </c>
      <c r="L753" t="n">
        <v>0</v>
      </c>
      <c r="M753" t="n">
        <v>0</v>
      </c>
      <c r="N753" t="n">
        <v>0</v>
      </c>
      <c r="O753" t="n">
        <v>0</v>
      </c>
      <c r="P753" t="n">
        <v>0</v>
      </c>
      <c r="Q753" t="n">
        <v>0</v>
      </c>
      <c r="R753" s="2" t="inlineStr"/>
    </row>
    <row r="754" ht="15" customHeight="1">
      <c r="A754" t="inlineStr">
        <is>
          <t>A 57858-2023</t>
        </is>
      </c>
      <c r="B754" s="1" t="n">
        <v>45247</v>
      </c>
      <c r="C754" s="1" t="n">
        <v>45473</v>
      </c>
      <c r="D754" t="inlineStr">
        <is>
          <t>DALARNAS LÄN</t>
        </is>
      </c>
      <c r="E754" t="inlineStr">
        <is>
          <t>LUDVIKA</t>
        </is>
      </c>
      <c r="F754" t="inlineStr">
        <is>
          <t>Bergvik skog väst AB</t>
        </is>
      </c>
      <c r="G754" t="n">
        <v>14.2</v>
      </c>
      <c r="H754" t="n">
        <v>0</v>
      </c>
      <c r="I754" t="n">
        <v>0</v>
      </c>
      <c r="J754" t="n">
        <v>0</v>
      </c>
      <c r="K754" t="n">
        <v>0</v>
      </c>
      <c r="L754" t="n">
        <v>0</v>
      </c>
      <c r="M754" t="n">
        <v>0</v>
      </c>
      <c r="N754" t="n">
        <v>0</v>
      </c>
      <c r="O754" t="n">
        <v>0</v>
      </c>
      <c r="P754" t="n">
        <v>0</v>
      </c>
      <c r="Q754" t="n">
        <v>0</v>
      </c>
      <c r="R754" s="2" t="inlineStr"/>
    </row>
    <row r="755" ht="15" customHeight="1">
      <c r="A755" t="inlineStr">
        <is>
          <t>A 57922-2023</t>
        </is>
      </c>
      <c r="B755" s="1" t="n">
        <v>45247</v>
      </c>
      <c r="C755" s="1" t="n">
        <v>45473</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57982-2023</t>
        </is>
      </c>
      <c r="B756" s="1" t="n">
        <v>45247</v>
      </c>
      <c r="C756" s="1" t="n">
        <v>45473</v>
      </c>
      <c r="D756" t="inlineStr">
        <is>
          <t>DALARNAS LÄN</t>
        </is>
      </c>
      <c r="E756" t="inlineStr">
        <is>
          <t>LUDVIKA</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58112-2023</t>
        </is>
      </c>
      <c r="B757" s="1" t="n">
        <v>45249</v>
      </c>
      <c r="C757" s="1" t="n">
        <v>45473</v>
      </c>
      <c r="D757" t="inlineStr">
        <is>
          <t>DALARNAS LÄN</t>
        </is>
      </c>
      <c r="E757" t="inlineStr">
        <is>
          <t>LUDVIKA</t>
        </is>
      </c>
      <c r="G757" t="n">
        <v>4.7</v>
      </c>
      <c r="H757" t="n">
        <v>0</v>
      </c>
      <c r="I757" t="n">
        <v>0</v>
      </c>
      <c r="J757" t="n">
        <v>0</v>
      </c>
      <c r="K757" t="n">
        <v>0</v>
      </c>
      <c r="L757" t="n">
        <v>0</v>
      </c>
      <c r="M757" t="n">
        <v>0</v>
      </c>
      <c r="N757" t="n">
        <v>0</v>
      </c>
      <c r="O757" t="n">
        <v>0</v>
      </c>
      <c r="P757" t="n">
        <v>0</v>
      </c>
      <c r="Q757" t="n">
        <v>0</v>
      </c>
      <c r="R757" s="2" t="inlineStr"/>
    </row>
    <row r="758" ht="15" customHeight="1">
      <c r="A758" t="inlineStr">
        <is>
          <t>A 59201-2023</t>
        </is>
      </c>
      <c r="B758" s="1" t="n">
        <v>45253</v>
      </c>
      <c r="C758" s="1" t="n">
        <v>45473</v>
      </c>
      <c r="D758" t="inlineStr">
        <is>
          <t>DALARNAS LÄN</t>
        </is>
      </c>
      <c r="E758" t="inlineStr">
        <is>
          <t>LUDVIKA</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59206-2023</t>
        </is>
      </c>
      <c r="B759" s="1" t="n">
        <v>45253</v>
      </c>
      <c r="C759" s="1" t="n">
        <v>45473</v>
      </c>
      <c r="D759" t="inlineStr">
        <is>
          <t>DALARNAS LÄN</t>
        </is>
      </c>
      <c r="E759" t="inlineStr">
        <is>
          <t>LUDVIKA</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59219-2023</t>
        </is>
      </c>
      <c r="B760" s="1" t="n">
        <v>45253</v>
      </c>
      <c r="C760" s="1" t="n">
        <v>45473</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59285-2023</t>
        </is>
      </c>
      <c r="B761" s="1" t="n">
        <v>45253</v>
      </c>
      <c r="C761" s="1" t="n">
        <v>45473</v>
      </c>
      <c r="D761" t="inlineStr">
        <is>
          <t>DALARNAS LÄN</t>
        </is>
      </c>
      <c r="E761" t="inlineStr">
        <is>
          <t>LUDVIKA</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59351-2023</t>
        </is>
      </c>
      <c r="B762" s="1" t="n">
        <v>45253</v>
      </c>
      <c r="C762" s="1" t="n">
        <v>45473</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59437-2023</t>
        </is>
      </c>
      <c r="B763" s="1" t="n">
        <v>45254</v>
      </c>
      <c r="C763" s="1" t="n">
        <v>45473</v>
      </c>
      <c r="D763" t="inlineStr">
        <is>
          <t>DALARNAS LÄN</t>
        </is>
      </c>
      <c r="E763" t="inlineStr">
        <is>
          <t>LUDVIKA</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59646-2023</t>
        </is>
      </c>
      <c r="B764" s="1" t="n">
        <v>45254</v>
      </c>
      <c r="C764" s="1" t="n">
        <v>45473</v>
      </c>
      <c r="D764" t="inlineStr">
        <is>
          <t>DALARNAS LÄN</t>
        </is>
      </c>
      <c r="E764" t="inlineStr">
        <is>
          <t>LUDVIKA</t>
        </is>
      </c>
      <c r="G764" t="n">
        <v>7.6</v>
      </c>
      <c r="H764" t="n">
        <v>0</v>
      </c>
      <c r="I764" t="n">
        <v>0</v>
      </c>
      <c r="J764" t="n">
        <v>0</v>
      </c>
      <c r="K764" t="n">
        <v>0</v>
      </c>
      <c r="L764" t="n">
        <v>0</v>
      </c>
      <c r="M764" t="n">
        <v>0</v>
      </c>
      <c r="N764" t="n">
        <v>0</v>
      </c>
      <c r="O764" t="n">
        <v>0</v>
      </c>
      <c r="P764" t="n">
        <v>0</v>
      </c>
      <c r="Q764" t="n">
        <v>0</v>
      </c>
      <c r="R764" s="2" t="inlineStr"/>
    </row>
    <row r="765" ht="15" customHeight="1">
      <c r="A765" t="inlineStr">
        <is>
          <t>A 60180-2023</t>
        </is>
      </c>
      <c r="B765" s="1" t="n">
        <v>45257</v>
      </c>
      <c r="C765" s="1" t="n">
        <v>45473</v>
      </c>
      <c r="D765" t="inlineStr">
        <is>
          <t>DALARNAS LÄN</t>
        </is>
      </c>
      <c r="E765" t="inlineStr">
        <is>
          <t>LUDVIKA</t>
        </is>
      </c>
      <c r="G765" t="n">
        <v>2.4</v>
      </c>
      <c r="H765" t="n">
        <v>0</v>
      </c>
      <c r="I765" t="n">
        <v>0</v>
      </c>
      <c r="J765" t="n">
        <v>0</v>
      </c>
      <c r="K765" t="n">
        <v>0</v>
      </c>
      <c r="L765" t="n">
        <v>0</v>
      </c>
      <c r="M765" t="n">
        <v>0</v>
      </c>
      <c r="N765" t="n">
        <v>0</v>
      </c>
      <c r="O765" t="n">
        <v>0</v>
      </c>
      <c r="P765" t="n">
        <v>0</v>
      </c>
      <c r="Q765" t="n">
        <v>0</v>
      </c>
      <c r="R765" s="2" t="inlineStr"/>
    </row>
    <row r="766" ht="15" customHeight="1">
      <c r="A766" t="inlineStr">
        <is>
          <t>A 60183-2023</t>
        </is>
      </c>
      <c r="B766" s="1" t="n">
        <v>45257</v>
      </c>
      <c r="C766" s="1" t="n">
        <v>45473</v>
      </c>
      <c r="D766" t="inlineStr">
        <is>
          <t>DALARNAS LÄN</t>
        </is>
      </c>
      <c r="E766" t="inlineStr">
        <is>
          <t>LUDVIKA</t>
        </is>
      </c>
      <c r="G766" t="n">
        <v>3.9</v>
      </c>
      <c r="H766" t="n">
        <v>0</v>
      </c>
      <c r="I766" t="n">
        <v>0</v>
      </c>
      <c r="J766" t="n">
        <v>0</v>
      </c>
      <c r="K766" t="n">
        <v>0</v>
      </c>
      <c r="L766" t="n">
        <v>0</v>
      </c>
      <c r="M766" t="n">
        <v>0</v>
      </c>
      <c r="N766" t="n">
        <v>0</v>
      </c>
      <c r="O766" t="n">
        <v>0</v>
      </c>
      <c r="P766" t="n">
        <v>0</v>
      </c>
      <c r="Q766" t="n">
        <v>0</v>
      </c>
      <c r="R766" s="2" t="inlineStr"/>
    </row>
    <row r="767" ht="15" customHeight="1">
      <c r="A767" t="inlineStr">
        <is>
          <t>A 59918-2023</t>
        </is>
      </c>
      <c r="B767" s="1" t="n">
        <v>45257</v>
      </c>
      <c r="C767" s="1" t="n">
        <v>45473</v>
      </c>
      <c r="D767" t="inlineStr">
        <is>
          <t>DALARNAS LÄN</t>
        </is>
      </c>
      <c r="E767" t="inlineStr">
        <is>
          <t>LUDVIKA</t>
        </is>
      </c>
      <c r="F767" t="inlineStr">
        <is>
          <t>Bergvik skog väst AB</t>
        </is>
      </c>
      <c r="G767" t="n">
        <v>5.9</v>
      </c>
      <c r="H767" t="n">
        <v>0</v>
      </c>
      <c r="I767" t="n">
        <v>0</v>
      </c>
      <c r="J767" t="n">
        <v>0</v>
      </c>
      <c r="K767" t="n">
        <v>0</v>
      </c>
      <c r="L767" t="n">
        <v>0</v>
      </c>
      <c r="M767" t="n">
        <v>0</v>
      </c>
      <c r="N767" t="n">
        <v>0</v>
      </c>
      <c r="O767" t="n">
        <v>0</v>
      </c>
      <c r="P767" t="n">
        <v>0</v>
      </c>
      <c r="Q767" t="n">
        <v>0</v>
      </c>
      <c r="R767" s="2" t="inlineStr"/>
    </row>
    <row r="768" ht="15" customHeight="1">
      <c r="A768" t="inlineStr">
        <is>
          <t>A 60138-2023</t>
        </is>
      </c>
      <c r="B768" s="1" t="n">
        <v>45258</v>
      </c>
      <c r="C768" s="1" t="n">
        <v>45473</v>
      </c>
      <c r="D768" t="inlineStr">
        <is>
          <t>DALARNAS LÄN</t>
        </is>
      </c>
      <c r="E768" t="inlineStr">
        <is>
          <t>LUDVIKA</t>
        </is>
      </c>
      <c r="G768" t="n">
        <v>1.3</v>
      </c>
      <c r="H768" t="n">
        <v>0</v>
      </c>
      <c r="I768" t="n">
        <v>0</v>
      </c>
      <c r="J768" t="n">
        <v>0</v>
      </c>
      <c r="K768" t="n">
        <v>0</v>
      </c>
      <c r="L768" t="n">
        <v>0</v>
      </c>
      <c r="M768" t="n">
        <v>0</v>
      </c>
      <c r="N768" t="n">
        <v>0</v>
      </c>
      <c r="O768" t="n">
        <v>0</v>
      </c>
      <c r="P768" t="n">
        <v>0</v>
      </c>
      <c r="Q768" t="n">
        <v>0</v>
      </c>
      <c r="R768" s="2" t="inlineStr"/>
    </row>
    <row r="769" ht="15" customHeight="1">
      <c r="A769" t="inlineStr">
        <is>
          <t>A 60636-2023</t>
        </is>
      </c>
      <c r="B769" s="1" t="n">
        <v>45260</v>
      </c>
      <c r="C769" s="1" t="n">
        <v>45473</v>
      </c>
      <c r="D769" t="inlineStr">
        <is>
          <t>DALARNAS LÄN</t>
        </is>
      </c>
      <c r="E769" t="inlineStr">
        <is>
          <t>LUDVIKA</t>
        </is>
      </c>
      <c r="G769" t="n">
        <v>0.8</v>
      </c>
      <c r="H769" t="n">
        <v>0</v>
      </c>
      <c r="I769" t="n">
        <v>0</v>
      </c>
      <c r="J769" t="n">
        <v>0</v>
      </c>
      <c r="K769" t="n">
        <v>0</v>
      </c>
      <c r="L769" t="n">
        <v>0</v>
      </c>
      <c r="M769" t="n">
        <v>0</v>
      </c>
      <c r="N769" t="n">
        <v>0</v>
      </c>
      <c r="O769" t="n">
        <v>0</v>
      </c>
      <c r="P769" t="n">
        <v>0</v>
      </c>
      <c r="Q769" t="n">
        <v>0</v>
      </c>
      <c r="R769" s="2" t="inlineStr"/>
    </row>
    <row r="770" ht="15" customHeight="1">
      <c r="A770" t="inlineStr">
        <is>
          <t>A 61507-2023</t>
        </is>
      </c>
      <c r="B770" s="1" t="n">
        <v>45265</v>
      </c>
      <c r="C770" s="1" t="n">
        <v>45473</v>
      </c>
      <c r="D770" t="inlineStr">
        <is>
          <t>DALARNAS LÄN</t>
        </is>
      </c>
      <c r="E770" t="inlineStr">
        <is>
          <t>LUDVIKA</t>
        </is>
      </c>
      <c r="G770" t="n">
        <v>3</v>
      </c>
      <c r="H770" t="n">
        <v>0</v>
      </c>
      <c r="I770" t="n">
        <v>0</v>
      </c>
      <c r="J770" t="n">
        <v>0</v>
      </c>
      <c r="K770" t="n">
        <v>0</v>
      </c>
      <c r="L770" t="n">
        <v>0</v>
      </c>
      <c r="M770" t="n">
        <v>0</v>
      </c>
      <c r="N770" t="n">
        <v>0</v>
      </c>
      <c r="O770" t="n">
        <v>0</v>
      </c>
      <c r="P770" t="n">
        <v>0</v>
      </c>
      <c r="Q770" t="n">
        <v>0</v>
      </c>
      <c r="R770" s="2" t="inlineStr"/>
    </row>
    <row r="771" ht="15" customHeight="1">
      <c r="A771" t="inlineStr">
        <is>
          <t>A 63131-2023</t>
        </is>
      </c>
      <c r="B771" s="1" t="n">
        <v>45273</v>
      </c>
      <c r="C771" s="1" t="n">
        <v>45473</v>
      </c>
      <c r="D771" t="inlineStr">
        <is>
          <t>DALARNAS LÄN</t>
        </is>
      </c>
      <c r="E771" t="inlineStr">
        <is>
          <t>LUDVIKA</t>
        </is>
      </c>
      <c r="F771" t="inlineStr">
        <is>
          <t>Bergvik skog väst AB</t>
        </is>
      </c>
      <c r="G771" t="n">
        <v>2.2</v>
      </c>
      <c r="H771" t="n">
        <v>0</v>
      </c>
      <c r="I771" t="n">
        <v>0</v>
      </c>
      <c r="J771" t="n">
        <v>0</v>
      </c>
      <c r="K771" t="n">
        <v>0</v>
      </c>
      <c r="L771" t="n">
        <v>0</v>
      </c>
      <c r="M771" t="n">
        <v>0</v>
      </c>
      <c r="N771" t="n">
        <v>0</v>
      </c>
      <c r="O771" t="n">
        <v>0</v>
      </c>
      <c r="P771" t="n">
        <v>0</v>
      </c>
      <c r="Q771" t="n">
        <v>0</v>
      </c>
      <c r="R771" s="2" t="inlineStr"/>
    </row>
    <row r="772" ht="15" customHeight="1">
      <c r="A772" t="inlineStr">
        <is>
          <t>A 64171-2023</t>
        </is>
      </c>
      <c r="B772" s="1" t="n">
        <v>45279</v>
      </c>
      <c r="C772" s="1" t="n">
        <v>45473</v>
      </c>
      <c r="D772" t="inlineStr">
        <is>
          <t>DALARNAS LÄN</t>
        </is>
      </c>
      <c r="E772" t="inlineStr">
        <is>
          <t>LUDVIKA</t>
        </is>
      </c>
      <c r="G772" t="n">
        <v>8.6</v>
      </c>
      <c r="H772" t="n">
        <v>0</v>
      </c>
      <c r="I772" t="n">
        <v>0</v>
      </c>
      <c r="J772" t="n">
        <v>0</v>
      </c>
      <c r="K772" t="n">
        <v>0</v>
      </c>
      <c r="L772" t="n">
        <v>0</v>
      </c>
      <c r="M772" t="n">
        <v>0</v>
      </c>
      <c r="N772" t="n">
        <v>0</v>
      </c>
      <c r="O772" t="n">
        <v>0</v>
      </c>
      <c r="P772" t="n">
        <v>0</v>
      </c>
      <c r="Q772" t="n">
        <v>0</v>
      </c>
      <c r="R772" s="2" t="inlineStr"/>
    </row>
    <row r="773" ht="15" customHeight="1">
      <c r="A773" t="inlineStr">
        <is>
          <t>A 64450-2023</t>
        </is>
      </c>
      <c r="B773" s="1" t="n">
        <v>45280</v>
      </c>
      <c r="C773" s="1" t="n">
        <v>45473</v>
      </c>
      <c r="D773" t="inlineStr">
        <is>
          <t>DALARNAS LÄN</t>
        </is>
      </c>
      <c r="E773" t="inlineStr">
        <is>
          <t>LUDVIKA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64447-2023</t>
        </is>
      </c>
      <c r="B774" s="1" t="n">
        <v>45280</v>
      </c>
      <c r="C774" s="1" t="n">
        <v>45473</v>
      </c>
      <c r="D774" t="inlineStr">
        <is>
          <t>DALARNAS LÄN</t>
        </is>
      </c>
      <c r="E774" t="inlineStr">
        <is>
          <t>LUDVIKA</t>
        </is>
      </c>
      <c r="G774" t="n">
        <v>2</v>
      </c>
      <c r="H774" t="n">
        <v>0</v>
      </c>
      <c r="I774" t="n">
        <v>0</v>
      </c>
      <c r="J774" t="n">
        <v>0</v>
      </c>
      <c r="K774" t="n">
        <v>0</v>
      </c>
      <c r="L774" t="n">
        <v>0</v>
      </c>
      <c r="M774" t="n">
        <v>0</v>
      </c>
      <c r="N774" t="n">
        <v>0</v>
      </c>
      <c r="O774" t="n">
        <v>0</v>
      </c>
      <c r="P774" t="n">
        <v>0</v>
      </c>
      <c r="Q774" t="n">
        <v>0</v>
      </c>
      <c r="R774" s="2" t="inlineStr"/>
    </row>
    <row r="775" ht="15" customHeight="1">
      <c r="A775" t="inlineStr">
        <is>
          <t>A 64449-2023</t>
        </is>
      </c>
      <c r="B775" s="1" t="n">
        <v>45280</v>
      </c>
      <c r="C775" s="1" t="n">
        <v>45473</v>
      </c>
      <c r="D775" t="inlineStr">
        <is>
          <t>DALARNAS LÄN</t>
        </is>
      </c>
      <c r="E775" t="inlineStr">
        <is>
          <t>LUDVIKA</t>
        </is>
      </c>
      <c r="G775" t="n">
        <v>10.2</v>
      </c>
      <c r="H775" t="n">
        <v>0</v>
      </c>
      <c r="I775" t="n">
        <v>0</v>
      </c>
      <c r="J775" t="n">
        <v>0</v>
      </c>
      <c r="K775" t="n">
        <v>0</v>
      </c>
      <c r="L775" t="n">
        <v>0</v>
      </c>
      <c r="M775" t="n">
        <v>0</v>
      </c>
      <c r="N775" t="n">
        <v>0</v>
      </c>
      <c r="O775" t="n">
        <v>0</v>
      </c>
      <c r="P775" t="n">
        <v>0</v>
      </c>
      <c r="Q775" t="n">
        <v>0</v>
      </c>
      <c r="R775" s="2" t="inlineStr"/>
    </row>
    <row r="776" ht="15" customHeight="1">
      <c r="A776" t="inlineStr">
        <is>
          <t>A 65104-2023</t>
        </is>
      </c>
      <c r="B776" s="1" t="n">
        <v>45288</v>
      </c>
      <c r="C776" s="1" t="n">
        <v>45473</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451-2024</t>
        </is>
      </c>
      <c r="B777" s="1" t="n">
        <v>45296</v>
      </c>
      <c r="C777" s="1" t="n">
        <v>45473</v>
      </c>
      <c r="D777" t="inlineStr">
        <is>
          <t>DALARNAS LÄN</t>
        </is>
      </c>
      <c r="E777" t="inlineStr">
        <is>
          <t>LUDVIKA</t>
        </is>
      </c>
      <c r="F777" t="inlineStr">
        <is>
          <t>Bergvik skog väst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478-2024</t>
        </is>
      </c>
      <c r="B778" s="1" t="n">
        <v>45297</v>
      </c>
      <c r="C778" s="1" t="n">
        <v>45473</v>
      </c>
      <c r="D778" t="inlineStr">
        <is>
          <t>DALARNAS LÄN</t>
        </is>
      </c>
      <c r="E778" t="inlineStr">
        <is>
          <t>LUDVIKA</t>
        </is>
      </c>
      <c r="G778" t="n">
        <v>3.2</v>
      </c>
      <c r="H778" t="n">
        <v>0</v>
      </c>
      <c r="I778" t="n">
        <v>0</v>
      </c>
      <c r="J778" t="n">
        <v>0</v>
      </c>
      <c r="K778" t="n">
        <v>0</v>
      </c>
      <c r="L778" t="n">
        <v>0</v>
      </c>
      <c r="M778" t="n">
        <v>0</v>
      </c>
      <c r="N778" t="n">
        <v>0</v>
      </c>
      <c r="O778" t="n">
        <v>0</v>
      </c>
      <c r="P778" t="n">
        <v>0</v>
      </c>
      <c r="Q778" t="n">
        <v>0</v>
      </c>
      <c r="R778" s="2" t="inlineStr"/>
    </row>
    <row r="779" ht="15" customHeight="1">
      <c r="A779" t="inlineStr">
        <is>
          <t>A 923-2024</t>
        </is>
      </c>
      <c r="B779" s="1" t="n">
        <v>45301</v>
      </c>
      <c r="C779" s="1" t="n">
        <v>45473</v>
      </c>
      <c r="D779" t="inlineStr">
        <is>
          <t>DALARNAS LÄN</t>
        </is>
      </c>
      <c r="E779" t="inlineStr">
        <is>
          <t>LUDVIKA</t>
        </is>
      </c>
      <c r="G779" t="n">
        <v>0.3</v>
      </c>
      <c r="H779" t="n">
        <v>0</v>
      </c>
      <c r="I779" t="n">
        <v>0</v>
      </c>
      <c r="J779" t="n">
        <v>0</v>
      </c>
      <c r="K779" t="n">
        <v>0</v>
      </c>
      <c r="L779" t="n">
        <v>0</v>
      </c>
      <c r="M779" t="n">
        <v>0</v>
      </c>
      <c r="N779" t="n">
        <v>0</v>
      </c>
      <c r="O779" t="n">
        <v>0</v>
      </c>
      <c r="P779" t="n">
        <v>0</v>
      </c>
      <c r="Q779" t="n">
        <v>0</v>
      </c>
      <c r="R779" s="2" t="inlineStr"/>
    </row>
    <row r="780" ht="15" customHeight="1">
      <c r="A780" t="inlineStr">
        <is>
          <t>A 918-2024</t>
        </is>
      </c>
      <c r="B780" s="1" t="n">
        <v>45301</v>
      </c>
      <c r="C780" s="1" t="n">
        <v>45473</v>
      </c>
      <c r="D780" t="inlineStr">
        <is>
          <t>DALARNAS LÄN</t>
        </is>
      </c>
      <c r="E780" t="inlineStr">
        <is>
          <t>LUDVIKA</t>
        </is>
      </c>
      <c r="G780" t="n">
        <v>6</v>
      </c>
      <c r="H780" t="n">
        <v>0</v>
      </c>
      <c r="I780" t="n">
        <v>0</v>
      </c>
      <c r="J780" t="n">
        <v>0</v>
      </c>
      <c r="K780" t="n">
        <v>0</v>
      </c>
      <c r="L780" t="n">
        <v>0</v>
      </c>
      <c r="M780" t="n">
        <v>0</v>
      </c>
      <c r="N780" t="n">
        <v>0</v>
      </c>
      <c r="O780" t="n">
        <v>0</v>
      </c>
      <c r="P780" t="n">
        <v>0</v>
      </c>
      <c r="Q780" t="n">
        <v>0</v>
      </c>
      <c r="R780" s="2" t="inlineStr"/>
    </row>
    <row r="781" ht="15" customHeight="1">
      <c r="A781" t="inlineStr">
        <is>
          <t>A 1133-2024</t>
        </is>
      </c>
      <c r="B781" s="1" t="n">
        <v>45302</v>
      </c>
      <c r="C781" s="1" t="n">
        <v>45473</v>
      </c>
      <c r="D781" t="inlineStr">
        <is>
          <t>DALARNAS LÄN</t>
        </is>
      </c>
      <c r="E781" t="inlineStr">
        <is>
          <t>LUDVIKA</t>
        </is>
      </c>
      <c r="G781" t="n">
        <v>2.6</v>
      </c>
      <c r="H781" t="n">
        <v>0</v>
      </c>
      <c r="I781" t="n">
        <v>0</v>
      </c>
      <c r="J781" t="n">
        <v>0</v>
      </c>
      <c r="K781" t="n">
        <v>0</v>
      </c>
      <c r="L781" t="n">
        <v>0</v>
      </c>
      <c r="M781" t="n">
        <v>0</v>
      </c>
      <c r="N781" t="n">
        <v>0</v>
      </c>
      <c r="O781" t="n">
        <v>0</v>
      </c>
      <c r="P781" t="n">
        <v>0</v>
      </c>
      <c r="Q781" t="n">
        <v>0</v>
      </c>
      <c r="R781" s="2" t="inlineStr"/>
    </row>
    <row r="782" ht="15" customHeight="1">
      <c r="A782" t="inlineStr">
        <is>
          <t>A 1444-2024</t>
        </is>
      </c>
      <c r="B782" s="1" t="n">
        <v>45303</v>
      </c>
      <c r="C782" s="1" t="n">
        <v>45473</v>
      </c>
      <c r="D782" t="inlineStr">
        <is>
          <t>DALARNAS LÄN</t>
        </is>
      </c>
      <c r="E782" t="inlineStr">
        <is>
          <t>LUDVIKA</t>
        </is>
      </c>
      <c r="G782" t="n">
        <v>0.9</v>
      </c>
      <c r="H782" t="n">
        <v>0</v>
      </c>
      <c r="I782" t="n">
        <v>0</v>
      </c>
      <c r="J782" t="n">
        <v>0</v>
      </c>
      <c r="K782" t="n">
        <v>0</v>
      </c>
      <c r="L782" t="n">
        <v>0</v>
      </c>
      <c r="M782" t="n">
        <v>0</v>
      </c>
      <c r="N782" t="n">
        <v>0</v>
      </c>
      <c r="O782" t="n">
        <v>0</v>
      </c>
      <c r="P782" t="n">
        <v>0</v>
      </c>
      <c r="Q782" t="n">
        <v>0</v>
      </c>
      <c r="R782" s="2" t="inlineStr"/>
    </row>
    <row r="783" ht="15" customHeight="1">
      <c r="A783" t="inlineStr">
        <is>
          <t>A 1761-2024</t>
        </is>
      </c>
      <c r="B783" s="1" t="n">
        <v>45307</v>
      </c>
      <c r="C783" s="1" t="n">
        <v>45473</v>
      </c>
      <c r="D783" t="inlineStr">
        <is>
          <t>DALARNAS LÄN</t>
        </is>
      </c>
      <c r="E783" t="inlineStr">
        <is>
          <t>LUDVIKA</t>
        </is>
      </c>
      <c r="F783" t="inlineStr">
        <is>
          <t>Naturvårdsverket</t>
        </is>
      </c>
      <c r="G783" t="n">
        <v>1.5</v>
      </c>
      <c r="H783" t="n">
        <v>0</v>
      </c>
      <c r="I783" t="n">
        <v>0</v>
      </c>
      <c r="J783" t="n">
        <v>0</v>
      </c>
      <c r="K783" t="n">
        <v>0</v>
      </c>
      <c r="L783" t="n">
        <v>0</v>
      </c>
      <c r="M783" t="n">
        <v>0</v>
      </c>
      <c r="N783" t="n">
        <v>0</v>
      </c>
      <c r="O783" t="n">
        <v>0</v>
      </c>
      <c r="P783" t="n">
        <v>0</v>
      </c>
      <c r="Q783" t="n">
        <v>0</v>
      </c>
      <c r="R783" s="2" t="inlineStr"/>
    </row>
    <row r="784" ht="15" customHeight="1">
      <c r="A784" t="inlineStr">
        <is>
          <t>A 1988-2024</t>
        </is>
      </c>
      <c r="B784" s="1" t="n">
        <v>45308</v>
      </c>
      <c r="C784" s="1" t="n">
        <v>45473</v>
      </c>
      <c r="D784" t="inlineStr">
        <is>
          <t>DALARNAS LÄN</t>
        </is>
      </c>
      <c r="E784" t="inlineStr">
        <is>
          <t>LUDVIKA</t>
        </is>
      </c>
      <c r="G784" t="n">
        <v>4.2</v>
      </c>
      <c r="H784" t="n">
        <v>0</v>
      </c>
      <c r="I784" t="n">
        <v>0</v>
      </c>
      <c r="J784" t="n">
        <v>0</v>
      </c>
      <c r="K784" t="n">
        <v>0</v>
      </c>
      <c r="L784" t="n">
        <v>0</v>
      </c>
      <c r="M784" t="n">
        <v>0</v>
      </c>
      <c r="N784" t="n">
        <v>0</v>
      </c>
      <c r="O784" t="n">
        <v>0</v>
      </c>
      <c r="P784" t="n">
        <v>0</v>
      </c>
      <c r="Q784" t="n">
        <v>0</v>
      </c>
      <c r="R784" s="2" t="inlineStr"/>
    </row>
    <row r="785" ht="15" customHeight="1">
      <c r="A785" t="inlineStr">
        <is>
          <t>A 2481-2024</t>
        </is>
      </c>
      <c r="B785" s="1" t="n">
        <v>45313</v>
      </c>
      <c r="C785" s="1" t="n">
        <v>45473</v>
      </c>
      <c r="D785" t="inlineStr">
        <is>
          <t>DALARNAS LÄN</t>
        </is>
      </c>
      <c r="E785" t="inlineStr">
        <is>
          <t>LUDVIKA</t>
        </is>
      </c>
      <c r="G785" t="n">
        <v>4.8</v>
      </c>
      <c r="H785" t="n">
        <v>0</v>
      </c>
      <c r="I785" t="n">
        <v>0</v>
      </c>
      <c r="J785" t="n">
        <v>0</v>
      </c>
      <c r="K785" t="n">
        <v>0</v>
      </c>
      <c r="L785" t="n">
        <v>0</v>
      </c>
      <c r="M785" t="n">
        <v>0</v>
      </c>
      <c r="N785" t="n">
        <v>0</v>
      </c>
      <c r="O785" t="n">
        <v>0</v>
      </c>
      <c r="P785" t="n">
        <v>0</v>
      </c>
      <c r="Q785" t="n">
        <v>0</v>
      </c>
      <c r="R785" s="2" t="inlineStr"/>
      <c r="U785">
        <f>HYPERLINK("https://klasma.github.io/Logging_2085/knärot/A 2481-2024 karta knärot.png", "A 2481-2024")</f>
        <v/>
      </c>
      <c r="V785">
        <f>HYPERLINK("https://klasma.github.io/Logging_2085/klagomål/A 2481-2024 FSC-klagomål.docx", "A 2481-2024")</f>
        <v/>
      </c>
      <c r="W785">
        <f>HYPERLINK("https://klasma.github.io/Logging_2085/klagomålsmail/A 2481-2024 FSC-klagomål mail.docx", "A 2481-2024")</f>
        <v/>
      </c>
      <c r="X785">
        <f>HYPERLINK("https://klasma.github.io/Logging_2085/tillsyn/A 2481-2024 tillsynsbegäran.docx", "A 2481-2024")</f>
        <v/>
      </c>
      <c r="Y785">
        <f>HYPERLINK("https://klasma.github.io/Logging_2085/tillsynsmail/A 2481-2024 tillsynsbegäran mail.docx", "A 2481-2024")</f>
        <v/>
      </c>
    </row>
    <row r="786" ht="15" customHeight="1">
      <c r="A786" t="inlineStr">
        <is>
          <t>A 2485-2024</t>
        </is>
      </c>
      <c r="B786" s="1" t="n">
        <v>45313</v>
      </c>
      <c r="C786" s="1" t="n">
        <v>45473</v>
      </c>
      <c r="D786" t="inlineStr">
        <is>
          <t>DALARNAS LÄN</t>
        </is>
      </c>
      <c r="E786" t="inlineStr">
        <is>
          <t>LUDVIKA</t>
        </is>
      </c>
      <c r="G786" t="n">
        <v>2</v>
      </c>
      <c r="H786" t="n">
        <v>0</v>
      </c>
      <c r="I786" t="n">
        <v>0</v>
      </c>
      <c r="J786" t="n">
        <v>0</v>
      </c>
      <c r="K786" t="n">
        <v>0</v>
      </c>
      <c r="L786" t="n">
        <v>0</v>
      </c>
      <c r="M786" t="n">
        <v>0</v>
      </c>
      <c r="N786" t="n">
        <v>0</v>
      </c>
      <c r="O786" t="n">
        <v>0</v>
      </c>
      <c r="P786" t="n">
        <v>0</v>
      </c>
      <c r="Q786" t="n">
        <v>0</v>
      </c>
      <c r="R786" s="2" t="inlineStr"/>
    </row>
    <row r="787" ht="15" customHeight="1">
      <c r="A787" t="inlineStr">
        <is>
          <t>A 2484-2024</t>
        </is>
      </c>
      <c r="B787" s="1" t="n">
        <v>45313</v>
      </c>
      <c r="C787" s="1" t="n">
        <v>45473</v>
      </c>
      <c r="D787" t="inlineStr">
        <is>
          <t>DALARNAS LÄN</t>
        </is>
      </c>
      <c r="E787" t="inlineStr">
        <is>
          <t>LUDVIKA</t>
        </is>
      </c>
      <c r="G787" t="n">
        <v>1</v>
      </c>
      <c r="H787" t="n">
        <v>0</v>
      </c>
      <c r="I787" t="n">
        <v>0</v>
      </c>
      <c r="J787" t="n">
        <v>0</v>
      </c>
      <c r="K787" t="n">
        <v>0</v>
      </c>
      <c r="L787" t="n">
        <v>0</v>
      </c>
      <c r="M787" t="n">
        <v>0</v>
      </c>
      <c r="N787" t="n">
        <v>0</v>
      </c>
      <c r="O787" t="n">
        <v>0</v>
      </c>
      <c r="P787" t="n">
        <v>0</v>
      </c>
      <c r="Q787" t="n">
        <v>0</v>
      </c>
      <c r="R787" s="2" t="inlineStr"/>
    </row>
    <row r="788" ht="15" customHeight="1">
      <c r="A788" t="inlineStr">
        <is>
          <t>A 2603-2024</t>
        </is>
      </c>
      <c r="B788" s="1" t="n">
        <v>45313</v>
      </c>
      <c r="C788" s="1" t="n">
        <v>45473</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3277-2024</t>
        </is>
      </c>
      <c r="B789" s="1" t="n">
        <v>45317</v>
      </c>
      <c r="C789" s="1" t="n">
        <v>45473</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3280-2024</t>
        </is>
      </c>
      <c r="B790" s="1" t="n">
        <v>45317</v>
      </c>
      <c r="C790" s="1" t="n">
        <v>45473</v>
      </c>
      <c r="D790" t="inlineStr">
        <is>
          <t>DALARNAS LÄN</t>
        </is>
      </c>
      <c r="E790" t="inlineStr">
        <is>
          <t>LUDVIKA</t>
        </is>
      </c>
      <c r="G790" t="n">
        <v>0.4</v>
      </c>
      <c r="H790" t="n">
        <v>0</v>
      </c>
      <c r="I790" t="n">
        <v>0</v>
      </c>
      <c r="J790" t="n">
        <v>0</v>
      </c>
      <c r="K790" t="n">
        <v>0</v>
      </c>
      <c r="L790" t="n">
        <v>0</v>
      </c>
      <c r="M790" t="n">
        <v>0</v>
      </c>
      <c r="N790" t="n">
        <v>0</v>
      </c>
      <c r="O790" t="n">
        <v>0</v>
      </c>
      <c r="P790" t="n">
        <v>0</v>
      </c>
      <c r="Q790" t="n">
        <v>0</v>
      </c>
      <c r="R790" s="2" t="inlineStr"/>
    </row>
    <row r="791" ht="15" customHeight="1">
      <c r="A791" t="inlineStr">
        <is>
          <t>A 3349-2024</t>
        </is>
      </c>
      <c r="B791" s="1" t="n">
        <v>45317</v>
      </c>
      <c r="C791" s="1" t="n">
        <v>45473</v>
      </c>
      <c r="D791" t="inlineStr">
        <is>
          <t>DALARNAS LÄN</t>
        </is>
      </c>
      <c r="E791" t="inlineStr">
        <is>
          <t>LUDVIKA</t>
        </is>
      </c>
      <c r="G791" t="n">
        <v>3.8</v>
      </c>
      <c r="H791" t="n">
        <v>0</v>
      </c>
      <c r="I791" t="n">
        <v>0</v>
      </c>
      <c r="J791" t="n">
        <v>0</v>
      </c>
      <c r="K791" t="n">
        <v>0</v>
      </c>
      <c r="L791" t="n">
        <v>0</v>
      </c>
      <c r="M791" t="n">
        <v>0</v>
      </c>
      <c r="N791" t="n">
        <v>0</v>
      </c>
      <c r="O791" t="n">
        <v>0</v>
      </c>
      <c r="P791" t="n">
        <v>0</v>
      </c>
      <c r="Q791" t="n">
        <v>0</v>
      </c>
      <c r="R791" s="2" t="inlineStr"/>
    </row>
    <row r="792" ht="15" customHeight="1">
      <c r="A792" t="inlineStr">
        <is>
          <t>A 3687-2024</t>
        </is>
      </c>
      <c r="B792" s="1" t="n">
        <v>45321</v>
      </c>
      <c r="C792" s="1" t="n">
        <v>45473</v>
      </c>
      <c r="D792" t="inlineStr">
        <is>
          <t>DALARNAS LÄN</t>
        </is>
      </c>
      <c r="E792" t="inlineStr">
        <is>
          <t>LUDVIKA</t>
        </is>
      </c>
      <c r="G792" t="n">
        <v>5</v>
      </c>
      <c r="H792" t="n">
        <v>0</v>
      </c>
      <c r="I792" t="n">
        <v>0</v>
      </c>
      <c r="J792" t="n">
        <v>0</v>
      </c>
      <c r="K792" t="n">
        <v>0</v>
      </c>
      <c r="L792" t="n">
        <v>0</v>
      </c>
      <c r="M792" t="n">
        <v>0</v>
      </c>
      <c r="N792" t="n">
        <v>0</v>
      </c>
      <c r="O792" t="n">
        <v>0</v>
      </c>
      <c r="P792" t="n">
        <v>0</v>
      </c>
      <c r="Q792" t="n">
        <v>0</v>
      </c>
      <c r="R792" s="2" t="inlineStr"/>
    </row>
    <row r="793" ht="15" customHeight="1">
      <c r="A793" t="inlineStr">
        <is>
          <t>A 3809-2024</t>
        </is>
      </c>
      <c r="B793" s="1" t="n">
        <v>45321</v>
      </c>
      <c r="C793" s="1" t="n">
        <v>45473</v>
      </c>
      <c r="D793" t="inlineStr">
        <is>
          <t>DALARNAS LÄN</t>
        </is>
      </c>
      <c r="E793" t="inlineStr">
        <is>
          <t>LUDVIKA</t>
        </is>
      </c>
      <c r="G793" t="n">
        <v>0.5</v>
      </c>
      <c r="H793" t="n">
        <v>0</v>
      </c>
      <c r="I793" t="n">
        <v>0</v>
      </c>
      <c r="J793" t="n">
        <v>0</v>
      </c>
      <c r="K793" t="n">
        <v>0</v>
      </c>
      <c r="L793" t="n">
        <v>0</v>
      </c>
      <c r="M793" t="n">
        <v>0</v>
      </c>
      <c r="N793" t="n">
        <v>0</v>
      </c>
      <c r="O793" t="n">
        <v>0</v>
      </c>
      <c r="P793" t="n">
        <v>0</v>
      </c>
      <c r="Q793" t="n">
        <v>0</v>
      </c>
      <c r="R793" s="2" t="inlineStr"/>
    </row>
    <row r="794" ht="15" customHeight="1">
      <c r="A794" t="inlineStr">
        <is>
          <t>A 5576-2024</t>
        </is>
      </c>
      <c r="B794" s="1" t="n">
        <v>45334</v>
      </c>
      <c r="C794" s="1" t="n">
        <v>45473</v>
      </c>
      <c r="D794" t="inlineStr">
        <is>
          <t>DALARNAS LÄN</t>
        </is>
      </c>
      <c r="E794" t="inlineStr">
        <is>
          <t>LUDVIKA</t>
        </is>
      </c>
      <c r="G794" t="n">
        <v>7</v>
      </c>
      <c r="H794" t="n">
        <v>0</v>
      </c>
      <c r="I794" t="n">
        <v>0</v>
      </c>
      <c r="J794" t="n">
        <v>0</v>
      </c>
      <c r="K794" t="n">
        <v>0</v>
      </c>
      <c r="L794" t="n">
        <v>0</v>
      </c>
      <c r="M794" t="n">
        <v>0</v>
      </c>
      <c r="N794" t="n">
        <v>0</v>
      </c>
      <c r="O794" t="n">
        <v>0</v>
      </c>
      <c r="P794" t="n">
        <v>0</v>
      </c>
      <c r="Q794" t="n">
        <v>0</v>
      </c>
      <c r="R794" s="2" t="inlineStr"/>
    </row>
    <row r="795" ht="15" customHeight="1">
      <c r="A795" t="inlineStr">
        <is>
          <t>A 5841-2024</t>
        </is>
      </c>
      <c r="B795" s="1" t="n">
        <v>45335</v>
      </c>
      <c r="C795" s="1" t="n">
        <v>45473</v>
      </c>
      <c r="D795" t="inlineStr">
        <is>
          <t>DALARNAS LÄN</t>
        </is>
      </c>
      <c r="E795" t="inlineStr">
        <is>
          <t>LUDVIKA</t>
        </is>
      </c>
      <c r="G795" t="n">
        <v>1.6</v>
      </c>
      <c r="H795" t="n">
        <v>0</v>
      </c>
      <c r="I795" t="n">
        <v>0</v>
      </c>
      <c r="J795" t="n">
        <v>0</v>
      </c>
      <c r="K795" t="n">
        <v>0</v>
      </c>
      <c r="L795" t="n">
        <v>0</v>
      </c>
      <c r="M795" t="n">
        <v>0</v>
      </c>
      <c r="N795" t="n">
        <v>0</v>
      </c>
      <c r="O795" t="n">
        <v>0</v>
      </c>
      <c r="P795" t="n">
        <v>0</v>
      </c>
      <c r="Q795" t="n">
        <v>0</v>
      </c>
      <c r="R795" s="2" t="inlineStr"/>
    </row>
    <row r="796" ht="15" customHeight="1">
      <c r="A796" t="inlineStr">
        <is>
          <t>A 5947-2024</t>
        </is>
      </c>
      <c r="B796" s="1" t="n">
        <v>45335</v>
      </c>
      <c r="C796" s="1" t="n">
        <v>45473</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6151-2024</t>
        </is>
      </c>
      <c r="B797" s="1" t="n">
        <v>45337</v>
      </c>
      <c r="C797" s="1" t="n">
        <v>45473</v>
      </c>
      <c r="D797" t="inlineStr">
        <is>
          <t>DALARNAS LÄN</t>
        </is>
      </c>
      <c r="E797" t="inlineStr">
        <is>
          <t>LUDVIKA</t>
        </is>
      </c>
      <c r="G797" t="n">
        <v>1.7</v>
      </c>
      <c r="H797" t="n">
        <v>0</v>
      </c>
      <c r="I797" t="n">
        <v>0</v>
      </c>
      <c r="J797" t="n">
        <v>0</v>
      </c>
      <c r="K797" t="n">
        <v>0</v>
      </c>
      <c r="L797" t="n">
        <v>0</v>
      </c>
      <c r="M797" t="n">
        <v>0</v>
      </c>
      <c r="N797" t="n">
        <v>0</v>
      </c>
      <c r="O797" t="n">
        <v>0</v>
      </c>
      <c r="P797" t="n">
        <v>0</v>
      </c>
      <c r="Q797" t="n">
        <v>0</v>
      </c>
      <c r="R797" s="2" t="inlineStr"/>
    </row>
    <row r="798" ht="15" customHeight="1">
      <c r="A798" t="inlineStr">
        <is>
          <t>A 7317-2024</t>
        </is>
      </c>
      <c r="B798" s="1" t="n">
        <v>45345</v>
      </c>
      <c r="C798" s="1" t="n">
        <v>45473</v>
      </c>
      <c r="D798" t="inlineStr">
        <is>
          <t>DALARNAS LÄN</t>
        </is>
      </c>
      <c r="E798" t="inlineStr">
        <is>
          <t>LUDVIKA</t>
        </is>
      </c>
      <c r="G798" t="n">
        <v>3.9</v>
      </c>
      <c r="H798" t="n">
        <v>0</v>
      </c>
      <c r="I798" t="n">
        <v>0</v>
      </c>
      <c r="J798" t="n">
        <v>0</v>
      </c>
      <c r="K798" t="n">
        <v>0</v>
      </c>
      <c r="L798" t="n">
        <v>0</v>
      </c>
      <c r="M798" t="n">
        <v>0</v>
      </c>
      <c r="N798" t="n">
        <v>0</v>
      </c>
      <c r="O798" t="n">
        <v>0</v>
      </c>
      <c r="P798" t="n">
        <v>0</v>
      </c>
      <c r="Q798" t="n">
        <v>0</v>
      </c>
      <c r="R798" s="2" t="inlineStr"/>
    </row>
    <row r="799" ht="15" customHeight="1">
      <c r="A799" t="inlineStr">
        <is>
          <t>A 8162-2024</t>
        </is>
      </c>
      <c r="B799" s="1" t="n">
        <v>45349</v>
      </c>
      <c r="C799" s="1" t="n">
        <v>45473</v>
      </c>
      <c r="D799" t="inlineStr">
        <is>
          <t>DALARNAS LÄN</t>
        </is>
      </c>
      <c r="E799" t="inlineStr">
        <is>
          <t>LUDVIKA</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c r="U799">
        <f>HYPERLINK("https://klasma.github.io/Logging_2085/knärot/A 8162-2024 karta knärot.png", "A 8162-2024")</f>
        <v/>
      </c>
      <c r="V799">
        <f>HYPERLINK("https://klasma.github.io/Logging_2085/klagomål/A 8162-2024 FSC-klagomål.docx", "A 8162-2024")</f>
        <v/>
      </c>
      <c r="W799">
        <f>HYPERLINK("https://klasma.github.io/Logging_2085/klagomålsmail/A 8162-2024 FSC-klagomål mail.docx", "A 8162-2024")</f>
        <v/>
      </c>
      <c r="X799">
        <f>HYPERLINK("https://klasma.github.io/Logging_2085/tillsyn/A 8162-2024 tillsynsbegäran.docx", "A 8162-2024")</f>
        <v/>
      </c>
      <c r="Y799">
        <f>HYPERLINK("https://klasma.github.io/Logging_2085/tillsynsmail/A 8162-2024 tillsynsbegäran mail.docx", "A 8162-2024")</f>
        <v/>
      </c>
    </row>
    <row r="800" ht="15" customHeight="1">
      <c r="A800" t="inlineStr">
        <is>
          <t>A 8172-2024</t>
        </is>
      </c>
      <c r="B800" s="1" t="n">
        <v>45349</v>
      </c>
      <c r="C800" s="1" t="n">
        <v>45473</v>
      </c>
      <c r="D800" t="inlineStr">
        <is>
          <t>DALARNAS LÄN</t>
        </is>
      </c>
      <c r="E800" t="inlineStr">
        <is>
          <t>LUDVIKA</t>
        </is>
      </c>
      <c r="F800" t="inlineStr">
        <is>
          <t>Allmännings- och besparingsskogar</t>
        </is>
      </c>
      <c r="G800" t="n">
        <v>2</v>
      </c>
      <c r="H800" t="n">
        <v>0</v>
      </c>
      <c r="I800" t="n">
        <v>0</v>
      </c>
      <c r="J800" t="n">
        <v>0</v>
      </c>
      <c r="K800" t="n">
        <v>0</v>
      </c>
      <c r="L800" t="n">
        <v>0</v>
      </c>
      <c r="M800" t="n">
        <v>0</v>
      </c>
      <c r="N800" t="n">
        <v>0</v>
      </c>
      <c r="O800" t="n">
        <v>0</v>
      </c>
      <c r="P800" t="n">
        <v>0</v>
      </c>
      <c r="Q800" t="n">
        <v>0</v>
      </c>
      <c r="R800" s="2" t="inlineStr"/>
    </row>
    <row r="801" ht="15" customHeight="1">
      <c r="A801" t="inlineStr">
        <is>
          <t>A 8170-2024</t>
        </is>
      </c>
      <c r="B801" s="1" t="n">
        <v>45349</v>
      </c>
      <c r="C801" s="1" t="n">
        <v>45473</v>
      </c>
      <c r="D801" t="inlineStr">
        <is>
          <t>DALARNAS LÄN</t>
        </is>
      </c>
      <c r="E801" t="inlineStr">
        <is>
          <t>LUDVIKA</t>
        </is>
      </c>
      <c r="F801" t="inlineStr">
        <is>
          <t>Allmännings- och besparingsskogar</t>
        </is>
      </c>
      <c r="G801" t="n">
        <v>5.7</v>
      </c>
      <c r="H801" t="n">
        <v>0</v>
      </c>
      <c r="I801" t="n">
        <v>0</v>
      </c>
      <c r="J801" t="n">
        <v>0</v>
      </c>
      <c r="K801" t="n">
        <v>0</v>
      </c>
      <c r="L801" t="n">
        <v>0</v>
      </c>
      <c r="M801" t="n">
        <v>0</v>
      </c>
      <c r="N801" t="n">
        <v>0</v>
      </c>
      <c r="O801" t="n">
        <v>0</v>
      </c>
      <c r="P801" t="n">
        <v>0</v>
      </c>
      <c r="Q801" t="n">
        <v>0</v>
      </c>
      <c r="R801" s="2" t="inlineStr"/>
    </row>
    <row r="802" ht="15" customHeight="1">
      <c r="A802" t="inlineStr">
        <is>
          <t>A 8175-2024</t>
        </is>
      </c>
      <c r="B802" s="1" t="n">
        <v>45349</v>
      </c>
      <c r="C802" s="1" t="n">
        <v>45473</v>
      </c>
      <c r="D802" t="inlineStr">
        <is>
          <t>DALARNAS LÄN</t>
        </is>
      </c>
      <c r="E802" t="inlineStr">
        <is>
          <t>LUDVIKA</t>
        </is>
      </c>
      <c r="F802" t="inlineStr">
        <is>
          <t>Allmännings- och besparingsskogar</t>
        </is>
      </c>
      <c r="G802" t="n">
        <v>3.8</v>
      </c>
      <c r="H802" t="n">
        <v>0</v>
      </c>
      <c r="I802" t="n">
        <v>0</v>
      </c>
      <c r="J802" t="n">
        <v>0</v>
      </c>
      <c r="K802" t="n">
        <v>0</v>
      </c>
      <c r="L802" t="n">
        <v>0</v>
      </c>
      <c r="M802" t="n">
        <v>0</v>
      </c>
      <c r="N802" t="n">
        <v>0</v>
      </c>
      <c r="O802" t="n">
        <v>0</v>
      </c>
      <c r="P802" t="n">
        <v>0</v>
      </c>
      <c r="Q802" t="n">
        <v>0</v>
      </c>
      <c r="R802" s="2" t="inlineStr"/>
    </row>
    <row r="803" ht="15" customHeight="1">
      <c r="A803" t="inlineStr">
        <is>
          <t>A 7996-2024</t>
        </is>
      </c>
      <c r="B803" s="1" t="n">
        <v>45350</v>
      </c>
      <c r="C803" s="1" t="n">
        <v>45473</v>
      </c>
      <c r="D803" t="inlineStr">
        <is>
          <t>DALARNAS LÄN</t>
        </is>
      </c>
      <c r="E803" t="inlineStr">
        <is>
          <t>LUDVIKA</t>
        </is>
      </c>
      <c r="G803" t="n">
        <v>1</v>
      </c>
      <c r="H803" t="n">
        <v>0</v>
      </c>
      <c r="I803" t="n">
        <v>0</v>
      </c>
      <c r="J803" t="n">
        <v>0</v>
      </c>
      <c r="K803" t="n">
        <v>0</v>
      </c>
      <c r="L803" t="n">
        <v>0</v>
      </c>
      <c r="M803" t="n">
        <v>0</v>
      </c>
      <c r="N803" t="n">
        <v>0</v>
      </c>
      <c r="O803" t="n">
        <v>0</v>
      </c>
      <c r="P803" t="n">
        <v>0</v>
      </c>
      <c r="Q803" t="n">
        <v>0</v>
      </c>
      <c r="R803" s="2" t="inlineStr"/>
    </row>
    <row r="804" ht="15" customHeight="1">
      <c r="A804" t="inlineStr">
        <is>
          <t>A 11237-2024</t>
        </is>
      </c>
      <c r="B804" s="1" t="n">
        <v>45371</v>
      </c>
      <c r="C804" s="1" t="n">
        <v>45473</v>
      </c>
      <c r="D804" t="inlineStr">
        <is>
          <t>DALARNAS LÄN</t>
        </is>
      </c>
      <c r="E804" t="inlineStr">
        <is>
          <t>LUDVIKA</t>
        </is>
      </c>
      <c r="G804" t="n">
        <v>20.8</v>
      </c>
      <c r="H804" t="n">
        <v>0</v>
      </c>
      <c r="I804" t="n">
        <v>0</v>
      </c>
      <c r="J804" t="n">
        <v>0</v>
      </c>
      <c r="K804" t="n">
        <v>0</v>
      </c>
      <c r="L804" t="n">
        <v>0</v>
      </c>
      <c r="M804" t="n">
        <v>0</v>
      </c>
      <c r="N804" t="n">
        <v>0</v>
      </c>
      <c r="O804" t="n">
        <v>0</v>
      </c>
      <c r="P804" t="n">
        <v>0</v>
      </c>
      <c r="Q804" t="n">
        <v>0</v>
      </c>
      <c r="R804" s="2" t="inlineStr"/>
    </row>
    <row r="805" ht="15" customHeight="1">
      <c r="A805" t="inlineStr">
        <is>
          <t>A 11436-2024</t>
        </is>
      </c>
      <c r="B805" s="1" t="n">
        <v>45372</v>
      </c>
      <c r="C805" s="1" t="n">
        <v>45473</v>
      </c>
      <c r="D805" t="inlineStr">
        <is>
          <t>DALARNAS LÄN</t>
        </is>
      </c>
      <c r="E805" t="inlineStr">
        <is>
          <t>LUDVIKA</t>
        </is>
      </c>
      <c r="G805" t="n">
        <v>0.5</v>
      </c>
      <c r="H805" t="n">
        <v>0</v>
      </c>
      <c r="I805" t="n">
        <v>0</v>
      </c>
      <c r="J805" t="n">
        <v>0</v>
      </c>
      <c r="K805" t="n">
        <v>0</v>
      </c>
      <c r="L805" t="n">
        <v>0</v>
      </c>
      <c r="M805" t="n">
        <v>0</v>
      </c>
      <c r="N805" t="n">
        <v>0</v>
      </c>
      <c r="O805" t="n">
        <v>0</v>
      </c>
      <c r="P805" t="n">
        <v>0</v>
      </c>
      <c r="Q805" t="n">
        <v>0</v>
      </c>
      <c r="R805" s="2" t="inlineStr"/>
    </row>
    <row r="806" ht="15" customHeight="1">
      <c r="A806" t="inlineStr">
        <is>
          <t>A 11491-2024</t>
        </is>
      </c>
      <c r="B806" s="1" t="n">
        <v>45372</v>
      </c>
      <c r="C806" s="1" t="n">
        <v>45473</v>
      </c>
      <c r="D806" t="inlineStr">
        <is>
          <t>DALARNAS LÄN</t>
        </is>
      </c>
      <c r="E806" t="inlineStr">
        <is>
          <t>LUDVIKA</t>
        </is>
      </c>
      <c r="F806" t="inlineStr">
        <is>
          <t>Kommuner</t>
        </is>
      </c>
      <c r="G806" t="n">
        <v>3.2</v>
      </c>
      <c r="H806" t="n">
        <v>0</v>
      </c>
      <c r="I806" t="n">
        <v>0</v>
      </c>
      <c r="J806" t="n">
        <v>0</v>
      </c>
      <c r="K806" t="n">
        <v>0</v>
      </c>
      <c r="L806" t="n">
        <v>0</v>
      </c>
      <c r="M806" t="n">
        <v>0</v>
      </c>
      <c r="N806" t="n">
        <v>0</v>
      </c>
      <c r="O806" t="n">
        <v>0</v>
      </c>
      <c r="P806" t="n">
        <v>0</v>
      </c>
      <c r="Q806" t="n">
        <v>0</v>
      </c>
      <c r="R806" s="2" t="inlineStr"/>
    </row>
    <row r="807" ht="15" customHeight="1">
      <c r="A807" t="inlineStr">
        <is>
          <t>A 11632-2024</t>
        </is>
      </c>
      <c r="B807" s="1" t="n">
        <v>45373</v>
      </c>
      <c r="C807" s="1" t="n">
        <v>45473</v>
      </c>
      <c r="D807" t="inlineStr">
        <is>
          <t>DALARNAS LÄN</t>
        </is>
      </c>
      <c r="E807" t="inlineStr">
        <is>
          <t>LUDVIKA</t>
        </is>
      </c>
      <c r="G807" t="n">
        <v>5.1</v>
      </c>
      <c r="H807" t="n">
        <v>0</v>
      </c>
      <c r="I807" t="n">
        <v>0</v>
      </c>
      <c r="J807" t="n">
        <v>0</v>
      </c>
      <c r="K807" t="n">
        <v>0</v>
      </c>
      <c r="L807" t="n">
        <v>0</v>
      </c>
      <c r="M807" t="n">
        <v>0</v>
      </c>
      <c r="N807" t="n">
        <v>0</v>
      </c>
      <c r="O807" t="n">
        <v>0</v>
      </c>
      <c r="P807" t="n">
        <v>0</v>
      </c>
      <c r="Q807" t="n">
        <v>0</v>
      </c>
      <c r="R807" s="2" t="inlineStr"/>
    </row>
    <row r="808" ht="15" customHeight="1">
      <c r="A808" t="inlineStr">
        <is>
          <t>A 11829-2024</t>
        </is>
      </c>
      <c r="B808" s="1" t="n">
        <v>45376</v>
      </c>
      <c r="C808" s="1" t="n">
        <v>45473</v>
      </c>
      <c r="D808" t="inlineStr">
        <is>
          <t>DALARNAS LÄN</t>
        </is>
      </c>
      <c r="E808" t="inlineStr">
        <is>
          <t>LUDVIKA</t>
        </is>
      </c>
      <c r="G808" t="n">
        <v>0.6</v>
      </c>
      <c r="H808" t="n">
        <v>0</v>
      </c>
      <c r="I808" t="n">
        <v>0</v>
      </c>
      <c r="J808" t="n">
        <v>0</v>
      </c>
      <c r="K808" t="n">
        <v>0</v>
      </c>
      <c r="L808" t="n">
        <v>0</v>
      </c>
      <c r="M808" t="n">
        <v>0</v>
      </c>
      <c r="N808" t="n">
        <v>0</v>
      </c>
      <c r="O808" t="n">
        <v>0</v>
      </c>
      <c r="P808" t="n">
        <v>0</v>
      </c>
      <c r="Q808" t="n">
        <v>0</v>
      </c>
      <c r="R808" s="2" t="inlineStr"/>
    </row>
    <row r="809" ht="15" customHeight="1">
      <c r="A809" t="inlineStr">
        <is>
          <t>A 12497-2024</t>
        </is>
      </c>
      <c r="B809" s="1" t="n">
        <v>45379</v>
      </c>
      <c r="C809" s="1" t="n">
        <v>45473</v>
      </c>
      <c r="D809" t="inlineStr">
        <is>
          <t>DALARNAS LÄN</t>
        </is>
      </c>
      <c r="E809" t="inlineStr">
        <is>
          <t>LUDVIKA</t>
        </is>
      </c>
      <c r="F809" t="inlineStr">
        <is>
          <t>Naturvårdsverket</t>
        </is>
      </c>
      <c r="G809" t="n">
        <v>0.4</v>
      </c>
      <c r="H809" t="n">
        <v>0</v>
      </c>
      <c r="I809" t="n">
        <v>0</v>
      </c>
      <c r="J809" t="n">
        <v>0</v>
      </c>
      <c r="K809" t="n">
        <v>0</v>
      </c>
      <c r="L809" t="n">
        <v>0</v>
      </c>
      <c r="M809" t="n">
        <v>0</v>
      </c>
      <c r="N809" t="n">
        <v>0</v>
      </c>
      <c r="O809" t="n">
        <v>0</v>
      </c>
      <c r="P809" t="n">
        <v>0</v>
      </c>
      <c r="Q809" t="n">
        <v>0</v>
      </c>
      <c r="R809" s="2" t="inlineStr"/>
    </row>
    <row r="810" ht="15" customHeight="1">
      <c r="A810" t="inlineStr">
        <is>
          <t>A 13861-2024</t>
        </is>
      </c>
      <c r="B810" s="1" t="n">
        <v>45390</v>
      </c>
      <c r="C810" s="1" t="n">
        <v>45473</v>
      </c>
      <c r="D810" t="inlineStr">
        <is>
          <t>DALARNAS LÄN</t>
        </is>
      </c>
      <c r="E810" t="inlineStr">
        <is>
          <t>LUDVIKA</t>
        </is>
      </c>
      <c r="G810" t="n">
        <v>2.5</v>
      </c>
      <c r="H810" t="n">
        <v>0</v>
      </c>
      <c r="I810" t="n">
        <v>0</v>
      </c>
      <c r="J810" t="n">
        <v>0</v>
      </c>
      <c r="K810" t="n">
        <v>0</v>
      </c>
      <c r="L810" t="n">
        <v>0</v>
      </c>
      <c r="M810" t="n">
        <v>0</v>
      </c>
      <c r="N810" t="n">
        <v>0</v>
      </c>
      <c r="O810" t="n">
        <v>0</v>
      </c>
      <c r="P810" t="n">
        <v>0</v>
      </c>
      <c r="Q810" t="n">
        <v>0</v>
      </c>
      <c r="R810" s="2" t="inlineStr"/>
    </row>
    <row r="811" ht="15" customHeight="1">
      <c r="A811" t="inlineStr">
        <is>
          <t>A 14997-2024</t>
        </is>
      </c>
      <c r="B811" s="1" t="n">
        <v>45399</v>
      </c>
      <c r="C811" s="1" t="n">
        <v>45473</v>
      </c>
      <c r="D811" t="inlineStr">
        <is>
          <t>DALARNAS LÄN</t>
        </is>
      </c>
      <c r="E811" t="inlineStr">
        <is>
          <t>LUDVIKA</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15100-2024</t>
        </is>
      </c>
      <c r="B812" s="1" t="n">
        <v>45399</v>
      </c>
      <c r="C812" s="1" t="n">
        <v>45473</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14986-2024</t>
        </is>
      </c>
      <c r="B813" s="1" t="n">
        <v>45399</v>
      </c>
      <c r="C813" s="1" t="n">
        <v>45473</v>
      </c>
      <c r="D813" t="inlineStr">
        <is>
          <t>DALARNAS LÄN</t>
        </is>
      </c>
      <c r="E813" t="inlineStr">
        <is>
          <t>LUDVIKA</t>
        </is>
      </c>
      <c r="F813" t="inlineStr">
        <is>
          <t>Bergvik skog väst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15014-2024</t>
        </is>
      </c>
      <c r="B814" s="1" t="n">
        <v>45399</v>
      </c>
      <c r="C814" s="1" t="n">
        <v>45473</v>
      </c>
      <c r="D814" t="inlineStr">
        <is>
          <t>DALARNAS LÄN</t>
        </is>
      </c>
      <c r="E814" t="inlineStr">
        <is>
          <t>LUDVIKA</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14996-2024</t>
        </is>
      </c>
      <c r="B815" s="1" t="n">
        <v>45399</v>
      </c>
      <c r="C815" s="1" t="n">
        <v>45473</v>
      </c>
      <c r="D815" t="inlineStr">
        <is>
          <t>DALARNAS LÄN</t>
        </is>
      </c>
      <c r="E815" t="inlineStr">
        <is>
          <t>LUDVIKA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15008-2024</t>
        </is>
      </c>
      <c r="B816" s="1" t="n">
        <v>45399</v>
      </c>
      <c r="C816" s="1" t="n">
        <v>45473</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15016-2024</t>
        </is>
      </c>
      <c r="B817" s="1" t="n">
        <v>45399</v>
      </c>
      <c r="C817" s="1" t="n">
        <v>45473</v>
      </c>
      <c r="D817" t="inlineStr">
        <is>
          <t>DALARNAS LÄN</t>
        </is>
      </c>
      <c r="E817" t="inlineStr">
        <is>
          <t>LUDVIKA</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15718-2024</t>
        </is>
      </c>
      <c r="B818" s="1" t="n">
        <v>45404</v>
      </c>
      <c r="C818" s="1" t="n">
        <v>45473</v>
      </c>
      <c r="D818" t="inlineStr">
        <is>
          <t>DALARNAS LÄN</t>
        </is>
      </c>
      <c r="E818" t="inlineStr">
        <is>
          <t>LUDVIKA</t>
        </is>
      </c>
      <c r="F818" t="inlineStr">
        <is>
          <t>Bergvik skog väst AB</t>
        </is>
      </c>
      <c r="G818" t="n">
        <v>4.8</v>
      </c>
      <c r="H818" t="n">
        <v>0</v>
      </c>
      <c r="I818" t="n">
        <v>0</v>
      </c>
      <c r="J818" t="n">
        <v>0</v>
      </c>
      <c r="K818" t="n">
        <v>0</v>
      </c>
      <c r="L818" t="n">
        <v>0</v>
      </c>
      <c r="M818" t="n">
        <v>0</v>
      </c>
      <c r="N818" t="n">
        <v>0</v>
      </c>
      <c r="O818" t="n">
        <v>0</v>
      </c>
      <c r="P818" t="n">
        <v>0</v>
      </c>
      <c r="Q818" t="n">
        <v>0</v>
      </c>
      <c r="R818" s="2" t="inlineStr"/>
    </row>
    <row r="819" ht="15" customHeight="1">
      <c r="A819" t="inlineStr">
        <is>
          <t>A 15851-2024</t>
        </is>
      </c>
      <c r="B819" s="1" t="n">
        <v>45404</v>
      </c>
      <c r="C819" s="1" t="n">
        <v>45473</v>
      </c>
      <c r="D819" t="inlineStr">
        <is>
          <t>DALARNAS LÄN</t>
        </is>
      </c>
      <c r="E819" t="inlineStr">
        <is>
          <t>LUDVIKA</t>
        </is>
      </c>
      <c r="G819" t="n">
        <v>5.2</v>
      </c>
      <c r="H819" t="n">
        <v>0</v>
      </c>
      <c r="I819" t="n">
        <v>0</v>
      </c>
      <c r="J819" t="n">
        <v>0</v>
      </c>
      <c r="K819" t="n">
        <v>0</v>
      </c>
      <c r="L819" t="n">
        <v>0</v>
      </c>
      <c r="M819" t="n">
        <v>0</v>
      </c>
      <c r="N819" t="n">
        <v>0</v>
      </c>
      <c r="O819" t="n">
        <v>0</v>
      </c>
      <c r="P819" t="n">
        <v>0</v>
      </c>
      <c r="Q819" t="n">
        <v>0</v>
      </c>
      <c r="R819" s="2" t="inlineStr"/>
    </row>
    <row r="820" ht="15" customHeight="1">
      <c r="A820" t="inlineStr">
        <is>
          <t>A 15876-2024</t>
        </is>
      </c>
      <c r="B820" s="1" t="n">
        <v>45405</v>
      </c>
      <c r="C820" s="1" t="n">
        <v>45473</v>
      </c>
      <c r="D820" t="inlineStr">
        <is>
          <t>DALARNAS LÄN</t>
        </is>
      </c>
      <c r="E820" t="inlineStr">
        <is>
          <t>LUDVIKA</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15939-2024</t>
        </is>
      </c>
      <c r="B821" s="1" t="n">
        <v>45405</v>
      </c>
      <c r="C821" s="1" t="n">
        <v>45473</v>
      </c>
      <c r="D821" t="inlineStr">
        <is>
          <t>DALARNAS LÄN</t>
        </is>
      </c>
      <c r="E821" t="inlineStr">
        <is>
          <t>LUDVIKA</t>
        </is>
      </c>
      <c r="G821" t="n">
        <v>1.3</v>
      </c>
      <c r="H821" t="n">
        <v>0</v>
      </c>
      <c r="I821" t="n">
        <v>0</v>
      </c>
      <c r="J821" t="n">
        <v>0</v>
      </c>
      <c r="K821" t="n">
        <v>0</v>
      </c>
      <c r="L821" t="n">
        <v>0</v>
      </c>
      <c r="M821" t="n">
        <v>0</v>
      </c>
      <c r="N821" t="n">
        <v>0</v>
      </c>
      <c r="O821" t="n">
        <v>0</v>
      </c>
      <c r="P821" t="n">
        <v>0</v>
      </c>
      <c r="Q821" t="n">
        <v>0</v>
      </c>
      <c r="R821" s="2" t="inlineStr"/>
      <c r="U821">
        <f>HYPERLINK("https://klasma.github.io/Logging_2085/knärot/A 15939-2024 karta knärot.png", "A 15939-2024")</f>
        <v/>
      </c>
      <c r="V821">
        <f>HYPERLINK("https://klasma.github.io/Logging_2085/klagomål/A 15939-2024 FSC-klagomål.docx", "A 15939-2024")</f>
        <v/>
      </c>
      <c r="W821">
        <f>HYPERLINK("https://klasma.github.io/Logging_2085/klagomålsmail/A 15939-2024 FSC-klagomål mail.docx", "A 15939-2024")</f>
        <v/>
      </c>
      <c r="X821">
        <f>HYPERLINK("https://klasma.github.io/Logging_2085/tillsyn/A 15939-2024 tillsynsbegäran.docx", "A 15939-2024")</f>
        <v/>
      </c>
      <c r="Y821">
        <f>HYPERLINK("https://klasma.github.io/Logging_2085/tillsynsmail/A 15939-2024 tillsynsbegäran mail.docx", "A 15939-2024")</f>
        <v/>
      </c>
    </row>
    <row r="822" ht="15" customHeight="1">
      <c r="A822" t="inlineStr">
        <is>
          <t>A 16494-2024</t>
        </is>
      </c>
      <c r="B822" s="1" t="n">
        <v>45408</v>
      </c>
      <c r="C822" s="1" t="n">
        <v>45473</v>
      </c>
      <c r="D822" t="inlineStr">
        <is>
          <t>DALARNAS LÄN</t>
        </is>
      </c>
      <c r="E822" t="inlineStr">
        <is>
          <t>LUDVIKA</t>
        </is>
      </c>
      <c r="F822" t="inlineStr">
        <is>
          <t>Bergvik skog väst AB</t>
        </is>
      </c>
      <c r="G822" t="n">
        <v>6.8</v>
      </c>
      <c r="H822" t="n">
        <v>0</v>
      </c>
      <c r="I822" t="n">
        <v>0</v>
      </c>
      <c r="J822" t="n">
        <v>0</v>
      </c>
      <c r="K822" t="n">
        <v>0</v>
      </c>
      <c r="L822" t="n">
        <v>0</v>
      </c>
      <c r="M822" t="n">
        <v>0</v>
      </c>
      <c r="N822" t="n">
        <v>0</v>
      </c>
      <c r="O822" t="n">
        <v>0</v>
      </c>
      <c r="P822" t="n">
        <v>0</v>
      </c>
      <c r="Q822" t="n">
        <v>0</v>
      </c>
      <c r="R822" s="2" t="inlineStr"/>
    </row>
    <row r="823" ht="15" customHeight="1">
      <c r="A823" t="inlineStr">
        <is>
          <t>A 16926-2024</t>
        </is>
      </c>
      <c r="B823" s="1" t="n">
        <v>45411</v>
      </c>
      <c r="C823" s="1" t="n">
        <v>45473</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16814-2024</t>
        </is>
      </c>
      <c r="B824" s="1" t="n">
        <v>45411</v>
      </c>
      <c r="C824" s="1" t="n">
        <v>45473</v>
      </c>
      <c r="D824" t="inlineStr">
        <is>
          <t>DALARNAS LÄN</t>
        </is>
      </c>
      <c r="E824" t="inlineStr">
        <is>
          <t>LUDVIKA</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16928-2024</t>
        </is>
      </c>
      <c r="B825" s="1" t="n">
        <v>45411</v>
      </c>
      <c r="C825" s="1" t="n">
        <v>45473</v>
      </c>
      <c r="D825" t="inlineStr">
        <is>
          <t>DALARNAS LÄN</t>
        </is>
      </c>
      <c r="E825" t="inlineStr">
        <is>
          <t>LUDVIKA</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16924-2024</t>
        </is>
      </c>
      <c r="B826" s="1" t="n">
        <v>45411</v>
      </c>
      <c r="C826" s="1" t="n">
        <v>45473</v>
      </c>
      <c r="D826" t="inlineStr">
        <is>
          <t>DALARNAS LÄN</t>
        </is>
      </c>
      <c r="E826" t="inlineStr">
        <is>
          <t>LUDVIKA</t>
        </is>
      </c>
      <c r="F826" t="inlineStr">
        <is>
          <t>Bergvik skog väst AB</t>
        </is>
      </c>
      <c r="G826" t="n">
        <v>1</v>
      </c>
      <c r="H826" t="n">
        <v>0</v>
      </c>
      <c r="I826" t="n">
        <v>0</v>
      </c>
      <c r="J826" t="n">
        <v>0</v>
      </c>
      <c r="K826" t="n">
        <v>0</v>
      </c>
      <c r="L826" t="n">
        <v>0</v>
      </c>
      <c r="M826" t="n">
        <v>0</v>
      </c>
      <c r="N826" t="n">
        <v>0</v>
      </c>
      <c r="O826" t="n">
        <v>0</v>
      </c>
      <c r="P826" t="n">
        <v>0</v>
      </c>
      <c r="Q826" t="n">
        <v>0</v>
      </c>
      <c r="R826" s="2" t="inlineStr"/>
    </row>
    <row r="827" ht="15" customHeight="1">
      <c r="A827" t="inlineStr">
        <is>
          <t>A 17054-2024</t>
        </is>
      </c>
      <c r="B827" s="1" t="n">
        <v>45412</v>
      </c>
      <c r="C827" s="1" t="n">
        <v>45473</v>
      </c>
      <c r="D827" t="inlineStr">
        <is>
          <t>DALARNAS LÄN</t>
        </is>
      </c>
      <c r="E827" t="inlineStr">
        <is>
          <t>LUDVIKA</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17638-2024</t>
        </is>
      </c>
      <c r="B828" s="1" t="n">
        <v>45418</v>
      </c>
      <c r="C828" s="1" t="n">
        <v>45473</v>
      </c>
      <c r="D828" t="inlineStr">
        <is>
          <t>DALARNAS LÄN</t>
        </is>
      </c>
      <c r="E828" t="inlineStr">
        <is>
          <t>LUDVIKA</t>
        </is>
      </c>
      <c r="F828" t="inlineStr">
        <is>
          <t>Bergvik skog väst AB</t>
        </is>
      </c>
      <c r="G828" t="n">
        <v>8.1</v>
      </c>
      <c r="H828" t="n">
        <v>0</v>
      </c>
      <c r="I828" t="n">
        <v>0</v>
      </c>
      <c r="J828" t="n">
        <v>0</v>
      </c>
      <c r="K828" t="n">
        <v>0</v>
      </c>
      <c r="L828" t="n">
        <v>0</v>
      </c>
      <c r="M828" t="n">
        <v>0</v>
      </c>
      <c r="N828" t="n">
        <v>0</v>
      </c>
      <c r="O828" t="n">
        <v>0</v>
      </c>
      <c r="P828" t="n">
        <v>0</v>
      </c>
      <c r="Q828" t="n">
        <v>0</v>
      </c>
      <c r="R828" s="2" t="inlineStr"/>
    </row>
    <row r="829" ht="15" customHeight="1">
      <c r="A829" t="inlineStr">
        <is>
          <t>A 18102-2024</t>
        </is>
      </c>
      <c r="B829" s="1" t="n">
        <v>45420</v>
      </c>
      <c r="C829" s="1" t="n">
        <v>45473</v>
      </c>
      <c r="D829" t="inlineStr">
        <is>
          <t>DALARNAS LÄN</t>
        </is>
      </c>
      <c r="E829" t="inlineStr">
        <is>
          <t>LUDVIKA</t>
        </is>
      </c>
      <c r="F829" t="inlineStr">
        <is>
          <t>Bergvik skog väst AB</t>
        </is>
      </c>
      <c r="G829" t="n">
        <v>3.4</v>
      </c>
      <c r="H829" t="n">
        <v>0</v>
      </c>
      <c r="I829" t="n">
        <v>0</v>
      </c>
      <c r="J829" t="n">
        <v>0</v>
      </c>
      <c r="K829" t="n">
        <v>0</v>
      </c>
      <c r="L829" t="n">
        <v>0</v>
      </c>
      <c r="M829" t="n">
        <v>0</v>
      </c>
      <c r="N829" t="n">
        <v>0</v>
      </c>
      <c r="O829" t="n">
        <v>0</v>
      </c>
      <c r="P829" t="n">
        <v>0</v>
      </c>
      <c r="Q829" t="n">
        <v>0</v>
      </c>
      <c r="R829" s="2" t="inlineStr"/>
    </row>
    <row r="830" ht="15" customHeight="1">
      <c r="A830" t="inlineStr">
        <is>
          <t>A 19030-2024</t>
        </is>
      </c>
      <c r="B830" s="1" t="n">
        <v>45427</v>
      </c>
      <c r="C830" s="1" t="n">
        <v>45473</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19277-2024</t>
        </is>
      </c>
      <c r="B831" s="1" t="n">
        <v>45428</v>
      </c>
      <c r="C831" s="1" t="n">
        <v>45473</v>
      </c>
      <c r="D831" t="inlineStr">
        <is>
          <t>DALARNAS LÄN</t>
        </is>
      </c>
      <c r="E831" t="inlineStr">
        <is>
          <t>LUDVIKA</t>
        </is>
      </c>
      <c r="G831" t="n">
        <v>1.8</v>
      </c>
      <c r="H831" t="n">
        <v>0</v>
      </c>
      <c r="I831" t="n">
        <v>0</v>
      </c>
      <c r="J831" t="n">
        <v>0</v>
      </c>
      <c r="K831" t="n">
        <v>0</v>
      </c>
      <c r="L831" t="n">
        <v>0</v>
      </c>
      <c r="M831" t="n">
        <v>0</v>
      </c>
      <c r="N831" t="n">
        <v>0</v>
      </c>
      <c r="O831" t="n">
        <v>0</v>
      </c>
      <c r="P831" t="n">
        <v>0</v>
      </c>
      <c r="Q831" t="n">
        <v>0</v>
      </c>
      <c r="R831" s="2" t="inlineStr"/>
    </row>
    <row r="832" ht="15" customHeight="1">
      <c r="A832" t="inlineStr">
        <is>
          <t>A 19276-2024</t>
        </is>
      </c>
      <c r="B832" s="1" t="n">
        <v>45428</v>
      </c>
      <c r="C832" s="1" t="n">
        <v>45473</v>
      </c>
      <c r="D832" t="inlineStr">
        <is>
          <t>DALARNAS LÄN</t>
        </is>
      </c>
      <c r="E832" t="inlineStr">
        <is>
          <t>LUDVIKA</t>
        </is>
      </c>
      <c r="G832" t="n">
        <v>2.8</v>
      </c>
      <c r="H832" t="n">
        <v>0</v>
      </c>
      <c r="I832" t="n">
        <v>0</v>
      </c>
      <c r="J832" t="n">
        <v>0</v>
      </c>
      <c r="K832" t="n">
        <v>0</v>
      </c>
      <c r="L832" t="n">
        <v>0</v>
      </c>
      <c r="M832" t="n">
        <v>0</v>
      </c>
      <c r="N832" t="n">
        <v>0</v>
      </c>
      <c r="O832" t="n">
        <v>0</v>
      </c>
      <c r="P832" t="n">
        <v>0</v>
      </c>
      <c r="Q832" t="n">
        <v>0</v>
      </c>
      <c r="R832" s="2" t="inlineStr"/>
    </row>
    <row r="833" ht="15" customHeight="1">
      <c r="A833" t="inlineStr">
        <is>
          <t>A 19463-2024</t>
        </is>
      </c>
      <c r="B833" s="1" t="n">
        <v>45429</v>
      </c>
      <c r="C833" s="1" t="n">
        <v>45473</v>
      </c>
      <c r="D833" t="inlineStr">
        <is>
          <t>DALARNAS LÄN</t>
        </is>
      </c>
      <c r="E833" t="inlineStr">
        <is>
          <t>LUDVIKA</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19389-2024</t>
        </is>
      </c>
      <c r="B834" s="1" t="n">
        <v>45429</v>
      </c>
      <c r="C834" s="1" t="n">
        <v>45473</v>
      </c>
      <c r="D834" t="inlineStr">
        <is>
          <t>DALARNAS LÄN</t>
        </is>
      </c>
      <c r="E834" t="inlineStr">
        <is>
          <t>LUDVIKA</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19445-2024</t>
        </is>
      </c>
      <c r="B835" s="1" t="n">
        <v>45429</v>
      </c>
      <c r="C835" s="1" t="n">
        <v>45473</v>
      </c>
      <c r="D835" t="inlineStr">
        <is>
          <t>DALARNAS LÄN</t>
        </is>
      </c>
      <c r="E835" t="inlineStr">
        <is>
          <t>LUDVIKA</t>
        </is>
      </c>
      <c r="F835" t="inlineStr">
        <is>
          <t>Bergvik skog väst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19651-2024</t>
        </is>
      </c>
      <c r="B836" s="1" t="n">
        <v>45432</v>
      </c>
      <c r="C836" s="1" t="n">
        <v>45473</v>
      </c>
      <c r="D836" t="inlineStr">
        <is>
          <t>DALARNAS LÄN</t>
        </is>
      </c>
      <c r="E836" t="inlineStr">
        <is>
          <t>LUDVIKA</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19684-2024</t>
        </is>
      </c>
      <c r="B837" s="1" t="n">
        <v>45432</v>
      </c>
      <c r="C837" s="1" t="n">
        <v>45473</v>
      </c>
      <c r="D837" t="inlineStr">
        <is>
          <t>DALARNAS LÄN</t>
        </is>
      </c>
      <c r="E837" t="inlineStr">
        <is>
          <t>LUDVIKA</t>
        </is>
      </c>
      <c r="F837" t="inlineStr">
        <is>
          <t>Bergvik skog väst AB</t>
        </is>
      </c>
      <c r="G837" t="n">
        <v>3.3</v>
      </c>
      <c r="H837" t="n">
        <v>0</v>
      </c>
      <c r="I837" t="n">
        <v>0</v>
      </c>
      <c r="J837" t="n">
        <v>0</v>
      </c>
      <c r="K837" t="n">
        <v>0</v>
      </c>
      <c r="L837" t="n">
        <v>0</v>
      </c>
      <c r="M837" t="n">
        <v>0</v>
      </c>
      <c r="N837" t="n">
        <v>0</v>
      </c>
      <c r="O837" t="n">
        <v>0</v>
      </c>
      <c r="P837" t="n">
        <v>0</v>
      </c>
      <c r="Q837" t="n">
        <v>0</v>
      </c>
      <c r="R837" s="2" t="inlineStr"/>
    </row>
    <row r="838" ht="15" customHeight="1">
      <c r="A838" t="inlineStr">
        <is>
          <t>A 19688-2024</t>
        </is>
      </c>
      <c r="B838" s="1" t="n">
        <v>45432</v>
      </c>
      <c r="C838" s="1" t="n">
        <v>45473</v>
      </c>
      <c r="D838" t="inlineStr">
        <is>
          <t>DALARNAS LÄN</t>
        </is>
      </c>
      <c r="E838" t="inlineStr">
        <is>
          <t>LUDVIKA</t>
        </is>
      </c>
      <c r="F838" t="inlineStr">
        <is>
          <t>Bergvik skog väst AB</t>
        </is>
      </c>
      <c r="G838" t="n">
        <v>10</v>
      </c>
      <c r="H838" t="n">
        <v>0</v>
      </c>
      <c r="I838" t="n">
        <v>0</v>
      </c>
      <c r="J838" t="n">
        <v>0</v>
      </c>
      <c r="K838" t="n">
        <v>0</v>
      </c>
      <c r="L838" t="n">
        <v>0</v>
      </c>
      <c r="M838" t="n">
        <v>0</v>
      </c>
      <c r="N838" t="n">
        <v>0</v>
      </c>
      <c r="O838" t="n">
        <v>0</v>
      </c>
      <c r="P838" t="n">
        <v>0</v>
      </c>
      <c r="Q838" t="n">
        <v>0</v>
      </c>
      <c r="R838" s="2" t="inlineStr"/>
    </row>
    <row r="839" ht="15" customHeight="1">
      <c r="A839" t="inlineStr">
        <is>
          <t>A 20692-2024</t>
        </is>
      </c>
      <c r="B839" s="1" t="n">
        <v>45436</v>
      </c>
      <c r="C839" s="1" t="n">
        <v>45473</v>
      </c>
      <c r="D839" t="inlineStr">
        <is>
          <t>DALARNAS LÄN</t>
        </is>
      </c>
      <c r="E839" t="inlineStr">
        <is>
          <t>LUDVIKA</t>
        </is>
      </c>
      <c r="F839" t="inlineStr">
        <is>
          <t>Bergvik skog väst AB</t>
        </is>
      </c>
      <c r="G839" t="n">
        <v>12.8</v>
      </c>
      <c r="H839" t="n">
        <v>0</v>
      </c>
      <c r="I839" t="n">
        <v>0</v>
      </c>
      <c r="J839" t="n">
        <v>0</v>
      </c>
      <c r="K839" t="n">
        <v>0</v>
      </c>
      <c r="L839" t="n">
        <v>0</v>
      </c>
      <c r="M839" t="n">
        <v>0</v>
      </c>
      <c r="N839" t="n">
        <v>0</v>
      </c>
      <c r="O839" t="n">
        <v>0</v>
      </c>
      <c r="P839" t="n">
        <v>0</v>
      </c>
      <c r="Q839" t="n">
        <v>0</v>
      </c>
      <c r="R839" s="2" t="inlineStr"/>
    </row>
    <row r="840" ht="15" customHeight="1">
      <c r="A840" t="inlineStr">
        <is>
          <t>A 23103-2024</t>
        </is>
      </c>
      <c r="B840" s="1" t="n">
        <v>45450</v>
      </c>
      <c r="C840" s="1" t="n">
        <v>45473</v>
      </c>
      <c r="D840" t="inlineStr">
        <is>
          <t>DALARNAS LÄN</t>
        </is>
      </c>
      <c r="E840" t="inlineStr">
        <is>
          <t>LUDVIKA</t>
        </is>
      </c>
      <c r="G840" t="n">
        <v>0.6</v>
      </c>
      <c r="H840" t="n">
        <v>0</v>
      </c>
      <c r="I840" t="n">
        <v>0</v>
      </c>
      <c r="J840" t="n">
        <v>0</v>
      </c>
      <c r="K840" t="n">
        <v>0</v>
      </c>
      <c r="L840" t="n">
        <v>0</v>
      </c>
      <c r="M840" t="n">
        <v>0</v>
      </c>
      <c r="N840" t="n">
        <v>0</v>
      </c>
      <c r="O840" t="n">
        <v>0</v>
      </c>
      <c r="P840" t="n">
        <v>0</v>
      </c>
      <c r="Q840" t="n">
        <v>0</v>
      </c>
      <c r="R840" s="2" t="inlineStr"/>
    </row>
    <row r="841" ht="15" customHeight="1">
      <c r="A841" t="inlineStr">
        <is>
          <t>A 23443-2024</t>
        </is>
      </c>
      <c r="B841" s="1" t="n">
        <v>45453</v>
      </c>
      <c r="C841" s="1" t="n">
        <v>45473</v>
      </c>
      <c r="D841" t="inlineStr">
        <is>
          <t>DALARNAS LÄN</t>
        </is>
      </c>
      <c r="E841" t="inlineStr">
        <is>
          <t>LUDVIKA</t>
        </is>
      </c>
      <c r="F841" t="inlineStr">
        <is>
          <t>Bergvik skog väst AB</t>
        </is>
      </c>
      <c r="G841" t="n">
        <v>3.2</v>
      </c>
      <c r="H841" t="n">
        <v>0</v>
      </c>
      <c r="I841" t="n">
        <v>0</v>
      </c>
      <c r="J841" t="n">
        <v>0</v>
      </c>
      <c r="K841" t="n">
        <v>0</v>
      </c>
      <c r="L841" t="n">
        <v>0</v>
      </c>
      <c r="M841" t="n">
        <v>0</v>
      </c>
      <c r="N841" t="n">
        <v>0</v>
      </c>
      <c r="O841" t="n">
        <v>0</v>
      </c>
      <c r="P841" t="n">
        <v>0</v>
      </c>
      <c r="Q841" t="n">
        <v>0</v>
      </c>
      <c r="R841" s="2" t="inlineStr"/>
    </row>
    <row r="842" ht="15" customHeight="1">
      <c r="A842" t="inlineStr">
        <is>
          <t>A 23363-2024</t>
        </is>
      </c>
      <c r="B842" s="1" t="n">
        <v>45453</v>
      </c>
      <c r="C842" s="1" t="n">
        <v>45473</v>
      </c>
      <c r="D842" t="inlineStr">
        <is>
          <t>DALARNAS LÄN</t>
        </is>
      </c>
      <c r="E842" t="inlineStr">
        <is>
          <t>LUDVIKA</t>
        </is>
      </c>
      <c r="G842" t="n">
        <v>6.4</v>
      </c>
      <c r="H842" t="n">
        <v>0</v>
      </c>
      <c r="I842" t="n">
        <v>0</v>
      </c>
      <c r="J842" t="n">
        <v>0</v>
      </c>
      <c r="K842" t="n">
        <v>0</v>
      </c>
      <c r="L842" t="n">
        <v>0</v>
      </c>
      <c r="M842" t="n">
        <v>0</v>
      </c>
      <c r="N842" t="n">
        <v>0</v>
      </c>
      <c r="O842" t="n">
        <v>0</v>
      </c>
      <c r="P842" t="n">
        <v>0</v>
      </c>
      <c r="Q842" t="n">
        <v>0</v>
      </c>
      <c r="R842" s="2" t="inlineStr"/>
    </row>
    <row r="843" ht="15" customHeight="1">
      <c r="A843" t="inlineStr">
        <is>
          <t>A 23383-2024</t>
        </is>
      </c>
      <c r="B843" s="1" t="n">
        <v>45453</v>
      </c>
      <c r="C843" s="1" t="n">
        <v>45473</v>
      </c>
      <c r="D843" t="inlineStr">
        <is>
          <t>DALARNAS LÄN</t>
        </is>
      </c>
      <c r="E843" t="inlineStr">
        <is>
          <t>LUDVIKA</t>
        </is>
      </c>
      <c r="G843" t="n">
        <v>1.6</v>
      </c>
      <c r="H843" t="n">
        <v>0</v>
      </c>
      <c r="I843" t="n">
        <v>0</v>
      </c>
      <c r="J843" t="n">
        <v>0</v>
      </c>
      <c r="K843" t="n">
        <v>0</v>
      </c>
      <c r="L843" t="n">
        <v>0</v>
      </c>
      <c r="M843" t="n">
        <v>0</v>
      </c>
      <c r="N843" t="n">
        <v>0</v>
      </c>
      <c r="O843" t="n">
        <v>0</v>
      </c>
      <c r="P843" t="n">
        <v>0</v>
      </c>
      <c r="Q843" t="n">
        <v>0</v>
      </c>
      <c r="R843" s="2" t="inlineStr"/>
    </row>
    <row r="844" ht="15" customHeight="1">
      <c r="A844" t="inlineStr">
        <is>
          <t>A 23392-2024</t>
        </is>
      </c>
      <c r="B844" s="1" t="n">
        <v>45453</v>
      </c>
      <c r="C844" s="1" t="n">
        <v>45473</v>
      </c>
      <c r="D844" t="inlineStr">
        <is>
          <t>DALARNAS LÄN</t>
        </is>
      </c>
      <c r="E844" t="inlineStr">
        <is>
          <t>LUDVIKA</t>
        </is>
      </c>
      <c r="G844" t="n">
        <v>5.2</v>
      </c>
      <c r="H844" t="n">
        <v>0</v>
      </c>
      <c r="I844" t="n">
        <v>0</v>
      </c>
      <c r="J844" t="n">
        <v>0</v>
      </c>
      <c r="K844" t="n">
        <v>0</v>
      </c>
      <c r="L844" t="n">
        <v>0</v>
      </c>
      <c r="M844" t="n">
        <v>0</v>
      </c>
      <c r="N844" t="n">
        <v>0</v>
      </c>
      <c r="O844" t="n">
        <v>0</v>
      </c>
      <c r="P844" t="n">
        <v>0</v>
      </c>
      <c r="Q844" t="n">
        <v>0</v>
      </c>
      <c r="R844" s="2" t="inlineStr"/>
    </row>
    <row r="845" ht="15" customHeight="1">
      <c r="A845" t="inlineStr">
        <is>
          <t>A 23689-2024</t>
        </is>
      </c>
      <c r="B845" s="1" t="n">
        <v>45454</v>
      </c>
      <c r="C845" s="1" t="n">
        <v>45473</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23867-2024</t>
        </is>
      </c>
      <c r="B846" s="1" t="n">
        <v>45455</v>
      </c>
      <c r="C846" s="1" t="n">
        <v>45473</v>
      </c>
      <c r="D846" t="inlineStr">
        <is>
          <t>DALARNAS LÄN</t>
        </is>
      </c>
      <c r="E846" t="inlineStr">
        <is>
          <t>LUDVIKA</t>
        </is>
      </c>
      <c r="G846" t="n">
        <v>2.4</v>
      </c>
      <c r="H846" t="n">
        <v>0</v>
      </c>
      <c r="I846" t="n">
        <v>0</v>
      </c>
      <c r="J846" t="n">
        <v>0</v>
      </c>
      <c r="K846" t="n">
        <v>0</v>
      </c>
      <c r="L846" t="n">
        <v>0</v>
      </c>
      <c r="M846" t="n">
        <v>0</v>
      </c>
      <c r="N846" t="n">
        <v>0</v>
      </c>
      <c r="O846" t="n">
        <v>0</v>
      </c>
      <c r="P846" t="n">
        <v>0</v>
      </c>
      <c r="Q846" t="n">
        <v>0</v>
      </c>
      <c r="R846" s="2" t="inlineStr"/>
    </row>
    <row r="847" ht="15" customHeight="1">
      <c r="A847" t="inlineStr">
        <is>
          <t>A 24712-2024</t>
        </is>
      </c>
      <c r="B847" s="1" t="n">
        <v>45460</v>
      </c>
      <c r="C847" s="1" t="n">
        <v>45473</v>
      </c>
      <c r="D847" t="inlineStr">
        <is>
          <t>DALARNAS LÄN</t>
        </is>
      </c>
      <c r="E847" t="inlineStr">
        <is>
          <t>LUDVIKA</t>
        </is>
      </c>
      <c r="G847" t="n">
        <v>4.2</v>
      </c>
      <c r="H847" t="n">
        <v>0</v>
      </c>
      <c r="I847" t="n">
        <v>0</v>
      </c>
      <c r="J847" t="n">
        <v>0</v>
      </c>
      <c r="K847" t="n">
        <v>0</v>
      </c>
      <c r="L847" t="n">
        <v>0</v>
      </c>
      <c r="M847" t="n">
        <v>0</v>
      </c>
      <c r="N847" t="n">
        <v>0</v>
      </c>
      <c r="O847" t="n">
        <v>0</v>
      </c>
      <c r="P847" t="n">
        <v>0</v>
      </c>
      <c r="Q847" t="n">
        <v>0</v>
      </c>
      <c r="R847" s="2" t="inlineStr"/>
    </row>
    <row r="848" ht="15" customHeight="1">
      <c r="A848" t="inlineStr">
        <is>
          <t>A 24977-2024</t>
        </is>
      </c>
      <c r="B848" s="1" t="n">
        <v>45461</v>
      </c>
      <c r="C848" s="1" t="n">
        <v>45473</v>
      </c>
      <c r="D848" t="inlineStr">
        <is>
          <t>DALARNAS LÄN</t>
        </is>
      </c>
      <c r="E848" t="inlineStr">
        <is>
          <t>LUDVIKA</t>
        </is>
      </c>
      <c r="F848" t="inlineStr">
        <is>
          <t>Bergvik skog väst AB</t>
        </is>
      </c>
      <c r="G848" t="n">
        <v>15.4</v>
      </c>
      <c r="H848" t="n">
        <v>0</v>
      </c>
      <c r="I848" t="n">
        <v>0</v>
      </c>
      <c r="J848" t="n">
        <v>0</v>
      </c>
      <c r="K848" t="n">
        <v>0</v>
      </c>
      <c r="L848" t="n">
        <v>0</v>
      </c>
      <c r="M848" t="n">
        <v>0</v>
      </c>
      <c r="N848" t="n">
        <v>0</v>
      </c>
      <c r="O848" t="n">
        <v>0</v>
      </c>
      <c r="P848" t="n">
        <v>0</v>
      </c>
      <c r="Q848" t="n">
        <v>0</v>
      </c>
      <c r="R848" s="2" t="inlineStr"/>
    </row>
    <row r="849" ht="15" customHeight="1">
      <c r="A849" t="inlineStr">
        <is>
          <t>A 25281-2024</t>
        </is>
      </c>
      <c r="B849" s="1" t="n">
        <v>45462</v>
      </c>
      <c r="C849" s="1" t="n">
        <v>45473</v>
      </c>
      <c r="D849" t="inlineStr">
        <is>
          <t>DALARNAS LÄN</t>
        </is>
      </c>
      <c r="E849" t="inlineStr">
        <is>
          <t>LUDVIKA</t>
        </is>
      </c>
      <c r="F849" t="inlineStr">
        <is>
          <t>Bergvik skog väst AB</t>
        </is>
      </c>
      <c r="G849" t="n">
        <v>14.8</v>
      </c>
      <c r="H849" t="n">
        <v>0</v>
      </c>
      <c r="I849" t="n">
        <v>0</v>
      </c>
      <c r="J849" t="n">
        <v>0</v>
      </c>
      <c r="K849" t="n">
        <v>0</v>
      </c>
      <c r="L849" t="n">
        <v>0</v>
      </c>
      <c r="M849" t="n">
        <v>0</v>
      </c>
      <c r="N849" t="n">
        <v>0</v>
      </c>
      <c r="O849" t="n">
        <v>0</v>
      </c>
      <c r="P849" t="n">
        <v>0</v>
      </c>
      <c r="Q849" t="n">
        <v>0</v>
      </c>
      <c r="R849" s="2" t="inlineStr"/>
    </row>
    <row r="850" ht="15" customHeight="1">
      <c r="A850" t="inlineStr">
        <is>
          <t>A 26856-2024</t>
        </is>
      </c>
      <c r="B850" s="1" t="n">
        <v>45470</v>
      </c>
      <c r="C850" s="1" t="n">
        <v>45473</v>
      </c>
      <c r="D850" t="inlineStr">
        <is>
          <t>DALARNAS LÄN</t>
        </is>
      </c>
      <c r="E850" t="inlineStr">
        <is>
          <t>LUDVIKA</t>
        </is>
      </c>
      <c r="G850" t="n">
        <v>3.2</v>
      </c>
      <c r="H850" t="n">
        <v>0</v>
      </c>
      <c r="I850" t="n">
        <v>0</v>
      </c>
      <c r="J850" t="n">
        <v>0</v>
      </c>
      <c r="K850" t="n">
        <v>0</v>
      </c>
      <c r="L850" t="n">
        <v>0</v>
      </c>
      <c r="M850" t="n">
        <v>0</v>
      </c>
      <c r="N850" t="n">
        <v>0</v>
      </c>
      <c r="O850" t="n">
        <v>0</v>
      </c>
      <c r="P850" t="n">
        <v>0</v>
      </c>
      <c r="Q850" t="n">
        <v>0</v>
      </c>
      <c r="R850" s="2" t="inlineStr"/>
    </row>
    <row r="851">
      <c r="A851" t="inlineStr">
        <is>
          <t>A 27044-2024</t>
        </is>
      </c>
      <c r="B851" s="1" t="n">
        <v>45471</v>
      </c>
      <c r="C851" s="1" t="n">
        <v>45473</v>
      </c>
      <c r="D851" t="inlineStr">
        <is>
          <t>DALARNAS LÄN</t>
        </is>
      </c>
      <c r="E851" t="inlineStr">
        <is>
          <t>LUDVIKA</t>
        </is>
      </c>
      <c r="G851" t="n">
        <v>0.7</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2024-06-30T10:06:20Z</dcterms:created>
  <dcterms:modified xmlns:dcterms="http://purl.org/dc/terms/" xmlns:xsi="http://www.w3.org/2001/XMLSchema-instance" xsi:type="dcterms:W3CDTF">2024-06-30T10:06:20Z</dcterms:modified>
</cp:coreProperties>
</file>
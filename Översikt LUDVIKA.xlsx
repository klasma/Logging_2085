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23094-2025</t>
        </is>
      </c>
      <c r="B2" s="1" t="n">
        <v>45791</v>
      </c>
      <c r="C2" s="1" t="n">
        <v>46194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2.9</v>
      </c>
      <c r="H2" t="n">
        <v>2</v>
      </c>
      <c r="I2" t="n">
        <v>5</v>
      </c>
      <c r="J2" t="n">
        <v>7</v>
      </c>
      <c r="K2" t="n">
        <v>0</v>
      </c>
      <c r="L2" t="n">
        <v>0</v>
      </c>
      <c r="M2" t="n">
        <v>1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S2">
        <f>HYPERLINK("https://klasma.github.io/Logging_2085/artfynd/A 23094-2025 artfynd.xlsx", "A 23094-2025")</f>
        <v/>
      </c>
      <c r="T2">
        <f>HYPERLINK("https://klasma.github.io/Logging_2085/kartor/A 23094-2025 karta.png", "A 23094-2025")</f>
        <v/>
      </c>
      <c r="V2">
        <f>HYPERLINK("https://klasma.github.io/Logging_2085/klagomål/A 23094-2025 FSC-klagomål.docx", "A 23094-2025")</f>
        <v/>
      </c>
      <c r="W2">
        <f>HYPERLINK("https://klasma.github.io/Logging_2085/klagomålsmail/A 23094-2025 FSC-klagomål mail.docx", "A 23094-2025")</f>
        <v/>
      </c>
      <c r="X2">
        <f>HYPERLINK("https://klasma.github.io/Logging_2085/tillsyn/A 23094-2025 tillsynsbegäran.docx", "A 23094-2025")</f>
        <v/>
      </c>
      <c r="Y2">
        <f>HYPERLINK("https://klasma.github.io/Logging_2085/tillsynsmail/A 23094-2025 tillsynsbegäran mail.docx", "A 23094-2025")</f>
        <v/>
      </c>
    </row>
    <row r="3" ht="15" customHeight="1">
      <c r="A3" t="inlineStr">
        <is>
          <t>A 32085-2025</t>
        </is>
      </c>
      <c r="B3" s="1" t="n">
        <v>45835</v>
      </c>
      <c r="C3" s="1" t="n">
        <v>46194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2.1</v>
      </c>
      <c r="H3" t="n">
        <v>4</v>
      </c>
      <c r="I3" t="n">
        <v>5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17</v>
      </c>
      <c r="R3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S3">
        <f>HYPERLINK("https://klasma.github.io/Logging_2085/artfynd/A 32085-2025 artfynd.xlsx", "A 32085-2025")</f>
        <v/>
      </c>
      <c r="T3">
        <f>HYPERLINK("https://klasma.github.io/Logging_2085/kartor/A 32085-2025 karta.png", "A 32085-2025")</f>
        <v/>
      </c>
      <c r="U3">
        <f>HYPERLINK("https://klasma.github.io/Logging_2085/knärot/A 32085-2025 karta knärot.png", "A 32085-2025")</f>
        <v/>
      </c>
      <c r="V3">
        <f>HYPERLINK("https://klasma.github.io/Logging_2085/klagomål/A 32085-2025 FSC-klagomål.docx", "A 32085-2025")</f>
        <v/>
      </c>
      <c r="W3">
        <f>HYPERLINK("https://klasma.github.io/Logging_2085/klagomålsmail/A 32085-2025 FSC-klagomål mail.docx", "A 32085-2025")</f>
        <v/>
      </c>
      <c r="X3">
        <f>HYPERLINK("https://klasma.github.io/Logging_2085/tillsyn/A 32085-2025 tillsynsbegäran.docx", "A 32085-2025")</f>
        <v/>
      </c>
      <c r="Y3">
        <f>HYPERLINK("https://klasma.github.io/Logging_2085/tillsynsmail/A 32085-2025 tillsynsbegäran mail.docx", "A 32085-2025")</f>
        <v/>
      </c>
      <c r="Z3">
        <f>HYPERLINK("https://klasma.github.io/Logging_2085/fåglar/A 32085-2025 prioriterade fågelarter.docx", "A 32085-2025")</f>
        <v/>
      </c>
    </row>
    <row r="4" ht="15" customHeight="1">
      <c r="A4" t="inlineStr">
        <is>
          <t>A 49804-2025</t>
        </is>
      </c>
      <c r="B4" s="1" t="n">
        <v>45940</v>
      </c>
      <c r="C4" s="1" t="n">
        <v>46194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61.7</v>
      </c>
      <c r="H4" t="n">
        <v>2</v>
      </c>
      <c r="I4" t="n">
        <v>2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n">
        <v>13</v>
      </c>
      <c r="P4" t="n">
        <v>2</v>
      </c>
      <c r="Q4" t="n">
        <v>16</v>
      </c>
      <c r="R4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S4">
        <f>HYPERLINK("https://klasma.github.io/Logging_2085/artfynd/A 49804-2025 artfynd.xlsx", "A 49804-2025")</f>
        <v/>
      </c>
      <c r="T4">
        <f>HYPERLINK("https://klasma.github.io/Logging_2085/kartor/A 49804-2025 karta.png", "A 49804-2025")</f>
        <v/>
      </c>
      <c r="V4">
        <f>HYPERLINK("https://klasma.github.io/Logging_2085/klagomål/A 49804-2025 FSC-klagomål.docx", "A 49804-2025")</f>
        <v/>
      </c>
      <c r="W4">
        <f>HYPERLINK("https://klasma.github.io/Logging_2085/klagomålsmail/A 49804-2025 FSC-klagomål mail.docx", "A 49804-2025")</f>
        <v/>
      </c>
      <c r="X4">
        <f>HYPERLINK("https://klasma.github.io/Logging_2085/tillsyn/A 49804-2025 tillsynsbegäran.docx", "A 49804-2025")</f>
        <v/>
      </c>
      <c r="Y4">
        <f>HYPERLINK("https://klasma.github.io/Logging_2085/tillsynsmail/A 49804-2025 tillsynsbegäran mail.docx", "A 49804-2025")</f>
        <v/>
      </c>
      <c r="Z4">
        <f>HYPERLINK("https://klasma.github.io/Logging_2085/fåglar/A 49804-2025 prioriterade fågelarter.docx", "A 49804-2025")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46194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2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7204-2026</t>
        </is>
      </c>
      <c r="B6" s="1" t="n">
        <v>46058</v>
      </c>
      <c r="C6" s="1" t="n">
        <v>46194</v>
      </c>
      <c r="D6" t="inlineStr">
        <is>
          <t>DALARNAS LÄN</t>
        </is>
      </c>
      <c r="E6" t="inlineStr">
        <is>
          <t>LUDVIKA</t>
        </is>
      </c>
      <c r="G6" t="n">
        <v>4.7</v>
      </c>
      <c r="H6" t="n">
        <v>5</v>
      </c>
      <c r="I6" t="n">
        <v>3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13</v>
      </c>
      <c r="R6" s="2" t="inlineStr">
        <is>
          <t>Garnlav
Knärot
Lappuggla
Kortskaftad ärgspik
Rynkskinn
Tretåig hackspett
Vedskivlav
Vedtrappmossa
Bronshjon
Mindre märgborre
Thomsons trägnagare
Spillkråka
Tjäder</t>
        </is>
      </c>
      <c r="S6">
        <f>HYPERLINK("https://klasma.github.io/Logging_2085/artfynd/A 7204-2026 artfynd.xlsx", "A 7204-2026")</f>
        <v/>
      </c>
      <c r="T6">
        <f>HYPERLINK("https://klasma.github.io/Logging_2085/kartor/A 7204-2026 karta.png", "A 7204-2026")</f>
        <v/>
      </c>
      <c r="U6">
        <f>HYPERLINK("https://klasma.github.io/Logging_2085/knärot/A 7204-2026 karta knärot.png", "A 7204-2026")</f>
        <v/>
      </c>
      <c r="V6">
        <f>HYPERLINK("https://klasma.github.io/Logging_2085/klagomål/A 7204-2026 FSC-klagomål.docx", "A 7204-2026")</f>
        <v/>
      </c>
      <c r="W6">
        <f>HYPERLINK("https://klasma.github.io/Logging_2085/klagomålsmail/A 7204-2026 FSC-klagomål mail.docx", "A 7204-2026")</f>
        <v/>
      </c>
      <c r="X6">
        <f>HYPERLINK("https://klasma.github.io/Logging_2085/tillsyn/A 7204-2026 tillsynsbegäran.docx", "A 7204-2026")</f>
        <v/>
      </c>
      <c r="Y6">
        <f>HYPERLINK("https://klasma.github.io/Logging_2085/tillsynsmail/A 7204-2026 tillsynsbegäran mail.docx", "A 7204-2026")</f>
        <v/>
      </c>
      <c r="Z6">
        <f>HYPERLINK("https://klasma.github.io/Logging_2085/fåglar/A 7204-2026 prioriterade fågelarter.docx", "A 7204-2026")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46194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Garnlav
Knärot
Dropptaggsvamp
Lunglav
Skogshare
Tretåig hackspett
Korallblylav
Mindre märgborre
Norrlandslav
Rävticka
Skinnlav
Järpe
Spillkråka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46194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6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Mjölig dropplav
Fjällig taggsvamp s.str.
Gammelgransskål
Kådvaxskinn
Mindre träfjäril
Rynkskinn
Aspvedborre
Barkticka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57277-2024</t>
        </is>
      </c>
      <c r="B9" s="1" t="n">
        <v>45629</v>
      </c>
      <c r="C9" s="1" t="n">
        <v>46194</v>
      </c>
      <c r="D9" t="inlineStr">
        <is>
          <t>DALARNAS LÄN</t>
        </is>
      </c>
      <c r="E9" t="inlineStr">
        <is>
          <t>LUDVIKA</t>
        </is>
      </c>
      <c r="F9" t="inlineStr">
        <is>
          <t>Naturvårdsverket</t>
        </is>
      </c>
      <c r="G9" t="n">
        <v>3.9</v>
      </c>
      <c r="H9" t="n">
        <v>1</v>
      </c>
      <c r="I9" t="n">
        <v>3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11</v>
      </c>
      <c r="R9" s="2" t="inlineStr">
        <is>
          <t>Garnlav
Knärot
Skrovlig taggsvamp
Dropptaggsvamp
Dvärgbägarlav
Orange taggsvamp
Skarp dropptaggsvamp
Ullticka
Björksplintborre
Bollvitmossa
Mindre märgborre</t>
        </is>
      </c>
      <c r="S9">
        <f>HYPERLINK("https://klasma.github.io/Logging_2085/artfynd/A 57277-2024 artfynd.xlsx", "A 57277-2024")</f>
        <v/>
      </c>
      <c r="T9">
        <f>HYPERLINK("https://klasma.github.io/Logging_2085/kartor/A 57277-2024 karta.png", "A 57277-2024")</f>
        <v/>
      </c>
      <c r="U9">
        <f>HYPERLINK("https://klasma.github.io/Logging_2085/knärot/A 57277-2024 karta knärot.png", "A 57277-2024")</f>
        <v/>
      </c>
      <c r="V9">
        <f>HYPERLINK("https://klasma.github.io/Logging_2085/klagomål/A 57277-2024 FSC-klagomål.docx", "A 57277-2024")</f>
        <v/>
      </c>
      <c r="W9">
        <f>HYPERLINK("https://klasma.github.io/Logging_2085/klagomålsmail/A 57277-2024 FSC-klagomål mail.docx", "A 57277-2024")</f>
        <v/>
      </c>
      <c r="X9">
        <f>HYPERLINK("https://klasma.github.io/Logging_2085/tillsyn/A 57277-2024 tillsynsbegäran.docx", "A 57277-2024")</f>
        <v/>
      </c>
      <c r="Y9">
        <f>HYPERLINK("https://klasma.github.io/Logging_2085/tillsynsmail/A 57277-2024 tillsynsbegäran mail.docx", "A 57277-2024")</f>
        <v/>
      </c>
    </row>
    <row r="10" ht="15" customHeight="1">
      <c r="A10" t="inlineStr">
        <is>
          <t>A 47701-2024</t>
        </is>
      </c>
      <c r="B10" s="1" t="n">
        <v>45588</v>
      </c>
      <c r="C10" s="1" t="n">
        <v>46194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16</v>
      </c>
      <c r="H10" t="n">
        <v>0</v>
      </c>
      <c r="I10" t="n">
        <v>6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10</v>
      </c>
      <c r="R10" s="2" t="inlineStr">
        <is>
          <t>Aspgelélav
Läderlappslav
Grentaggsvamp
Gultoppig fingersvamp
Bårdlav
Dvärgtufs
Korallblylav
Mörk husmossa
Skinnlav
Stuplav</t>
        </is>
      </c>
      <c r="S10">
        <f>HYPERLINK("https://klasma.github.io/Logging_2085/artfynd/A 47701-2024 artfynd.xlsx", "A 47701-2024")</f>
        <v/>
      </c>
      <c r="T10">
        <f>HYPERLINK("https://klasma.github.io/Logging_2085/kartor/A 47701-2024 karta.png", "A 47701-2024")</f>
        <v/>
      </c>
      <c r="V10">
        <f>HYPERLINK("https://klasma.github.io/Logging_2085/klagomål/A 47701-2024 FSC-klagomål.docx", "A 47701-2024")</f>
        <v/>
      </c>
      <c r="W10">
        <f>HYPERLINK("https://klasma.github.io/Logging_2085/klagomålsmail/A 47701-2024 FSC-klagomål mail.docx", "A 47701-2024")</f>
        <v/>
      </c>
      <c r="X10">
        <f>HYPERLINK("https://klasma.github.io/Logging_2085/tillsyn/A 47701-2024 tillsynsbegäran.docx", "A 47701-2024")</f>
        <v/>
      </c>
      <c r="Y10">
        <f>HYPERLINK("https://klasma.github.io/Logging_2085/tillsynsmail/A 47701-2024 tillsynsbegäran mail.docx", "A 47701-2024")</f>
        <v/>
      </c>
    </row>
    <row r="11" ht="15" customHeight="1">
      <c r="A11" t="inlineStr">
        <is>
          <t>A 57804-2025</t>
        </is>
      </c>
      <c r="B11" s="1" t="n">
        <v>45981</v>
      </c>
      <c r="C11" s="1" t="n">
        <v>46194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4.5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Knärot
Dropptaggsvamp
Kortskaftad ärgspik
Rosenticka
Rynkskinn
Tretåig hackspett
Ullticka
Vedtrappmossa
Mindre märgborre
Spillkråka</t>
        </is>
      </c>
      <c r="S11">
        <f>HYPERLINK("https://klasma.github.io/Logging_2085/artfynd/A 57804-2025 artfynd.xlsx", "A 57804-2025")</f>
        <v/>
      </c>
      <c r="T11">
        <f>HYPERLINK("https://klasma.github.io/Logging_2085/kartor/A 57804-2025 karta.png", "A 57804-2025")</f>
        <v/>
      </c>
      <c r="U11">
        <f>HYPERLINK("https://klasma.github.io/Logging_2085/knärot/A 57804-2025 karta knärot.png", "A 57804-2025")</f>
        <v/>
      </c>
      <c r="V11">
        <f>HYPERLINK("https://klasma.github.io/Logging_2085/klagomål/A 57804-2025 FSC-klagomål.docx", "A 57804-2025")</f>
        <v/>
      </c>
      <c r="W11">
        <f>HYPERLINK("https://klasma.github.io/Logging_2085/klagomålsmail/A 57804-2025 FSC-klagomål mail.docx", "A 57804-2025")</f>
        <v/>
      </c>
      <c r="X11">
        <f>HYPERLINK("https://klasma.github.io/Logging_2085/tillsyn/A 57804-2025 tillsynsbegäran.docx", "A 57804-2025")</f>
        <v/>
      </c>
      <c r="Y11">
        <f>HYPERLINK("https://klasma.github.io/Logging_2085/tillsynsmail/A 57804-2025 tillsynsbegäran mail.docx", "A 57804-2025")</f>
        <v/>
      </c>
      <c r="Z11">
        <f>HYPERLINK("https://klasma.github.io/Logging_2085/fåglar/A 57804-2025 prioriterade fågelarter.docx", "A 57804-2025")</f>
        <v/>
      </c>
    </row>
    <row r="12" ht="15" customHeight="1">
      <c r="A12" t="inlineStr">
        <is>
          <t>A 34913-2025</t>
        </is>
      </c>
      <c r="B12" s="1" t="n">
        <v>45849</v>
      </c>
      <c r="C12" s="1" t="n">
        <v>46194</v>
      </c>
      <c r="D12" t="inlineStr">
        <is>
          <t>DALARNAS LÄN</t>
        </is>
      </c>
      <c r="E12" t="inlineStr">
        <is>
          <t>LUDVIKA</t>
        </is>
      </c>
      <c r="G12" t="n">
        <v>6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9</v>
      </c>
      <c r="R12" s="2" t="inlineStr">
        <is>
          <t>Aspgelélav
Ängsklint
Barrpraktbagge
Lunglav
Barkticka
Bårdlav
Korallblylav
Blåsippa
Huggorm</t>
        </is>
      </c>
      <c r="S12">
        <f>HYPERLINK("https://klasma.github.io/Logging_2085/artfynd/A 34913-2025 artfynd.xlsx", "A 34913-2025")</f>
        <v/>
      </c>
      <c r="T12">
        <f>HYPERLINK("https://klasma.github.io/Logging_2085/kartor/A 34913-2025 karta.png", "A 34913-2025")</f>
        <v/>
      </c>
      <c r="V12">
        <f>HYPERLINK("https://klasma.github.io/Logging_2085/klagomål/A 34913-2025 FSC-klagomål.docx", "A 34913-2025")</f>
        <v/>
      </c>
      <c r="W12">
        <f>HYPERLINK("https://klasma.github.io/Logging_2085/klagomålsmail/A 34913-2025 FSC-klagomål mail.docx", "A 34913-2025")</f>
        <v/>
      </c>
      <c r="X12">
        <f>HYPERLINK("https://klasma.github.io/Logging_2085/tillsyn/A 34913-2025 tillsynsbegäran.docx", "A 34913-2025")</f>
        <v/>
      </c>
      <c r="Y12">
        <f>HYPERLINK("https://klasma.github.io/Logging_2085/tillsynsmail/A 34913-2025 tillsynsbegäran mail.docx", "A 34913-2025")</f>
        <v/>
      </c>
    </row>
    <row r="13" ht="15" customHeight="1">
      <c r="A13" t="inlineStr">
        <is>
          <t>A 7214-2026</t>
        </is>
      </c>
      <c r="B13" s="1" t="n">
        <v>46058</v>
      </c>
      <c r="C13" s="1" t="n">
        <v>46194</v>
      </c>
      <c r="D13" t="inlineStr">
        <is>
          <t>DALARNAS LÄN</t>
        </is>
      </c>
      <c r="E13" t="inlineStr">
        <is>
          <t>LUDVIKA</t>
        </is>
      </c>
      <c r="G13" t="n">
        <v>4.2</v>
      </c>
      <c r="H13" t="n">
        <v>4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Knärot
Dropptaggsvamp
Rynkskinn
Talltita
Tretåig hackspett
Vedtrappmossa
Jättesvampmal
Thomsons trägnagare
Spillkråka</t>
        </is>
      </c>
      <c r="S13">
        <f>HYPERLINK("https://klasma.github.io/Logging_2085/artfynd/A 7214-2026 artfynd.xlsx", "A 7214-2026")</f>
        <v/>
      </c>
      <c r="T13">
        <f>HYPERLINK("https://klasma.github.io/Logging_2085/kartor/A 7214-2026 karta.png", "A 7214-2026")</f>
        <v/>
      </c>
      <c r="U13">
        <f>HYPERLINK("https://klasma.github.io/Logging_2085/knärot/A 7214-2026 karta knärot.png", "A 7214-2026")</f>
        <v/>
      </c>
      <c r="V13">
        <f>HYPERLINK("https://klasma.github.io/Logging_2085/klagomål/A 7214-2026 FSC-klagomål.docx", "A 7214-2026")</f>
        <v/>
      </c>
      <c r="W13">
        <f>HYPERLINK("https://klasma.github.io/Logging_2085/klagomålsmail/A 7214-2026 FSC-klagomål mail.docx", "A 7214-2026")</f>
        <v/>
      </c>
      <c r="X13">
        <f>HYPERLINK("https://klasma.github.io/Logging_2085/tillsyn/A 7214-2026 tillsynsbegäran.docx", "A 7214-2026")</f>
        <v/>
      </c>
      <c r="Y13">
        <f>HYPERLINK("https://klasma.github.io/Logging_2085/tillsynsmail/A 7214-2026 tillsynsbegäran mail.docx", "A 7214-2026")</f>
        <v/>
      </c>
      <c r="Z13">
        <f>HYPERLINK("https://klasma.github.io/Logging_2085/fåglar/A 7214-2026 prioriterade fågelarter.docx", "A 7214-2026")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46194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8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Skorpgelélav
Talltita
Spillkråka
Gråskimlig 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31749-2024</t>
        </is>
      </c>
      <c r="B15" s="1" t="n">
        <v>45509</v>
      </c>
      <c r="C15" s="1" t="n">
        <v>46194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8</v>
      </c>
      <c r="R15" s="2" t="inlineStr">
        <is>
          <t>Rynkskinn
Vårärt
Sotriska
Svart trolldruva
Svavelriska
Tibast
Underviol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23658-2025</t>
        </is>
      </c>
      <c r="B16" s="1" t="n">
        <v>45786</v>
      </c>
      <c r="C16" s="1" t="n">
        <v>46194</v>
      </c>
      <c r="D16" t="inlineStr">
        <is>
          <t>DALARNAS LÄN</t>
        </is>
      </c>
      <c r="E16" t="inlineStr">
        <is>
          <t>LUDVIKA</t>
        </is>
      </c>
      <c r="G16" t="n">
        <v>7.1</v>
      </c>
      <c r="H16" t="n">
        <v>7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Tornseglare
Entita
Fjällig taggsvamp s.str.
Grönsångare
Nordfladdermus
Talltita
Tjäder
Vattenfladdermus</t>
        </is>
      </c>
      <c r="S16">
        <f>HYPERLINK("https://klasma.github.io/Logging_2085/artfynd/A 23658-2025 artfynd.xlsx", "A 23658-2025")</f>
        <v/>
      </c>
      <c r="T16">
        <f>HYPERLINK("https://klasma.github.io/Logging_2085/kartor/A 23658-2025 karta.png", "A 23658-2025")</f>
        <v/>
      </c>
      <c r="V16">
        <f>HYPERLINK("https://klasma.github.io/Logging_2085/klagomål/A 23658-2025 FSC-klagomål.docx", "A 23658-2025")</f>
        <v/>
      </c>
      <c r="W16">
        <f>HYPERLINK("https://klasma.github.io/Logging_2085/klagomålsmail/A 23658-2025 FSC-klagomål mail.docx", "A 23658-2025")</f>
        <v/>
      </c>
      <c r="X16">
        <f>HYPERLINK("https://klasma.github.io/Logging_2085/tillsyn/A 23658-2025 tillsynsbegäran.docx", "A 23658-2025")</f>
        <v/>
      </c>
      <c r="Y16">
        <f>HYPERLINK("https://klasma.github.io/Logging_2085/tillsynsmail/A 23658-2025 tillsynsbegäran mail.docx", "A 23658-2025")</f>
        <v/>
      </c>
      <c r="Z16">
        <f>HYPERLINK("https://klasma.github.io/Logging_2085/fåglar/A 23658-2025 prioriterade fågelarter.docx", "A 23658-2025")</f>
        <v/>
      </c>
    </row>
    <row r="17" ht="15" customHeight="1">
      <c r="A17" t="inlineStr">
        <is>
          <t>A 57701-2025</t>
        </is>
      </c>
      <c r="B17" s="1" t="n">
        <v>45981</v>
      </c>
      <c r="C17" s="1" t="n">
        <v>46194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5.5</v>
      </c>
      <c r="H17" t="n">
        <v>6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Knärot
Kortskaftad ärgspik
Sparvuggla
Tretåig hackspett
Vedticka
Järpe
Spillkråka
Utter</t>
        </is>
      </c>
      <c r="S17">
        <f>HYPERLINK("https://klasma.github.io/Logging_2085/artfynd/A 57701-2025 artfynd.xlsx", "A 57701-2025")</f>
        <v/>
      </c>
      <c r="T17">
        <f>HYPERLINK("https://klasma.github.io/Logging_2085/kartor/A 57701-2025 karta.png", "A 57701-2025")</f>
        <v/>
      </c>
      <c r="U17">
        <f>HYPERLINK("https://klasma.github.io/Logging_2085/knärot/A 57701-2025 karta knärot.png", "A 57701-2025")</f>
        <v/>
      </c>
      <c r="V17">
        <f>HYPERLINK("https://klasma.github.io/Logging_2085/klagomål/A 57701-2025 FSC-klagomål.docx", "A 57701-2025")</f>
        <v/>
      </c>
      <c r="W17">
        <f>HYPERLINK("https://klasma.github.io/Logging_2085/klagomålsmail/A 57701-2025 FSC-klagomål mail.docx", "A 57701-2025")</f>
        <v/>
      </c>
      <c r="X17">
        <f>HYPERLINK("https://klasma.github.io/Logging_2085/tillsyn/A 57701-2025 tillsynsbegäran.docx", "A 57701-2025")</f>
        <v/>
      </c>
      <c r="Y17">
        <f>HYPERLINK("https://klasma.github.io/Logging_2085/tillsynsmail/A 57701-2025 tillsynsbegäran mail.docx", "A 57701-2025")</f>
        <v/>
      </c>
      <c r="Z17">
        <f>HYPERLINK("https://klasma.github.io/Logging_2085/fåglar/A 57701-2025 prioriterade fågelarter.docx", "A 57701-2025")</f>
        <v/>
      </c>
    </row>
    <row r="18" ht="15" customHeight="1">
      <c r="A18" t="inlineStr">
        <is>
          <t>A 49783-2024</t>
        </is>
      </c>
      <c r="B18" s="1" t="n">
        <v>45597</v>
      </c>
      <c r="C18" s="1" t="n">
        <v>46194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20.9</v>
      </c>
      <c r="H18" t="n">
        <v>3</v>
      </c>
      <c r="I18" t="n">
        <v>0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Garnlav
Mörk kådsvartspik
Dropptaggsvamp
Gammelgransskål
Stjärntagging
Tretåig hackspett
Järpe
Spillkråka</t>
        </is>
      </c>
      <c r="S18">
        <f>HYPERLINK("https://klasma.github.io/Logging_2085/artfynd/A 49783-2024 artfynd.xlsx", "A 49783-2024")</f>
        <v/>
      </c>
      <c r="T18">
        <f>HYPERLINK("https://klasma.github.io/Logging_2085/kartor/A 49783-2024 karta.png", "A 49783-2024")</f>
        <v/>
      </c>
      <c r="V18">
        <f>HYPERLINK("https://klasma.github.io/Logging_2085/klagomål/A 49783-2024 FSC-klagomål.docx", "A 49783-2024")</f>
        <v/>
      </c>
      <c r="W18">
        <f>HYPERLINK("https://klasma.github.io/Logging_2085/klagomålsmail/A 49783-2024 FSC-klagomål mail.docx", "A 49783-2024")</f>
        <v/>
      </c>
      <c r="X18">
        <f>HYPERLINK("https://klasma.github.io/Logging_2085/tillsyn/A 49783-2024 tillsynsbegäran.docx", "A 49783-2024")</f>
        <v/>
      </c>
      <c r="Y18">
        <f>HYPERLINK("https://klasma.github.io/Logging_2085/tillsynsmail/A 49783-2024 tillsynsbegäran mail.docx", "A 49783-2024")</f>
        <v/>
      </c>
      <c r="Z18">
        <f>HYPERLINK("https://klasma.github.io/Logging_2085/fåglar/A 49783-2024 prioriterade fågelarter.docx", "A 49783-2024")</f>
        <v/>
      </c>
    </row>
    <row r="19" ht="15" customHeight="1">
      <c r="A19" t="inlineStr">
        <is>
          <t>A 50453-2025</t>
        </is>
      </c>
      <c r="B19" s="1" t="n">
        <v>45945</v>
      </c>
      <c r="C19" s="1" t="n">
        <v>46194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5.6</v>
      </c>
      <c r="H19" t="n">
        <v>0</v>
      </c>
      <c r="I19" t="n">
        <v>6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8</v>
      </c>
      <c r="R19" s="2" t="inlineStr">
        <is>
          <t>Aspgelélav
Gränsticka
Bårdlav
Dvärgtufs
Luddlav
Skinnlav
Sotlav
Vedticka</t>
        </is>
      </c>
      <c r="S19">
        <f>HYPERLINK("https://klasma.github.io/Logging_2085/artfynd/A 50453-2025 artfynd.xlsx", "A 50453-2025")</f>
        <v/>
      </c>
      <c r="T19">
        <f>HYPERLINK("https://klasma.github.io/Logging_2085/kartor/A 50453-2025 karta.png", "A 50453-2025")</f>
        <v/>
      </c>
      <c r="V19">
        <f>HYPERLINK("https://klasma.github.io/Logging_2085/klagomål/A 50453-2025 FSC-klagomål.docx", "A 50453-2025")</f>
        <v/>
      </c>
      <c r="W19">
        <f>HYPERLINK("https://klasma.github.io/Logging_2085/klagomålsmail/A 50453-2025 FSC-klagomål mail.docx", "A 50453-2025")</f>
        <v/>
      </c>
      <c r="X19">
        <f>HYPERLINK("https://klasma.github.io/Logging_2085/tillsyn/A 50453-2025 tillsynsbegäran.docx", "A 50453-2025")</f>
        <v/>
      </c>
      <c r="Y19">
        <f>HYPERLINK("https://klasma.github.io/Logging_2085/tillsynsmail/A 50453-2025 tillsynsbegäran mail.docx", "A 50453-2025")</f>
        <v/>
      </c>
    </row>
    <row r="20" ht="15" customHeight="1">
      <c r="A20" t="inlineStr">
        <is>
          <t>A 23503-2026</t>
        </is>
      </c>
      <c r="B20" s="1" t="n">
        <v>46163</v>
      </c>
      <c r="C20" s="1" t="n">
        <v>46194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5.2</v>
      </c>
      <c r="H20" t="n">
        <v>5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8</v>
      </c>
      <c r="R20" s="2" t="inlineStr">
        <is>
          <t>Garnlav
Tretåig hackspett
Korallrot
Mindre märgborre
Ormbär
Spillkråka
Tjäder
Fläcknycklar</t>
        </is>
      </c>
      <c r="S20">
        <f>HYPERLINK("https://klasma.github.io/Logging_2085/artfynd/A 23503-2026 artfynd.xlsx", "A 23503-2026")</f>
        <v/>
      </c>
      <c r="T20">
        <f>HYPERLINK("https://klasma.github.io/Logging_2085/kartor/A 23503-2026 karta.png", "A 23503-2026")</f>
        <v/>
      </c>
      <c r="V20">
        <f>HYPERLINK("https://klasma.github.io/Logging_2085/klagomål/A 23503-2026 FSC-klagomål.docx", "A 23503-2026")</f>
        <v/>
      </c>
      <c r="W20">
        <f>HYPERLINK("https://klasma.github.io/Logging_2085/klagomålsmail/A 23503-2026 FSC-klagomål mail.docx", "A 23503-2026")</f>
        <v/>
      </c>
      <c r="X20">
        <f>HYPERLINK("https://klasma.github.io/Logging_2085/tillsyn/A 23503-2026 tillsynsbegäran.docx", "A 23503-2026")</f>
        <v/>
      </c>
      <c r="Y20">
        <f>HYPERLINK("https://klasma.github.io/Logging_2085/tillsynsmail/A 23503-2026 tillsynsbegäran mail.docx", "A 23503-2026")</f>
        <v/>
      </c>
      <c r="Z20">
        <f>HYPERLINK("https://klasma.github.io/Logging_2085/fåglar/A 23503-2026 prioriterade fågelarter.docx", "A 23503-2026")</f>
        <v/>
      </c>
    </row>
    <row r="21" ht="15" customHeight="1">
      <c r="A21" t="inlineStr">
        <is>
          <t>A 45268-2022</t>
        </is>
      </c>
      <c r="B21" s="1" t="n">
        <v>44844</v>
      </c>
      <c r="C21" s="1" t="n">
        <v>46194</v>
      </c>
      <c r="D21" t="inlineStr">
        <is>
          <t>DALARNAS LÄN</t>
        </is>
      </c>
      <c r="E21" t="inlineStr">
        <is>
          <t>LUDVIKA</t>
        </is>
      </c>
      <c r="F21" t="inlineStr">
        <is>
          <t>Naturvårdsverket</t>
        </is>
      </c>
      <c r="G21" t="n">
        <v>2.3</v>
      </c>
      <c r="H21" t="n">
        <v>1</v>
      </c>
      <c r="I21" t="n">
        <v>2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7</v>
      </c>
      <c r="R21" s="2" t="inlineStr">
        <is>
          <t>Garnlav
Knärot
Kattfotslav
Orange taggsvamp
Vedtrappmossa
Bollvitmossa
Vedticka</t>
        </is>
      </c>
      <c r="S21">
        <f>HYPERLINK("https://klasma.github.io/Logging_2085/artfynd/A 45268-2022 artfynd.xlsx", "A 45268-2022")</f>
        <v/>
      </c>
      <c r="T21">
        <f>HYPERLINK("https://klasma.github.io/Logging_2085/kartor/A 45268-2022 karta.png", "A 45268-2022")</f>
        <v/>
      </c>
      <c r="U21">
        <f>HYPERLINK("https://klasma.github.io/Logging_2085/knärot/A 45268-2022 karta knärot.png", "A 45268-2022")</f>
        <v/>
      </c>
      <c r="V21">
        <f>HYPERLINK("https://klasma.github.io/Logging_2085/klagomål/A 45268-2022 FSC-klagomål.docx", "A 45268-2022")</f>
        <v/>
      </c>
      <c r="W21">
        <f>HYPERLINK("https://klasma.github.io/Logging_2085/klagomålsmail/A 45268-2022 FSC-klagomål mail.docx", "A 45268-2022")</f>
        <v/>
      </c>
      <c r="X21">
        <f>HYPERLINK("https://klasma.github.io/Logging_2085/tillsyn/A 45268-2022 tillsynsbegäran.docx", "A 45268-2022")</f>
        <v/>
      </c>
      <c r="Y21">
        <f>HYPERLINK("https://klasma.github.io/Logging_2085/tillsynsmail/A 45268-2022 tillsynsbegäran mail.docx", "A 45268-2022")</f>
        <v/>
      </c>
    </row>
    <row r="22" ht="15" customHeight="1">
      <c r="A22" t="inlineStr">
        <is>
          <t>A 52779-2025</t>
        </is>
      </c>
      <c r="B22" s="1" t="n">
        <v>45957</v>
      </c>
      <c r="C22" s="1" t="n">
        <v>46194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0.5</v>
      </c>
      <c r="H22" t="n">
        <v>1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6</v>
      </c>
      <c r="R22" s="2" t="inlineStr">
        <is>
          <t>Sexfläckig bastardsvärmare
Ängsblåvinge
Mindre tåtelsmygare
Motaggsvamp
Skogsklocka
Huggorm</t>
        </is>
      </c>
      <c r="S22">
        <f>HYPERLINK("https://klasma.github.io/Logging_2085/artfynd/A 52779-2025 artfynd.xlsx", "A 52779-2025")</f>
        <v/>
      </c>
      <c r="T22">
        <f>HYPERLINK("https://klasma.github.io/Logging_2085/kartor/A 52779-2025 karta.png", "A 52779-2025")</f>
        <v/>
      </c>
      <c r="V22">
        <f>HYPERLINK("https://klasma.github.io/Logging_2085/klagomål/A 52779-2025 FSC-klagomål.docx", "A 52779-2025")</f>
        <v/>
      </c>
      <c r="W22">
        <f>HYPERLINK("https://klasma.github.io/Logging_2085/klagomålsmail/A 52779-2025 FSC-klagomål mail.docx", "A 52779-2025")</f>
        <v/>
      </c>
      <c r="X22">
        <f>HYPERLINK("https://klasma.github.io/Logging_2085/tillsyn/A 52779-2025 tillsynsbegäran.docx", "A 52779-2025")</f>
        <v/>
      </c>
      <c r="Y22">
        <f>HYPERLINK("https://klasma.github.io/Logging_2085/tillsynsmail/A 52779-2025 tillsynsbegäran mail.docx", "A 52779-2025")</f>
        <v/>
      </c>
    </row>
    <row r="23" ht="15" customHeight="1">
      <c r="A23" t="inlineStr">
        <is>
          <t>A 55406-2025</t>
        </is>
      </c>
      <c r="B23" s="1" t="n">
        <v>45971</v>
      </c>
      <c r="C23" s="1" t="n">
        <v>46194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25</v>
      </c>
      <c r="H23" t="n">
        <v>5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6</v>
      </c>
      <c r="R23" s="2" t="inlineStr">
        <is>
          <t>Knärot
Gullgröppa
Plattlummer
Blåsippa
Nattviol
Revlummer</t>
        </is>
      </c>
      <c r="S23">
        <f>HYPERLINK("https://klasma.github.io/Logging_2085/artfynd/A 55406-2025 artfynd.xlsx", "A 55406-2025")</f>
        <v/>
      </c>
      <c r="T23">
        <f>HYPERLINK("https://klasma.github.io/Logging_2085/kartor/A 55406-2025 karta.png", "A 55406-2025")</f>
        <v/>
      </c>
      <c r="U23">
        <f>HYPERLINK("https://klasma.github.io/Logging_2085/knärot/A 55406-2025 karta knärot.png", "A 55406-2025")</f>
        <v/>
      </c>
      <c r="V23">
        <f>HYPERLINK("https://klasma.github.io/Logging_2085/klagomål/A 55406-2025 FSC-klagomål.docx", "A 55406-2025")</f>
        <v/>
      </c>
      <c r="W23">
        <f>HYPERLINK("https://klasma.github.io/Logging_2085/klagomålsmail/A 55406-2025 FSC-klagomål mail.docx", "A 55406-2025")</f>
        <v/>
      </c>
      <c r="X23">
        <f>HYPERLINK("https://klasma.github.io/Logging_2085/tillsyn/A 55406-2025 tillsynsbegäran.docx", "A 55406-2025")</f>
        <v/>
      </c>
      <c r="Y23">
        <f>HYPERLINK("https://klasma.github.io/Logging_2085/tillsynsmail/A 55406-2025 tillsynsbegäran mail.docx", "A 55406-2025")</f>
        <v/>
      </c>
    </row>
    <row r="24" ht="15" customHeight="1">
      <c r="A24" t="inlineStr">
        <is>
          <t>A 33885-2025</t>
        </is>
      </c>
      <c r="B24" s="1" t="n">
        <v>45842</v>
      </c>
      <c r="C24" s="1" t="n">
        <v>46194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2.6</v>
      </c>
      <c r="H24" t="n">
        <v>2</v>
      </c>
      <c r="I24" t="n">
        <v>1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6</v>
      </c>
      <c r="R24" s="2" t="inlineStr">
        <is>
          <t>Garnlav
Knärot
Dropptaggsvamp
Ullticka
Nästlav
Tjäder</t>
        </is>
      </c>
      <c r="S24">
        <f>HYPERLINK("https://klasma.github.io/Logging_2085/artfynd/A 33885-2025 artfynd.xlsx", "A 33885-2025")</f>
        <v/>
      </c>
      <c r="T24">
        <f>HYPERLINK("https://klasma.github.io/Logging_2085/kartor/A 33885-2025 karta.png", "A 33885-2025")</f>
        <v/>
      </c>
      <c r="U24">
        <f>HYPERLINK("https://klasma.github.io/Logging_2085/knärot/A 33885-2025 karta knärot.png", "A 33885-2025")</f>
        <v/>
      </c>
      <c r="V24">
        <f>HYPERLINK("https://klasma.github.io/Logging_2085/klagomål/A 33885-2025 FSC-klagomål.docx", "A 33885-2025")</f>
        <v/>
      </c>
      <c r="W24">
        <f>HYPERLINK("https://klasma.github.io/Logging_2085/klagomålsmail/A 33885-2025 FSC-klagomål mail.docx", "A 33885-2025")</f>
        <v/>
      </c>
      <c r="X24">
        <f>HYPERLINK("https://klasma.github.io/Logging_2085/tillsyn/A 33885-2025 tillsynsbegäran.docx", "A 33885-2025")</f>
        <v/>
      </c>
      <c r="Y24">
        <f>HYPERLINK("https://klasma.github.io/Logging_2085/tillsynsmail/A 33885-2025 tillsynsbegäran mail.docx", "A 33885-2025")</f>
        <v/>
      </c>
      <c r="Z24">
        <f>HYPERLINK("https://klasma.github.io/Logging_2085/fåglar/A 33885-2025 prioriterade fågelarter.docx", "A 33885-2025")</f>
        <v/>
      </c>
    </row>
    <row r="25" ht="15" customHeight="1">
      <c r="A25" t="inlineStr">
        <is>
          <t>A 49775-2025</t>
        </is>
      </c>
      <c r="B25" s="1" t="n">
        <v>45940</v>
      </c>
      <c r="C25" s="1" t="n">
        <v>46194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25.5</v>
      </c>
      <c r="H25" t="n">
        <v>3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6</v>
      </c>
      <c r="R25" s="2" t="inlineStr">
        <is>
          <t>Garnlav
Kolflarnlav
Tretåig hackspett
Mindre märgborre
Järpe
Orre</t>
        </is>
      </c>
      <c r="S25">
        <f>HYPERLINK("https://klasma.github.io/Logging_2085/artfynd/A 49775-2025 artfynd.xlsx", "A 49775-2025")</f>
        <v/>
      </c>
      <c r="T25">
        <f>HYPERLINK("https://klasma.github.io/Logging_2085/kartor/A 49775-2025 karta.png", "A 49775-2025")</f>
        <v/>
      </c>
      <c r="V25">
        <f>HYPERLINK("https://klasma.github.io/Logging_2085/klagomål/A 49775-2025 FSC-klagomål.docx", "A 49775-2025")</f>
        <v/>
      </c>
      <c r="W25">
        <f>HYPERLINK("https://klasma.github.io/Logging_2085/klagomålsmail/A 49775-2025 FSC-klagomål mail.docx", "A 49775-2025")</f>
        <v/>
      </c>
      <c r="X25">
        <f>HYPERLINK("https://klasma.github.io/Logging_2085/tillsyn/A 49775-2025 tillsynsbegäran.docx", "A 49775-2025")</f>
        <v/>
      </c>
      <c r="Y25">
        <f>HYPERLINK("https://klasma.github.io/Logging_2085/tillsynsmail/A 49775-2025 tillsynsbegäran mail.docx", "A 49775-2025")</f>
        <v/>
      </c>
      <c r="Z25">
        <f>HYPERLINK("https://klasma.github.io/Logging_2085/fåglar/A 49775-2025 prioriterade fågelarter.docx", "A 49775-2025")</f>
        <v/>
      </c>
    </row>
    <row r="26" ht="15" customHeight="1">
      <c r="A26" t="inlineStr">
        <is>
          <t>A 63299-2025</t>
        </is>
      </c>
      <c r="B26" s="1" t="n">
        <v>46010</v>
      </c>
      <c r="C26" s="1" t="n">
        <v>46194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1.4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6</v>
      </c>
      <c r="R26" s="2" t="inlineStr">
        <is>
          <t>Garnlav
Skrovlig taggsvamp
Blå taggsvamp
Motaggsvamp
Talltaggsvamp
Tjäder</t>
        </is>
      </c>
      <c r="S26">
        <f>HYPERLINK("https://klasma.github.io/Logging_2085/artfynd/A 63299-2025 artfynd.xlsx", "A 63299-2025")</f>
        <v/>
      </c>
      <c r="T26">
        <f>HYPERLINK("https://klasma.github.io/Logging_2085/kartor/A 63299-2025 karta.png", "A 63299-2025")</f>
        <v/>
      </c>
      <c r="V26">
        <f>HYPERLINK("https://klasma.github.io/Logging_2085/klagomål/A 63299-2025 FSC-klagomål.docx", "A 63299-2025")</f>
        <v/>
      </c>
      <c r="W26">
        <f>HYPERLINK("https://klasma.github.io/Logging_2085/klagomålsmail/A 63299-2025 FSC-klagomål mail.docx", "A 63299-2025")</f>
        <v/>
      </c>
      <c r="X26">
        <f>HYPERLINK("https://klasma.github.io/Logging_2085/tillsyn/A 63299-2025 tillsynsbegäran.docx", "A 63299-2025")</f>
        <v/>
      </c>
      <c r="Y26">
        <f>HYPERLINK("https://klasma.github.io/Logging_2085/tillsynsmail/A 63299-2025 tillsynsbegäran mail.docx", "A 63299-2025")</f>
        <v/>
      </c>
      <c r="Z26">
        <f>HYPERLINK("https://klasma.github.io/Logging_2085/fåglar/A 63299-2025 prioriterade fågelarter.docx", "A 63299-2025")</f>
        <v/>
      </c>
    </row>
    <row r="27" ht="15" customHeight="1">
      <c r="A27" t="inlineStr">
        <is>
          <t>A 23862-2026</t>
        </is>
      </c>
      <c r="B27" s="1" t="n">
        <v>46167</v>
      </c>
      <c r="C27" s="1" t="n">
        <v>46194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4.5</v>
      </c>
      <c r="H27" t="n">
        <v>1</v>
      </c>
      <c r="I27" t="n">
        <v>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6</v>
      </c>
      <c r="R27" s="2" t="inlineStr">
        <is>
          <t>Bårdlav
Dvärgtufs
Korallblylav
Skinnlav
Stuplav
Utter</t>
        </is>
      </c>
      <c r="S27">
        <f>HYPERLINK("https://klasma.github.io/Logging_2085/artfynd/A 23862-2026 artfynd.xlsx", "A 23862-2026")</f>
        <v/>
      </c>
      <c r="T27">
        <f>HYPERLINK("https://klasma.github.io/Logging_2085/kartor/A 23862-2026 karta.png", "A 23862-2026")</f>
        <v/>
      </c>
      <c r="V27">
        <f>HYPERLINK("https://klasma.github.io/Logging_2085/klagomål/A 23862-2026 FSC-klagomål.docx", "A 23862-2026")</f>
        <v/>
      </c>
      <c r="W27">
        <f>HYPERLINK("https://klasma.github.io/Logging_2085/klagomålsmail/A 23862-2026 FSC-klagomål mail.docx", "A 23862-2026")</f>
        <v/>
      </c>
      <c r="X27">
        <f>HYPERLINK("https://klasma.github.io/Logging_2085/tillsyn/A 23862-2026 tillsynsbegäran.docx", "A 23862-2026")</f>
        <v/>
      </c>
      <c r="Y27">
        <f>HYPERLINK("https://klasma.github.io/Logging_2085/tillsynsmail/A 23862-2026 tillsynsbegäran mail.docx", "A 23862-2026")</f>
        <v/>
      </c>
    </row>
    <row r="28" ht="15" customHeight="1">
      <c r="A28" t="inlineStr">
        <is>
          <t>A 23681-2026</t>
        </is>
      </c>
      <c r="B28" s="1" t="n">
        <v>46163</v>
      </c>
      <c r="C28" s="1" t="n">
        <v>46194</v>
      </c>
      <c r="D28" t="inlineStr">
        <is>
          <t>DALARNAS LÄN</t>
        </is>
      </c>
      <c r="E28" t="inlineStr">
        <is>
          <t>LUDVIKA</t>
        </is>
      </c>
      <c r="G28" t="n">
        <v>6.2</v>
      </c>
      <c r="H28" t="n">
        <v>3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6</v>
      </c>
      <c r="R28" s="2" t="inlineStr">
        <is>
          <t>Dropptaggsvamp
Tretåig hackspett
Blodticka
Mindre märgborre
Järpe
Spillkråka</t>
        </is>
      </c>
      <c r="S28">
        <f>HYPERLINK("https://klasma.github.io/Logging_2085/artfynd/A 23681-2026 artfynd.xlsx", "A 23681-2026")</f>
        <v/>
      </c>
      <c r="T28">
        <f>HYPERLINK("https://klasma.github.io/Logging_2085/kartor/A 23681-2026 karta.png", "A 23681-2026")</f>
        <v/>
      </c>
      <c r="V28">
        <f>HYPERLINK("https://klasma.github.io/Logging_2085/klagomål/A 23681-2026 FSC-klagomål.docx", "A 23681-2026")</f>
        <v/>
      </c>
      <c r="W28">
        <f>HYPERLINK("https://klasma.github.io/Logging_2085/klagomålsmail/A 23681-2026 FSC-klagomål mail.docx", "A 23681-2026")</f>
        <v/>
      </c>
      <c r="X28">
        <f>HYPERLINK("https://klasma.github.io/Logging_2085/tillsyn/A 23681-2026 tillsynsbegäran.docx", "A 23681-2026")</f>
        <v/>
      </c>
      <c r="Y28">
        <f>HYPERLINK("https://klasma.github.io/Logging_2085/tillsynsmail/A 23681-2026 tillsynsbegäran mail.docx", "A 23681-2026")</f>
        <v/>
      </c>
      <c r="Z28">
        <f>HYPERLINK("https://klasma.github.io/Logging_2085/fåglar/A 23681-2026 prioriterade fågelarter.docx", "A 23681-2026")</f>
        <v/>
      </c>
    </row>
    <row r="29" ht="15" customHeight="1">
      <c r="A29" t="inlineStr">
        <is>
          <t>A 59946-2025</t>
        </is>
      </c>
      <c r="B29" s="1" t="n">
        <v>45993</v>
      </c>
      <c r="C29" s="1" t="n">
        <v>46194</v>
      </c>
      <c r="D29" t="inlineStr">
        <is>
          <t>DALARNAS LÄN</t>
        </is>
      </c>
      <c r="E29" t="inlineStr">
        <is>
          <t>LUDVIKA</t>
        </is>
      </c>
      <c r="G29" t="n">
        <v>2.3</v>
      </c>
      <c r="H29" t="n">
        <v>2</v>
      </c>
      <c r="I29" t="n">
        <v>1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6</v>
      </c>
      <c r="R29" s="2" t="inlineStr">
        <is>
          <t>Garnlav
Knärot
Kolflarnlav
Mörk kolflarnlav
Tretåig hackspett
Mindre märgborre</t>
        </is>
      </c>
      <c r="S29">
        <f>HYPERLINK("https://klasma.github.io/Logging_2085/artfynd/A 59946-2025 artfynd.xlsx", "A 59946-2025")</f>
        <v/>
      </c>
      <c r="T29">
        <f>HYPERLINK("https://klasma.github.io/Logging_2085/kartor/A 59946-2025 karta.png", "A 59946-2025")</f>
        <v/>
      </c>
      <c r="U29">
        <f>HYPERLINK("https://klasma.github.io/Logging_2085/knärot/A 59946-2025 karta knärot.png", "A 59946-2025")</f>
        <v/>
      </c>
      <c r="V29">
        <f>HYPERLINK("https://klasma.github.io/Logging_2085/klagomål/A 59946-2025 FSC-klagomål.docx", "A 59946-2025")</f>
        <v/>
      </c>
      <c r="W29">
        <f>HYPERLINK("https://klasma.github.io/Logging_2085/klagomålsmail/A 59946-2025 FSC-klagomål mail.docx", "A 59946-2025")</f>
        <v/>
      </c>
      <c r="X29">
        <f>HYPERLINK("https://klasma.github.io/Logging_2085/tillsyn/A 59946-2025 tillsynsbegäran.docx", "A 59946-2025")</f>
        <v/>
      </c>
      <c r="Y29">
        <f>HYPERLINK("https://klasma.github.io/Logging_2085/tillsynsmail/A 59946-2025 tillsynsbegäran mail.docx", "A 59946-2025")</f>
        <v/>
      </c>
      <c r="Z29">
        <f>HYPERLINK("https://klasma.github.io/Logging_2085/fåglar/A 59946-2025 prioriterade fågelarter.docx", "A 59946-2025")</f>
        <v/>
      </c>
    </row>
    <row r="30" ht="15" customHeight="1">
      <c r="A30" t="inlineStr">
        <is>
          <t>A 22195-2025</t>
        </is>
      </c>
      <c r="B30" s="1" t="n">
        <v>45785</v>
      </c>
      <c r="C30" s="1" t="n">
        <v>46194</v>
      </c>
      <c r="D30" t="inlineStr">
        <is>
          <t>DALARNAS LÄN</t>
        </is>
      </c>
      <c r="E30" t="inlineStr">
        <is>
          <t>LUDVIKA</t>
        </is>
      </c>
      <c r="G30" t="n">
        <v>7.4</v>
      </c>
      <c r="H30" t="n">
        <v>5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Garnlav
Entita
Talltita
Tretåig hackspett
Spillkråka
Tjäder</t>
        </is>
      </c>
      <c r="S30">
        <f>HYPERLINK("https://klasma.github.io/Logging_2085/artfynd/A 22195-2025 artfynd.xlsx", "A 22195-2025")</f>
        <v/>
      </c>
      <c r="T30">
        <f>HYPERLINK("https://klasma.github.io/Logging_2085/kartor/A 22195-2025 karta.png", "A 22195-2025")</f>
        <v/>
      </c>
      <c r="V30">
        <f>HYPERLINK("https://klasma.github.io/Logging_2085/klagomål/A 22195-2025 FSC-klagomål.docx", "A 22195-2025")</f>
        <v/>
      </c>
      <c r="W30">
        <f>HYPERLINK("https://klasma.github.io/Logging_2085/klagomålsmail/A 22195-2025 FSC-klagomål mail.docx", "A 22195-2025")</f>
        <v/>
      </c>
      <c r="X30">
        <f>HYPERLINK("https://klasma.github.io/Logging_2085/tillsyn/A 22195-2025 tillsynsbegäran.docx", "A 22195-2025")</f>
        <v/>
      </c>
      <c r="Y30">
        <f>HYPERLINK("https://klasma.github.io/Logging_2085/tillsynsmail/A 22195-2025 tillsynsbegäran mail.docx", "A 22195-2025")</f>
        <v/>
      </c>
      <c r="Z30">
        <f>HYPERLINK("https://klasma.github.io/Logging_2085/fåglar/A 22195-2025 prioriterade fågelarter.docx", "A 22195-2025")</f>
        <v/>
      </c>
    </row>
    <row r="31" ht="15" customHeight="1">
      <c r="A31" t="inlineStr">
        <is>
          <t>A 19717-2022</t>
        </is>
      </c>
      <c r="B31" s="1" t="n">
        <v>44694</v>
      </c>
      <c r="C31" s="1" t="n">
        <v>46194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1.1</v>
      </c>
      <c r="H31" t="n">
        <v>0</v>
      </c>
      <c r="I31" t="n">
        <v>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5</v>
      </c>
      <c r="R31" s="2" t="inlineStr">
        <is>
          <t>Aspgelélav
Bårdlav
Dvärgtufs
Skinnlav
Vedticka</t>
        </is>
      </c>
      <c r="S31">
        <f>HYPERLINK("https://klasma.github.io/Logging_2085/artfynd/A 19717-2022 artfynd.xlsx", "A 19717-2022")</f>
        <v/>
      </c>
      <c r="T31">
        <f>HYPERLINK("https://klasma.github.io/Logging_2085/kartor/A 19717-2022 karta.png", "A 19717-2022")</f>
        <v/>
      </c>
      <c r="V31">
        <f>HYPERLINK("https://klasma.github.io/Logging_2085/klagomål/A 19717-2022 FSC-klagomål.docx", "A 19717-2022")</f>
        <v/>
      </c>
      <c r="W31">
        <f>HYPERLINK("https://klasma.github.io/Logging_2085/klagomålsmail/A 19717-2022 FSC-klagomål mail.docx", "A 19717-2022")</f>
        <v/>
      </c>
      <c r="X31">
        <f>HYPERLINK("https://klasma.github.io/Logging_2085/tillsyn/A 19717-2022 tillsynsbegäran.docx", "A 19717-2022")</f>
        <v/>
      </c>
      <c r="Y31">
        <f>HYPERLINK("https://klasma.github.io/Logging_2085/tillsynsmail/A 19717-2022 tillsynsbegäran mail.docx", "A 19717-2022")</f>
        <v/>
      </c>
    </row>
    <row r="32" ht="15" customHeight="1">
      <c r="A32" t="inlineStr">
        <is>
          <t>A 37639-2024</t>
        </is>
      </c>
      <c r="B32" s="1" t="n">
        <v>45541</v>
      </c>
      <c r="C32" s="1" t="n">
        <v>46194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Garnlav
Lunglav
Violettgrå tagellav
Gulnål
Korallblylav</t>
        </is>
      </c>
      <c r="S32">
        <f>HYPERLINK("https://klasma.github.io/Logging_2085/artfynd/A 37639-2024 artfynd.xlsx", "A 37639-2024")</f>
        <v/>
      </c>
      <c r="T32">
        <f>HYPERLINK("https://klasma.github.io/Logging_2085/kartor/A 37639-2024 karta.png", "A 37639-2024")</f>
        <v/>
      </c>
      <c r="V32">
        <f>HYPERLINK("https://klasma.github.io/Logging_2085/klagomål/A 37639-2024 FSC-klagomål.docx", "A 37639-2024")</f>
        <v/>
      </c>
      <c r="W32">
        <f>HYPERLINK("https://klasma.github.io/Logging_2085/klagomålsmail/A 37639-2024 FSC-klagomål mail.docx", "A 37639-2024")</f>
        <v/>
      </c>
      <c r="X32">
        <f>HYPERLINK("https://klasma.github.io/Logging_2085/tillsyn/A 37639-2024 tillsynsbegäran.docx", "A 37639-2024")</f>
        <v/>
      </c>
      <c r="Y32">
        <f>HYPERLINK("https://klasma.github.io/Logging_2085/tillsynsmail/A 37639-2024 tillsynsbegäran mail.docx", "A 37639-2024")</f>
        <v/>
      </c>
    </row>
    <row r="33" ht="15" customHeight="1">
      <c r="A33" t="inlineStr">
        <is>
          <t>A 47287-2025</t>
        </is>
      </c>
      <c r="B33" s="1" t="n">
        <v>45930</v>
      </c>
      <c r="C33" s="1" t="n">
        <v>46194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8.4</v>
      </c>
      <c r="H33" t="n">
        <v>3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Garnlav
Lunglav
Talltita
Tretåig hackspett
Järpe</t>
        </is>
      </c>
      <c r="S33">
        <f>HYPERLINK("https://klasma.github.io/Logging_2085/artfynd/A 47287-2025 artfynd.xlsx", "A 47287-2025")</f>
        <v/>
      </c>
      <c r="T33">
        <f>HYPERLINK("https://klasma.github.io/Logging_2085/kartor/A 47287-2025 karta.png", "A 47287-2025")</f>
        <v/>
      </c>
      <c r="V33">
        <f>HYPERLINK("https://klasma.github.io/Logging_2085/klagomål/A 47287-2025 FSC-klagomål.docx", "A 47287-2025")</f>
        <v/>
      </c>
      <c r="W33">
        <f>HYPERLINK("https://klasma.github.io/Logging_2085/klagomålsmail/A 47287-2025 FSC-klagomål mail.docx", "A 47287-2025")</f>
        <v/>
      </c>
      <c r="X33">
        <f>HYPERLINK("https://klasma.github.io/Logging_2085/tillsyn/A 47287-2025 tillsynsbegäran.docx", "A 47287-2025")</f>
        <v/>
      </c>
      <c r="Y33">
        <f>HYPERLINK("https://klasma.github.io/Logging_2085/tillsynsmail/A 47287-2025 tillsynsbegäran mail.docx", "A 47287-2025")</f>
        <v/>
      </c>
      <c r="Z33">
        <f>HYPERLINK("https://klasma.github.io/Logging_2085/fåglar/A 47287-2025 prioriterade fågelarter.docx", "A 47287-2025")</f>
        <v/>
      </c>
    </row>
    <row r="34" ht="15" customHeight="1">
      <c r="A34" t="inlineStr">
        <is>
          <t>A 23711-2026</t>
        </is>
      </c>
      <c r="B34" s="1" t="n">
        <v>46163</v>
      </c>
      <c r="C34" s="1" t="n">
        <v>46194</v>
      </c>
      <c r="D34" t="inlineStr">
        <is>
          <t>DALARNAS LÄN</t>
        </is>
      </c>
      <c r="E34" t="inlineStr">
        <is>
          <t>LUDVIKA</t>
        </is>
      </c>
      <c r="G34" t="n">
        <v>1.4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5</v>
      </c>
      <c r="R34" s="2" t="inlineStr">
        <is>
          <t>Garnlav
Mindre märgborre
Järpe
Spillkråka
Timmerticka</t>
        </is>
      </c>
      <c r="S34">
        <f>HYPERLINK("https://klasma.github.io/Logging_2085/artfynd/A 23711-2026 artfynd.xlsx", "A 23711-2026")</f>
        <v/>
      </c>
      <c r="T34">
        <f>HYPERLINK("https://klasma.github.io/Logging_2085/kartor/A 23711-2026 karta.png", "A 23711-2026")</f>
        <v/>
      </c>
      <c r="V34">
        <f>HYPERLINK("https://klasma.github.io/Logging_2085/klagomål/A 23711-2026 FSC-klagomål.docx", "A 23711-2026")</f>
        <v/>
      </c>
      <c r="W34">
        <f>HYPERLINK("https://klasma.github.io/Logging_2085/klagomålsmail/A 23711-2026 FSC-klagomål mail.docx", "A 23711-2026")</f>
        <v/>
      </c>
      <c r="X34">
        <f>HYPERLINK("https://klasma.github.io/Logging_2085/tillsyn/A 23711-2026 tillsynsbegäran.docx", "A 23711-2026")</f>
        <v/>
      </c>
      <c r="Y34">
        <f>HYPERLINK("https://klasma.github.io/Logging_2085/tillsynsmail/A 23711-2026 tillsynsbegäran mail.docx", "A 23711-2026")</f>
        <v/>
      </c>
      <c r="Z34">
        <f>HYPERLINK("https://klasma.github.io/Logging_2085/fåglar/A 23711-2026 prioriterade fågelarter.docx", "A 23711-2026")</f>
        <v/>
      </c>
    </row>
    <row r="35" ht="15" customHeight="1">
      <c r="A35" t="inlineStr">
        <is>
          <t>A 63164-2025</t>
        </is>
      </c>
      <c r="B35" s="1" t="n">
        <v>46010</v>
      </c>
      <c r="C35" s="1" t="n">
        <v>46194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3.6</v>
      </c>
      <c r="H35" t="n">
        <v>1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Garnlav
Doftskinn
Gammelgransskål
Vedskivlav
Tjäder</t>
        </is>
      </c>
      <c r="S35">
        <f>HYPERLINK("https://klasma.github.io/Logging_2085/artfynd/A 63164-2025 artfynd.xlsx", "A 63164-2025")</f>
        <v/>
      </c>
      <c r="T35">
        <f>HYPERLINK("https://klasma.github.io/Logging_2085/kartor/A 63164-2025 karta.png", "A 63164-2025")</f>
        <v/>
      </c>
      <c r="V35">
        <f>HYPERLINK("https://klasma.github.io/Logging_2085/klagomål/A 63164-2025 FSC-klagomål.docx", "A 63164-2025")</f>
        <v/>
      </c>
      <c r="W35">
        <f>HYPERLINK("https://klasma.github.io/Logging_2085/klagomålsmail/A 63164-2025 FSC-klagomål mail.docx", "A 63164-2025")</f>
        <v/>
      </c>
      <c r="X35">
        <f>HYPERLINK("https://klasma.github.io/Logging_2085/tillsyn/A 63164-2025 tillsynsbegäran.docx", "A 63164-2025")</f>
        <v/>
      </c>
      <c r="Y35">
        <f>HYPERLINK("https://klasma.github.io/Logging_2085/tillsynsmail/A 63164-2025 tillsynsbegäran mail.docx", "A 63164-2025")</f>
        <v/>
      </c>
      <c r="Z35">
        <f>HYPERLINK("https://klasma.github.io/Logging_2085/fåglar/A 63164-2025 prioriterade fågelarter.docx", "A 63164-2025")</f>
        <v/>
      </c>
    </row>
    <row r="36" ht="15" customHeight="1">
      <c r="A36" t="inlineStr">
        <is>
          <t>A 23491-2026</t>
        </is>
      </c>
      <c r="B36" s="1" t="n">
        <v>46163</v>
      </c>
      <c r="C36" s="1" t="n">
        <v>46194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7.9</v>
      </c>
      <c r="H36" t="n">
        <v>4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Garnlav
Tretåig hackspett
Korallrot
Spillkråka
Tjäder</t>
        </is>
      </c>
      <c r="S36">
        <f>HYPERLINK("https://klasma.github.io/Logging_2085/artfynd/A 23491-2026 artfynd.xlsx", "A 23491-2026")</f>
        <v/>
      </c>
      <c r="T36">
        <f>HYPERLINK("https://klasma.github.io/Logging_2085/kartor/A 23491-2026 karta.png", "A 23491-2026")</f>
        <v/>
      </c>
      <c r="V36">
        <f>HYPERLINK("https://klasma.github.io/Logging_2085/klagomål/A 23491-2026 FSC-klagomål.docx", "A 23491-2026")</f>
        <v/>
      </c>
      <c r="W36">
        <f>HYPERLINK("https://klasma.github.io/Logging_2085/klagomålsmail/A 23491-2026 FSC-klagomål mail.docx", "A 23491-2026")</f>
        <v/>
      </c>
      <c r="X36">
        <f>HYPERLINK("https://klasma.github.io/Logging_2085/tillsyn/A 23491-2026 tillsynsbegäran.docx", "A 23491-2026")</f>
        <v/>
      </c>
      <c r="Y36">
        <f>HYPERLINK("https://klasma.github.io/Logging_2085/tillsynsmail/A 23491-2026 tillsynsbegäran mail.docx", "A 23491-2026")</f>
        <v/>
      </c>
      <c r="Z36">
        <f>HYPERLINK("https://klasma.github.io/Logging_2085/fåglar/A 23491-2026 prioriterade fågelarter.docx", "A 23491-2026")</f>
        <v/>
      </c>
    </row>
    <row r="37" ht="15" customHeight="1">
      <c r="A37" t="inlineStr">
        <is>
          <t>A 44535-2021</t>
        </is>
      </c>
      <c r="B37" s="1" t="n">
        <v>44435</v>
      </c>
      <c r="C37" s="1" t="n">
        <v>46194</v>
      </c>
      <c r="D37" t="inlineStr">
        <is>
          <t>DALARNAS LÄN</t>
        </is>
      </c>
      <c r="E37" t="inlineStr">
        <is>
          <t>LUDVIKA</t>
        </is>
      </c>
      <c r="G37" t="n">
        <v>3.6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Dropptaggsvamp
Vedskivlav
Rävticka
Spillkråka</t>
        </is>
      </c>
      <c r="S37">
        <f>HYPERLINK("https://klasma.github.io/Logging_2085/artfynd/A 44535-2021 artfynd.xlsx", "A 44535-2021")</f>
        <v/>
      </c>
      <c r="T37">
        <f>HYPERLINK("https://klasma.github.io/Logging_2085/kartor/A 44535-2021 karta.png", "A 44535-2021")</f>
        <v/>
      </c>
      <c r="V37">
        <f>HYPERLINK("https://klasma.github.io/Logging_2085/klagomål/A 44535-2021 FSC-klagomål.docx", "A 44535-2021")</f>
        <v/>
      </c>
      <c r="W37">
        <f>HYPERLINK("https://klasma.github.io/Logging_2085/klagomålsmail/A 44535-2021 FSC-klagomål mail.docx", "A 44535-2021")</f>
        <v/>
      </c>
      <c r="X37">
        <f>HYPERLINK("https://klasma.github.io/Logging_2085/tillsyn/A 44535-2021 tillsynsbegäran.docx", "A 44535-2021")</f>
        <v/>
      </c>
      <c r="Y37">
        <f>HYPERLINK("https://klasma.github.io/Logging_2085/tillsynsmail/A 44535-2021 tillsynsbegäran mail.docx", "A 44535-2021")</f>
        <v/>
      </c>
      <c r="Z37">
        <f>HYPERLINK("https://klasma.github.io/Logging_2085/fåglar/A 44535-2021 prioriterade fågelarter.docx", "A 44535-2021")</f>
        <v/>
      </c>
    </row>
    <row r="38" ht="15" customHeight="1">
      <c r="A38" t="inlineStr">
        <is>
          <t>A 32054-2021</t>
        </is>
      </c>
      <c r="B38" s="1" t="n">
        <v>44370</v>
      </c>
      <c r="C38" s="1" t="n">
        <v>46194</v>
      </c>
      <c r="D38" t="inlineStr">
        <is>
          <t>DALARNAS LÄN</t>
        </is>
      </c>
      <c r="E38" t="inlineStr">
        <is>
          <t>LUDVIKA</t>
        </is>
      </c>
      <c r="G38" t="n">
        <v>28.7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Garnlav
Kortskaftad ärgspik
Tretåig hackspett
Spillkråka</t>
        </is>
      </c>
      <c r="S38">
        <f>HYPERLINK("https://klasma.github.io/Logging_2085/artfynd/A 32054-2021 artfynd.xlsx", "A 32054-2021")</f>
        <v/>
      </c>
      <c r="T38">
        <f>HYPERLINK("https://klasma.github.io/Logging_2085/kartor/A 32054-2021 karta.png", "A 32054-2021")</f>
        <v/>
      </c>
      <c r="V38">
        <f>HYPERLINK("https://klasma.github.io/Logging_2085/klagomål/A 32054-2021 FSC-klagomål.docx", "A 32054-2021")</f>
        <v/>
      </c>
      <c r="W38">
        <f>HYPERLINK("https://klasma.github.io/Logging_2085/klagomålsmail/A 32054-2021 FSC-klagomål mail.docx", "A 32054-2021")</f>
        <v/>
      </c>
      <c r="X38">
        <f>HYPERLINK("https://klasma.github.io/Logging_2085/tillsyn/A 32054-2021 tillsynsbegäran.docx", "A 32054-2021")</f>
        <v/>
      </c>
      <c r="Y38">
        <f>HYPERLINK("https://klasma.github.io/Logging_2085/tillsynsmail/A 32054-2021 tillsynsbegäran mail.docx", "A 32054-2021")</f>
        <v/>
      </c>
      <c r="Z38">
        <f>HYPERLINK("https://klasma.github.io/Logging_2085/fåglar/A 32054-2021 prioriterade fågelarter.docx", "A 32054-2021")</f>
        <v/>
      </c>
    </row>
    <row r="39" ht="15" customHeight="1">
      <c r="A39" t="inlineStr">
        <is>
          <t>A 46721-2025</t>
        </is>
      </c>
      <c r="B39" s="1" t="n">
        <v>45926</v>
      </c>
      <c r="C39" s="1" t="n">
        <v>46194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8.800000000000001</v>
      </c>
      <c r="H39" t="n">
        <v>3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Talltita
Tretåig hackspett
Vedskivlav
Järpe</t>
        </is>
      </c>
      <c r="S39">
        <f>HYPERLINK("https://klasma.github.io/Logging_2085/artfynd/A 46721-2025 artfynd.xlsx", "A 46721-2025")</f>
        <v/>
      </c>
      <c r="T39">
        <f>HYPERLINK("https://klasma.github.io/Logging_2085/kartor/A 46721-2025 karta.png", "A 46721-2025")</f>
        <v/>
      </c>
      <c r="V39">
        <f>HYPERLINK("https://klasma.github.io/Logging_2085/klagomål/A 46721-2025 FSC-klagomål.docx", "A 46721-2025")</f>
        <v/>
      </c>
      <c r="W39">
        <f>HYPERLINK("https://klasma.github.io/Logging_2085/klagomålsmail/A 46721-2025 FSC-klagomål mail.docx", "A 46721-2025")</f>
        <v/>
      </c>
      <c r="X39">
        <f>HYPERLINK("https://klasma.github.io/Logging_2085/tillsyn/A 46721-2025 tillsynsbegäran.docx", "A 46721-2025")</f>
        <v/>
      </c>
      <c r="Y39">
        <f>HYPERLINK("https://klasma.github.io/Logging_2085/tillsynsmail/A 46721-2025 tillsynsbegäran mail.docx", "A 46721-2025")</f>
        <v/>
      </c>
      <c r="Z39">
        <f>HYPERLINK("https://klasma.github.io/Logging_2085/fåglar/A 46721-2025 prioriterade fågelarter.docx", "A 46721-2025")</f>
        <v/>
      </c>
    </row>
    <row r="40" ht="15" customHeight="1">
      <c r="A40" t="inlineStr">
        <is>
          <t>A 51928-2024</t>
        </is>
      </c>
      <c r="B40" s="1" t="n">
        <v>45607</v>
      </c>
      <c r="C40" s="1" t="n">
        <v>46194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27.9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Brunpudrad nållav
Gulnål
Kornig nållav
Vedticka</t>
        </is>
      </c>
      <c r="S40">
        <f>HYPERLINK("https://klasma.github.io/Logging_2085/artfynd/A 51928-2024 artfynd.xlsx", "A 51928-2024")</f>
        <v/>
      </c>
      <c r="T40">
        <f>HYPERLINK("https://klasma.github.io/Logging_2085/kartor/A 51928-2024 karta.png", "A 51928-2024")</f>
        <v/>
      </c>
      <c r="V40">
        <f>HYPERLINK("https://klasma.github.io/Logging_2085/klagomål/A 51928-2024 FSC-klagomål.docx", "A 51928-2024")</f>
        <v/>
      </c>
      <c r="W40">
        <f>HYPERLINK("https://klasma.github.io/Logging_2085/klagomålsmail/A 51928-2024 FSC-klagomål mail.docx", "A 51928-2024")</f>
        <v/>
      </c>
      <c r="X40">
        <f>HYPERLINK("https://klasma.github.io/Logging_2085/tillsyn/A 51928-2024 tillsynsbegäran.docx", "A 51928-2024")</f>
        <v/>
      </c>
      <c r="Y40">
        <f>HYPERLINK("https://klasma.github.io/Logging_2085/tillsynsmail/A 51928-2024 tillsynsbegäran mail.docx", "A 51928-2024")</f>
        <v/>
      </c>
    </row>
    <row r="41" ht="15" customHeight="1">
      <c r="A41" t="inlineStr">
        <is>
          <t>A 47044-2025</t>
        </is>
      </c>
      <c r="B41" s="1" t="n">
        <v>45929</v>
      </c>
      <c r="C41" s="1" t="n">
        <v>46194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2.7</v>
      </c>
      <c r="H41" t="n">
        <v>4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Duvhök
Tretåig hackspett
Järpe
Tjäder</t>
        </is>
      </c>
      <c r="S41">
        <f>HYPERLINK("https://klasma.github.io/Logging_2085/artfynd/A 47044-2025 artfynd.xlsx", "A 47044-2025")</f>
        <v/>
      </c>
      <c r="T41">
        <f>HYPERLINK("https://klasma.github.io/Logging_2085/kartor/A 47044-2025 karta.png", "A 47044-2025")</f>
        <v/>
      </c>
      <c r="V41">
        <f>HYPERLINK("https://klasma.github.io/Logging_2085/klagomål/A 47044-2025 FSC-klagomål.docx", "A 47044-2025")</f>
        <v/>
      </c>
      <c r="W41">
        <f>HYPERLINK("https://klasma.github.io/Logging_2085/klagomålsmail/A 47044-2025 FSC-klagomål mail.docx", "A 47044-2025")</f>
        <v/>
      </c>
      <c r="X41">
        <f>HYPERLINK("https://klasma.github.io/Logging_2085/tillsyn/A 47044-2025 tillsynsbegäran.docx", "A 47044-2025")</f>
        <v/>
      </c>
      <c r="Y41">
        <f>HYPERLINK("https://klasma.github.io/Logging_2085/tillsynsmail/A 47044-2025 tillsynsbegäran mail.docx", "A 47044-2025")</f>
        <v/>
      </c>
      <c r="Z41">
        <f>HYPERLINK("https://klasma.github.io/Logging_2085/fåglar/A 47044-2025 prioriterade fågelarter.docx", "A 47044-2025")</f>
        <v/>
      </c>
    </row>
    <row r="42" ht="15" customHeight="1">
      <c r="A42" t="inlineStr">
        <is>
          <t>A 58513-2025</t>
        </is>
      </c>
      <c r="B42" s="1" t="n">
        <v>45985</v>
      </c>
      <c r="C42" s="1" t="n">
        <v>46194</v>
      </c>
      <c r="D42" t="inlineStr">
        <is>
          <t>DALARNAS LÄN</t>
        </is>
      </c>
      <c r="E42" t="inlineStr">
        <is>
          <t>LUDVIKA</t>
        </is>
      </c>
      <c r="F42" t="inlineStr">
        <is>
          <t>Övriga Aktiebolag</t>
        </is>
      </c>
      <c r="G42" t="n">
        <v>7.2</v>
      </c>
      <c r="H42" t="n">
        <v>2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4</v>
      </c>
      <c r="R42" s="2" t="inlineStr">
        <is>
          <t>Garnlav
Tretåig hackspett
Gullgröppa
Spillkråka</t>
        </is>
      </c>
      <c r="S42">
        <f>HYPERLINK("https://klasma.github.io/Logging_2085/artfynd/A 58513-2025 artfynd.xlsx", "A 58513-2025")</f>
        <v/>
      </c>
      <c r="T42">
        <f>HYPERLINK("https://klasma.github.io/Logging_2085/kartor/A 58513-2025 karta.png", "A 58513-2025")</f>
        <v/>
      </c>
      <c r="V42">
        <f>HYPERLINK("https://klasma.github.io/Logging_2085/klagomål/A 58513-2025 FSC-klagomål.docx", "A 58513-2025")</f>
        <v/>
      </c>
      <c r="W42">
        <f>HYPERLINK("https://klasma.github.io/Logging_2085/klagomålsmail/A 58513-2025 FSC-klagomål mail.docx", "A 58513-2025")</f>
        <v/>
      </c>
      <c r="X42">
        <f>HYPERLINK("https://klasma.github.io/Logging_2085/tillsyn/A 58513-2025 tillsynsbegäran.docx", "A 58513-2025")</f>
        <v/>
      </c>
      <c r="Y42">
        <f>HYPERLINK("https://klasma.github.io/Logging_2085/tillsynsmail/A 58513-2025 tillsynsbegäran mail.docx", "A 58513-2025")</f>
        <v/>
      </c>
      <c r="Z42">
        <f>HYPERLINK("https://klasma.github.io/Logging_2085/fåglar/A 58513-2025 prioriterade fågelarter.docx", "A 58513-2025")</f>
        <v/>
      </c>
    </row>
    <row r="43" ht="15" customHeight="1">
      <c r="A43" t="inlineStr">
        <is>
          <t>A 49676-2024</t>
        </is>
      </c>
      <c r="B43" s="1" t="n">
        <v>45596</v>
      </c>
      <c r="C43" s="1" t="n">
        <v>46194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3.5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Garnlav
Dropptaggsvamp
Järpe
Spillkråka</t>
        </is>
      </c>
      <c r="S43">
        <f>HYPERLINK("https://klasma.github.io/Logging_2085/artfynd/A 49676-2024 artfynd.xlsx", "A 49676-2024")</f>
        <v/>
      </c>
      <c r="T43">
        <f>HYPERLINK("https://klasma.github.io/Logging_2085/kartor/A 49676-2024 karta.png", "A 49676-2024")</f>
        <v/>
      </c>
      <c r="V43">
        <f>HYPERLINK("https://klasma.github.io/Logging_2085/klagomål/A 49676-2024 FSC-klagomål.docx", "A 49676-2024")</f>
        <v/>
      </c>
      <c r="W43">
        <f>HYPERLINK("https://klasma.github.io/Logging_2085/klagomålsmail/A 49676-2024 FSC-klagomål mail.docx", "A 49676-2024")</f>
        <v/>
      </c>
      <c r="X43">
        <f>HYPERLINK("https://klasma.github.io/Logging_2085/tillsyn/A 49676-2024 tillsynsbegäran.docx", "A 49676-2024")</f>
        <v/>
      </c>
      <c r="Y43">
        <f>HYPERLINK("https://klasma.github.io/Logging_2085/tillsynsmail/A 49676-2024 tillsynsbegäran mail.docx", "A 49676-2024")</f>
        <v/>
      </c>
      <c r="Z43">
        <f>HYPERLINK("https://klasma.github.io/Logging_2085/fåglar/A 49676-2024 prioriterade fågelarter.docx", "A 49676-2024")</f>
        <v/>
      </c>
    </row>
    <row r="44" ht="15" customHeight="1">
      <c r="A44" t="inlineStr">
        <is>
          <t>A 57803-2023</t>
        </is>
      </c>
      <c r="B44" s="1" t="n">
        <v>45246</v>
      </c>
      <c r="C44" s="1" t="n">
        <v>46194</v>
      </c>
      <c r="D44" t="inlineStr">
        <is>
          <t>DALARNAS LÄN</t>
        </is>
      </c>
      <c r="E44" t="inlineStr">
        <is>
          <t>LUDVIKA</t>
        </is>
      </c>
      <c r="G44" t="n">
        <v>3.3</v>
      </c>
      <c r="H44" t="n">
        <v>3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4</v>
      </c>
      <c r="R44" s="2" t="inlineStr">
        <is>
          <t>Garnlav
Spillkråka
Tjäder
Gröngöling</t>
        </is>
      </c>
      <c r="S44">
        <f>HYPERLINK("https://klasma.github.io/Logging_2085/artfynd/A 57803-2023 artfynd.xlsx", "A 57803-2023")</f>
        <v/>
      </c>
      <c r="T44">
        <f>HYPERLINK("https://klasma.github.io/Logging_2085/kartor/A 57803-2023 karta.png", "A 57803-2023")</f>
        <v/>
      </c>
      <c r="V44">
        <f>HYPERLINK("https://klasma.github.io/Logging_2085/klagomål/A 57803-2023 FSC-klagomål.docx", "A 57803-2023")</f>
        <v/>
      </c>
      <c r="W44">
        <f>HYPERLINK("https://klasma.github.io/Logging_2085/klagomålsmail/A 57803-2023 FSC-klagomål mail.docx", "A 57803-2023")</f>
        <v/>
      </c>
      <c r="X44">
        <f>HYPERLINK("https://klasma.github.io/Logging_2085/tillsyn/A 57803-2023 tillsynsbegäran.docx", "A 57803-2023")</f>
        <v/>
      </c>
      <c r="Y44">
        <f>HYPERLINK("https://klasma.github.io/Logging_2085/tillsynsmail/A 57803-2023 tillsynsbegäran mail.docx", "A 57803-2023")</f>
        <v/>
      </c>
      <c r="Z44">
        <f>HYPERLINK("https://klasma.github.io/Logging_2085/fåglar/A 57803-2023 prioriterade fågelarter.docx", "A 57803-2023")</f>
        <v/>
      </c>
    </row>
    <row r="45" ht="15" customHeight="1">
      <c r="A45" t="inlineStr">
        <is>
          <t>A 11326-2026</t>
        </is>
      </c>
      <c r="B45" s="1" t="n">
        <v>46081</v>
      </c>
      <c r="C45" s="1" t="n">
        <v>46194</v>
      </c>
      <c r="D45" t="inlineStr">
        <is>
          <t>DALARNAS LÄN</t>
        </is>
      </c>
      <c r="E45" t="inlineStr">
        <is>
          <t>LUDVIKA</t>
        </is>
      </c>
      <c r="G45" t="n">
        <v>1.6</v>
      </c>
      <c r="H45" t="n">
        <v>2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Garnlav
Dropptaggsvamp
Spillkråka
Tjäder</t>
        </is>
      </c>
      <c r="S45">
        <f>HYPERLINK("https://klasma.github.io/Logging_2085/artfynd/A 11326-2026 artfynd.xlsx", "A 11326-2026")</f>
        <v/>
      </c>
      <c r="T45">
        <f>HYPERLINK("https://klasma.github.io/Logging_2085/kartor/A 11326-2026 karta.png", "A 11326-2026")</f>
        <v/>
      </c>
      <c r="V45">
        <f>HYPERLINK("https://klasma.github.io/Logging_2085/klagomål/A 11326-2026 FSC-klagomål.docx", "A 11326-2026")</f>
        <v/>
      </c>
      <c r="W45">
        <f>HYPERLINK("https://klasma.github.io/Logging_2085/klagomålsmail/A 11326-2026 FSC-klagomål mail.docx", "A 11326-2026")</f>
        <v/>
      </c>
      <c r="X45">
        <f>HYPERLINK("https://klasma.github.io/Logging_2085/tillsyn/A 11326-2026 tillsynsbegäran.docx", "A 11326-2026")</f>
        <v/>
      </c>
      <c r="Y45">
        <f>HYPERLINK("https://klasma.github.io/Logging_2085/tillsynsmail/A 11326-2026 tillsynsbegäran mail.docx", "A 11326-2026")</f>
        <v/>
      </c>
      <c r="Z45">
        <f>HYPERLINK("https://klasma.github.io/Logging_2085/fåglar/A 11326-2026 prioriterade fågelarter.docx", "A 11326-2026")</f>
        <v/>
      </c>
    </row>
    <row r="46" ht="15" customHeight="1">
      <c r="A46" t="inlineStr">
        <is>
          <t>A 11705-2024</t>
        </is>
      </c>
      <c r="B46" s="1" t="n">
        <v>45373</v>
      </c>
      <c r="C46" s="1" t="n">
        <v>46194</v>
      </c>
      <c r="D46" t="inlineStr">
        <is>
          <t>DALARNAS LÄN</t>
        </is>
      </c>
      <c r="E46" t="inlineStr">
        <is>
          <t>LUDVIKA</t>
        </is>
      </c>
      <c r="G46" t="n">
        <v>35.4</v>
      </c>
      <c r="H46" t="n">
        <v>2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Garnlav
Kortskaftad ärgspik
Tretåig hackspett
Spillkråka</t>
        </is>
      </c>
      <c r="S46">
        <f>HYPERLINK("https://klasma.github.io/Logging_2085/artfynd/A 11705-2024 artfynd.xlsx", "A 11705-2024")</f>
        <v/>
      </c>
      <c r="T46">
        <f>HYPERLINK("https://klasma.github.io/Logging_2085/kartor/A 11705-2024 karta.png", "A 11705-2024")</f>
        <v/>
      </c>
      <c r="V46">
        <f>HYPERLINK("https://klasma.github.io/Logging_2085/klagomål/A 11705-2024 FSC-klagomål.docx", "A 11705-2024")</f>
        <v/>
      </c>
      <c r="W46">
        <f>HYPERLINK("https://klasma.github.io/Logging_2085/klagomålsmail/A 11705-2024 FSC-klagomål mail.docx", "A 11705-2024")</f>
        <v/>
      </c>
      <c r="X46">
        <f>HYPERLINK("https://klasma.github.io/Logging_2085/tillsyn/A 11705-2024 tillsynsbegäran.docx", "A 11705-2024")</f>
        <v/>
      </c>
      <c r="Y46">
        <f>HYPERLINK("https://klasma.github.io/Logging_2085/tillsynsmail/A 11705-2024 tillsynsbegäran mail.docx", "A 11705-2024")</f>
        <v/>
      </c>
      <c r="Z46">
        <f>HYPERLINK("https://klasma.github.io/Logging_2085/fåglar/A 11705-2024 prioriterade fågelarter.docx", "A 11705-2024")</f>
        <v/>
      </c>
    </row>
    <row r="47" ht="15" customHeight="1">
      <c r="A47" t="inlineStr">
        <is>
          <t>A 22589-2026</t>
        </is>
      </c>
      <c r="B47" s="1" t="n">
        <v>46155</v>
      </c>
      <c r="C47" s="1" t="n">
        <v>46194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3.7</v>
      </c>
      <c r="H47" t="n">
        <v>3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4</v>
      </c>
      <c r="R47" s="2" t="inlineStr">
        <is>
          <t>Garnlav
Järpe
Spillkråka
Tjäder</t>
        </is>
      </c>
      <c r="S47">
        <f>HYPERLINK("https://klasma.github.io/Logging_2085/artfynd/A 22589-2026 artfynd.xlsx", "A 22589-2026")</f>
        <v/>
      </c>
      <c r="T47">
        <f>HYPERLINK("https://klasma.github.io/Logging_2085/kartor/A 22589-2026 karta.png", "A 22589-2026")</f>
        <v/>
      </c>
      <c r="V47">
        <f>HYPERLINK("https://klasma.github.io/Logging_2085/klagomål/A 22589-2026 FSC-klagomål.docx", "A 22589-2026")</f>
        <v/>
      </c>
      <c r="W47">
        <f>HYPERLINK("https://klasma.github.io/Logging_2085/klagomålsmail/A 22589-2026 FSC-klagomål mail.docx", "A 22589-2026")</f>
        <v/>
      </c>
      <c r="X47">
        <f>HYPERLINK("https://klasma.github.io/Logging_2085/tillsyn/A 22589-2026 tillsynsbegäran.docx", "A 22589-2026")</f>
        <v/>
      </c>
      <c r="Y47">
        <f>HYPERLINK("https://klasma.github.io/Logging_2085/tillsynsmail/A 22589-2026 tillsynsbegäran mail.docx", "A 22589-2026")</f>
        <v/>
      </c>
      <c r="Z47">
        <f>HYPERLINK("https://klasma.github.io/Logging_2085/fåglar/A 22589-2026 prioriterade fågelarter.docx", "A 22589-2026")</f>
        <v/>
      </c>
    </row>
    <row r="48" ht="15" customHeight="1">
      <c r="A48" t="inlineStr">
        <is>
          <t>A 23682-2026</t>
        </is>
      </c>
      <c r="B48" s="1" t="n">
        <v>46163</v>
      </c>
      <c r="C48" s="1" t="n">
        <v>46194</v>
      </c>
      <c r="D48" t="inlineStr">
        <is>
          <t>DALARNAS LÄN</t>
        </is>
      </c>
      <c r="E48" t="inlineStr">
        <is>
          <t>LUDVIKA</t>
        </is>
      </c>
      <c r="G48" t="n">
        <v>3.9</v>
      </c>
      <c r="H48" t="n">
        <v>3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Vårärt
Järpe
Spillkråka
Tjäder</t>
        </is>
      </c>
      <c r="S48">
        <f>HYPERLINK("https://klasma.github.io/Logging_2085/artfynd/A 23682-2026 artfynd.xlsx", "A 23682-2026")</f>
        <v/>
      </c>
      <c r="T48">
        <f>HYPERLINK("https://klasma.github.io/Logging_2085/kartor/A 23682-2026 karta.png", "A 23682-2026")</f>
        <v/>
      </c>
      <c r="V48">
        <f>HYPERLINK("https://klasma.github.io/Logging_2085/klagomål/A 23682-2026 FSC-klagomål.docx", "A 23682-2026")</f>
        <v/>
      </c>
      <c r="W48">
        <f>HYPERLINK("https://klasma.github.io/Logging_2085/klagomålsmail/A 23682-2026 FSC-klagomål mail.docx", "A 23682-2026")</f>
        <v/>
      </c>
      <c r="X48">
        <f>HYPERLINK("https://klasma.github.io/Logging_2085/tillsyn/A 23682-2026 tillsynsbegäran.docx", "A 23682-2026")</f>
        <v/>
      </c>
      <c r="Y48">
        <f>HYPERLINK("https://klasma.github.io/Logging_2085/tillsynsmail/A 23682-2026 tillsynsbegäran mail.docx", "A 23682-2026")</f>
        <v/>
      </c>
      <c r="Z48">
        <f>HYPERLINK("https://klasma.github.io/Logging_2085/fåglar/A 23682-2026 prioriterade fågelarter.docx", "A 23682-2026")</f>
        <v/>
      </c>
    </row>
    <row r="49" ht="15" customHeight="1">
      <c r="A49" t="inlineStr">
        <is>
          <t>A 74432-2021</t>
        </is>
      </c>
      <c r="B49" s="1" t="n">
        <v>44560</v>
      </c>
      <c r="C49" s="1" t="n">
        <v>46194</v>
      </c>
      <c r="D49" t="inlineStr">
        <is>
          <t>DALARNAS LÄN</t>
        </is>
      </c>
      <c r="E49" t="inlineStr">
        <is>
          <t>LUDVIKA</t>
        </is>
      </c>
      <c r="F49" t="inlineStr">
        <is>
          <t>Kommuner</t>
        </is>
      </c>
      <c r="G49" t="n">
        <v>1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Spillkråka
Gröngöling
Kungsfågel</t>
        </is>
      </c>
      <c r="S49">
        <f>HYPERLINK("https://klasma.github.io/Logging_2085/artfynd/A 74432-2021 artfynd.xlsx", "A 74432-2021")</f>
        <v/>
      </c>
      <c r="T49">
        <f>HYPERLINK("https://klasma.github.io/Logging_2085/kartor/A 74432-2021 karta.png", "A 74432-2021")</f>
        <v/>
      </c>
      <c r="V49">
        <f>HYPERLINK("https://klasma.github.io/Logging_2085/klagomål/A 74432-2021 FSC-klagomål.docx", "A 74432-2021")</f>
        <v/>
      </c>
      <c r="W49">
        <f>HYPERLINK("https://klasma.github.io/Logging_2085/klagomålsmail/A 74432-2021 FSC-klagomål mail.docx", "A 74432-2021")</f>
        <v/>
      </c>
      <c r="X49">
        <f>HYPERLINK("https://klasma.github.io/Logging_2085/tillsyn/A 74432-2021 tillsynsbegäran.docx", "A 74432-2021")</f>
        <v/>
      </c>
      <c r="Y49">
        <f>HYPERLINK("https://klasma.github.io/Logging_2085/tillsynsmail/A 74432-2021 tillsynsbegäran mail.docx", "A 74432-2021")</f>
        <v/>
      </c>
      <c r="Z49">
        <f>HYPERLINK("https://klasma.github.io/Logging_2085/fåglar/A 74432-2021 prioriterade fågelarter.docx", "A 74432-2021")</f>
        <v/>
      </c>
    </row>
    <row r="50" ht="15" customHeight="1">
      <c r="A50" t="inlineStr">
        <is>
          <t>A 41456-2025</t>
        </is>
      </c>
      <c r="B50" s="1" t="n">
        <v>45901</v>
      </c>
      <c r="C50" s="1" t="n">
        <v>46194</v>
      </c>
      <c r="D50" t="inlineStr">
        <is>
          <t>DALARNAS LÄN</t>
        </is>
      </c>
      <c r="E50" t="inlineStr">
        <is>
          <t>LUDVIKA</t>
        </is>
      </c>
      <c r="G50" t="n">
        <v>1.9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Aspgelélav
Lunglav
Järpe</t>
        </is>
      </c>
      <c r="S50">
        <f>HYPERLINK("https://klasma.github.io/Logging_2085/artfynd/A 41456-2025 artfynd.xlsx", "A 41456-2025")</f>
        <v/>
      </c>
      <c r="T50">
        <f>HYPERLINK("https://klasma.github.io/Logging_2085/kartor/A 41456-2025 karta.png", "A 41456-2025")</f>
        <v/>
      </c>
      <c r="V50">
        <f>HYPERLINK("https://klasma.github.io/Logging_2085/klagomål/A 41456-2025 FSC-klagomål.docx", "A 41456-2025")</f>
        <v/>
      </c>
      <c r="W50">
        <f>HYPERLINK("https://klasma.github.io/Logging_2085/klagomålsmail/A 41456-2025 FSC-klagomål mail.docx", "A 41456-2025")</f>
        <v/>
      </c>
      <c r="X50">
        <f>HYPERLINK("https://klasma.github.io/Logging_2085/tillsyn/A 41456-2025 tillsynsbegäran.docx", "A 41456-2025")</f>
        <v/>
      </c>
      <c r="Y50">
        <f>HYPERLINK("https://klasma.github.io/Logging_2085/tillsynsmail/A 41456-2025 tillsynsbegäran mail.docx", "A 41456-2025")</f>
        <v/>
      </c>
      <c r="Z50">
        <f>HYPERLINK("https://klasma.github.io/Logging_2085/fåglar/A 41456-2025 prioriterade fågelarter.docx", "A 41456-2025")</f>
        <v/>
      </c>
    </row>
    <row r="51" ht="15" customHeight="1">
      <c r="A51" t="inlineStr">
        <is>
          <t>A 23087-2025</t>
        </is>
      </c>
      <c r="B51" s="1" t="n">
        <v>45791</v>
      </c>
      <c r="C51" s="1" t="n">
        <v>46194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Dropptaggsvamp
Motaggsvamp
Orange taggsvamp</t>
        </is>
      </c>
      <c r="S51">
        <f>HYPERLINK("https://klasma.github.io/Logging_2085/artfynd/A 23087-2025 artfynd.xlsx", "A 23087-2025")</f>
        <v/>
      </c>
      <c r="T51">
        <f>HYPERLINK("https://klasma.github.io/Logging_2085/kartor/A 23087-2025 karta.png", "A 23087-2025")</f>
        <v/>
      </c>
      <c r="V51">
        <f>HYPERLINK("https://klasma.github.io/Logging_2085/klagomål/A 23087-2025 FSC-klagomål.docx", "A 23087-2025")</f>
        <v/>
      </c>
      <c r="W51">
        <f>HYPERLINK("https://klasma.github.io/Logging_2085/klagomålsmail/A 23087-2025 FSC-klagomål mail.docx", "A 23087-2025")</f>
        <v/>
      </c>
      <c r="X51">
        <f>HYPERLINK("https://klasma.github.io/Logging_2085/tillsyn/A 23087-2025 tillsynsbegäran.docx", "A 23087-2025")</f>
        <v/>
      </c>
      <c r="Y51">
        <f>HYPERLINK("https://klasma.github.io/Logging_2085/tillsynsmail/A 23087-2025 tillsynsbegäran mail.docx", "A 23087-2025")</f>
        <v/>
      </c>
    </row>
    <row r="52" ht="15" customHeight="1">
      <c r="A52" t="inlineStr">
        <is>
          <t>A 43226-2025</t>
        </is>
      </c>
      <c r="B52" s="1" t="n">
        <v>45910</v>
      </c>
      <c r="C52" s="1" t="n">
        <v>46194</v>
      </c>
      <c r="D52" t="inlineStr">
        <is>
          <t>DALARNAS LÄN</t>
        </is>
      </c>
      <c r="E52" t="inlineStr">
        <is>
          <t>LUDVIKA</t>
        </is>
      </c>
      <c r="G52" t="n">
        <v>1.1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Tretåig hackspett
Rävticka
Rödgul trumpetsvamp</t>
        </is>
      </c>
      <c r="S52">
        <f>HYPERLINK("https://klasma.github.io/Logging_2085/artfynd/A 43226-2025 artfynd.xlsx", "A 43226-2025")</f>
        <v/>
      </c>
      <c r="T52">
        <f>HYPERLINK("https://klasma.github.io/Logging_2085/kartor/A 43226-2025 karta.png", "A 43226-2025")</f>
        <v/>
      </c>
      <c r="V52">
        <f>HYPERLINK("https://klasma.github.io/Logging_2085/klagomål/A 43226-2025 FSC-klagomål.docx", "A 43226-2025")</f>
        <v/>
      </c>
      <c r="W52">
        <f>HYPERLINK("https://klasma.github.io/Logging_2085/klagomålsmail/A 43226-2025 FSC-klagomål mail.docx", "A 43226-2025")</f>
        <v/>
      </c>
      <c r="X52">
        <f>HYPERLINK("https://klasma.github.io/Logging_2085/tillsyn/A 43226-2025 tillsynsbegäran.docx", "A 43226-2025")</f>
        <v/>
      </c>
      <c r="Y52">
        <f>HYPERLINK("https://klasma.github.io/Logging_2085/tillsynsmail/A 43226-2025 tillsynsbegäran mail.docx", "A 43226-2025")</f>
        <v/>
      </c>
      <c r="Z52">
        <f>HYPERLINK("https://klasma.github.io/Logging_2085/fåglar/A 43226-2025 prioriterade fågelarter.docx", "A 43226-2025")</f>
        <v/>
      </c>
    </row>
    <row r="53" ht="15" customHeight="1">
      <c r="A53" t="inlineStr">
        <is>
          <t>A 29144-2023</t>
        </is>
      </c>
      <c r="B53" s="1" t="n">
        <v>45105</v>
      </c>
      <c r="C53" s="1" t="n">
        <v>46194</v>
      </c>
      <c r="D53" t="inlineStr">
        <is>
          <t>DALARNAS LÄN</t>
        </is>
      </c>
      <c r="E53" t="inlineStr">
        <is>
          <t>LUDVIKA</t>
        </is>
      </c>
      <c r="F53" t="inlineStr">
        <is>
          <t>Allmännings- och besparingsskogar</t>
        </is>
      </c>
      <c r="G53" t="n">
        <v>6.2</v>
      </c>
      <c r="H53" t="n">
        <v>1</v>
      </c>
      <c r="I53" t="n">
        <v>0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3</v>
      </c>
      <c r="P53" t="n">
        <v>2</v>
      </c>
      <c r="Q53" t="n">
        <v>3</v>
      </c>
      <c r="R53" s="2" t="inlineStr">
        <is>
          <t>Garnlav
Knärot
Brunklöver</t>
        </is>
      </c>
      <c r="S53">
        <f>HYPERLINK("https://klasma.github.io/Logging_2085/artfynd/A 29144-2023 artfynd.xlsx", "A 29144-2023")</f>
        <v/>
      </c>
      <c r="T53">
        <f>HYPERLINK("https://klasma.github.io/Logging_2085/kartor/A 29144-2023 karta.png", "A 29144-2023")</f>
        <v/>
      </c>
      <c r="U53">
        <f>HYPERLINK("https://klasma.github.io/Logging_2085/knärot/A 29144-2023 karta knärot.png", "A 29144-2023")</f>
        <v/>
      </c>
      <c r="V53">
        <f>HYPERLINK("https://klasma.github.io/Logging_2085/klagomål/A 29144-2023 FSC-klagomål.docx", "A 29144-2023")</f>
        <v/>
      </c>
      <c r="W53">
        <f>HYPERLINK("https://klasma.github.io/Logging_2085/klagomålsmail/A 29144-2023 FSC-klagomål mail.docx", "A 29144-2023")</f>
        <v/>
      </c>
      <c r="X53">
        <f>HYPERLINK("https://klasma.github.io/Logging_2085/tillsyn/A 29144-2023 tillsynsbegäran.docx", "A 29144-2023")</f>
        <v/>
      </c>
      <c r="Y53">
        <f>HYPERLINK("https://klasma.github.io/Logging_2085/tillsynsmail/A 29144-2023 tillsynsbegäran mail.docx", "A 29144-2023")</f>
        <v/>
      </c>
    </row>
    <row r="54" ht="15" customHeight="1">
      <c r="A54" t="inlineStr">
        <is>
          <t>A 17320-2026</t>
        </is>
      </c>
      <c r="B54" s="1" t="n">
        <v>46119</v>
      </c>
      <c r="C54" s="1" t="n">
        <v>46194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3.5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Dropptaggsvamp
Nattviol</t>
        </is>
      </c>
      <c r="S54">
        <f>HYPERLINK("https://klasma.github.io/Logging_2085/artfynd/A 17320-2026 artfynd.xlsx", "A 17320-2026")</f>
        <v/>
      </c>
      <c r="T54">
        <f>HYPERLINK("https://klasma.github.io/Logging_2085/kartor/A 17320-2026 karta.png", "A 17320-2026")</f>
        <v/>
      </c>
      <c r="U54">
        <f>HYPERLINK("https://klasma.github.io/Logging_2085/knärot/A 17320-2026 karta knärot.png", "A 17320-2026")</f>
        <v/>
      </c>
      <c r="V54">
        <f>HYPERLINK("https://klasma.github.io/Logging_2085/klagomål/A 17320-2026 FSC-klagomål.docx", "A 17320-2026")</f>
        <v/>
      </c>
      <c r="W54">
        <f>HYPERLINK("https://klasma.github.io/Logging_2085/klagomålsmail/A 17320-2026 FSC-klagomål mail.docx", "A 17320-2026")</f>
        <v/>
      </c>
      <c r="X54">
        <f>HYPERLINK("https://klasma.github.io/Logging_2085/tillsyn/A 17320-2026 tillsynsbegäran.docx", "A 17320-2026")</f>
        <v/>
      </c>
      <c r="Y54">
        <f>HYPERLINK("https://klasma.github.io/Logging_2085/tillsynsmail/A 17320-2026 tillsynsbegäran mail.docx", "A 17320-2026")</f>
        <v/>
      </c>
    </row>
    <row r="55" ht="15" customHeight="1">
      <c r="A55" t="inlineStr">
        <is>
          <t>A 24425-2026</t>
        </is>
      </c>
      <c r="B55" s="1" t="n">
        <v>46168</v>
      </c>
      <c r="C55" s="1" t="n">
        <v>46194</v>
      </c>
      <c r="D55" t="inlineStr">
        <is>
          <t>DALARNAS LÄN</t>
        </is>
      </c>
      <c r="E55" t="inlineStr">
        <is>
          <t>LUDVIKA</t>
        </is>
      </c>
      <c r="F55" t="inlineStr">
        <is>
          <t>Övriga Aktiebolag</t>
        </is>
      </c>
      <c r="G55" t="n">
        <v>5.6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Tretåig hackspett
Spillkråka
Sälg</t>
        </is>
      </c>
      <c r="S55">
        <f>HYPERLINK("https://klasma.github.io/Logging_2085/artfynd/A 24425-2026 artfynd.xlsx", "A 24425-2026")</f>
        <v/>
      </c>
      <c r="T55">
        <f>HYPERLINK("https://klasma.github.io/Logging_2085/kartor/A 24425-2026 karta.png", "A 24425-2026")</f>
        <v/>
      </c>
      <c r="V55">
        <f>HYPERLINK("https://klasma.github.io/Logging_2085/klagomål/A 24425-2026 FSC-klagomål.docx", "A 24425-2026")</f>
        <v/>
      </c>
      <c r="W55">
        <f>HYPERLINK("https://klasma.github.io/Logging_2085/klagomålsmail/A 24425-2026 FSC-klagomål mail.docx", "A 24425-2026")</f>
        <v/>
      </c>
      <c r="X55">
        <f>HYPERLINK("https://klasma.github.io/Logging_2085/tillsyn/A 24425-2026 tillsynsbegäran.docx", "A 24425-2026")</f>
        <v/>
      </c>
      <c r="Y55">
        <f>HYPERLINK("https://klasma.github.io/Logging_2085/tillsynsmail/A 24425-2026 tillsynsbegäran mail.docx", "A 24425-2026")</f>
        <v/>
      </c>
      <c r="Z55">
        <f>HYPERLINK("https://klasma.github.io/Logging_2085/fåglar/A 24425-2026 prioriterade fågelarter.docx", "A 24425-2026")</f>
        <v/>
      </c>
    </row>
    <row r="56" ht="15" customHeight="1">
      <c r="A56" t="inlineStr">
        <is>
          <t>A 18759-2026</t>
        </is>
      </c>
      <c r="B56" s="1" t="n">
        <v>46128</v>
      </c>
      <c r="C56" s="1" t="n">
        <v>46194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3.5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Dropptaggsvamp
Nattviol</t>
        </is>
      </c>
      <c r="S56">
        <f>HYPERLINK("https://klasma.github.io/Logging_2085/artfynd/A 18759-2026 artfynd.xlsx", "A 18759-2026")</f>
        <v/>
      </c>
      <c r="T56">
        <f>HYPERLINK("https://klasma.github.io/Logging_2085/kartor/A 18759-2026 karta.png", "A 18759-2026")</f>
        <v/>
      </c>
      <c r="U56">
        <f>HYPERLINK("https://klasma.github.io/Logging_2085/knärot/A 18759-2026 karta knärot.png", "A 18759-2026")</f>
        <v/>
      </c>
      <c r="V56">
        <f>HYPERLINK("https://klasma.github.io/Logging_2085/klagomål/A 18759-2026 FSC-klagomål.docx", "A 18759-2026")</f>
        <v/>
      </c>
      <c r="W56">
        <f>HYPERLINK("https://klasma.github.io/Logging_2085/klagomålsmail/A 18759-2026 FSC-klagomål mail.docx", "A 18759-2026")</f>
        <v/>
      </c>
      <c r="X56">
        <f>HYPERLINK("https://klasma.github.io/Logging_2085/tillsyn/A 18759-2026 tillsynsbegäran.docx", "A 18759-2026")</f>
        <v/>
      </c>
      <c r="Y56">
        <f>HYPERLINK("https://klasma.github.io/Logging_2085/tillsynsmail/A 18759-2026 tillsynsbegäran mail.docx", "A 18759-2026")</f>
        <v/>
      </c>
    </row>
    <row r="57" ht="15" customHeight="1">
      <c r="A57" t="inlineStr">
        <is>
          <t>A 37384-2021</t>
        </is>
      </c>
      <c r="B57" s="1" t="n">
        <v>44397</v>
      </c>
      <c r="C57" s="1" t="n">
        <v>46194</v>
      </c>
      <c r="D57" t="inlineStr">
        <is>
          <t>DALARNAS LÄN</t>
        </is>
      </c>
      <c r="E57" t="inlineStr">
        <is>
          <t>LUDVIKA</t>
        </is>
      </c>
      <c r="F57" t="inlineStr">
        <is>
          <t>Kommuner</t>
        </is>
      </c>
      <c r="G57" t="n">
        <v>5.5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Ullticka
Vedticka</t>
        </is>
      </c>
      <c r="S57">
        <f>HYPERLINK("https://klasma.github.io/Logging_2085/artfynd/A 37384-2021 artfynd.xlsx", "A 37384-2021")</f>
        <v/>
      </c>
      <c r="T57">
        <f>HYPERLINK("https://klasma.github.io/Logging_2085/kartor/A 37384-2021 karta.png", "A 37384-2021")</f>
        <v/>
      </c>
      <c r="V57">
        <f>HYPERLINK("https://klasma.github.io/Logging_2085/klagomål/A 37384-2021 FSC-klagomål.docx", "A 37384-2021")</f>
        <v/>
      </c>
      <c r="W57">
        <f>HYPERLINK("https://klasma.github.io/Logging_2085/klagomålsmail/A 37384-2021 FSC-klagomål mail.docx", "A 37384-2021")</f>
        <v/>
      </c>
      <c r="X57">
        <f>HYPERLINK("https://klasma.github.io/Logging_2085/tillsyn/A 37384-2021 tillsynsbegäran.docx", "A 37384-2021")</f>
        <v/>
      </c>
      <c r="Y57">
        <f>HYPERLINK("https://klasma.github.io/Logging_2085/tillsynsmail/A 37384-2021 tillsynsbegäran mail.docx", "A 37384-2021")</f>
        <v/>
      </c>
    </row>
    <row r="58" ht="15" customHeight="1">
      <c r="A58" t="inlineStr">
        <is>
          <t>A 11755-2023</t>
        </is>
      </c>
      <c r="B58" s="1" t="n">
        <v>44994</v>
      </c>
      <c r="C58" s="1" t="n">
        <v>46194</v>
      </c>
      <c r="D58" t="inlineStr">
        <is>
          <t>DALARNAS LÄN</t>
        </is>
      </c>
      <c r="E58" t="inlineStr">
        <is>
          <t>LUDVIKA</t>
        </is>
      </c>
      <c r="F58" t="inlineStr">
        <is>
          <t>Övriga Aktiebolag</t>
        </is>
      </c>
      <c r="G58" t="n">
        <v>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Garnlav
Spillkråka</t>
        </is>
      </c>
      <c r="S58">
        <f>HYPERLINK("https://klasma.github.io/Logging_2085/artfynd/A 11755-2023 artfynd.xlsx", "A 11755-2023")</f>
        <v/>
      </c>
      <c r="T58">
        <f>HYPERLINK("https://klasma.github.io/Logging_2085/kartor/A 11755-2023 karta.png", "A 11755-2023")</f>
        <v/>
      </c>
      <c r="V58">
        <f>HYPERLINK("https://klasma.github.io/Logging_2085/klagomål/A 11755-2023 FSC-klagomål.docx", "A 11755-2023")</f>
        <v/>
      </c>
      <c r="W58">
        <f>HYPERLINK("https://klasma.github.io/Logging_2085/klagomålsmail/A 11755-2023 FSC-klagomål mail.docx", "A 11755-2023")</f>
        <v/>
      </c>
      <c r="X58">
        <f>HYPERLINK("https://klasma.github.io/Logging_2085/tillsyn/A 11755-2023 tillsynsbegäran.docx", "A 11755-2023")</f>
        <v/>
      </c>
      <c r="Y58">
        <f>HYPERLINK("https://klasma.github.io/Logging_2085/tillsynsmail/A 11755-2023 tillsynsbegäran mail.docx", "A 11755-2023")</f>
        <v/>
      </c>
      <c r="Z58">
        <f>HYPERLINK("https://klasma.github.io/Logging_2085/fåglar/A 11755-2023 prioriterade fågelarter.docx", "A 11755-2023")</f>
        <v/>
      </c>
    </row>
    <row r="59" ht="15" customHeight="1">
      <c r="A59" t="inlineStr">
        <is>
          <t>A 45225-2024</t>
        </is>
      </c>
      <c r="B59" s="1" t="n">
        <v>45575</v>
      </c>
      <c r="C59" s="1" t="n">
        <v>46194</v>
      </c>
      <c r="D59" t="inlineStr">
        <is>
          <t>DALARNAS LÄN</t>
        </is>
      </c>
      <c r="E59" t="inlineStr">
        <is>
          <t>LUDVIKA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Kungsfågel
Ärtsångare</t>
        </is>
      </c>
      <c r="S59">
        <f>HYPERLINK("https://klasma.github.io/Logging_2085/artfynd/A 45225-2024 artfynd.xlsx", "A 45225-2024")</f>
        <v/>
      </c>
      <c r="T59">
        <f>HYPERLINK("https://klasma.github.io/Logging_2085/kartor/A 45225-2024 karta.png", "A 45225-2024")</f>
        <v/>
      </c>
      <c r="V59">
        <f>HYPERLINK("https://klasma.github.io/Logging_2085/klagomål/A 45225-2024 FSC-klagomål.docx", "A 45225-2024")</f>
        <v/>
      </c>
      <c r="W59">
        <f>HYPERLINK("https://klasma.github.io/Logging_2085/klagomålsmail/A 45225-2024 FSC-klagomål mail.docx", "A 45225-2024")</f>
        <v/>
      </c>
      <c r="X59">
        <f>HYPERLINK("https://klasma.github.io/Logging_2085/tillsyn/A 45225-2024 tillsynsbegäran.docx", "A 45225-2024")</f>
        <v/>
      </c>
      <c r="Y59">
        <f>HYPERLINK("https://klasma.github.io/Logging_2085/tillsynsmail/A 45225-2024 tillsynsbegäran mail.docx", "A 45225-2024")</f>
        <v/>
      </c>
      <c r="Z59">
        <f>HYPERLINK("https://klasma.github.io/Logging_2085/fåglar/A 45225-2024 prioriterade fågelarter.docx", "A 45225-2024")</f>
        <v/>
      </c>
    </row>
    <row r="60" ht="15" customHeight="1">
      <c r="A60" t="inlineStr">
        <is>
          <t>A 36862-2021</t>
        </is>
      </c>
      <c r="B60" s="1" t="n">
        <v>44393</v>
      </c>
      <c r="C60" s="1" t="n">
        <v>46194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Garnlav
Rökmusseron</t>
        </is>
      </c>
      <c r="S60">
        <f>HYPERLINK("https://klasma.github.io/Logging_2085/artfynd/A 36862-2021 artfynd.xlsx", "A 36862-2021")</f>
        <v/>
      </c>
      <c r="T60">
        <f>HYPERLINK("https://klasma.github.io/Logging_2085/kartor/A 36862-2021 karta.png", "A 36862-2021")</f>
        <v/>
      </c>
      <c r="V60">
        <f>HYPERLINK("https://klasma.github.io/Logging_2085/klagomål/A 36862-2021 FSC-klagomål.docx", "A 36862-2021")</f>
        <v/>
      </c>
      <c r="W60">
        <f>HYPERLINK("https://klasma.github.io/Logging_2085/klagomålsmail/A 36862-2021 FSC-klagomål mail.docx", "A 36862-2021")</f>
        <v/>
      </c>
      <c r="X60">
        <f>HYPERLINK("https://klasma.github.io/Logging_2085/tillsyn/A 36862-2021 tillsynsbegäran.docx", "A 36862-2021")</f>
        <v/>
      </c>
      <c r="Y60">
        <f>HYPERLINK("https://klasma.github.io/Logging_2085/tillsynsmail/A 36862-2021 tillsynsbegäran mail.docx", "A 36862-2021")</f>
        <v/>
      </c>
    </row>
    <row r="61" ht="15" customHeight="1">
      <c r="A61" t="inlineStr">
        <is>
          <t>A 21369-2023</t>
        </is>
      </c>
      <c r="B61" s="1" t="n">
        <v>45063</v>
      </c>
      <c r="C61" s="1" t="n">
        <v>46194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0.4</v>
      </c>
      <c r="H61" t="n">
        <v>0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Skogsalm
Tibast</t>
        </is>
      </c>
      <c r="S61">
        <f>HYPERLINK("https://klasma.github.io/Logging_2085/artfynd/A 21369-2023 artfynd.xlsx", "A 21369-2023")</f>
        <v/>
      </c>
      <c r="T61">
        <f>HYPERLINK("https://klasma.github.io/Logging_2085/kartor/A 21369-2023 karta.png", "A 21369-2023")</f>
        <v/>
      </c>
      <c r="V61">
        <f>HYPERLINK("https://klasma.github.io/Logging_2085/klagomål/A 21369-2023 FSC-klagomål.docx", "A 21369-2023")</f>
        <v/>
      </c>
      <c r="W61">
        <f>HYPERLINK("https://klasma.github.io/Logging_2085/klagomålsmail/A 21369-2023 FSC-klagomål mail.docx", "A 21369-2023")</f>
        <v/>
      </c>
      <c r="X61">
        <f>HYPERLINK("https://klasma.github.io/Logging_2085/tillsyn/A 21369-2023 tillsynsbegäran.docx", "A 21369-2023")</f>
        <v/>
      </c>
      <c r="Y61">
        <f>HYPERLINK("https://klasma.github.io/Logging_2085/tillsynsmail/A 21369-2023 tillsynsbegäran mail.docx", "A 21369-2023")</f>
        <v/>
      </c>
    </row>
    <row r="62" ht="15" customHeight="1">
      <c r="A62" t="inlineStr">
        <is>
          <t>A 44262-2025</t>
        </is>
      </c>
      <c r="B62" s="1" t="n">
        <v>45916</v>
      </c>
      <c r="C62" s="1" t="n">
        <v>46194</v>
      </c>
      <c r="D62" t="inlineStr">
        <is>
          <t>DALARNAS LÄN</t>
        </is>
      </c>
      <c r="E62" t="inlineStr">
        <is>
          <t>LUDVIKA</t>
        </is>
      </c>
      <c r="G62" t="n">
        <v>3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Nordfladdermus
Fläcknycklar</t>
        </is>
      </c>
      <c r="S62">
        <f>HYPERLINK("https://klasma.github.io/Logging_2085/artfynd/A 44262-2025 artfynd.xlsx", "A 44262-2025")</f>
        <v/>
      </c>
      <c r="T62">
        <f>HYPERLINK("https://klasma.github.io/Logging_2085/kartor/A 44262-2025 karta.png", "A 44262-2025")</f>
        <v/>
      </c>
      <c r="V62">
        <f>HYPERLINK("https://klasma.github.io/Logging_2085/klagomål/A 44262-2025 FSC-klagomål.docx", "A 44262-2025")</f>
        <v/>
      </c>
      <c r="W62">
        <f>HYPERLINK("https://klasma.github.io/Logging_2085/klagomålsmail/A 44262-2025 FSC-klagomål mail.docx", "A 44262-2025")</f>
        <v/>
      </c>
      <c r="X62">
        <f>HYPERLINK("https://klasma.github.io/Logging_2085/tillsyn/A 44262-2025 tillsynsbegäran.docx", "A 44262-2025")</f>
        <v/>
      </c>
      <c r="Y62">
        <f>HYPERLINK("https://klasma.github.io/Logging_2085/tillsynsmail/A 44262-2025 tillsynsbegäran mail.docx", "A 44262-2025")</f>
        <v/>
      </c>
    </row>
    <row r="63" ht="15" customHeight="1">
      <c r="A63" t="inlineStr">
        <is>
          <t>A 49767-2025</t>
        </is>
      </c>
      <c r="B63" s="1" t="n">
        <v>45940</v>
      </c>
      <c r="C63" s="1" t="n">
        <v>46194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2.5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Garnlav
Tretåig hackspett</t>
        </is>
      </c>
      <c r="S63">
        <f>HYPERLINK("https://klasma.github.io/Logging_2085/artfynd/A 49767-2025 artfynd.xlsx", "A 49767-2025")</f>
        <v/>
      </c>
      <c r="T63">
        <f>HYPERLINK("https://klasma.github.io/Logging_2085/kartor/A 49767-2025 karta.png", "A 49767-2025")</f>
        <v/>
      </c>
      <c r="V63">
        <f>HYPERLINK("https://klasma.github.io/Logging_2085/klagomål/A 49767-2025 FSC-klagomål.docx", "A 49767-2025")</f>
        <v/>
      </c>
      <c r="W63">
        <f>HYPERLINK("https://klasma.github.io/Logging_2085/klagomålsmail/A 49767-2025 FSC-klagomål mail.docx", "A 49767-2025")</f>
        <v/>
      </c>
      <c r="X63">
        <f>HYPERLINK("https://klasma.github.io/Logging_2085/tillsyn/A 49767-2025 tillsynsbegäran.docx", "A 49767-2025")</f>
        <v/>
      </c>
      <c r="Y63">
        <f>HYPERLINK("https://klasma.github.io/Logging_2085/tillsynsmail/A 49767-2025 tillsynsbegäran mail.docx", "A 49767-2025")</f>
        <v/>
      </c>
      <c r="Z63">
        <f>HYPERLINK("https://klasma.github.io/Logging_2085/fåglar/A 49767-2025 prioriterade fågelarter.docx", "A 49767-2025")</f>
        <v/>
      </c>
    </row>
    <row r="64" ht="15" customHeight="1">
      <c r="A64" t="inlineStr">
        <is>
          <t>A 42558-2022</t>
        </is>
      </c>
      <c r="B64" s="1" t="n">
        <v>44831</v>
      </c>
      <c r="C64" s="1" t="n">
        <v>46194</v>
      </c>
      <c r="D64" t="inlineStr">
        <is>
          <t>DALARNAS LÄN</t>
        </is>
      </c>
      <c r="E64" t="inlineStr">
        <is>
          <t>LUDVIKA</t>
        </is>
      </c>
      <c r="F64" t="inlineStr">
        <is>
          <t>Naturvårdsverket</t>
        </is>
      </c>
      <c r="G64" t="n">
        <v>4.9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Gräddporing
Lopplummer (aggregat)</t>
        </is>
      </c>
      <c r="S64">
        <f>HYPERLINK("https://klasma.github.io/Logging_2085/artfynd/A 42558-2022 artfynd.xlsx", "A 42558-2022")</f>
        <v/>
      </c>
      <c r="T64">
        <f>HYPERLINK("https://klasma.github.io/Logging_2085/kartor/A 42558-2022 karta.png", "A 42558-2022")</f>
        <v/>
      </c>
      <c r="V64">
        <f>HYPERLINK("https://klasma.github.io/Logging_2085/klagomål/A 42558-2022 FSC-klagomål.docx", "A 42558-2022")</f>
        <v/>
      </c>
      <c r="W64">
        <f>HYPERLINK("https://klasma.github.io/Logging_2085/klagomålsmail/A 42558-2022 FSC-klagomål mail.docx", "A 42558-2022")</f>
        <v/>
      </c>
      <c r="X64">
        <f>HYPERLINK("https://klasma.github.io/Logging_2085/tillsyn/A 42558-2022 tillsynsbegäran.docx", "A 42558-2022")</f>
        <v/>
      </c>
      <c r="Y64">
        <f>HYPERLINK("https://klasma.github.io/Logging_2085/tillsynsmail/A 42558-2022 tillsynsbegäran mail.docx", "A 42558-2022")</f>
        <v/>
      </c>
    </row>
    <row r="65" ht="15" customHeight="1">
      <c r="A65" t="inlineStr">
        <is>
          <t>A 50170-2025</t>
        </is>
      </c>
      <c r="B65" s="1" t="n">
        <v>45943</v>
      </c>
      <c r="C65" s="1" t="n">
        <v>46194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2.5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Labyrintlav
Gulnål</t>
        </is>
      </c>
      <c r="S65">
        <f>HYPERLINK("https://klasma.github.io/Logging_2085/artfynd/A 50170-2025 artfynd.xlsx", "A 50170-2025")</f>
        <v/>
      </c>
      <c r="T65">
        <f>HYPERLINK("https://klasma.github.io/Logging_2085/kartor/A 50170-2025 karta.png", "A 50170-2025")</f>
        <v/>
      </c>
      <c r="V65">
        <f>HYPERLINK("https://klasma.github.io/Logging_2085/klagomål/A 50170-2025 FSC-klagomål.docx", "A 50170-2025")</f>
        <v/>
      </c>
      <c r="W65">
        <f>HYPERLINK("https://klasma.github.io/Logging_2085/klagomålsmail/A 50170-2025 FSC-klagomål mail.docx", "A 50170-2025")</f>
        <v/>
      </c>
      <c r="X65">
        <f>HYPERLINK("https://klasma.github.io/Logging_2085/tillsyn/A 50170-2025 tillsynsbegäran.docx", "A 50170-2025")</f>
        <v/>
      </c>
      <c r="Y65">
        <f>HYPERLINK("https://klasma.github.io/Logging_2085/tillsynsmail/A 50170-2025 tillsynsbegäran mail.docx", "A 50170-2025")</f>
        <v/>
      </c>
    </row>
    <row r="66" ht="15" customHeight="1">
      <c r="A66" t="inlineStr">
        <is>
          <t>A 55399-2025</t>
        </is>
      </c>
      <c r="B66" s="1" t="n">
        <v>45971</v>
      </c>
      <c r="C66" s="1" t="n">
        <v>46194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11.5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Spillkråka
Revlummer</t>
        </is>
      </c>
      <c r="S66">
        <f>HYPERLINK("https://klasma.github.io/Logging_2085/artfynd/A 55399-2025 artfynd.xlsx", "A 55399-2025")</f>
        <v/>
      </c>
      <c r="T66">
        <f>HYPERLINK("https://klasma.github.io/Logging_2085/kartor/A 55399-2025 karta.png", "A 55399-2025")</f>
        <v/>
      </c>
      <c r="V66">
        <f>HYPERLINK("https://klasma.github.io/Logging_2085/klagomål/A 55399-2025 FSC-klagomål.docx", "A 55399-2025")</f>
        <v/>
      </c>
      <c r="W66">
        <f>HYPERLINK("https://klasma.github.io/Logging_2085/klagomålsmail/A 55399-2025 FSC-klagomål mail.docx", "A 55399-2025")</f>
        <v/>
      </c>
      <c r="X66">
        <f>HYPERLINK("https://klasma.github.io/Logging_2085/tillsyn/A 55399-2025 tillsynsbegäran.docx", "A 55399-2025")</f>
        <v/>
      </c>
      <c r="Y66">
        <f>HYPERLINK("https://klasma.github.io/Logging_2085/tillsynsmail/A 55399-2025 tillsynsbegäran mail.docx", "A 55399-2025")</f>
        <v/>
      </c>
      <c r="Z66">
        <f>HYPERLINK("https://klasma.github.io/Logging_2085/fåglar/A 55399-2025 prioriterade fågelarter.docx", "A 55399-2025")</f>
        <v/>
      </c>
    </row>
    <row r="67" ht="15" customHeight="1">
      <c r="A67" t="inlineStr">
        <is>
          <t>A 55410-2025</t>
        </is>
      </c>
      <c r="B67" s="1" t="n">
        <v>45971</v>
      </c>
      <c r="C67" s="1" t="n">
        <v>46194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2.7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Järpe
Spillkråka</t>
        </is>
      </c>
      <c r="S67">
        <f>HYPERLINK("https://klasma.github.io/Logging_2085/artfynd/A 55410-2025 artfynd.xlsx", "A 55410-2025")</f>
        <v/>
      </c>
      <c r="T67">
        <f>HYPERLINK("https://klasma.github.io/Logging_2085/kartor/A 55410-2025 karta.png", "A 55410-2025")</f>
        <v/>
      </c>
      <c r="V67">
        <f>HYPERLINK("https://klasma.github.io/Logging_2085/klagomål/A 55410-2025 FSC-klagomål.docx", "A 55410-2025")</f>
        <v/>
      </c>
      <c r="W67">
        <f>HYPERLINK("https://klasma.github.io/Logging_2085/klagomålsmail/A 55410-2025 FSC-klagomål mail.docx", "A 55410-2025")</f>
        <v/>
      </c>
      <c r="X67">
        <f>HYPERLINK("https://klasma.github.io/Logging_2085/tillsyn/A 55410-2025 tillsynsbegäran.docx", "A 55410-2025")</f>
        <v/>
      </c>
      <c r="Y67">
        <f>HYPERLINK("https://klasma.github.io/Logging_2085/tillsynsmail/A 55410-2025 tillsynsbegäran mail.docx", "A 55410-2025")</f>
        <v/>
      </c>
      <c r="Z67">
        <f>HYPERLINK("https://klasma.github.io/Logging_2085/fåglar/A 55410-2025 prioriterade fågelarter.docx", "A 55410-2025")</f>
        <v/>
      </c>
    </row>
    <row r="68" ht="15" customHeight="1">
      <c r="A68" t="inlineStr">
        <is>
          <t>A 56179-2025</t>
        </is>
      </c>
      <c r="B68" s="1" t="n">
        <v>45974</v>
      </c>
      <c r="C68" s="1" t="n">
        <v>46194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2.8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Gultoppig fingersvamp
Kortskaftad ärgspik</t>
        </is>
      </c>
      <c r="S68">
        <f>HYPERLINK("https://klasma.github.io/Logging_2085/artfynd/A 56179-2025 artfynd.xlsx", "A 56179-2025")</f>
        <v/>
      </c>
      <c r="T68">
        <f>HYPERLINK("https://klasma.github.io/Logging_2085/kartor/A 56179-2025 karta.png", "A 56179-2025")</f>
        <v/>
      </c>
      <c r="U68">
        <f>HYPERLINK("https://klasma.github.io/Logging_2085/knärot/A 56179-2025 karta knärot.png", "A 56179-2025")</f>
        <v/>
      </c>
      <c r="V68">
        <f>HYPERLINK("https://klasma.github.io/Logging_2085/klagomål/A 56179-2025 FSC-klagomål.docx", "A 56179-2025")</f>
        <v/>
      </c>
      <c r="W68">
        <f>HYPERLINK("https://klasma.github.io/Logging_2085/klagomålsmail/A 56179-2025 FSC-klagomål mail.docx", "A 56179-2025")</f>
        <v/>
      </c>
      <c r="X68">
        <f>HYPERLINK("https://klasma.github.io/Logging_2085/tillsyn/A 56179-2025 tillsynsbegäran.docx", "A 56179-2025")</f>
        <v/>
      </c>
      <c r="Y68">
        <f>HYPERLINK("https://klasma.github.io/Logging_2085/tillsynsmail/A 56179-2025 tillsynsbegäran mail.docx", "A 56179-2025")</f>
        <v/>
      </c>
    </row>
    <row r="69" ht="15" customHeight="1">
      <c r="A69" t="inlineStr">
        <is>
          <t>A 33155-2024</t>
        </is>
      </c>
      <c r="B69" s="1" t="n">
        <v>45518</v>
      </c>
      <c r="C69" s="1" t="n">
        <v>46194</v>
      </c>
      <c r="D69" t="inlineStr">
        <is>
          <t>DALARNAS LÄN</t>
        </is>
      </c>
      <c r="E69" t="inlineStr">
        <is>
          <t>LUDVIKA</t>
        </is>
      </c>
      <c r="G69" t="n">
        <v>2.9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Tretåig hackspett</t>
        </is>
      </c>
      <c r="S69">
        <f>HYPERLINK("https://klasma.github.io/Logging_2085/artfynd/A 33155-2024 artfynd.xlsx", "A 33155-2024")</f>
        <v/>
      </c>
      <c r="T69">
        <f>HYPERLINK("https://klasma.github.io/Logging_2085/kartor/A 33155-2024 karta.png", "A 33155-2024")</f>
        <v/>
      </c>
      <c r="V69">
        <f>HYPERLINK("https://klasma.github.io/Logging_2085/klagomål/A 33155-2024 FSC-klagomål.docx", "A 33155-2024")</f>
        <v/>
      </c>
      <c r="W69">
        <f>HYPERLINK("https://klasma.github.io/Logging_2085/klagomålsmail/A 33155-2024 FSC-klagomål mail.docx", "A 33155-2024")</f>
        <v/>
      </c>
      <c r="X69">
        <f>HYPERLINK("https://klasma.github.io/Logging_2085/tillsyn/A 33155-2024 tillsynsbegäran.docx", "A 33155-2024")</f>
        <v/>
      </c>
      <c r="Y69">
        <f>HYPERLINK("https://klasma.github.io/Logging_2085/tillsynsmail/A 33155-2024 tillsynsbegäran mail.docx", "A 33155-2024")</f>
        <v/>
      </c>
      <c r="Z69">
        <f>HYPERLINK("https://klasma.github.io/Logging_2085/fåglar/A 33155-2024 prioriterade fågelarter.docx", "A 33155-2024")</f>
        <v/>
      </c>
    </row>
    <row r="70" ht="15" customHeight="1">
      <c r="A70" t="inlineStr">
        <is>
          <t>A 49763-2025</t>
        </is>
      </c>
      <c r="B70" s="1" t="n">
        <v>45940</v>
      </c>
      <c r="C70" s="1" t="n">
        <v>46194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6.9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Dvärgbägarlav
Vedticka</t>
        </is>
      </c>
      <c r="S70">
        <f>HYPERLINK("https://klasma.github.io/Logging_2085/artfynd/A 49763-2025 artfynd.xlsx", "A 49763-2025")</f>
        <v/>
      </c>
      <c r="T70">
        <f>HYPERLINK("https://klasma.github.io/Logging_2085/kartor/A 49763-2025 karta.png", "A 49763-2025")</f>
        <v/>
      </c>
      <c r="V70">
        <f>HYPERLINK("https://klasma.github.io/Logging_2085/klagomål/A 49763-2025 FSC-klagomål.docx", "A 49763-2025")</f>
        <v/>
      </c>
      <c r="W70">
        <f>HYPERLINK("https://klasma.github.io/Logging_2085/klagomålsmail/A 49763-2025 FSC-klagomål mail.docx", "A 49763-2025")</f>
        <v/>
      </c>
      <c r="X70">
        <f>HYPERLINK("https://klasma.github.io/Logging_2085/tillsyn/A 49763-2025 tillsynsbegäran.docx", "A 49763-2025")</f>
        <v/>
      </c>
      <c r="Y70">
        <f>HYPERLINK("https://klasma.github.io/Logging_2085/tillsynsmail/A 49763-2025 tillsynsbegäran mail.docx", "A 49763-2025")</f>
        <v/>
      </c>
    </row>
    <row r="71" ht="15" customHeight="1">
      <c r="A71" t="inlineStr">
        <is>
          <t>A 49051-2024</t>
        </is>
      </c>
      <c r="B71" s="1" t="n">
        <v>45594</v>
      </c>
      <c r="C71" s="1" t="n">
        <v>46194</v>
      </c>
      <c r="D71" t="inlineStr">
        <is>
          <t>DALARNAS LÄN</t>
        </is>
      </c>
      <c r="E71" t="inlineStr">
        <is>
          <t>LUDVIKA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2</v>
      </c>
      <c r="P71" t="n">
        <v>2</v>
      </c>
      <c r="Q71" t="n">
        <v>2</v>
      </c>
      <c r="R71" s="2" t="inlineStr">
        <is>
          <t>Ladparasitspik
Vedkastanjelav</t>
        </is>
      </c>
      <c r="S71">
        <f>HYPERLINK("https://klasma.github.io/Logging_2085/artfynd/A 49051-2024 artfynd.xlsx", "A 49051-2024")</f>
        <v/>
      </c>
      <c r="T71">
        <f>HYPERLINK("https://klasma.github.io/Logging_2085/kartor/A 49051-2024 karta.png", "A 49051-2024")</f>
        <v/>
      </c>
      <c r="V71">
        <f>HYPERLINK("https://klasma.github.io/Logging_2085/klagomål/A 49051-2024 FSC-klagomål.docx", "A 49051-2024")</f>
        <v/>
      </c>
      <c r="W71">
        <f>HYPERLINK("https://klasma.github.io/Logging_2085/klagomålsmail/A 49051-2024 FSC-klagomål mail.docx", "A 49051-2024")</f>
        <v/>
      </c>
      <c r="X71">
        <f>HYPERLINK("https://klasma.github.io/Logging_2085/tillsyn/A 49051-2024 tillsynsbegäran.docx", "A 49051-2024")</f>
        <v/>
      </c>
      <c r="Y71">
        <f>HYPERLINK("https://klasma.github.io/Logging_2085/tillsynsmail/A 49051-2024 tillsynsbegäran mail.docx", "A 49051-2024")</f>
        <v/>
      </c>
    </row>
    <row r="72" ht="15" customHeight="1">
      <c r="A72" t="inlineStr">
        <is>
          <t>A 63116-2025</t>
        </is>
      </c>
      <c r="B72" s="1" t="n">
        <v>46009</v>
      </c>
      <c r="C72" s="1" t="n">
        <v>46194</v>
      </c>
      <c r="D72" t="inlineStr">
        <is>
          <t>DALARNAS LÄN</t>
        </is>
      </c>
      <c r="E72" t="inlineStr">
        <is>
          <t>LUDVIKA</t>
        </is>
      </c>
      <c r="G72" t="n">
        <v>4.8</v>
      </c>
      <c r="H72" t="n">
        <v>0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Garnlav
Björksplintborre</t>
        </is>
      </c>
      <c r="S72">
        <f>HYPERLINK("https://klasma.github.io/Logging_2085/artfynd/A 63116-2025 artfynd.xlsx", "A 63116-2025")</f>
        <v/>
      </c>
      <c r="T72">
        <f>HYPERLINK("https://klasma.github.io/Logging_2085/kartor/A 63116-2025 karta.png", "A 63116-2025")</f>
        <v/>
      </c>
      <c r="V72">
        <f>HYPERLINK("https://klasma.github.io/Logging_2085/klagomål/A 63116-2025 FSC-klagomål.docx", "A 63116-2025")</f>
        <v/>
      </c>
      <c r="W72">
        <f>HYPERLINK("https://klasma.github.io/Logging_2085/klagomålsmail/A 63116-2025 FSC-klagomål mail.docx", "A 63116-2025")</f>
        <v/>
      </c>
      <c r="X72">
        <f>HYPERLINK("https://klasma.github.io/Logging_2085/tillsyn/A 63116-2025 tillsynsbegäran.docx", "A 63116-2025")</f>
        <v/>
      </c>
      <c r="Y72">
        <f>HYPERLINK("https://klasma.github.io/Logging_2085/tillsynsmail/A 63116-2025 tillsynsbegäran mail.docx", "A 63116-2025")</f>
        <v/>
      </c>
    </row>
    <row r="73" ht="15" customHeight="1">
      <c r="A73" t="inlineStr">
        <is>
          <t>A 21876-2026</t>
        </is>
      </c>
      <c r="B73" s="1" t="n">
        <v>46150</v>
      </c>
      <c r="C73" s="1" t="n">
        <v>46194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1.9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Garnlav
Tretåig hackspett</t>
        </is>
      </c>
      <c r="S73">
        <f>HYPERLINK("https://klasma.github.io/Logging_2085/artfynd/A 21876-2026 artfynd.xlsx", "A 21876-2026")</f>
        <v/>
      </c>
      <c r="T73">
        <f>HYPERLINK("https://klasma.github.io/Logging_2085/kartor/A 21876-2026 karta.png", "A 21876-2026")</f>
        <v/>
      </c>
      <c r="V73">
        <f>HYPERLINK("https://klasma.github.io/Logging_2085/klagomål/A 21876-2026 FSC-klagomål.docx", "A 21876-2026")</f>
        <v/>
      </c>
      <c r="W73">
        <f>HYPERLINK("https://klasma.github.io/Logging_2085/klagomålsmail/A 21876-2026 FSC-klagomål mail.docx", "A 21876-2026")</f>
        <v/>
      </c>
      <c r="X73">
        <f>HYPERLINK("https://klasma.github.io/Logging_2085/tillsyn/A 21876-2026 tillsynsbegäran.docx", "A 21876-2026")</f>
        <v/>
      </c>
      <c r="Y73">
        <f>HYPERLINK("https://klasma.github.io/Logging_2085/tillsynsmail/A 21876-2026 tillsynsbegäran mail.docx", "A 21876-2026")</f>
        <v/>
      </c>
      <c r="Z73">
        <f>HYPERLINK("https://klasma.github.io/Logging_2085/fåglar/A 21876-2026 prioriterade fågelarter.docx", "A 21876-2026")</f>
        <v/>
      </c>
    </row>
    <row r="74" ht="15" customHeight="1">
      <c r="A74" t="inlineStr">
        <is>
          <t>A 3809-2024</t>
        </is>
      </c>
      <c r="B74" s="1" t="n">
        <v>45321</v>
      </c>
      <c r="C74" s="1" t="n">
        <v>46194</v>
      </c>
      <c r="D74" t="inlineStr">
        <is>
          <t>DALARNAS LÄN</t>
        </is>
      </c>
      <c r="E74" t="inlineStr">
        <is>
          <t>LUDVIKA</t>
        </is>
      </c>
      <c r="G74" t="n">
        <v>0.5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Nordfladdermus
Fläcknycklar</t>
        </is>
      </c>
      <c r="S74">
        <f>HYPERLINK("https://klasma.github.io/Logging_2085/artfynd/A 3809-2024 artfynd.xlsx", "A 3809-2024")</f>
        <v/>
      </c>
      <c r="T74">
        <f>HYPERLINK("https://klasma.github.io/Logging_2085/kartor/A 3809-2024 karta.png", "A 3809-2024")</f>
        <v/>
      </c>
      <c r="V74">
        <f>HYPERLINK("https://klasma.github.io/Logging_2085/klagomål/A 3809-2024 FSC-klagomål.docx", "A 3809-2024")</f>
        <v/>
      </c>
      <c r="W74">
        <f>HYPERLINK("https://klasma.github.io/Logging_2085/klagomålsmail/A 3809-2024 FSC-klagomål mail.docx", "A 3809-2024")</f>
        <v/>
      </c>
      <c r="X74">
        <f>HYPERLINK("https://klasma.github.io/Logging_2085/tillsyn/A 3809-2024 tillsynsbegäran.docx", "A 3809-2024")</f>
        <v/>
      </c>
      <c r="Y74">
        <f>HYPERLINK("https://klasma.github.io/Logging_2085/tillsynsmail/A 3809-2024 tillsynsbegäran mail.docx", "A 3809-2024")</f>
        <v/>
      </c>
    </row>
    <row r="75" ht="15" customHeight="1">
      <c r="A75" t="inlineStr">
        <is>
          <t>A 19512-2022</t>
        </is>
      </c>
      <c r="B75" s="1" t="n">
        <v>44693</v>
      </c>
      <c r="C75" s="1" t="n">
        <v>46194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2.8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Tretåig hackspett
Nästlav</t>
        </is>
      </c>
      <c r="S75">
        <f>HYPERLINK("https://klasma.github.io/Logging_2085/artfynd/A 19512-2022 artfynd.xlsx", "A 19512-2022")</f>
        <v/>
      </c>
      <c r="T75">
        <f>HYPERLINK("https://klasma.github.io/Logging_2085/kartor/A 19512-2022 karta.png", "A 19512-2022")</f>
        <v/>
      </c>
      <c r="V75">
        <f>HYPERLINK("https://klasma.github.io/Logging_2085/klagomål/A 19512-2022 FSC-klagomål.docx", "A 19512-2022")</f>
        <v/>
      </c>
      <c r="W75">
        <f>HYPERLINK("https://klasma.github.io/Logging_2085/klagomålsmail/A 19512-2022 FSC-klagomål mail.docx", "A 19512-2022")</f>
        <v/>
      </c>
      <c r="X75">
        <f>HYPERLINK("https://klasma.github.io/Logging_2085/tillsyn/A 19512-2022 tillsynsbegäran.docx", "A 19512-2022")</f>
        <v/>
      </c>
      <c r="Y75">
        <f>HYPERLINK("https://klasma.github.io/Logging_2085/tillsynsmail/A 19512-2022 tillsynsbegäran mail.docx", "A 19512-2022")</f>
        <v/>
      </c>
      <c r="Z75">
        <f>HYPERLINK("https://klasma.github.io/Logging_2085/fåglar/A 19512-2022 prioriterade fågelarter.docx", "A 19512-2022")</f>
        <v/>
      </c>
    </row>
    <row r="76" ht="15" customHeight="1">
      <c r="A76" t="inlineStr">
        <is>
          <t>A 56826-2025</t>
        </is>
      </c>
      <c r="B76" s="1" t="n">
        <v>45978</v>
      </c>
      <c r="C76" s="1" t="n">
        <v>46194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4.5</v>
      </c>
      <c r="H76" t="n">
        <v>1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Garnlav
Tretåig hackspett</t>
        </is>
      </c>
      <c r="S76">
        <f>HYPERLINK("https://klasma.github.io/Logging_2085/artfynd/A 56826-2025 artfynd.xlsx", "A 56826-2025")</f>
        <v/>
      </c>
      <c r="T76">
        <f>HYPERLINK("https://klasma.github.io/Logging_2085/kartor/A 56826-2025 karta.png", "A 56826-2025")</f>
        <v/>
      </c>
      <c r="V76">
        <f>HYPERLINK("https://klasma.github.io/Logging_2085/klagomål/A 56826-2025 FSC-klagomål.docx", "A 56826-2025")</f>
        <v/>
      </c>
      <c r="W76">
        <f>HYPERLINK("https://klasma.github.io/Logging_2085/klagomålsmail/A 56826-2025 FSC-klagomål mail.docx", "A 56826-2025")</f>
        <v/>
      </c>
      <c r="X76">
        <f>HYPERLINK("https://klasma.github.io/Logging_2085/tillsyn/A 56826-2025 tillsynsbegäran.docx", "A 56826-2025")</f>
        <v/>
      </c>
      <c r="Y76">
        <f>HYPERLINK("https://klasma.github.io/Logging_2085/tillsynsmail/A 56826-2025 tillsynsbegäran mail.docx", "A 56826-2025")</f>
        <v/>
      </c>
      <c r="Z76">
        <f>HYPERLINK("https://klasma.github.io/Logging_2085/fåglar/A 56826-2025 prioriterade fågelarter.docx", "A 56826-2025")</f>
        <v/>
      </c>
    </row>
    <row r="77" ht="15" customHeight="1">
      <c r="A77" t="inlineStr">
        <is>
          <t>A 56879-2025</t>
        </is>
      </c>
      <c r="B77" s="1" t="n">
        <v>45978</v>
      </c>
      <c r="C77" s="1" t="n">
        <v>46194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1.6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Garnlav
Tjäder</t>
        </is>
      </c>
      <c r="S77">
        <f>HYPERLINK("https://klasma.github.io/Logging_2085/artfynd/A 56879-2025 artfynd.xlsx", "A 56879-2025")</f>
        <v/>
      </c>
      <c r="T77">
        <f>HYPERLINK("https://klasma.github.io/Logging_2085/kartor/A 56879-2025 karta.png", "A 56879-2025")</f>
        <v/>
      </c>
      <c r="V77">
        <f>HYPERLINK("https://klasma.github.io/Logging_2085/klagomål/A 56879-2025 FSC-klagomål.docx", "A 56879-2025")</f>
        <v/>
      </c>
      <c r="W77">
        <f>HYPERLINK("https://klasma.github.io/Logging_2085/klagomålsmail/A 56879-2025 FSC-klagomål mail.docx", "A 56879-2025")</f>
        <v/>
      </c>
      <c r="X77">
        <f>HYPERLINK("https://klasma.github.io/Logging_2085/tillsyn/A 56879-2025 tillsynsbegäran.docx", "A 56879-2025")</f>
        <v/>
      </c>
      <c r="Y77">
        <f>HYPERLINK("https://klasma.github.io/Logging_2085/tillsynsmail/A 56879-2025 tillsynsbegäran mail.docx", "A 56879-2025")</f>
        <v/>
      </c>
      <c r="Z77">
        <f>HYPERLINK("https://klasma.github.io/Logging_2085/fåglar/A 56879-2025 prioriterade fågelarter.docx", "A 56879-2025")</f>
        <v/>
      </c>
    </row>
    <row r="78" ht="15" customHeight="1">
      <c r="A78" t="inlineStr">
        <is>
          <t>A 18024-2026</t>
        </is>
      </c>
      <c r="B78" s="1" t="n">
        <v>46125</v>
      </c>
      <c r="C78" s="1" t="n">
        <v>46194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1.9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Skinnlav
Svavelriska</t>
        </is>
      </c>
      <c r="S78">
        <f>HYPERLINK("https://klasma.github.io/Logging_2085/artfynd/A 18024-2026 artfynd.xlsx", "A 18024-2026")</f>
        <v/>
      </c>
      <c r="T78">
        <f>HYPERLINK("https://klasma.github.io/Logging_2085/kartor/A 18024-2026 karta.png", "A 18024-2026")</f>
        <v/>
      </c>
      <c r="V78">
        <f>HYPERLINK("https://klasma.github.io/Logging_2085/klagomål/A 18024-2026 FSC-klagomål.docx", "A 18024-2026")</f>
        <v/>
      </c>
      <c r="W78">
        <f>HYPERLINK("https://klasma.github.io/Logging_2085/klagomålsmail/A 18024-2026 FSC-klagomål mail.docx", "A 18024-2026")</f>
        <v/>
      </c>
      <c r="X78">
        <f>HYPERLINK("https://klasma.github.io/Logging_2085/tillsyn/A 18024-2026 tillsynsbegäran.docx", "A 18024-2026")</f>
        <v/>
      </c>
      <c r="Y78">
        <f>HYPERLINK("https://klasma.github.io/Logging_2085/tillsynsmail/A 18024-2026 tillsynsbegäran mail.docx", "A 18024-2026")</f>
        <v/>
      </c>
    </row>
    <row r="79" ht="15" customHeight="1">
      <c r="A79" t="inlineStr">
        <is>
          <t>A 8202-2025</t>
        </is>
      </c>
      <c r="B79" s="1" t="n">
        <v>45708</v>
      </c>
      <c r="C79" s="1" t="n">
        <v>46194</v>
      </c>
      <c r="D79" t="inlineStr">
        <is>
          <t>DALARNAS LÄN</t>
        </is>
      </c>
      <c r="E79" t="inlineStr">
        <is>
          <t>LUDVIKA</t>
        </is>
      </c>
      <c r="G79" t="n">
        <v>6.4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Tretåig hackspett
Spillkråka</t>
        </is>
      </c>
      <c r="S79">
        <f>HYPERLINK("https://klasma.github.io/Logging_2085/artfynd/A 8202-2025 artfynd.xlsx", "A 8202-2025")</f>
        <v/>
      </c>
      <c r="T79">
        <f>HYPERLINK("https://klasma.github.io/Logging_2085/kartor/A 8202-2025 karta.png", "A 8202-2025")</f>
        <v/>
      </c>
      <c r="V79">
        <f>HYPERLINK("https://klasma.github.io/Logging_2085/klagomål/A 8202-2025 FSC-klagomål.docx", "A 8202-2025")</f>
        <v/>
      </c>
      <c r="W79">
        <f>HYPERLINK("https://klasma.github.io/Logging_2085/klagomålsmail/A 8202-2025 FSC-klagomål mail.docx", "A 8202-2025")</f>
        <v/>
      </c>
      <c r="X79">
        <f>HYPERLINK("https://klasma.github.io/Logging_2085/tillsyn/A 8202-2025 tillsynsbegäran.docx", "A 8202-2025")</f>
        <v/>
      </c>
      <c r="Y79">
        <f>HYPERLINK("https://klasma.github.io/Logging_2085/tillsynsmail/A 8202-2025 tillsynsbegäran mail.docx", "A 8202-2025")</f>
        <v/>
      </c>
      <c r="Z79">
        <f>HYPERLINK("https://klasma.github.io/Logging_2085/fåglar/A 8202-2025 prioriterade fågelarter.docx", "A 8202-2025")</f>
        <v/>
      </c>
    </row>
    <row r="80" ht="15" customHeight="1">
      <c r="A80" t="inlineStr">
        <is>
          <t>A 19538-2026</t>
        </is>
      </c>
      <c r="B80" s="1" t="n">
        <v>46134</v>
      </c>
      <c r="C80" s="1" t="n">
        <v>46194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3.8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Mörk husmossa
Tibast</t>
        </is>
      </c>
      <c r="S80">
        <f>HYPERLINK("https://klasma.github.io/Logging_2085/artfynd/A 19538-2026 artfynd.xlsx", "A 19538-2026")</f>
        <v/>
      </c>
      <c r="T80">
        <f>HYPERLINK("https://klasma.github.io/Logging_2085/kartor/A 19538-2026 karta.png", "A 19538-2026")</f>
        <v/>
      </c>
      <c r="V80">
        <f>HYPERLINK("https://klasma.github.io/Logging_2085/klagomål/A 19538-2026 FSC-klagomål.docx", "A 19538-2026")</f>
        <v/>
      </c>
      <c r="W80">
        <f>HYPERLINK("https://klasma.github.io/Logging_2085/klagomålsmail/A 19538-2026 FSC-klagomål mail.docx", "A 19538-2026")</f>
        <v/>
      </c>
      <c r="X80">
        <f>HYPERLINK("https://klasma.github.io/Logging_2085/tillsyn/A 19538-2026 tillsynsbegäran.docx", "A 19538-2026")</f>
        <v/>
      </c>
      <c r="Y80">
        <f>HYPERLINK("https://klasma.github.io/Logging_2085/tillsynsmail/A 19538-2026 tillsynsbegäran mail.docx", "A 19538-2026")</f>
        <v/>
      </c>
    </row>
    <row r="81" ht="15" customHeight="1">
      <c r="A81" t="inlineStr">
        <is>
          <t>A 23919-2026</t>
        </is>
      </c>
      <c r="B81" s="1" t="n">
        <v>46167</v>
      </c>
      <c r="C81" s="1" t="n">
        <v>46194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Korallblylav
Skinnlav</t>
        </is>
      </c>
      <c r="S81">
        <f>HYPERLINK("https://klasma.github.io/Logging_2085/artfynd/A 23919-2026 artfynd.xlsx", "A 23919-2026")</f>
        <v/>
      </c>
      <c r="T81">
        <f>HYPERLINK("https://klasma.github.io/Logging_2085/kartor/A 23919-2026 karta.png", "A 23919-2026")</f>
        <v/>
      </c>
      <c r="V81">
        <f>HYPERLINK("https://klasma.github.io/Logging_2085/klagomål/A 23919-2026 FSC-klagomål.docx", "A 23919-2026")</f>
        <v/>
      </c>
      <c r="W81">
        <f>HYPERLINK("https://klasma.github.io/Logging_2085/klagomålsmail/A 23919-2026 FSC-klagomål mail.docx", "A 23919-2026")</f>
        <v/>
      </c>
      <c r="X81">
        <f>HYPERLINK("https://klasma.github.io/Logging_2085/tillsyn/A 23919-2026 tillsynsbegäran.docx", "A 23919-2026")</f>
        <v/>
      </c>
      <c r="Y81">
        <f>HYPERLINK("https://klasma.github.io/Logging_2085/tillsynsmail/A 23919-2026 tillsynsbegäran mail.docx", "A 23919-2026")</f>
        <v/>
      </c>
    </row>
    <row r="82" ht="15" customHeight="1">
      <c r="A82" t="inlineStr">
        <is>
          <t>A 24426-2026</t>
        </is>
      </c>
      <c r="B82" s="1" t="n">
        <v>46168</v>
      </c>
      <c r="C82" s="1" t="n">
        <v>46194</v>
      </c>
      <c r="D82" t="inlineStr">
        <is>
          <t>DALARNAS LÄN</t>
        </is>
      </c>
      <c r="E82" t="inlineStr">
        <is>
          <t>LUDVIKA</t>
        </is>
      </c>
      <c r="F82" t="inlineStr">
        <is>
          <t>Övriga Aktiebolag</t>
        </is>
      </c>
      <c r="G82" t="n">
        <v>12.4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Spillkråka
Sälg</t>
        </is>
      </c>
      <c r="S82">
        <f>HYPERLINK("https://klasma.github.io/Logging_2085/artfynd/A 24426-2026 artfynd.xlsx", "A 24426-2026")</f>
        <v/>
      </c>
      <c r="T82">
        <f>HYPERLINK("https://klasma.github.io/Logging_2085/kartor/A 24426-2026 karta.png", "A 24426-2026")</f>
        <v/>
      </c>
      <c r="V82">
        <f>HYPERLINK("https://klasma.github.io/Logging_2085/klagomål/A 24426-2026 FSC-klagomål.docx", "A 24426-2026")</f>
        <v/>
      </c>
      <c r="W82">
        <f>HYPERLINK("https://klasma.github.io/Logging_2085/klagomålsmail/A 24426-2026 FSC-klagomål mail.docx", "A 24426-2026")</f>
        <v/>
      </c>
      <c r="X82">
        <f>HYPERLINK("https://klasma.github.io/Logging_2085/tillsyn/A 24426-2026 tillsynsbegäran.docx", "A 24426-2026")</f>
        <v/>
      </c>
      <c r="Y82">
        <f>HYPERLINK("https://klasma.github.io/Logging_2085/tillsynsmail/A 24426-2026 tillsynsbegäran mail.docx", "A 24426-2026")</f>
        <v/>
      </c>
      <c r="Z82">
        <f>HYPERLINK("https://klasma.github.io/Logging_2085/fåglar/A 24426-2026 prioriterade fågelarter.docx", "A 24426-2026")</f>
        <v/>
      </c>
    </row>
    <row r="83" ht="15" customHeight="1">
      <c r="A83" t="inlineStr">
        <is>
          <t>A 45995-2021</t>
        </is>
      </c>
      <c r="B83" s="1" t="n">
        <v>44441</v>
      </c>
      <c r="C83" s="1" t="n">
        <v>46194</v>
      </c>
      <c r="D83" t="inlineStr">
        <is>
          <t>DALARNAS LÄN</t>
        </is>
      </c>
      <c r="E83" t="inlineStr">
        <is>
          <t>LUDVIKA</t>
        </is>
      </c>
      <c r="G83" t="n">
        <v>1.2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Nordfladdermus</t>
        </is>
      </c>
      <c r="S83">
        <f>HYPERLINK("https://klasma.github.io/Logging_2085/artfynd/A 45995-2021 artfynd.xlsx", "A 45995-2021")</f>
        <v/>
      </c>
      <c r="T83">
        <f>HYPERLINK("https://klasma.github.io/Logging_2085/kartor/A 45995-2021 karta.png", "A 45995-2021")</f>
        <v/>
      </c>
      <c r="V83">
        <f>HYPERLINK("https://klasma.github.io/Logging_2085/klagomål/A 45995-2021 FSC-klagomål.docx", "A 45995-2021")</f>
        <v/>
      </c>
      <c r="W83">
        <f>HYPERLINK("https://klasma.github.io/Logging_2085/klagomålsmail/A 45995-2021 FSC-klagomål mail.docx", "A 45995-2021")</f>
        <v/>
      </c>
      <c r="X83">
        <f>HYPERLINK("https://klasma.github.io/Logging_2085/tillsyn/A 45995-2021 tillsynsbegäran.docx", "A 45995-2021")</f>
        <v/>
      </c>
      <c r="Y83">
        <f>HYPERLINK("https://klasma.github.io/Logging_2085/tillsynsmail/A 45995-2021 tillsynsbegäran mail.docx", "A 45995-2021")</f>
        <v/>
      </c>
    </row>
    <row r="84" ht="15" customHeight="1">
      <c r="A84" t="inlineStr">
        <is>
          <t>A 48580-2021</t>
        </is>
      </c>
      <c r="B84" s="1" t="n">
        <v>44452</v>
      </c>
      <c r="C84" s="1" t="n">
        <v>46194</v>
      </c>
      <c r="D84" t="inlineStr">
        <is>
          <t>DALARNAS LÄN</t>
        </is>
      </c>
      <c r="E84" t="inlineStr">
        <is>
          <t>LUDVIKA</t>
        </is>
      </c>
      <c r="G84" t="n">
        <v>1.3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Göktyta</t>
        </is>
      </c>
      <c r="S84">
        <f>HYPERLINK("https://klasma.github.io/Logging_2085/artfynd/A 48580-2021 artfynd.xlsx", "A 48580-2021")</f>
        <v/>
      </c>
      <c r="T84">
        <f>HYPERLINK("https://klasma.github.io/Logging_2085/kartor/A 48580-2021 karta.png", "A 48580-2021")</f>
        <v/>
      </c>
      <c r="V84">
        <f>HYPERLINK("https://klasma.github.io/Logging_2085/klagomål/A 48580-2021 FSC-klagomål.docx", "A 48580-2021")</f>
        <v/>
      </c>
      <c r="W84">
        <f>HYPERLINK("https://klasma.github.io/Logging_2085/klagomålsmail/A 48580-2021 FSC-klagomål mail.docx", "A 48580-2021")</f>
        <v/>
      </c>
      <c r="X84">
        <f>HYPERLINK("https://klasma.github.io/Logging_2085/tillsyn/A 48580-2021 tillsynsbegäran.docx", "A 48580-2021")</f>
        <v/>
      </c>
      <c r="Y84">
        <f>HYPERLINK("https://klasma.github.io/Logging_2085/tillsynsmail/A 48580-2021 tillsynsbegäran mail.docx", "A 48580-2021")</f>
        <v/>
      </c>
      <c r="Z84">
        <f>HYPERLINK("https://klasma.github.io/Logging_2085/fåglar/A 48580-2021 prioriterade fågelarter.docx", "A 48580-2021")</f>
        <v/>
      </c>
    </row>
    <row r="85" ht="15" customHeight="1">
      <c r="A85" t="inlineStr">
        <is>
          <t>A 927-2022</t>
        </is>
      </c>
      <c r="B85" s="1" t="n">
        <v>44571</v>
      </c>
      <c r="C85" s="1" t="n">
        <v>46194</v>
      </c>
      <c r="D85" t="inlineStr">
        <is>
          <t>DALARNAS LÄN</t>
        </is>
      </c>
      <c r="E85" t="inlineStr">
        <is>
          <t>LUDVIKA</t>
        </is>
      </c>
      <c r="F85" t="inlineStr">
        <is>
          <t>Allmännings- och besparingsskogar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Brunklöver</t>
        </is>
      </c>
      <c r="S85">
        <f>HYPERLINK("https://klasma.github.io/Logging_2085/artfynd/A 927-2022 artfynd.xlsx", "A 927-2022")</f>
        <v/>
      </c>
      <c r="T85">
        <f>HYPERLINK("https://klasma.github.io/Logging_2085/kartor/A 927-2022 karta.png", "A 927-2022")</f>
        <v/>
      </c>
      <c r="V85">
        <f>HYPERLINK("https://klasma.github.io/Logging_2085/klagomål/A 927-2022 FSC-klagomål.docx", "A 927-2022")</f>
        <v/>
      </c>
      <c r="W85">
        <f>HYPERLINK("https://klasma.github.io/Logging_2085/klagomålsmail/A 927-2022 FSC-klagomål mail.docx", "A 927-2022")</f>
        <v/>
      </c>
      <c r="X85">
        <f>HYPERLINK("https://klasma.github.io/Logging_2085/tillsyn/A 927-2022 tillsynsbegäran.docx", "A 927-2022")</f>
        <v/>
      </c>
      <c r="Y85">
        <f>HYPERLINK("https://klasma.github.io/Logging_2085/tillsynsmail/A 927-2022 tillsynsbegäran mail.docx", "A 927-2022")</f>
        <v/>
      </c>
    </row>
    <row r="86" ht="15" customHeight="1">
      <c r="A86" t="inlineStr">
        <is>
          <t>A 13051-2022</t>
        </is>
      </c>
      <c r="B86" s="1" t="n">
        <v>44643</v>
      </c>
      <c r="C86" s="1" t="n">
        <v>46194</v>
      </c>
      <c r="D86" t="inlineStr">
        <is>
          <t>DALARNAS LÄN</t>
        </is>
      </c>
      <c r="E86" t="inlineStr">
        <is>
          <t>LUDVIKA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Mosippa</t>
        </is>
      </c>
      <c r="S86">
        <f>HYPERLINK("https://klasma.github.io/Logging_2085/artfynd/A 13051-2022 artfynd.xlsx", "A 13051-2022")</f>
        <v/>
      </c>
      <c r="T86">
        <f>HYPERLINK("https://klasma.github.io/Logging_2085/kartor/A 13051-2022 karta.png", "A 13051-2022")</f>
        <v/>
      </c>
      <c r="V86">
        <f>HYPERLINK("https://klasma.github.io/Logging_2085/klagomål/A 13051-2022 FSC-klagomål.docx", "A 13051-2022")</f>
        <v/>
      </c>
      <c r="W86">
        <f>HYPERLINK("https://klasma.github.io/Logging_2085/klagomålsmail/A 13051-2022 FSC-klagomål mail.docx", "A 13051-2022")</f>
        <v/>
      </c>
      <c r="X86">
        <f>HYPERLINK("https://klasma.github.io/Logging_2085/tillsyn/A 13051-2022 tillsynsbegäran.docx", "A 13051-2022")</f>
        <v/>
      </c>
      <c r="Y86">
        <f>HYPERLINK("https://klasma.github.io/Logging_2085/tillsynsmail/A 13051-2022 tillsynsbegäran mail.docx", "A 13051-2022")</f>
        <v/>
      </c>
    </row>
    <row r="87" ht="15" customHeight="1">
      <c r="A87" t="inlineStr">
        <is>
          <t>A 51709-2022</t>
        </is>
      </c>
      <c r="B87" s="1" t="n">
        <v>44872</v>
      </c>
      <c r="C87" s="1" t="n">
        <v>46194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Ängsmetallvinge</t>
        </is>
      </c>
      <c r="S87">
        <f>HYPERLINK("https://klasma.github.io/Logging_2085/artfynd/A 51709-2022 artfynd.xlsx", "A 51709-2022")</f>
        <v/>
      </c>
      <c r="T87">
        <f>HYPERLINK("https://klasma.github.io/Logging_2085/kartor/A 51709-2022 karta.png", "A 51709-2022")</f>
        <v/>
      </c>
      <c r="V87">
        <f>HYPERLINK("https://klasma.github.io/Logging_2085/klagomål/A 51709-2022 FSC-klagomål.docx", "A 51709-2022")</f>
        <v/>
      </c>
      <c r="W87">
        <f>HYPERLINK("https://klasma.github.io/Logging_2085/klagomålsmail/A 51709-2022 FSC-klagomål mail.docx", "A 51709-2022")</f>
        <v/>
      </c>
      <c r="X87">
        <f>HYPERLINK("https://klasma.github.io/Logging_2085/tillsyn/A 51709-2022 tillsynsbegäran.docx", "A 51709-2022")</f>
        <v/>
      </c>
      <c r="Y87">
        <f>HYPERLINK("https://klasma.github.io/Logging_2085/tillsynsmail/A 51709-2022 tillsynsbegäran mail.docx", "A 51709-2022")</f>
        <v/>
      </c>
    </row>
    <row r="88" ht="15" customHeight="1">
      <c r="A88" t="inlineStr">
        <is>
          <t>A 55550-2022</t>
        </is>
      </c>
      <c r="B88" s="1" t="n">
        <v>44888</v>
      </c>
      <c r="C88" s="1" t="n">
        <v>46194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HYPERLINK("https://klasma.github.io/Logging_2085/artfynd/A 55550-2022 artfynd.xlsx", "A 55550-2022")</f>
        <v/>
      </c>
      <c r="T88">
        <f>HYPERLINK("https://klasma.github.io/Logging_2085/kartor/A 55550-2022 karta.png", "A 55550-2022")</f>
        <v/>
      </c>
      <c r="V88">
        <f>HYPERLINK("https://klasma.github.io/Logging_2085/klagomål/A 55550-2022 FSC-klagomål.docx", "A 55550-2022")</f>
        <v/>
      </c>
      <c r="W88">
        <f>HYPERLINK("https://klasma.github.io/Logging_2085/klagomålsmail/A 55550-2022 FSC-klagomål mail.docx", "A 55550-2022")</f>
        <v/>
      </c>
      <c r="X88">
        <f>HYPERLINK("https://klasma.github.io/Logging_2085/tillsyn/A 55550-2022 tillsynsbegäran.docx", "A 55550-2022")</f>
        <v/>
      </c>
      <c r="Y88">
        <f>HYPERLINK("https://klasma.github.io/Logging_2085/tillsynsmail/A 55550-2022 tillsynsbegäran mail.docx", "A 55550-2022")</f>
        <v/>
      </c>
    </row>
    <row r="89" ht="15" customHeight="1">
      <c r="A89" t="inlineStr">
        <is>
          <t>A 51886-2022</t>
        </is>
      </c>
      <c r="B89" s="1" t="n">
        <v>44872</v>
      </c>
      <c r="C89" s="1" t="n">
        <v>46194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1.8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gräsfjäril</t>
        </is>
      </c>
      <c r="S89">
        <f>HYPERLINK("https://klasma.github.io/Logging_2085/artfynd/A 51886-2022 artfynd.xlsx", "A 51886-2022")</f>
        <v/>
      </c>
      <c r="T89">
        <f>HYPERLINK("https://klasma.github.io/Logging_2085/kartor/A 51886-2022 karta.png", "A 51886-2022")</f>
        <v/>
      </c>
      <c r="V89">
        <f>HYPERLINK("https://klasma.github.io/Logging_2085/klagomål/A 51886-2022 FSC-klagomål.docx", "A 51886-2022")</f>
        <v/>
      </c>
      <c r="W89">
        <f>HYPERLINK("https://klasma.github.io/Logging_2085/klagomålsmail/A 51886-2022 FSC-klagomål mail.docx", "A 51886-2022")</f>
        <v/>
      </c>
      <c r="X89">
        <f>HYPERLINK("https://klasma.github.io/Logging_2085/tillsyn/A 51886-2022 tillsynsbegäran.docx", "A 51886-2022")</f>
        <v/>
      </c>
      <c r="Y89">
        <f>HYPERLINK("https://klasma.github.io/Logging_2085/tillsynsmail/A 51886-2022 tillsynsbegäran mail.docx", "A 51886-2022")</f>
        <v/>
      </c>
    </row>
    <row r="90" ht="15" customHeight="1">
      <c r="A90" t="inlineStr">
        <is>
          <t>A 26850-2023</t>
        </is>
      </c>
      <c r="B90" s="1" t="n">
        <v>45093</v>
      </c>
      <c r="C90" s="1" t="n">
        <v>46194</v>
      </c>
      <c r="D90" t="inlineStr">
        <is>
          <t>DALARNAS LÄN</t>
        </is>
      </c>
      <c r="E90" t="inlineStr">
        <is>
          <t>LUDVIKA</t>
        </is>
      </c>
      <c r="F90" t="inlineStr">
        <is>
          <t>Naturvårdsverket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HYPERLINK("https://klasma.github.io/Logging_2085/artfynd/A 26850-2023 artfynd.xlsx", "A 26850-2023")</f>
        <v/>
      </c>
      <c r="T90">
        <f>HYPERLINK("https://klasma.github.io/Logging_2085/kartor/A 26850-2023 karta.png", "A 26850-2023")</f>
        <v/>
      </c>
      <c r="V90">
        <f>HYPERLINK("https://klasma.github.io/Logging_2085/klagomål/A 26850-2023 FSC-klagomål.docx", "A 26850-2023")</f>
        <v/>
      </c>
      <c r="W90">
        <f>HYPERLINK("https://klasma.github.io/Logging_2085/klagomålsmail/A 26850-2023 FSC-klagomål mail.docx", "A 26850-2023")</f>
        <v/>
      </c>
      <c r="X90">
        <f>HYPERLINK("https://klasma.github.io/Logging_2085/tillsyn/A 26850-2023 tillsynsbegäran.docx", "A 26850-2023")</f>
        <v/>
      </c>
      <c r="Y90">
        <f>HYPERLINK("https://klasma.github.io/Logging_2085/tillsynsmail/A 26850-2023 tillsynsbegäran mail.docx", "A 26850-2023")</f>
        <v/>
      </c>
    </row>
    <row r="91" ht="15" customHeight="1">
      <c r="A91" t="inlineStr">
        <is>
          <t>A 25448-2024</t>
        </is>
      </c>
      <c r="B91" s="1" t="n">
        <v>45463</v>
      </c>
      <c r="C91" s="1" t="n">
        <v>46194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24.7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HYPERLINK("https://klasma.github.io/Logging_2085/artfynd/A 25448-2024 artfynd.xlsx", "A 25448-2024")</f>
        <v/>
      </c>
      <c r="T91">
        <f>HYPERLINK("https://klasma.github.io/Logging_2085/kartor/A 25448-2024 karta.png", "A 25448-2024")</f>
        <v/>
      </c>
      <c r="V91">
        <f>HYPERLINK("https://klasma.github.io/Logging_2085/klagomål/A 25448-2024 FSC-klagomål.docx", "A 25448-2024")</f>
        <v/>
      </c>
      <c r="W91">
        <f>HYPERLINK("https://klasma.github.io/Logging_2085/klagomålsmail/A 25448-2024 FSC-klagomål mail.docx", "A 25448-2024")</f>
        <v/>
      </c>
      <c r="X91">
        <f>HYPERLINK("https://klasma.github.io/Logging_2085/tillsyn/A 25448-2024 tillsynsbegäran.docx", "A 25448-2024")</f>
        <v/>
      </c>
      <c r="Y91">
        <f>HYPERLINK("https://klasma.github.io/Logging_2085/tillsynsmail/A 25448-2024 tillsynsbegäran mail.docx", "A 25448-2024")</f>
        <v/>
      </c>
    </row>
    <row r="92" ht="15" customHeight="1">
      <c r="A92" t="inlineStr">
        <is>
          <t>A 400-2023</t>
        </is>
      </c>
      <c r="B92" s="1" t="n">
        <v>44929</v>
      </c>
      <c r="C92" s="1" t="n">
        <v>46194</v>
      </c>
      <c r="D92" t="inlineStr">
        <is>
          <t>DALARNAS LÄN</t>
        </is>
      </c>
      <c r="E92" t="inlineStr">
        <is>
          <t>LUDVIKA</t>
        </is>
      </c>
      <c r="G92" t="n">
        <v>3.6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Nordfladdermus</t>
        </is>
      </c>
      <c r="S92">
        <f>HYPERLINK("https://klasma.github.io/Logging_2085/artfynd/A 400-2023 artfynd.xlsx", "A 400-2023")</f>
        <v/>
      </c>
      <c r="T92">
        <f>HYPERLINK("https://klasma.github.io/Logging_2085/kartor/A 400-2023 karta.png", "A 400-2023")</f>
        <v/>
      </c>
      <c r="V92">
        <f>HYPERLINK("https://klasma.github.io/Logging_2085/klagomål/A 400-2023 FSC-klagomål.docx", "A 400-2023")</f>
        <v/>
      </c>
      <c r="W92">
        <f>HYPERLINK("https://klasma.github.io/Logging_2085/klagomålsmail/A 400-2023 FSC-klagomål mail.docx", "A 400-2023")</f>
        <v/>
      </c>
      <c r="X92">
        <f>HYPERLINK("https://klasma.github.io/Logging_2085/tillsyn/A 400-2023 tillsynsbegäran.docx", "A 400-2023")</f>
        <v/>
      </c>
      <c r="Y92">
        <f>HYPERLINK("https://klasma.github.io/Logging_2085/tillsynsmail/A 400-2023 tillsynsbegäran mail.docx", "A 400-2023")</f>
        <v/>
      </c>
    </row>
    <row r="93" ht="15" customHeight="1">
      <c r="A93" t="inlineStr">
        <is>
          <t>A 31478-2023</t>
        </is>
      </c>
      <c r="B93" s="1" t="n">
        <v>45114</v>
      </c>
      <c r="C93" s="1" t="n">
        <v>46194</v>
      </c>
      <c r="D93" t="inlineStr">
        <is>
          <t>DALARNAS LÄN</t>
        </is>
      </c>
      <c r="E93" t="inlineStr">
        <is>
          <t>LUDVIKA</t>
        </is>
      </c>
      <c r="G93" t="n">
        <v>6.2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Garnlav</t>
        </is>
      </c>
      <c r="S93">
        <f>HYPERLINK("https://klasma.github.io/Logging_2085/artfynd/A 31478-2023 artfynd.xlsx", "A 31478-2023")</f>
        <v/>
      </c>
      <c r="T93">
        <f>HYPERLINK("https://klasma.github.io/Logging_2085/kartor/A 31478-2023 karta.png", "A 31478-2023")</f>
        <v/>
      </c>
      <c r="V93">
        <f>HYPERLINK("https://klasma.github.io/Logging_2085/klagomål/A 31478-2023 FSC-klagomål.docx", "A 31478-2023")</f>
        <v/>
      </c>
      <c r="W93">
        <f>HYPERLINK("https://klasma.github.io/Logging_2085/klagomålsmail/A 31478-2023 FSC-klagomål mail.docx", "A 31478-2023")</f>
        <v/>
      </c>
      <c r="X93">
        <f>HYPERLINK("https://klasma.github.io/Logging_2085/tillsyn/A 31478-2023 tillsynsbegäran.docx", "A 31478-2023")</f>
        <v/>
      </c>
      <c r="Y93">
        <f>HYPERLINK("https://klasma.github.io/Logging_2085/tillsynsmail/A 31478-2023 tillsynsbegäran mail.docx", "A 31478-2023")</f>
        <v/>
      </c>
    </row>
    <row r="94" ht="15" customHeight="1">
      <c r="A94" t="inlineStr">
        <is>
          <t>A 6579-2023</t>
        </is>
      </c>
      <c r="B94" s="1" t="n">
        <v>44960</v>
      </c>
      <c r="C94" s="1" t="n">
        <v>46194</v>
      </c>
      <c r="D94" t="inlineStr">
        <is>
          <t>DALARNAS LÄN</t>
        </is>
      </c>
      <c r="E94" t="inlineStr">
        <is>
          <t>LUDVIKA</t>
        </is>
      </c>
      <c r="G94" t="n">
        <v>3.4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HYPERLINK("https://klasma.github.io/Logging_2085/artfynd/A 6579-2023 artfynd.xlsx", "A 6579-2023")</f>
        <v/>
      </c>
      <c r="T94">
        <f>HYPERLINK("https://klasma.github.io/Logging_2085/kartor/A 6579-2023 karta.png", "A 6579-2023")</f>
        <v/>
      </c>
      <c r="V94">
        <f>HYPERLINK("https://klasma.github.io/Logging_2085/klagomål/A 6579-2023 FSC-klagomål.docx", "A 6579-2023")</f>
        <v/>
      </c>
      <c r="W94">
        <f>HYPERLINK("https://klasma.github.io/Logging_2085/klagomålsmail/A 6579-2023 FSC-klagomål mail.docx", "A 6579-2023")</f>
        <v/>
      </c>
      <c r="X94">
        <f>HYPERLINK("https://klasma.github.io/Logging_2085/tillsyn/A 6579-2023 tillsynsbegäran.docx", "A 6579-2023")</f>
        <v/>
      </c>
      <c r="Y94">
        <f>HYPERLINK("https://klasma.github.io/Logging_2085/tillsynsmail/A 6579-2023 tillsynsbegäran mail.docx", "A 6579-2023")</f>
        <v/>
      </c>
    </row>
    <row r="95" ht="15" customHeight="1">
      <c r="A95" t="inlineStr">
        <is>
          <t>A 1047-2023</t>
        </is>
      </c>
      <c r="B95" s="1" t="n">
        <v>44929</v>
      </c>
      <c r="C95" s="1" t="n">
        <v>46194</v>
      </c>
      <c r="D95" t="inlineStr">
        <is>
          <t>DALARNAS LÄN</t>
        </is>
      </c>
      <c r="E95" t="inlineStr">
        <is>
          <t>LUDVIKA</t>
        </is>
      </c>
      <c r="F95" t="inlineStr">
        <is>
          <t>Kommuner</t>
        </is>
      </c>
      <c r="G95" t="n">
        <v>3.2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HYPERLINK("https://klasma.github.io/Logging_2085/artfynd/A 1047-2023 artfynd.xlsx", "A 1047-2023")</f>
        <v/>
      </c>
      <c r="T95">
        <f>HYPERLINK("https://klasma.github.io/Logging_2085/kartor/A 1047-2023 karta.png", "A 1047-2023")</f>
        <v/>
      </c>
      <c r="V95">
        <f>HYPERLINK("https://klasma.github.io/Logging_2085/klagomål/A 1047-2023 FSC-klagomål.docx", "A 1047-2023")</f>
        <v/>
      </c>
      <c r="W95">
        <f>HYPERLINK("https://klasma.github.io/Logging_2085/klagomålsmail/A 1047-2023 FSC-klagomål mail.docx", "A 1047-2023")</f>
        <v/>
      </c>
      <c r="X95">
        <f>HYPERLINK("https://klasma.github.io/Logging_2085/tillsyn/A 1047-2023 tillsynsbegäran.docx", "A 1047-2023")</f>
        <v/>
      </c>
      <c r="Y95">
        <f>HYPERLINK("https://klasma.github.io/Logging_2085/tillsynsmail/A 1047-2023 tillsynsbegäran mail.docx", "A 1047-2023")</f>
        <v/>
      </c>
    </row>
    <row r="96" ht="15" customHeight="1">
      <c r="A96" t="inlineStr">
        <is>
          <t>A 44578-2023</t>
        </is>
      </c>
      <c r="B96" s="1" t="n">
        <v>45189</v>
      </c>
      <c r="C96" s="1" t="n">
        <v>46194</v>
      </c>
      <c r="D96" t="inlineStr">
        <is>
          <t>DALARNAS LÄN</t>
        </is>
      </c>
      <c r="E96" t="inlineStr">
        <is>
          <t>LUDVIKA</t>
        </is>
      </c>
      <c r="F96" t="inlineStr">
        <is>
          <t>Övriga Aktiebolag</t>
        </is>
      </c>
      <c r="G96" t="n">
        <v>12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Dofttaggsvamp</t>
        </is>
      </c>
      <c r="S96">
        <f>HYPERLINK("https://klasma.github.io/Logging_2085/artfynd/A 44578-2023 artfynd.xlsx", "A 44578-2023")</f>
        <v/>
      </c>
      <c r="T96">
        <f>HYPERLINK("https://klasma.github.io/Logging_2085/kartor/A 44578-2023 karta.png", "A 44578-2023")</f>
        <v/>
      </c>
      <c r="V96">
        <f>HYPERLINK("https://klasma.github.io/Logging_2085/klagomål/A 44578-2023 FSC-klagomål.docx", "A 44578-2023")</f>
        <v/>
      </c>
      <c r="W96">
        <f>HYPERLINK("https://klasma.github.io/Logging_2085/klagomålsmail/A 44578-2023 FSC-klagomål mail.docx", "A 44578-2023")</f>
        <v/>
      </c>
      <c r="X96">
        <f>HYPERLINK("https://klasma.github.io/Logging_2085/tillsyn/A 44578-2023 tillsynsbegäran.docx", "A 44578-2023")</f>
        <v/>
      </c>
      <c r="Y96">
        <f>HYPERLINK("https://klasma.github.io/Logging_2085/tillsynsmail/A 44578-2023 tillsynsbegäran mail.docx", "A 44578-2023")</f>
        <v/>
      </c>
    </row>
    <row r="97" ht="15" customHeight="1">
      <c r="A97" t="inlineStr">
        <is>
          <t>A 45858-2025</t>
        </is>
      </c>
      <c r="B97" s="1" t="n">
        <v>45923</v>
      </c>
      <c r="C97" s="1" t="n">
        <v>46194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Granbarkgnagare</t>
        </is>
      </c>
      <c r="S97">
        <f>HYPERLINK("https://klasma.github.io/Logging_2085/artfynd/A 45858-2025 artfynd.xlsx", "A 45858-2025")</f>
        <v/>
      </c>
      <c r="T97">
        <f>HYPERLINK("https://klasma.github.io/Logging_2085/kartor/A 45858-2025 karta.png", "A 45858-2025")</f>
        <v/>
      </c>
      <c r="V97">
        <f>HYPERLINK("https://klasma.github.io/Logging_2085/klagomål/A 45858-2025 FSC-klagomål.docx", "A 45858-2025")</f>
        <v/>
      </c>
      <c r="W97">
        <f>HYPERLINK("https://klasma.github.io/Logging_2085/klagomålsmail/A 45858-2025 FSC-klagomål mail.docx", "A 45858-2025")</f>
        <v/>
      </c>
      <c r="X97">
        <f>HYPERLINK("https://klasma.github.io/Logging_2085/tillsyn/A 45858-2025 tillsynsbegäran.docx", "A 45858-2025")</f>
        <v/>
      </c>
      <c r="Y97">
        <f>HYPERLINK("https://klasma.github.io/Logging_2085/tillsynsmail/A 45858-2025 tillsynsbegäran mail.docx", "A 45858-2025")</f>
        <v/>
      </c>
    </row>
    <row r="98" ht="15" customHeight="1">
      <c r="A98" t="inlineStr">
        <is>
          <t>A 62275-2022</t>
        </is>
      </c>
      <c r="B98" s="1" t="n">
        <v>44923</v>
      </c>
      <c r="C98" s="1" t="n">
        <v>46194</v>
      </c>
      <c r="D98" t="inlineStr">
        <is>
          <t>DALARNAS LÄN</t>
        </is>
      </c>
      <c r="E98" t="inlineStr">
        <is>
          <t>LUDVIKA</t>
        </is>
      </c>
      <c r="G98" t="n">
        <v>4.6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HYPERLINK("https://klasma.github.io/Logging_2085/artfynd/A 62275-2022 artfynd.xlsx", "A 62275-2022")</f>
        <v/>
      </c>
      <c r="T98">
        <f>HYPERLINK("https://klasma.github.io/Logging_2085/kartor/A 62275-2022 karta.png", "A 62275-2022")</f>
        <v/>
      </c>
      <c r="U98">
        <f>HYPERLINK("https://klasma.github.io/Logging_2085/knärot/A 62275-2022 karta knärot.png", "A 62275-2022")</f>
        <v/>
      </c>
      <c r="V98">
        <f>HYPERLINK("https://klasma.github.io/Logging_2085/klagomål/A 62275-2022 FSC-klagomål.docx", "A 62275-2022")</f>
        <v/>
      </c>
      <c r="W98">
        <f>HYPERLINK("https://klasma.github.io/Logging_2085/klagomålsmail/A 62275-2022 FSC-klagomål mail.docx", "A 62275-2022")</f>
        <v/>
      </c>
      <c r="X98">
        <f>HYPERLINK("https://klasma.github.io/Logging_2085/tillsyn/A 62275-2022 tillsynsbegäran.docx", "A 62275-2022")</f>
        <v/>
      </c>
      <c r="Y98">
        <f>HYPERLINK("https://klasma.github.io/Logging_2085/tillsynsmail/A 62275-2022 tillsynsbegäran mail.docx", "A 62275-2022")</f>
        <v/>
      </c>
    </row>
    <row r="99" ht="15" customHeight="1">
      <c r="A99" t="inlineStr">
        <is>
          <t>A 29882-2024</t>
        </is>
      </c>
      <c r="B99" s="1" t="n">
        <v>45486</v>
      </c>
      <c r="C99" s="1" t="n">
        <v>46194</v>
      </c>
      <c r="D99" t="inlineStr">
        <is>
          <t>DALARNAS LÄN</t>
        </is>
      </c>
      <c r="E99" t="inlineStr">
        <is>
          <t>LUDVIKA</t>
        </is>
      </c>
      <c r="G99" t="n">
        <v>1.3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HYPERLINK("https://klasma.github.io/Logging_2085/artfynd/A 29882-2024 artfynd.xlsx", "A 29882-2024")</f>
        <v/>
      </c>
      <c r="T99">
        <f>HYPERLINK("https://klasma.github.io/Logging_2085/kartor/A 29882-2024 karta.png", "A 29882-2024")</f>
        <v/>
      </c>
      <c r="V99">
        <f>HYPERLINK("https://klasma.github.io/Logging_2085/klagomål/A 29882-2024 FSC-klagomål.docx", "A 29882-2024")</f>
        <v/>
      </c>
      <c r="W99">
        <f>HYPERLINK("https://klasma.github.io/Logging_2085/klagomålsmail/A 29882-2024 FSC-klagomål mail.docx", "A 29882-2024")</f>
        <v/>
      </c>
      <c r="X99">
        <f>HYPERLINK("https://klasma.github.io/Logging_2085/tillsyn/A 29882-2024 tillsynsbegäran.docx", "A 29882-2024")</f>
        <v/>
      </c>
      <c r="Y99">
        <f>HYPERLINK("https://klasma.github.io/Logging_2085/tillsynsmail/A 29882-2024 tillsynsbegäran mail.docx", "A 29882-2024")</f>
        <v/>
      </c>
      <c r="Z99">
        <f>HYPERLINK("https://klasma.github.io/Logging_2085/fåglar/A 29882-2024 prioriterade fågelarter.docx", "A 29882-2024")</f>
        <v/>
      </c>
    </row>
    <row r="100" ht="15" customHeight="1">
      <c r="A100" t="inlineStr">
        <is>
          <t>A 23102-2025</t>
        </is>
      </c>
      <c r="B100" s="1" t="n">
        <v>45791</v>
      </c>
      <c r="C100" s="1" t="n">
        <v>46194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0.8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groda</t>
        </is>
      </c>
      <c r="S100">
        <f>HYPERLINK("https://klasma.github.io/Logging_2085/artfynd/A 23102-2025 artfynd.xlsx", "A 23102-2025")</f>
        <v/>
      </c>
      <c r="T100">
        <f>HYPERLINK("https://klasma.github.io/Logging_2085/kartor/A 23102-2025 karta.png", "A 23102-2025")</f>
        <v/>
      </c>
      <c r="V100">
        <f>HYPERLINK("https://klasma.github.io/Logging_2085/klagomål/A 23102-2025 FSC-klagomål.docx", "A 23102-2025")</f>
        <v/>
      </c>
      <c r="W100">
        <f>HYPERLINK("https://klasma.github.io/Logging_2085/klagomålsmail/A 23102-2025 FSC-klagomål mail.docx", "A 23102-2025")</f>
        <v/>
      </c>
      <c r="X100">
        <f>HYPERLINK("https://klasma.github.io/Logging_2085/tillsyn/A 23102-2025 tillsynsbegäran.docx", "A 23102-2025")</f>
        <v/>
      </c>
      <c r="Y100">
        <f>HYPERLINK("https://klasma.github.io/Logging_2085/tillsynsmail/A 23102-2025 tillsynsbegäran mail.docx", "A 23102-2025")</f>
        <v/>
      </c>
    </row>
    <row r="101" ht="15" customHeight="1">
      <c r="A101" t="inlineStr">
        <is>
          <t>A 17987-2025</t>
        </is>
      </c>
      <c r="B101" s="1" t="n">
        <v>45761</v>
      </c>
      <c r="C101" s="1" t="n">
        <v>46194</v>
      </c>
      <c r="D101" t="inlineStr">
        <is>
          <t>DALARNAS LÄN</t>
        </is>
      </c>
      <c r="E101" t="inlineStr">
        <is>
          <t>LUDVIKA</t>
        </is>
      </c>
      <c r="G101" t="n">
        <v>0.5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HYPERLINK("https://klasma.github.io/Logging_2085/artfynd/A 17987-2025 artfynd.xlsx", "A 17987-2025")</f>
        <v/>
      </c>
      <c r="T101">
        <f>HYPERLINK("https://klasma.github.io/Logging_2085/kartor/A 17987-2025 karta.png", "A 17987-2025")</f>
        <v/>
      </c>
      <c r="V101">
        <f>HYPERLINK("https://klasma.github.io/Logging_2085/klagomål/A 17987-2025 FSC-klagomål.docx", "A 17987-2025")</f>
        <v/>
      </c>
      <c r="W101">
        <f>HYPERLINK("https://klasma.github.io/Logging_2085/klagomålsmail/A 17987-2025 FSC-klagomål mail.docx", "A 17987-2025")</f>
        <v/>
      </c>
      <c r="X101">
        <f>HYPERLINK("https://klasma.github.io/Logging_2085/tillsyn/A 17987-2025 tillsynsbegäran.docx", "A 17987-2025")</f>
        <v/>
      </c>
      <c r="Y101">
        <f>HYPERLINK("https://klasma.github.io/Logging_2085/tillsynsmail/A 17987-2025 tillsynsbegäran mail.docx", "A 17987-2025")</f>
        <v/>
      </c>
      <c r="Z101">
        <f>HYPERLINK("https://klasma.github.io/Logging_2085/fåglar/A 17987-2025 prioriterade fågelarter.docx", "A 17987-2025")</f>
        <v/>
      </c>
    </row>
    <row r="102" ht="15" customHeight="1">
      <c r="A102" t="inlineStr">
        <is>
          <t>A 20449-2025</t>
        </is>
      </c>
      <c r="B102" s="1" t="n">
        <v>45775</v>
      </c>
      <c r="C102" s="1" t="n">
        <v>46194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3.8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Klofibbla</t>
        </is>
      </c>
      <c r="S102">
        <f>HYPERLINK("https://klasma.github.io/Logging_2085/artfynd/A 20449-2025 artfynd.xlsx", "A 20449-2025")</f>
        <v/>
      </c>
      <c r="T102">
        <f>HYPERLINK("https://klasma.github.io/Logging_2085/kartor/A 20449-2025 karta.png", "A 20449-2025")</f>
        <v/>
      </c>
      <c r="V102">
        <f>HYPERLINK("https://klasma.github.io/Logging_2085/klagomål/A 20449-2025 FSC-klagomål.docx", "A 20449-2025")</f>
        <v/>
      </c>
      <c r="W102">
        <f>HYPERLINK("https://klasma.github.io/Logging_2085/klagomålsmail/A 20449-2025 FSC-klagomål mail.docx", "A 20449-2025")</f>
        <v/>
      </c>
      <c r="X102">
        <f>HYPERLINK("https://klasma.github.io/Logging_2085/tillsyn/A 20449-2025 tillsynsbegäran.docx", "A 20449-2025")</f>
        <v/>
      </c>
      <c r="Y102">
        <f>HYPERLINK("https://klasma.github.io/Logging_2085/tillsynsmail/A 20449-2025 tillsynsbegäran mail.docx", "A 20449-2025")</f>
        <v/>
      </c>
    </row>
    <row r="103" ht="15" customHeight="1">
      <c r="A103" t="inlineStr">
        <is>
          <t>A 51105-2025</t>
        </is>
      </c>
      <c r="B103" s="1" t="n">
        <v>45947</v>
      </c>
      <c r="C103" s="1" t="n">
        <v>46194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5.6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hackspett</t>
        </is>
      </c>
      <c r="S103">
        <f>HYPERLINK("https://klasma.github.io/Logging_2085/artfynd/A 51105-2025 artfynd.xlsx", "A 51105-2025")</f>
        <v/>
      </c>
      <c r="T103">
        <f>HYPERLINK("https://klasma.github.io/Logging_2085/kartor/A 51105-2025 karta.png", "A 51105-2025")</f>
        <v/>
      </c>
      <c r="V103">
        <f>HYPERLINK("https://klasma.github.io/Logging_2085/klagomål/A 51105-2025 FSC-klagomål.docx", "A 51105-2025")</f>
        <v/>
      </c>
      <c r="W103">
        <f>HYPERLINK("https://klasma.github.io/Logging_2085/klagomålsmail/A 51105-2025 FSC-klagomål mail.docx", "A 51105-2025")</f>
        <v/>
      </c>
      <c r="X103">
        <f>HYPERLINK("https://klasma.github.io/Logging_2085/tillsyn/A 51105-2025 tillsynsbegäran.docx", "A 51105-2025")</f>
        <v/>
      </c>
      <c r="Y103">
        <f>HYPERLINK("https://klasma.github.io/Logging_2085/tillsynsmail/A 51105-2025 tillsynsbegäran mail.docx", "A 51105-2025")</f>
        <v/>
      </c>
      <c r="Z103">
        <f>HYPERLINK("https://klasma.github.io/Logging_2085/fåglar/A 51105-2025 prioriterade fågelarter.docx", "A 51105-2025")</f>
        <v/>
      </c>
    </row>
    <row r="104" ht="15" customHeight="1">
      <c r="A104" t="inlineStr">
        <is>
          <t>A 25588-2023</t>
        </is>
      </c>
      <c r="B104" s="1" t="n">
        <v>45089</v>
      </c>
      <c r="C104" s="1" t="n">
        <v>46194</v>
      </c>
      <c r="D104" t="inlineStr">
        <is>
          <t>DALARNAS LÄN</t>
        </is>
      </c>
      <c r="E104" t="inlineStr">
        <is>
          <t>LUDVIKA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Garnlav</t>
        </is>
      </c>
      <c r="S104">
        <f>HYPERLINK("https://klasma.github.io/Logging_2085/artfynd/A 25588-2023 artfynd.xlsx", "A 25588-2023")</f>
        <v/>
      </c>
      <c r="T104">
        <f>HYPERLINK("https://klasma.github.io/Logging_2085/kartor/A 25588-2023 karta.png", "A 25588-2023")</f>
        <v/>
      </c>
      <c r="V104">
        <f>HYPERLINK("https://klasma.github.io/Logging_2085/klagomål/A 25588-2023 FSC-klagomål.docx", "A 25588-2023")</f>
        <v/>
      </c>
      <c r="W104">
        <f>HYPERLINK("https://klasma.github.io/Logging_2085/klagomålsmail/A 25588-2023 FSC-klagomål mail.docx", "A 25588-2023")</f>
        <v/>
      </c>
      <c r="X104">
        <f>HYPERLINK("https://klasma.github.io/Logging_2085/tillsyn/A 25588-2023 tillsynsbegäran.docx", "A 25588-2023")</f>
        <v/>
      </c>
      <c r="Y104">
        <f>HYPERLINK("https://klasma.github.io/Logging_2085/tillsynsmail/A 25588-2023 tillsynsbegäran mail.docx", "A 25588-2023")</f>
        <v/>
      </c>
    </row>
    <row r="105" ht="15" customHeight="1">
      <c r="A105" t="inlineStr">
        <is>
          <t>A 12093-2023</t>
        </is>
      </c>
      <c r="B105" s="1" t="n">
        <v>44998</v>
      </c>
      <c r="C105" s="1" t="n">
        <v>46194</v>
      </c>
      <c r="D105" t="inlineStr">
        <is>
          <t>DALARNAS LÄN</t>
        </is>
      </c>
      <c r="E105" t="inlineStr">
        <is>
          <t>LUDVIKA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Bitter taggsvamp</t>
        </is>
      </c>
      <c r="S105">
        <f>HYPERLINK("https://klasma.github.io/Logging_2085/artfynd/A 12093-2023 artfynd.xlsx", "A 12093-2023")</f>
        <v/>
      </c>
      <c r="T105">
        <f>HYPERLINK("https://klasma.github.io/Logging_2085/kartor/A 12093-2023 karta.png", "A 12093-2023")</f>
        <v/>
      </c>
      <c r="V105">
        <f>HYPERLINK("https://klasma.github.io/Logging_2085/klagomål/A 12093-2023 FSC-klagomål.docx", "A 12093-2023")</f>
        <v/>
      </c>
      <c r="W105">
        <f>HYPERLINK("https://klasma.github.io/Logging_2085/klagomålsmail/A 12093-2023 FSC-klagomål mail.docx", "A 12093-2023")</f>
        <v/>
      </c>
      <c r="X105">
        <f>HYPERLINK("https://klasma.github.io/Logging_2085/tillsyn/A 12093-2023 tillsynsbegäran.docx", "A 12093-2023")</f>
        <v/>
      </c>
      <c r="Y105">
        <f>HYPERLINK("https://klasma.github.io/Logging_2085/tillsynsmail/A 12093-2023 tillsynsbegäran mail.docx", "A 12093-2023")</f>
        <v/>
      </c>
    </row>
    <row r="106" ht="15" customHeight="1">
      <c r="A106" t="inlineStr">
        <is>
          <t>A 33560-2023</t>
        </is>
      </c>
      <c r="B106" s="1" t="n">
        <v>45131</v>
      </c>
      <c r="C106" s="1" t="n">
        <v>46194</v>
      </c>
      <c r="D106" t="inlineStr">
        <is>
          <t>DALARNAS LÄN</t>
        </is>
      </c>
      <c r="E106" t="inlineStr">
        <is>
          <t>LUDVIKA</t>
        </is>
      </c>
      <c r="G106" t="n">
        <v>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Mindre vattensalamander</t>
        </is>
      </c>
      <c r="S106">
        <f>HYPERLINK("https://klasma.github.io/Logging_2085/artfynd/A 33560-2023 artfynd.xlsx", "A 33560-2023")</f>
        <v/>
      </c>
      <c r="T106">
        <f>HYPERLINK("https://klasma.github.io/Logging_2085/kartor/A 33560-2023 karta.png", "A 33560-2023")</f>
        <v/>
      </c>
      <c r="V106">
        <f>HYPERLINK("https://klasma.github.io/Logging_2085/klagomål/A 33560-2023 FSC-klagomål.docx", "A 33560-2023")</f>
        <v/>
      </c>
      <c r="W106">
        <f>HYPERLINK("https://klasma.github.io/Logging_2085/klagomålsmail/A 33560-2023 FSC-klagomål mail.docx", "A 33560-2023")</f>
        <v/>
      </c>
      <c r="X106">
        <f>HYPERLINK("https://klasma.github.io/Logging_2085/tillsyn/A 33560-2023 tillsynsbegäran.docx", "A 33560-2023")</f>
        <v/>
      </c>
      <c r="Y106">
        <f>HYPERLINK("https://klasma.github.io/Logging_2085/tillsynsmail/A 33560-2023 tillsynsbegäran mail.docx", "A 33560-2023")</f>
        <v/>
      </c>
    </row>
    <row r="107" ht="15" customHeight="1">
      <c r="A107" t="inlineStr">
        <is>
          <t>A 3687-2024</t>
        </is>
      </c>
      <c r="B107" s="1" t="n">
        <v>45321</v>
      </c>
      <c r="C107" s="1" t="n">
        <v>46194</v>
      </c>
      <c r="D107" t="inlineStr">
        <is>
          <t>DALARNAS LÄN</t>
        </is>
      </c>
      <c r="E107" t="inlineStr">
        <is>
          <t>LUDVIKA</t>
        </is>
      </c>
      <c r="G107" t="n">
        <v>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Nordfladdermus</t>
        </is>
      </c>
      <c r="S107">
        <f>HYPERLINK("https://klasma.github.io/Logging_2085/artfynd/A 3687-2024 artfynd.xlsx", "A 3687-2024")</f>
        <v/>
      </c>
      <c r="T107">
        <f>HYPERLINK("https://klasma.github.io/Logging_2085/kartor/A 3687-2024 karta.png", "A 3687-2024")</f>
        <v/>
      </c>
      <c r="V107">
        <f>HYPERLINK("https://klasma.github.io/Logging_2085/klagomål/A 3687-2024 FSC-klagomål.docx", "A 3687-2024")</f>
        <v/>
      </c>
      <c r="W107">
        <f>HYPERLINK("https://klasma.github.io/Logging_2085/klagomålsmail/A 3687-2024 FSC-klagomål mail.docx", "A 3687-2024")</f>
        <v/>
      </c>
      <c r="X107">
        <f>HYPERLINK("https://klasma.github.io/Logging_2085/tillsyn/A 3687-2024 tillsynsbegäran.docx", "A 3687-2024")</f>
        <v/>
      </c>
      <c r="Y107">
        <f>HYPERLINK("https://klasma.github.io/Logging_2085/tillsynsmail/A 3687-2024 tillsynsbegäran mail.docx", "A 3687-2024")</f>
        <v/>
      </c>
    </row>
    <row r="108" ht="15" customHeight="1">
      <c r="A108" t="inlineStr">
        <is>
          <t>A 36050-2025</t>
        </is>
      </c>
      <c r="B108" s="1" t="n">
        <v>45866</v>
      </c>
      <c r="C108" s="1" t="n">
        <v>46194</v>
      </c>
      <c r="D108" t="inlineStr">
        <is>
          <t>DALARNAS LÄN</t>
        </is>
      </c>
      <c r="E108" t="inlineStr">
        <is>
          <t>LUDVIKA</t>
        </is>
      </c>
      <c r="G108" t="n">
        <v>1.4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Mindre hackspett</t>
        </is>
      </c>
      <c r="S108">
        <f>HYPERLINK("https://klasma.github.io/Logging_2085/artfynd/A 36050-2025 artfynd.xlsx", "A 36050-2025")</f>
        <v/>
      </c>
      <c r="T108">
        <f>HYPERLINK("https://klasma.github.io/Logging_2085/kartor/A 36050-2025 karta.png", "A 36050-2025")</f>
        <v/>
      </c>
      <c r="V108">
        <f>HYPERLINK("https://klasma.github.io/Logging_2085/klagomål/A 36050-2025 FSC-klagomål.docx", "A 36050-2025")</f>
        <v/>
      </c>
      <c r="W108">
        <f>HYPERLINK("https://klasma.github.io/Logging_2085/klagomålsmail/A 36050-2025 FSC-klagomål mail.docx", "A 36050-2025")</f>
        <v/>
      </c>
      <c r="X108">
        <f>HYPERLINK("https://klasma.github.io/Logging_2085/tillsyn/A 36050-2025 tillsynsbegäran.docx", "A 36050-2025")</f>
        <v/>
      </c>
      <c r="Y108">
        <f>HYPERLINK("https://klasma.github.io/Logging_2085/tillsynsmail/A 36050-2025 tillsynsbegäran mail.docx", "A 36050-2025")</f>
        <v/>
      </c>
      <c r="Z108">
        <f>HYPERLINK("https://klasma.github.io/Logging_2085/fåglar/A 36050-2025 prioriterade fågelarter.docx", "A 36050-2025")</f>
        <v/>
      </c>
    </row>
    <row r="109" ht="15" customHeight="1">
      <c r="A109" t="inlineStr">
        <is>
          <t>A 56119-2021</t>
        </is>
      </c>
      <c r="B109" s="1" t="n">
        <v>44477</v>
      </c>
      <c r="C109" s="1" t="n">
        <v>46194</v>
      </c>
      <c r="D109" t="inlineStr">
        <is>
          <t>DALARNAS LÄN</t>
        </is>
      </c>
      <c r="E109" t="inlineStr">
        <is>
          <t>LUDVIKA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Garnlav</t>
        </is>
      </c>
      <c r="S109">
        <f>HYPERLINK("https://klasma.github.io/Logging_2085/artfynd/A 56119-2021 artfynd.xlsx", "A 56119-2021")</f>
        <v/>
      </c>
      <c r="T109">
        <f>HYPERLINK("https://klasma.github.io/Logging_2085/kartor/A 56119-2021 karta.png", "A 56119-2021")</f>
        <v/>
      </c>
      <c r="V109">
        <f>HYPERLINK("https://klasma.github.io/Logging_2085/klagomål/A 56119-2021 FSC-klagomål.docx", "A 56119-2021")</f>
        <v/>
      </c>
      <c r="W109">
        <f>HYPERLINK("https://klasma.github.io/Logging_2085/klagomålsmail/A 56119-2021 FSC-klagomål mail.docx", "A 56119-2021")</f>
        <v/>
      </c>
      <c r="X109">
        <f>HYPERLINK("https://klasma.github.io/Logging_2085/tillsyn/A 56119-2021 tillsynsbegäran.docx", "A 56119-2021")</f>
        <v/>
      </c>
      <c r="Y109">
        <f>HYPERLINK("https://klasma.github.io/Logging_2085/tillsynsmail/A 56119-2021 tillsynsbegäran mail.docx", "A 56119-2021")</f>
        <v/>
      </c>
    </row>
    <row r="110" ht="15" customHeight="1">
      <c r="A110" t="inlineStr">
        <is>
          <t>A 29733-2025</t>
        </is>
      </c>
      <c r="B110" s="1" t="n">
        <v>45825</v>
      </c>
      <c r="C110" s="1" t="n">
        <v>46194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10.4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Stuplav</t>
        </is>
      </c>
      <c r="S110">
        <f>HYPERLINK("https://klasma.github.io/Logging_2085/artfynd/A 29733-2025 artfynd.xlsx", "A 29733-2025")</f>
        <v/>
      </c>
      <c r="T110">
        <f>HYPERLINK("https://klasma.github.io/Logging_2085/kartor/A 29733-2025 karta.png", "A 29733-2025")</f>
        <v/>
      </c>
      <c r="V110">
        <f>HYPERLINK("https://klasma.github.io/Logging_2085/klagomål/A 29733-2025 FSC-klagomål.docx", "A 29733-2025")</f>
        <v/>
      </c>
      <c r="W110">
        <f>HYPERLINK("https://klasma.github.io/Logging_2085/klagomålsmail/A 29733-2025 FSC-klagomål mail.docx", "A 29733-2025")</f>
        <v/>
      </c>
      <c r="X110">
        <f>HYPERLINK("https://klasma.github.io/Logging_2085/tillsyn/A 29733-2025 tillsynsbegäran.docx", "A 29733-2025")</f>
        <v/>
      </c>
      <c r="Y110">
        <f>HYPERLINK("https://klasma.github.io/Logging_2085/tillsynsmail/A 29733-2025 tillsynsbegäran mail.docx", "A 29733-2025")</f>
        <v/>
      </c>
    </row>
    <row r="111" ht="15" customHeight="1">
      <c r="A111" t="inlineStr">
        <is>
          <t>A 59873-2025</t>
        </is>
      </c>
      <c r="B111" s="1" t="n">
        <v>45992</v>
      </c>
      <c r="C111" s="1" t="n">
        <v>46194</v>
      </c>
      <c r="D111" t="inlineStr">
        <is>
          <t>DALARNAS LÄN</t>
        </is>
      </c>
      <c r="E111" t="inlineStr">
        <is>
          <t>LUDVIKA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Lateritticka</t>
        </is>
      </c>
      <c r="S111">
        <f>HYPERLINK("https://klasma.github.io/Logging_2085/artfynd/A 59873-2025 artfynd.xlsx", "A 59873-2025")</f>
        <v/>
      </c>
      <c r="T111">
        <f>HYPERLINK("https://klasma.github.io/Logging_2085/kartor/A 59873-2025 karta.png", "A 59873-2025")</f>
        <v/>
      </c>
      <c r="V111">
        <f>HYPERLINK("https://klasma.github.io/Logging_2085/klagomål/A 59873-2025 FSC-klagomål.docx", "A 59873-2025")</f>
        <v/>
      </c>
      <c r="W111">
        <f>HYPERLINK("https://klasma.github.io/Logging_2085/klagomålsmail/A 59873-2025 FSC-klagomål mail.docx", "A 59873-2025")</f>
        <v/>
      </c>
      <c r="X111">
        <f>HYPERLINK("https://klasma.github.io/Logging_2085/tillsyn/A 59873-2025 tillsynsbegäran.docx", "A 59873-2025")</f>
        <v/>
      </c>
      <c r="Y111">
        <f>HYPERLINK("https://klasma.github.io/Logging_2085/tillsynsmail/A 59873-2025 tillsynsbegäran mail.docx", "A 59873-2025")</f>
        <v/>
      </c>
    </row>
    <row r="112" ht="15" customHeight="1">
      <c r="A112" t="inlineStr">
        <is>
          <t>A 74401-2021</t>
        </is>
      </c>
      <c r="B112" s="1" t="n">
        <v>44560</v>
      </c>
      <c r="C112" s="1" t="n">
        <v>46194</v>
      </c>
      <c r="D112" t="inlineStr">
        <is>
          <t>DALARNAS LÄN</t>
        </is>
      </c>
      <c r="E112" t="inlineStr">
        <is>
          <t>LUDVIKA</t>
        </is>
      </c>
      <c r="F112" t="inlineStr">
        <is>
          <t>Kommuner</t>
        </is>
      </c>
      <c r="G112" t="n">
        <v>0.6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Gullgröppa</t>
        </is>
      </c>
      <c r="S112">
        <f>HYPERLINK("https://klasma.github.io/Logging_2085/artfynd/A 74401-2021 artfynd.xlsx", "A 74401-2021")</f>
        <v/>
      </c>
      <c r="T112">
        <f>HYPERLINK("https://klasma.github.io/Logging_2085/kartor/A 74401-2021 karta.png", "A 74401-2021")</f>
        <v/>
      </c>
      <c r="V112">
        <f>HYPERLINK("https://klasma.github.io/Logging_2085/klagomål/A 74401-2021 FSC-klagomål.docx", "A 74401-2021")</f>
        <v/>
      </c>
      <c r="W112">
        <f>HYPERLINK("https://klasma.github.io/Logging_2085/klagomålsmail/A 74401-2021 FSC-klagomål mail.docx", "A 74401-2021")</f>
        <v/>
      </c>
      <c r="X112">
        <f>HYPERLINK("https://klasma.github.io/Logging_2085/tillsyn/A 74401-2021 tillsynsbegäran.docx", "A 74401-2021")</f>
        <v/>
      </c>
      <c r="Y112">
        <f>HYPERLINK("https://klasma.github.io/Logging_2085/tillsynsmail/A 74401-2021 tillsynsbegäran mail.docx", "A 74401-2021")</f>
        <v/>
      </c>
    </row>
    <row r="113" ht="15" customHeight="1">
      <c r="A113" t="inlineStr">
        <is>
          <t>A 62676-2025</t>
        </is>
      </c>
      <c r="B113" s="1" t="n">
        <v>46008</v>
      </c>
      <c r="C113" s="1" t="n">
        <v>46194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4.2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HYPERLINK("https://klasma.github.io/Logging_2085/artfynd/A 62676-2025 artfynd.xlsx", "A 62676-2025")</f>
        <v/>
      </c>
      <c r="T113">
        <f>HYPERLINK("https://klasma.github.io/Logging_2085/kartor/A 62676-2025 karta.png", "A 62676-2025")</f>
        <v/>
      </c>
      <c r="V113">
        <f>HYPERLINK("https://klasma.github.io/Logging_2085/klagomål/A 62676-2025 FSC-klagomål.docx", "A 62676-2025")</f>
        <v/>
      </c>
      <c r="W113">
        <f>HYPERLINK("https://klasma.github.io/Logging_2085/klagomålsmail/A 62676-2025 FSC-klagomål mail.docx", "A 62676-2025")</f>
        <v/>
      </c>
      <c r="X113">
        <f>HYPERLINK("https://klasma.github.io/Logging_2085/tillsyn/A 62676-2025 tillsynsbegäran.docx", "A 62676-2025")</f>
        <v/>
      </c>
      <c r="Y113">
        <f>HYPERLINK("https://klasma.github.io/Logging_2085/tillsynsmail/A 62676-2025 tillsynsbegäran mail.docx", "A 62676-2025")</f>
        <v/>
      </c>
    </row>
    <row r="114" ht="15" customHeight="1">
      <c r="A114" t="inlineStr">
        <is>
          <t>A 63005-2025</t>
        </is>
      </c>
      <c r="B114" s="1" t="n">
        <v>46009</v>
      </c>
      <c r="C114" s="1" t="n">
        <v>46194</v>
      </c>
      <c r="D114" t="inlineStr">
        <is>
          <t>DALARNAS LÄN</t>
        </is>
      </c>
      <c r="E114" t="inlineStr">
        <is>
          <t>LUDVIKA</t>
        </is>
      </c>
      <c r="G114" t="n">
        <v>4.4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HYPERLINK("https://klasma.github.io/Logging_2085/artfynd/A 63005-2025 artfynd.xlsx", "A 63005-2025")</f>
        <v/>
      </c>
      <c r="T114">
        <f>HYPERLINK("https://klasma.github.io/Logging_2085/kartor/A 63005-2025 karta.png", "A 63005-2025")</f>
        <v/>
      </c>
      <c r="V114">
        <f>HYPERLINK("https://klasma.github.io/Logging_2085/klagomål/A 63005-2025 FSC-klagomål.docx", "A 63005-2025")</f>
        <v/>
      </c>
      <c r="W114">
        <f>HYPERLINK("https://klasma.github.io/Logging_2085/klagomålsmail/A 63005-2025 FSC-klagomål mail.docx", "A 63005-2025")</f>
        <v/>
      </c>
      <c r="X114">
        <f>HYPERLINK("https://klasma.github.io/Logging_2085/tillsyn/A 63005-2025 tillsynsbegäran.docx", "A 63005-2025")</f>
        <v/>
      </c>
      <c r="Y114">
        <f>HYPERLINK("https://klasma.github.io/Logging_2085/tillsynsmail/A 63005-2025 tillsynsbegäran mail.docx", "A 63005-2025")</f>
        <v/>
      </c>
      <c r="Z114">
        <f>HYPERLINK("https://klasma.github.io/Logging_2085/fåglar/A 63005-2025 prioriterade fågelarter.docx", "A 63005-2025")</f>
        <v/>
      </c>
    </row>
    <row r="115" ht="15" customHeight="1">
      <c r="A115" t="inlineStr">
        <is>
          <t>A 21880-2026</t>
        </is>
      </c>
      <c r="B115" s="1" t="n">
        <v>46150</v>
      </c>
      <c r="C115" s="1" t="n">
        <v>46194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3.2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HYPERLINK("https://klasma.github.io/Logging_2085/artfynd/A 21880-2026 artfynd.xlsx", "A 21880-2026")</f>
        <v/>
      </c>
      <c r="T115">
        <f>HYPERLINK("https://klasma.github.io/Logging_2085/kartor/A 21880-2026 karta.png", "A 21880-2026")</f>
        <v/>
      </c>
      <c r="V115">
        <f>HYPERLINK("https://klasma.github.io/Logging_2085/klagomål/A 21880-2026 FSC-klagomål.docx", "A 21880-2026")</f>
        <v/>
      </c>
      <c r="W115">
        <f>HYPERLINK("https://klasma.github.io/Logging_2085/klagomålsmail/A 21880-2026 FSC-klagomål mail.docx", "A 21880-2026")</f>
        <v/>
      </c>
      <c r="X115">
        <f>HYPERLINK("https://klasma.github.io/Logging_2085/tillsyn/A 21880-2026 tillsynsbegäran.docx", "A 21880-2026")</f>
        <v/>
      </c>
      <c r="Y115">
        <f>HYPERLINK("https://klasma.github.io/Logging_2085/tillsynsmail/A 21880-2026 tillsynsbegäran mail.docx", "A 21880-2026")</f>
        <v/>
      </c>
      <c r="Z115">
        <f>HYPERLINK("https://klasma.github.io/Logging_2085/fåglar/A 21880-2026 prioriterade fågelarter.docx", "A 21880-2026")</f>
        <v/>
      </c>
    </row>
    <row r="116" ht="15" customHeight="1">
      <c r="A116" t="inlineStr">
        <is>
          <t>A 1237-2026</t>
        </is>
      </c>
      <c r="B116" s="1" t="n">
        <v>46031</v>
      </c>
      <c r="C116" s="1" t="n">
        <v>46194</v>
      </c>
      <c r="D116" t="inlineStr">
        <is>
          <t>DALARNAS LÄN</t>
        </is>
      </c>
      <c r="E116" t="inlineStr">
        <is>
          <t>LUDVIKA</t>
        </is>
      </c>
      <c r="G116" t="n">
        <v>5.9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HYPERLINK("https://klasma.github.io/Logging_2085/artfynd/A 1237-2026 artfynd.xlsx", "A 1237-2026")</f>
        <v/>
      </c>
      <c r="T116">
        <f>HYPERLINK("https://klasma.github.io/Logging_2085/kartor/A 1237-2026 karta.png", "A 1237-2026")</f>
        <v/>
      </c>
      <c r="V116">
        <f>HYPERLINK("https://klasma.github.io/Logging_2085/klagomål/A 1237-2026 FSC-klagomål.docx", "A 1237-2026")</f>
        <v/>
      </c>
      <c r="W116">
        <f>HYPERLINK("https://klasma.github.io/Logging_2085/klagomålsmail/A 1237-2026 FSC-klagomål mail.docx", "A 1237-2026")</f>
        <v/>
      </c>
      <c r="X116">
        <f>HYPERLINK("https://klasma.github.io/Logging_2085/tillsyn/A 1237-2026 tillsynsbegäran.docx", "A 1237-2026")</f>
        <v/>
      </c>
      <c r="Y116">
        <f>HYPERLINK("https://klasma.github.io/Logging_2085/tillsynsmail/A 1237-2026 tillsynsbegäran mail.docx", "A 1237-2026")</f>
        <v/>
      </c>
    </row>
    <row r="117" ht="15" customHeight="1">
      <c r="A117" t="inlineStr">
        <is>
          <t>A 21499-2022</t>
        </is>
      </c>
      <c r="B117" s="1" t="n">
        <v>44706</v>
      </c>
      <c r="C117" s="1" t="n">
        <v>46194</v>
      </c>
      <c r="D117" t="inlineStr">
        <is>
          <t>DALARNAS LÄN</t>
        </is>
      </c>
      <c r="E117" t="inlineStr">
        <is>
          <t>LUDVIKA</t>
        </is>
      </c>
      <c r="G117" t="n">
        <v>4.3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Strimspindling</t>
        </is>
      </c>
      <c r="S117">
        <f>HYPERLINK("https://klasma.github.io/Logging_2085/artfynd/A 21499-2022 artfynd.xlsx", "A 21499-2022")</f>
        <v/>
      </c>
      <c r="T117">
        <f>HYPERLINK("https://klasma.github.io/Logging_2085/kartor/A 21499-2022 karta.png", "A 21499-2022")</f>
        <v/>
      </c>
      <c r="V117">
        <f>HYPERLINK("https://klasma.github.io/Logging_2085/klagomål/A 21499-2022 FSC-klagomål.docx", "A 21499-2022")</f>
        <v/>
      </c>
      <c r="W117">
        <f>HYPERLINK("https://klasma.github.io/Logging_2085/klagomålsmail/A 21499-2022 FSC-klagomål mail.docx", "A 21499-2022")</f>
        <v/>
      </c>
      <c r="X117">
        <f>HYPERLINK("https://klasma.github.io/Logging_2085/tillsyn/A 21499-2022 tillsynsbegäran.docx", "A 21499-2022")</f>
        <v/>
      </c>
      <c r="Y117">
        <f>HYPERLINK("https://klasma.github.io/Logging_2085/tillsynsmail/A 21499-2022 tillsynsbegäran mail.docx", "A 21499-2022")</f>
        <v/>
      </c>
    </row>
    <row r="118" ht="15" customHeight="1">
      <c r="A118" t="inlineStr">
        <is>
          <t>A 59947-2025</t>
        </is>
      </c>
      <c r="B118" s="1" t="n">
        <v>45993</v>
      </c>
      <c r="C118" s="1" t="n">
        <v>46194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0.5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HYPERLINK("https://klasma.github.io/Logging_2085/artfynd/A 59947-2025 artfynd.xlsx", "A 59947-2025")</f>
        <v/>
      </c>
      <c r="T118">
        <f>HYPERLINK("https://klasma.github.io/Logging_2085/kartor/A 59947-2025 karta.png", "A 59947-2025")</f>
        <v/>
      </c>
      <c r="V118">
        <f>HYPERLINK("https://klasma.github.io/Logging_2085/klagomål/A 59947-2025 FSC-klagomål.docx", "A 59947-2025")</f>
        <v/>
      </c>
      <c r="W118">
        <f>HYPERLINK("https://klasma.github.io/Logging_2085/klagomålsmail/A 59947-2025 FSC-klagomål mail.docx", "A 59947-2025")</f>
        <v/>
      </c>
      <c r="X118">
        <f>HYPERLINK("https://klasma.github.io/Logging_2085/tillsyn/A 59947-2025 tillsynsbegäran.docx", "A 59947-2025")</f>
        <v/>
      </c>
      <c r="Y118">
        <f>HYPERLINK("https://klasma.github.io/Logging_2085/tillsynsmail/A 59947-2025 tillsynsbegäran mail.docx", "A 59947-2025")</f>
        <v/>
      </c>
      <c r="Z118">
        <f>HYPERLINK("https://klasma.github.io/Logging_2085/fåglar/A 59947-2025 prioriterade fågelarter.docx", "A 59947-2025")</f>
        <v/>
      </c>
    </row>
    <row r="119" ht="15" customHeight="1">
      <c r="A119" t="inlineStr">
        <is>
          <t>A 49660-2024</t>
        </is>
      </c>
      <c r="B119" s="1" t="n">
        <v>45596</v>
      </c>
      <c r="C119" s="1" t="n">
        <v>46194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0.9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Mörk husmossa</t>
        </is>
      </c>
      <c r="S119">
        <f>HYPERLINK("https://klasma.github.io/Logging_2085/artfynd/A 49660-2024 artfynd.xlsx", "A 49660-2024")</f>
        <v/>
      </c>
      <c r="T119">
        <f>HYPERLINK("https://klasma.github.io/Logging_2085/kartor/A 49660-2024 karta.png", "A 49660-2024")</f>
        <v/>
      </c>
      <c r="V119">
        <f>HYPERLINK("https://klasma.github.io/Logging_2085/klagomål/A 49660-2024 FSC-klagomål.docx", "A 49660-2024")</f>
        <v/>
      </c>
      <c r="W119">
        <f>HYPERLINK("https://klasma.github.io/Logging_2085/klagomålsmail/A 49660-2024 FSC-klagomål mail.docx", "A 49660-2024")</f>
        <v/>
      </c>
      <c r="X119">
        <f>HYPERLINK("https://klasma.github.io/Logging_2085/tillsyn/A 49660-2024 tillsynsbegäran.docx", "A 49660-2024")</f>
        <v/>
      </c>
      <c r="Y119">
        <f>HYPERLINK("https://klasma.github.io/Logging_2085/tillsynsmail/A 49660-2024 tillsynsbegäran mail.docx", "A 49660-2024")</f>
        <v/>
      </c>
    </row>
    <row r="120" ht="15" customHeight="1">
      <c r="A120" t="inlineStr">
        <is>
          <t>A 56655-2025</t>
        </is>
      </c>
      <c r="B120" s="1" t="n">
        <v>45975</v>
      </c>
      <c r="C120" s="1" t="n">
        <v>46194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8.5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HYPERLINK("https://klasma.github.io/Logging_2085/artfynd/A 56655-2025 artfynd.xlsx", "A 56655-2025")</f>
        <v/>
      </c>
      <c r="T120">
        <f>HYPERLINK("https://klasma.github.io/Logging_2085/kartor/A 56655-2025 karta.png", "A 56655-2025")</f>
        <v/>
      </c>
      <c r="V120">
        <f>HYPERLINK("https://klasma.github.io/Logging_2085/klagomål/A 56655-2025 FSC-klagomål.docx", "A 56655-2025")</f>
        <v/>
      </c>
      <c r="W120">
        <f>HYPERLINK("https://klasma.github.io/Logging_2085/klagomålsmail/A 56655-2025 FSC-klagomål mail.docx", "A 56655-2025")</f>
        <v/>
      </c>
      <c r="X120">
        <f>HYPERLINK("https://klasma.github.io/Logging_2085/tillsyn/A 56655-2025 tillsynsbegäran.docx", "A 56655-2025")</f>
        <v/>
      </c>
      <c r="Y120">
        <f>HYPERLINK("https://klasma.github.io/Logging_2085/tillsynsmail/A 56655-2025 tillsynsbegäran mail.docx", "A 56655-2025")</f>
        <v/>
      </c>
      <c r="Z120">
        <f>HYPERLINK("https://klasma.github.io/Logging_2085/fåglar/A 56655-2025 prioriterade fågelarter.docx", "A 56655-2025")</f>
        <v/>
      </c>
    </row>
    <row r="121" ht="15" customHeight="1">
      <c r="A121" t="inlineStr">
        <is>
          <t>A 18189-2025</t>
        </is>
      </c>
      <c r="B121" s="1" t="n">
        <v>45761</v>
      </c>
      <c r="C121" s="1" t="n">
        <v>46194</v>
      </c>
      <c r="D121" t="inlineStr">
        <is>
          <t>DALARNAS LÄN</t>
        </is>
      </c>
      <c r="E121" t="inlineStr">
        <is>
          <t>LUDVIKA</t>
        </is>
      </c>
      <c r="G121" t="n">
        <v>0.9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HYPERLINK("https://klasma.github.io/Logging_2085/artfynd/A 18189-2025 artfynd.xlsx", "A 18189-2025")</f>
        <v/>
      </c>
      <c r="T121">
        <f>HYPERLINK("https://klasma.github.io/Logging_2085/kartor/A 18189-2025 karta.png", "A 18189-2025")</f>
        <v/>
      </c>
      <c r="V121">
        <f>HYPERLINK("https://klasma.github.io/Logging_2085/klagomål/A 18189-2025 FSC-klagomål.docx", "A 18189-2025")</f>
        <v/>
      </c>
      <c r="W121">
        <f>HYPERLINK("https://klasma.github.io/Logging_2085/klagomålsmail/A 18189-2025 FSC-klagomål mail.docx", "A 18189-2025")</f>
        <v/>
      </c>
      <c r="X121">
        <f>HYPERLINK("https://klasma.github.io/Logging_2085/tillsyn/A 18189-2025 tillsynsbegäran.docx", "A 18189-2025")</f>
        <v/>
      </c>
      <c r="Y121">
        <f>HYPERLINK("https://klasma.github.io/Logging_2085/tillsynsmail/A 18189-2025 tillsynsbegäran mail.docx", "A 18189-2025")</f>
        <v/>
      </c>
    </row>
    <row r="122" ht="15" customHeight="1">
      <c r="A122" t="inlineStr">
        <is>
          <t>A 17338-2026</t>
        </is>
      </c>
      <c r="B122" s="1" t="n">
        <v>46119</v>
      </c>
      <c r="C122" s="1" t="n">
        <v>46194</v>
      </c>
      <c r="D122" t="inlineStr">
        <is>
          <t>DALARNAS LÄN</t>
        </is>
      </c>
      <c r="E122" t="inlineStr">
        <is>
          <t>LUDVIKA</t>
        </is>
      </c>
      <c r="F122" t="inlineStr">
        <is>
          <t>Bergvik skog väst AB</t>
        </is>
      </c>
      <c r="G122" t="n">
        <v>2.2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HYPERLINK("https://klasma.github.io/Logging_2085/artfynd/A 17338-2026 artfynd.xlsx", "A 17338-2026")</f>
        <v/>
      </c>
      <c r="T122">
        <f>HYPERLINK("https://klasma.github.io/Logging_2085/kartor/A 17338-2026 karta.png", "A 17338-2026")</f>
        <v/>
      </c>
      <c r="U122">
        <f>HYPERLINK("https://klasma.github.io/Logging_2085/knärot/A 17338-2026 karta knärot.png", "A 17338-2026")</f>
        <v/>
      </c>
      <c r="V122">
        <f>HYPERLINK("https://klasma.github.io/Logging_2085/klagomål/A 17338-2026 FSC-klagomål.docx", "A 17338-2026")</f>
        <v/>
      </c>
      <c r="W122">
        <f>HYPERLINK("https://klasma.github.io/Logging_2085/klagomålsmail/A 17338-2026 FSC-klagomål mail.docx", "A 17338-2026")</f>
        <v/>
      </c>
      <c r="X122">
        <f>HYPERLINK("https://klasma.github.io/Logging_2085/tillsyn/A 17338-2026 tillsynsbegäran.docx", "A 17338-2026")</f>
        <v/>
      </c>
      <c r="Y122">
        <f>HYPERLINK("https://klasma.github.io/Logging_2085/tillsynsmail/A 17338-2026 tillsynsbegäran mail.docx", "A 17338-2026")</f>
        <v/>
      </c>
    </row>
    <row r="123" ht="15" customHeight="1">
      <c r="A123" t="inlineStr">
        <is>
          <t>A 23778-2026</t>
        </is>
      </c>
      <c r="B123" s="1" t="n">
        <v>46164</v>
      </c>
      <c r="C123" s="1" t="n">
        <v>46194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1.9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HYPERLINK("https://klasma.github.io/Logging_2085/artfynd/A 23778-2026 artfynd.xlsx", "A 23778-2026")</f>
        <v/>
      </c>
      <c r="T123">
        <f>HYPERLINK("https://klasma.github.io/Logging_2085/kartor/A 23778-2026 karta.png", "A 23778-2026")</f>
        <v/>
      </c>
      <c r="V123">
        <f>HYPERLINK("https://klasma.github.io/Logging_2085/klagomål/A 23778-2026 FSC-klagomål.docx", "A 23778-2026")</f>
        <v/>
      </c>
      <c r="W123">
        <f>HYPERLINK("https://klasma.github.io/Logging_2085/klagomålsmail/A 23778-2026 FSC-klagomål mail.docx", "A 23778-2026")</f>
        <v/>
      </c>
      <c r="X123">
        <f>HYPERLINK("https://klasma.github.io/Logging_2085/tillsyn/A 23778-2026 tillsynsbegäran.docx", "A 23778-2026")</f>
        <v/>
      </c>
      <c r="Y123">
        <f>HYPERLINK("https://klasma.github.io/Logging_2085/tillsynsmail/A 23778-2026 tillsynsbegäran mail.docx", "A 23778-2026")</f>
        <v/>
      </c>
      <c r="Z123">
        <f>HYPERLINK("https://klasma.github.io/Logging_2085/fåglar/A 23778-2026 prioriterade fågelarter.docx", "A 23778-2026")</f>
        <v/>
      </c>
    </row>
    <row r="124" ht="15" customHeight="1">
      <c r="A124" t="inlineStr">
        <is>
          <t>A 22235-2026</t>
        </is>
      </c>
      <c r="B124" s="1" t="n">
        <v>46153</v>
      </c>
      <c r="C124" s="1" t="n">
        <v>46194</v>
      </c>
      <c r="D124" t="inlineStr">
        <is>
          <t>DALARNAS LÄN</t>
        </is>
      </c>
      <c r="E124" t="inlineStr">
        <is>
          <t>LUDVIKA</t>
        </is>
      </c>
      <c r="G124" t="n">
        <v>1.6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Tretåig hackspett</t>
        </is>
      </c>
      <c r="S124">
        <f>HYPERLINK("https://klasma.github.io/Logging_2085/artfynd/A 22235-2026 artfynd.xlsx", "A 22235-2026")</f>
        <v/>
      </c>
      <c r="T124">
        <f>HYPERLINK("https://klasma.github.io/Logging_2085/kartor/A 22235-2026 karta.png", "A 22235-2026")</f>
        <v/>
      </c>
      <c r="V124">
        <f>HYPERLINK("https://klasma.github.io/Logging_2085/klagomål/A 22235-2026 FSC-klagomål.docx", "A 22235-2026")</f>
        <v/>
      </c>
      <c r="W124">
        <f>HYPERLINK("https://klasma.github.io/Logging_2085/klagomålsmail/A 22235-2026 FSC-klagomål mail.docx", "A 22235-2026")</f>
        <v/>
      </c>
      <c r="X124">
        <f>HYPERLINK("https://klasma.github.io/Logging_2085/tillsyn/A 22235-2026 tillsynsbegäran.docx", "A 22235-2026")</f>
        <v/>
      </c>
      <c r="Y124">
        <f>HYPERLINK("https://klasma.github.io/Logging_2085/tillsynsmail/A 22235-2026 tillsynsbegäran mail.docx", "A 22235-2026")</f>
        <v/>
      </c>
      <c r="Z124">
        <f>HYPERLINK("https://klasma.github.io/Logging_2085/fåglar/A 22235-2026 prioriterade fågelarter.docx", "A 22235-2026")</f>
        <v/>
      </c>
    </row>
    <row r="125" ht="15" customHeight="1">
      <c r="A125" t="inlineStr">
        <is>
          <t>A 60787-2024</t>
        </is>
      </c>
      <c r="B125" s="1" t="n">
        <v>45644</v>
      </c>
      <c r="C125" s="1" t="n">
        <v>46194</v>
      </c>
      <c r="D125" t="inlineStr">
        <is>
          <t>DALARNAS LÄN</t>
        </is>
      </c>
      <c r="E125" t="inlineStr">
        <is>
          <t>LUDVIKA</t>
        </is>
      </c>
      <c r="G125" t="n">
        <v>1.9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Järpe</t>
        </is>
      </c>
      <c r="S125">
        <f>HYPERLINK("https://klasma.github.io/Logging_2085/artfynd/A 60787-2024 artfynd.xlsx", "A 60787-2024")</f>
        <v/>
      </c>
      <c r="T125">
        <f>HYPERLINK("https://klasma.github.io/Logging_2085/kartor/A 60787-2024 karta.png", "A 60787-2024")</f>
        <v/>
      </c>
      <c r="V125">
        <f>HYPERLINK("https://klasma.github.io/Logging_2085/klagomål/A 60787-2024 FSC-klagomål.docx", "A 60787-2024")</f>
        <v/>
      </c>
      <c r="W125">
        <f>HYPERLINK("https://klasma.github.io/Logging_2085/klagomålsmail/A 60787-2024 FSC-klagomål mail.docx", "A 60787-2024")</f>
        <v/>
      </c>
      <c r="X125">
        <f>HYPERLINK("https://klasma.github.io/Logging_2085/tillsyn/A 60787-2024 tillsynsbegäran.docx", "A 60787-2024")</f>
        <v/>
      </c>
      <c r="Y125">
        <f>HYPERLINK("https://klasma.github.io/Logging_2085/tillsynsmail/A 60787-2024 tillsynsbegäran mail.docx", "A 60787-2024")</f>
        <v/>
      </c>
      <c r="Z125">
        <f>HYPERLINK("https://klasma.github.io/Logging_2085/fåglar/A 60787-2024 prioriterade fågelarter.docx", "A 60787-2024")</f>
        <v/>
      </c>
    </row>
    <row r="126" ht="15" customHeight="1">
      <c r="A126" t="inlineStr">
        <is>
          <t>A 25159-2026</t>
        </is>
      </c>
      <c r="B126" s="1" t="n">
        <v>46175</v>
      </c>
      <c r="C126" s="1" t="n">
        <v>46194</v>
      </c>
      <c r="D126" t="inlineStr">
        <is>
          <t>DALARNAS LÄN</t>
        </is>
      </c>
      <c r="E126" t="inlineStr">
        <is>
          <t>LUDVIKA</t>
        </is>
      </c>
      <c r="G126" t="n">
        <v>2.3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Tibast</t>
        </is>
      </c>
      <c r="S126">
        <f>HYPERLINK("https://klasma.github.io/Logging_2085/artfynd/A 25159-2026 artfynd.xlsx", "A 25159-2026")</f>
        <v/>
      </c>
      <c r="T126">
        <f>HYPERLINK("https://klasma.github.io/Logging_2085/kartor/A 25159-2026 karta.png", "A 25159-2026")</f>
        <v/>
      </c>
      <c r="V126">
        <f>HYPERLINK("https://klasma.github.io/Logging_2085/klagomål/A 25159-2026 FSC-klagomål.docx", "A 25159-2026")</f>
        <v/>
      </c>
      <c r="W126">
        <f>HYPERLINK("https://klasma.github.io/Logging_2085/klagomålsmail/A 25159-2026 FSC-klagomål mail.docx", "A 25159-2026")</f>
        <v/>
      </c>
      <c r="X126">
        <f>HYPERLINK("https://klasma.github.io/Logging_2085/tillsyn/A 25159-2026 tillsynsbegäran.docx", "A 25159-2026")</f>
        <v/>
      </c>
      <c r="Y126">
        <f>HYPERLINK("https://klasma.github.io/Logging_2085/tillsynsmail/A 25159-2026 tillsynsbegäran mail.docx", "A 25159-2026")</f>
        <v/>
      </c>
    </row>
    <row r="127" ht="15" customHeight="1">
      <c r="A127" t="inlineStr">
        <is>
          <t>A 47216-2021</t>
        </is>
      </c>
      <c r="B127" s="1" t="n">
        <v>44447</v>
      </c>
      <c r="C127" s="1" t="n">
        <v>46194</v>
      </c>
      <c r="D127" t="inlineStr">
        <is>
          <t>DALARNAS LÄN</t>
        </is>
      </c>
      <c r="E127" t="inlineStr">
        <is>
          <t>LUDVIKA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38084-2021</t>
        </is>
      </c>
      <c r="B128" s="1" t="n">
        <v>44404</v>
      </c>
      <c r="C128" s="1" t="n">
        <v>46194</v>
      </c>
      <c r="D128" t="inlineStr">
        <is>
          <t>DALARNAS LÄN</t>
        </is>
      </c>
      <c r="E128" t="inlineStr">
        <is>
          <t>LUDVIKA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31273-2022</t>
        </is>
      </c>
      <c r="B129" s="1" t="n">
        <v>44771</v>
      </c>
      <c r="C129" s="1" t="n">
        <v>46194</v>
      </c>
      <c r="D129" t="inlineStr">
        <is>
          <t>DALARNAS LÄN</t>
        </is>
      </c>
      <c r="E129" t="inlineStr">
        <is>
          <t>LUDVIKA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52303-2022</t>
        </is>
      </c>
      <c r="B130" s="1" t="n">
        <v>44869</v>
      </c>
      <c r="C130" s="1" t="n">
        <v>46194</v>
      </c>
      <c r="D130" t="inlineStr">
        <is>
          <t>DALARNAS LÄN</t>
        </is>
      </c>
      <c r="E130" t="inlineStr">
        <is>
          <t>LUDVIKA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62152-2021</t>
        </is>
      </c>
      <c r="B131" s="1" t="n">
        <v>44502</v>
      </c>
      <c r="C131" s="1" t="n">
        <v>46194</v>
      </c>
      <c r="D131" t="inlineStr">
        <is>
          <t>DALARNAS LÄN</t>
        </is>
      </c>
      <c r="E131" t="inlineStr">
        <is>
          <t>LUDVIKA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62467-2021</t>
        </is>
      </c>
      <c r="B132" s="1" t="n">
        <v>44503</v>
      </c>
      <c r="C132" s="1" t="n">
        <v>46194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73167-2021</t>
        </is>
      </c>
      <c r="B133" s="1" t="n">
        <v>44550</v>
      </c>
      <c r="C133" s="1" t="n">
        <v>46194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31921-2021</t>
        </is>
      </c>
      <c r="B134" s="1" t="n">
        <v>44370</v>
      </c>
      <c r="C134" s="1" t="n">
        <v>46194</v>
      </c>
      <c r="D134" t="inlineStr">
        <is>
          <t>DALARNAS LÄN</t>
        </is>
      </c>
      <c r="E134" t="inlineStr">
        <is>
          <t>LUDVIKA</t>
        </is>
      </c>
      <c r="F134" t="inlineStr">
        <is>
          <t>Övriga Aktiebolag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35892-2021</t>
        </is>
      </c>
      <c r="B135" s="1" t="n">
        <v>44387</v>
      </c>
      <c r="C135" s="1" t="n">
        <v>46194</v>
      </c>
      <c r="D135" t="inlineStr">
        <is>
          <t>DALARNAS LÄN</t>
        </is>
      </c>
      <c r="E135" t="inlineStr">
        <is>
          <t>LUDVIKA</t>
        </is>
      </c>
      <c r="F135" t="inlineStr">
        <is>
          <t>Kyrkan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31086-2021</t>
        </is>
      </c>
      <c r="B136" s="1" t="n">
        <v>44368</v>
      </c>
      <c r="C136" s="1" t="n">
        <v>46194</v>
      </c>
      <c r="D136" t="inlineStr">
        <is>
          <t>DALARNAS LÄN</t>
        </is>
      </c>
      <c r="E136" t="inlineStr">
        <is>
          <t>LUDVIKA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31925-2021</t>
        </is>
      </c>
      <c r="B137" s="1" t="n">
        <v>44370</v>
      </c>
      <c r="C137" s="1" t="n">
        <v>46194</v>
      </c>
      <c r="D137" t="inlineStr">
        <is>
          <t>DALARNAS LÄN</t>
        </is>
      </c>
      <c r="E137" t="inlineStr">
        <is>
          <t>LUDVIKA</t>
        </is>
      </c>
      <c r="F137" t="inlineStr">
        <is>
          <t>Övriga Aktiebolag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49977-2021</t>
        </is>
      </c>
      <c r="B138" s="1" t="n">
        <v>44456</v>
      </c>
      <c r="C138" s="1" t="n">
        <v>46194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25297-2022</t>
        </is>
      </c>
      <c r="B139" s="1" t="n">
        <v>44730</v>
      </c>
      <c r="C139" s="1" t="n">
        <v>46194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57076-2021</t>
        </is>
      </c>
      <c r="B140" s="1" t="n">
        <v>44482</v>
      </c>
      <c r="C140" s="1" t="n">
        <v>46194</v>
      </c>
      <c r="D140" t="inlineStr">
        <is>
          <t>DALARNAS LÄN</t>
        </is>
      </c>
      <c r="E140" t="inlineStr">
        <is>
          <t>LUDVIKA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31272-2022</t>
        </is>
      </c>
      <c r="B141" s="1" t="n">
        <v>44771</v>
      </c>
      <c r="C141" s="1" t="n">
        <v>46194</v>
      </c>
      <c r="D141" t="inlineStr">
        <is>
          <t>DALARNAS LÄN</t>
        </is>
      </c>
      <c r="E141" t="inlineStr">
        <is>
          <t>LUDVIKA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25291-2022</t>
        </is>
      </c>
      <c r="B142" s="1" t="n">
        <v>44730</v>
      </c>
      <c r="C142" s="1" t="n">
        <v>46194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33416-2021</t>
        </is>
      </c>
      <c r="B143" s="1" t="n">
        <v>44377</v>
      </c>
      <c r="C143" s="1" t="n">
        <v>46194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46680-2022</t>
        </is>
      </c>
      <c r="B144" s="1" t="n">
        <v>44851</v>
      </c>
      <c r="C144" s="1" t="n">
        <v>46194</v>
      </c>
      <c r="D144" t="inlineStr">
        <is>
          <t>DALARNAS LÄN</t>
        </is>
      </c>
      <c r="E144" t="inlineStr">
        <is>
          <t>LUDVIKA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51713-2022</t>
        </is>
      </c>
      <c r="B145" s="1" t="n">
        <v>44872</v>
      </c>
      <c r="C145" s="1" t="n">
        <v>46194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23345-2022</t>
        </is>
      </c>
      <c r="B146" s="1" t="n">
        <v>44720</v>
      </c>
      <c r="C146" s="1" t="n">
        <v>46194</v>
      </c>
      <c r="D146" t="inlineStr">
        <is>
          <t>DALARNAS LÄN</t>
        </is>
      </c>
      <c r="E146" t="inlineStr">
        <is>
          <t>LUDVIKA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74427-2021</t>
        </is>
      </c>
      <c r="B147" s="1" t="n">
        <v>44560</v>
      </c>
      <c r="C147" s="1" t="n">
        <v>46194</v>
      </c>
      <c r="D147" t="inlineStr">
        <is>
          <t>DALARNAS LÄN</t>
        </is>
      </c>
      <c r="E147" t="inlineStr">
        <is>
          <t>LUDVIKA</t>
        </is>
      </c>
      <c r="F147" t="inlineStr">
        <is>
          <t>Kommuner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15145-2022</t>
        </is>
      </c>
      <c r="B148" s="1" t="n">
        <v>44658</v>
      </c>
      <c r="C148" s="1" t="n">
        <v>46194</v>
      </c>
      <c r="D148" t="inlineStr">
        <is>
          <t>DALARNAS LÄN</t>
        </is>
      </c>
      <c r="E148" t="inlineStr">
        <is>
          <t>LUDVIKA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41796-2022</t>
        </is>
      </c>
      <c r="B149" s="1" t="n">
        <v>44827</v>
      </c>
      <c r="C149" s="1" t="n">
        <v>46194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57193-2022</t>
        </is>
      </c>
      <c r="B150" s="1" t="n">
        <v>44895</v>
      </c>
      <c r="C150" s="1" t="n">
        <v>46194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4551-2022</t>
        </is>
      </c>
      <c r="B151" s="1" t="n">
        <v>44590</v>
      </c>
      <c r="C151" s="1" t="n">
        <v>46194</v>
      </c>
      <c r="D151" t="inlineStr">
        <is>
          <t>DALARNAS LÄN</t>
        </is>
      </c>
      <c r="E151" t="inlineStr">
        <is>
          <t>LUDVIKA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32305-2024</t>
        </is>
      </c>
      <c r="B152" s="1" t="n">
        <v>45512</v>
      </c>
      <c r="C152" s="1" t="n">
        <v>46194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32332-2024</t>
        </is>
      </c>
      <c r="B153" s="1" t="n">
        <v>45512</v>
      </c>
      <c r="C153" s="1" t="n">
        <v>46194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35720-2021</t>
        </is>
      </c>
      <c r="B154" s="1" t="n">
        <v>44386</v>
      </c>
      <c r="C154" s="1" t="n">
        <v>46194</v>
      </c>
      <c r="D154" t="inlineStr">
        <is>
          <t>DALARNAS LÄN</t>
        </is>
      </c>
      <c r="E154" t="inlineStr">
        <is>
          <t>LUDVIKA</t>
        </is>
      </c>
      <c r="F154" t="inlineStr">
        <is>
          <t>Kyrkan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57002-2021</t>
        </is>
      </c>
      <c r="B155" s="1" t="n">
        <v>44482</v>
      </c>
      <c r="C155" s="1" t="n">
        <v>46194</v>
      </c>
      <c r="D155" t="inlineStr">
        <is>
          <t>DALARNAS LÄN</t>
        </is>
      </c>
      <c r="E155" t="inlineStr">
        <is>
          <t>LUDVIKA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63267-2021</t>
        </is>
      </c>
      <c r="B156" s="1" t="n">
        <v>44508</v>
      </c>
      <c r="C156" s="1" t="n">
        <v>46194</v>
      </c>
      <c r="D156" t="inlineStr">
        <is>
          <t>DALARNAS LÄN</t>
        </is>
      </c>
      <c r="E156" t="inlineStr">
        <is>
          <t>LUDVIKA</t>
        </is>
      </c>
      <c r="F156" t="inlineStr">
        <is>
          <t>Bergvik skog väst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54279-2021</t>
        </is>
      </c>
      <c r="B157" s="1" t="n">
        <v>44470</v>
      </c>
      <c r="C157" s="1" t="n">
        <v>46194</v>
      </c>
      <c r="D157" t="inlineStr">
        <is>
          <t>DALARNAS LÄN</t>
        </is>
      </c>
      <c r="E157" t="inlineStr">
        <is>
          <t>LUDVIKA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11797-2023</t>
        </is>
      </c>
      <c r="B158" s="1" t="n">
        <v>44994</v>
      </c>
      <c r="C158" s="1" t="n">
        <v>46194</v>
      </c>
      <c r="D158" t="inlineStr">
        <is>
          <t>DALARNAS LÄN</t>
        </is>
      </c>
      <c r="E158" t="inlineStr">
        <is>
          <t>LUDVIKA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22920-2022</t>
        </is>
      </c>
      <c r="B159" s="1" t="n">
        <v>44715</v>
      </c>
      <c r="C159" s="1" t="n">
        <v>46194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46074-2023</t>
        </is>
      </c>
      <c r="B160" s="1" t="n">
        <v>45196</v>
      </c>
      <c r="C160" s="1" t="n">
        <v>46194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65195-2021</t>
        </is>
      </c>
      <c r="B161" s="1" t="n">
        <v>44515</v>
      </c>
      <c r="C161" s="1" t="n">
        <v>46194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9464-2022</t>
        </is>
      </c>
      <c r="B162" s="1" t="n">
        <v>44616</v>
      </c>
      <c r="C162" s="1" t="n">
        <v>46194</v>
      </c>
      <c r="D162" t="inlineStr">
        <is>
          <t>DALARNAS LÄN</t>
        </is>
      </c>
      <c r="E162" t="inlineStr">
        <is>
          <t>LUDVIKA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48288-2023</t>
        </is>
      </c>
      <c r="B163" s="1" t="n">
        <v>45205</v>
      </c>
      <c r="C163" s="1" t="n">
        <v>46194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42254-2024</t>
        </is>
      </c>
      <c r="B164" s="1" t="n">
        <v>45562</v>
      </c>
      <c r="C164" s="1" t="n">
        <v>46194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45309-2021</t>
        </is>
      </c>
      <c r="B165" s="1" t="n">
        <v>44439</v>
      </c>
      <c r="C165" s="1" t="n">
        <v>46194</v>
      </c>
      <c r="D165" t="inlineStr">
        <is>
          <t>DALARNAS LÄN</t>
        </is>
      </c>
      <c r="E165" t="inlineStr">
        <is>
          <t>LUDVIKA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21466-2022</t>
        </is>
      </c>
      <c r="B166" s="1" t="n">
        <v>44706</v>
      </c>
      <c r="C166" s="1" t="n">
        <v>46194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33108-2022</t>
        </is>
      </c>
      <c r="B167" s="1" t="n">
        <v>44785</v>
      </c>
      <c r="C167" s="1" t="n">
        <v>46194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33330-2024</t>
        </is>
      </c>
      <c r="B168" s="1" t="n">
        <v>45519</v>
      </c>
      <c r="C168" s="1" t="n">
        <v>46194</v>
      </c>
      <c r="D168" t="inlineStr">
        <is>
          <t>DALARNAS LÄN</t>
        </is>
      </c>
      <c r="E168" t="inlineStr">
        <is>
          <t>LUDVIKA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49035-2024</t>
        </is>
      </c>
      <c r="B169" s="1" t="n">
        <v>45594</v>
      </c>
      <c r="C169" s="1" t="n">
        <v>46194</v>
      </c>
      <c r="D169" t="inlineStr">
        <is>
          <t>DALARNAS LÄN</t>
        </is>
      </c>
      <c r="E169" t="inlineStr">
        <is>
          <t>LUDVIKA</t>
        </is>
      </c>
      <c r="F169" t="inlineStr">
        <is>
          <t>Naturvårdsverket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49043-2024</t>
        </is>
      </c>
      <c r="B170" s="1" t="n">
        <v>45594</v>
      </c>
      <c r="C170" s="1" t="n">
        <v>46194</v>
      </c>
      <c r="D170" t="inlineStr">
        <is>
          <t>DALARNAS LÄN</t>
        </is>
      </c>
      <c r="E170" t="inlineStr">
        <is>
          <t>LUDVIKA</t>
        </is>
      </c>
      <c r="F170" t="inlineStr">
        <is>
          <t>Naturvårdsverket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18708-2023</t>
        </is>
      </c>
      <c r="B171" s="1" t="n">
        <v>45043</v>
      </c>
      <c r="C171" s="1" t="n">
        <v>46194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40582-2021</t>
        </is>
      </c>
      <c r="B172" s="1" t="n">
        <v>44420</v>
      </c>
      <c r="C172" s="1" t="n">
        <v>46194</v>
      </c>
      <c r="D172" t="inlineStr">
        <is>
          <t>DALARNAS LÄN</t>
        </is>
      </c>
      <c r="E172" t="inlineStr">
        <is>
          <t>LUDVIKA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39247-2021</t>
        </is>
      </c>
      <c r="B173" s="1" t="n">
        <v>44413</v>
      </c>
      <c r="C173" s="1" t="n">
        <v>46194</v>
      </c>
      <c r="D173" t="inlineStr">
        <is>
          <t>DALARNAS LÄN</t>
        </is>
      </c>
      <c r="E173" t="inlineStr">
        <is>
          <t>LUDVIKA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56680-2022</t>
        </is>
      </c>
      <c r="B174" s="1" t="n">
        <v>44893</v>
      </c>
      <c r="C174" s="1" t="n">
        <v>46194</v>
      </c>
      <c r="D174" t="inlineStr">
        <is>
          <t>DALARNAS LÄN</t>
        </is>
      </c>
      <c r="E174" t="inlineStr">
        <is>
          <t>LUDVIKA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56685-2022</t>
        </is>
      </c>
      <c r="B175" s="1" t="n">
        <v>44893</v>
      </c>
      <c r="C175" s="1" t="n">
        <v>46194</v>
      </c>
      <c r="D175" t="inlineStr">
        <is>
          <t>DALARNAS LÄN</t>
        </is>
      </c>
      <c r="E175" t="inlineStr">
        <is>
          <t>LUDVIKA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59050-2022</t>
        </is>
      </c>
      <c r="B176" s="1" t="n">
        <v>44903</v>
      </c>
      <c r="C176" s="1" t="n">
        <v>46194</v>
      </c>
      <c r="D176" t="inlineStr">
        <is>
          <t>DALARNAS LÄN</t>
        </is>
      </c>
      <c r="E176" t="inlineStr">
        <is>
          <t>LUDVIKA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7243-2023</t>
        </is>
      </c>
      <c r="B177" s="1" t="n">
        <v>44970</v>
      </c>
      <c r="C177" s="1" t="n">
        <v>46194</v>
      </c>
      <c r="D177" t="inlineStr">
        <is>
          <t>DALARNAS LÄN</t>
        </is>
      </c>
      <c r="E177" t="inlineStr">
        <is>
          <t>LUDVIKA</t>
        </is>
      </c>
      <c r="F177" t="inlineStr">
        <is>
          <t>Övriga Aktiebolag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15421-2025</t>
        </is>
      </c>
      <c r="B178" s="1" t="n">
        <v>45747</v>
      </c>
      <c r="C178" s="1" t="n">
        <v>46194</v>
      </c>
      <c r="D178" t="inlineStr">
        <is>
          <t>DALARNAS LÄN</t>
        </is>
      </c>
      <c r="E178" t="inlineStr">
        <is>
          <t>LUDVIKA</t>
        </is>
      </c>
      <c r="F178" t="inlineStr">
        <is>
          <t>Övriga Aktiebolag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39761-2022</t>
        </is>
      </c>
      <c r="B179" s="1" t="n">
        <v>44819</v>
      </c>
      <c r="C179" s="1" t="n">
        <v>46194</v>
      </c>
      <c r="D179" t="inlineStr">
        <is>
          <t>DALARNAS LÄN</t>
        </is>
      </c>
      <c r="E179" t="inlineStr">
        <is>
          <t>LUDVIKA</t>
        </is>
      </c>
      <c r="F179" t="inlineStr">
        <is>
          <t>Naturvårdsverket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51029-2024</t>
        </is>
      </c>
      <c r="B180" s="1" t="n">
        <v>45603</v>
      </c>
      <c r="C180" s="1" t="n">
        <v>46194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7526-2025</t>
        </is>
      </c>
      <c r="B181" s="1" t="n">
        <v>45705</v>
      </c>
      <c r="C181" s="1" t="n">
        <v>46194</v>
      </c>
      <c r="D181" t="inlineStr">
        <is>
          <t>DALARNAS LÄN</t>
        </is>
      </c>
      <c r="E181" t="inlineStr">
        <is>
          <t>LUDVIKA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51160-2023</t>
        </is>
      </c>
      <c r="B182" s="1" t="n">
        <v>45219</v>
      </c>
      <c r="C182" s="1" t="n">
        <v>46194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5841-2024</t>
        </is>
      </c>
      <c r="B183" s="1" t="n">
        <v>45335</v>
      </c>
      <c r="C183" s="1" t="n">
        <v>46194</v>
      </c>
      <c r="D183" t="inlineStr">
        <is>
          <t>DALARNAS LÄN</t>
        </is>
      </c>
      <c r="E183" t="inlineStr">
        <is>
          <t>LUDVIKA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38170-2023</t>
        </is>
      </c>
      <c r="B184" s="1" t="n">
        <v>45161</v>
      </c>
      <c r="C184" s="1" t="n">
        <v>46194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42128-2024</t>
        </is>
      </c>
      <c r="B185" s="1" t="n">
        <v>45562</v>
      </c>
      <c r="C185" s="1" t="n">
        <v>46194</v>
      </c>
      <c r="D185" t="inlineStr">
        <is>
          <t>DALARNAS LÄN</t>
        </is>
      </c>
      <c r="E185" t="inlineStr">
        <is>
          <t>LUDVIKA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56346-2022</t>
        </is>
      </c>
      <c r="B186" s="1" t="n">
        <v>44890</v>
      </c>
      <c r="C186" s="1" t="n">
        <v>46194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56686-2022</t>
        </is>
      </c>
      <c r="B187" s="1" t="n">
        <v>44893</v>
      </c>
      <c r="C187" s="1" t="n">
        <v>46194</v>
      </c>
      <c r="D187" t="inlineStr">
        <is>
          <t>DALARNAS LÄN</t>
        </is>
      </c>
      <c r="E187" t="inlineStr">
        <is>
          <t>LUDVIKA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41090-2022</t>
        </is>
      </c>
      <c r="B188" s="1" t="n">
        <v>44825</v>
      </c>
      <c r="C188" s="1" t="n">
        <v>46194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47366-2023</t>
        </is>
      </c>
      <c r="B189" s="1" t="n">
        <v>45202</v>
      </c>
      <c r="C189" s="1" t="n">
        <v>46194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41616-2024</t>
        </is>
      </c>
      <c r="B190" s="1" t="n">
        <v>45560</v>
      </c>
      <c r="C190" s="1" t="n">
        <v>46194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22555-2023</t>
        </is>
      </c>
      <c r="B191" s="1" t="n">
        <v>45071</v>
      </c>
      <c r="C191" s="1" t="n">
        <v>46194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41400-2022</t>
        </is>
      </c>
      <c r="B192" s="1" t="n">
        <v>44826</v>
      </c>
      <c r="C192" s="1" t="n">
        <v>46194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11237-2024</t>
        </is>
      </c>
      <c r="B193" s="1" t="n">
        <v>45371</v>
      </c>
      <c r="C193" s="1" t="n">
        <v>46194</v>
      </c>
      <c r="D193" t="inlineStr">
        <is>
          <t>DALARNAS LÄN</t>
        </is>
      </c>
      <c r="E193" t="inlineStr">
        <is>
          <t>LUDVIKA</t>
        </is>
      </c>
      <c r="G193" t="n">
        <v>20.8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56672-2023</t>
        </is>
      </c>
      <c r="B194" s="1" t="n">
        <v>45243</v>
      </c>
      <c r="C194" s="1" t="n">
        <v>46194</v>
      </c>
      <c r="D194" t="inlineStr">
        <is>
          <t>DALARNAS LÄN</t>
        </is>
      </c>
      <c r="E194" t="inlineStr">
        <is>
          <t>LUDVIKA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34845-2024</t>
        </is>
      </c>
      <c r="B195" s="1" t="n">
        <v>45526</v>
      </c>
      <c r="C195" s="1" t="n">
        <v>46194</v>
      </c>
      <c r="D195" t="inlineStr">
        <is>
          <t>DALARNAS LÄN</t>
        </is>
      </c>
      <c r="E195" t="inlineStr">
        <is>
          <t>LUDVIKA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41158-2022</t>
        </is>
      </c>
      <c r="B196" s="1" t="n">
        <v>44825</v>
      </c>
      <c r="C196" s="1" t="n">
        <v>46194</v>
      </c>
      <c r="D196" t="inlineStr">
        <is>
          <t>DALARNAS LÄN</t>
        </is>
      </c>
      <c r="E196" t="inlineStr">
        <is>
          <t>LUDVIKA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48715-2022</t>
        </is>
      </c>
      <c r="B197" s="1" t="n">
        <v>44859</v>
      </c>
      <c r="C197" s="1" t="n">
        <v>46194</v>
      </c>
      <c r="D197" t="inlineStr">
        <is>
          <t>DALARNAS LÄN</t>
        </is>
      </c>
      <c r="E197" t="inlineStr">
        <is>
          <t>LUDVIKA</t>
        </is>
      </c>
      <c r="F197" t="inlineStr">
        <is>
          <t>Naturvårdsverket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45313-2021</t>
        </is>
      </c>
      <c r="B198" s="1" t="n">
        <v>44439</v>
      </c>
      <c r="C198" s="1" t="n">
        <v>46194</v>
      </c>
      <c r="D198" t="inlineStr">
        <is>
          <t>DALARNAS LÄN</t>
        </is>
      </c>
      <c r="E198" t="inlineStr">
        <is>
          <t>LUDVIKA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21152-2023</t>
        </is>
      </c>
      <c r="B199" s="1" t="n">
        <v>45062</v>
      </c>
      <c r="C199" s="1" t="n">
        <v>46194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13.6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11632-2024</t>
        </is>
      </c>
      <c r="B200" s="1" t="n">
        <v>45373</v>
      </c>
      <c r="C200" s="1" t="n">
        <v>46194</v>
      </c>
      <c r="D200" t="inlineStr">
        <is>
          <t>DALARNAS LÄN</t>
        </is>
      </c>
      <c r="E200" t="inlineStr">
        <is>
          <t>LUDVIKA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35731-2021</t>
        </is>
      </c>
      <c r="B201" s="1" t="n">
        <v>44386</v>
      </c>
      <c r="C201" s="1" t="n">
        <v>46194</v>
      </c>
      <c r="D201" t="inlineStr">
        <is>
          <t>DALARNAS LÄN</t>
        </is>
      </c>
      <c r="E201" t="inlineStr">
        <is>
          <t>LUDVIKA</t>
        </is>
      </c>
      <c r="F201" t="inlineStr">
        <is>
          <t>Kyrkan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57969-2024</t>
        </is>
      </c>
      <c r="B202" s="1" t="n">
        <v>45631</v>
      </c>
      <c r="C202" s="1" t="n">
        <v>46194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41668-2023</t>
        </is>
      </c>
      <c r="B203" s="1" t="n">
        <v>45176</v>
      </c>
      <c r="C203" s="1" t="n">
        <v>46194</v>
      </c>
      <c r="D203" t="inlineStr">
        <is>
          <t>DALARNAS LÄN</t>
        </is>
      </c>
      <c r="E203" t="inlineStr">
        <is>
          <t>LUDVIKA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11436-2024</t>
        </is>
      </c>
      <c r="B204" s="1" t="n">
        <v>45372</v>
      </c>
      <c r="C204" s="1" t="n">
        <v>46194</v>
      </c>
      <c r="D204" t="inlineStr">
        <is>
          <t>DALARNAS LÄN</t>
        </is>
      </c>
      <c r="E204" t="inlineStr">
        <is>
          <t>LUDVIKA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20411-2023</t>
        </is>
      </c>
      <c r="B205" s="1" t="n">
        <v>45056</v>
      </c>
      <c r="C205" s="1" t="n">
        <v>46194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39400-2023</t>
        </is>
      </c>
      <c r="B206" s="1" t="n">
        <v>45166</v>
      </c>
      <c r="C206" s="1" t="n">
        <v>46194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48003-2024</t>
        </is>
      </c>
      <c r="B207" s="1" t="n">
        <v>45589</v>
      </c>
      <c r="C207" s="1" t="n">
        <v>46194</v>
      </c>
      <c r="D207" t="inlineStr">
        <is>
          <t>DALARNAS LÄN</t>
        </is>
      </c>
      <c r="E207" t="inlineStr">
        <is>
          <t>LUDVIKA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55472-2024</t>
        </is>
      </c>
      <c r="B208" s="1" t="n">
        <v>45622</v>
      </c>
      <c r="C208" s="1" t="n">
        <v>46194</v>
      </c>
      <c r="D208" t="inlineStr">
        <is>
          <t>DALARNAS LÄN</t>
        </is>
      </c>
      <c r="E208" t="inlineStr">
        <is>
          <t>LUDVIKA</t>
        </is>
      </c>
      <c r="F208" t="inlineStr">
        <is>
          <t>Naturvårdsverket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55485-2024</t>
        </is>
      </c>
      <c r="B209" s="1" t="n">
        <v>45622</v>
      </c>
      <c r="C209" s="1" t="n">
        <v>46194</v>
      </c>
      <c r="D209" t="inlineStr">
        <is>
          <t>DALARNAS LÄN</t>
        </is>
      </c>
      <c r="E209" t="inlineStr">
        <is>
          <t>LUDVIKA</t>
        </is>
      </c>
      <c r="F209" t="inlineStr">
        <is>
          <t>Naturvårdsverket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17998-2025</t>
        </is>
      </c>
      <c r="B210" s="1" t="n">
        <v>45761</v>
      </c>
      <c r="C210" s="1" t="n">
        <v>46194</v>
      </c>
      <c r="D210" t="inlineStr">
        <is>
          <t>DALARNAS LÄN</t>
        </is>
      </c>
      <c r="E210" t="inlineStr">
        <is>
          <t>LUDVIKA</t>
        </is>
      </c>
      <c r="F210" t="inlineStr">
        <is>
          <t>Naturvårdsverket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3170-2025</t>
        </is>
      </c>
      <c r="B211" s="1" t="n">
        <v>45679</v>
      </c>
      <c r="C211" s="1" t="n">
        <v>46194</v>
      </c>
      <c r="D211" t="inlineStr">
        <is>
          <t>DALARNAS LÄN</t>
        </is>
      </c>
      <c r="E211" t="inlineStr">
        <is>
          <t>LUDVIKA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30113-2023</t>
        </is>
      </c>
      <c r="B212" s="1" t="n">
        <v>45110</v>
      </c>
      <c r="C212" s="1" t="n">
        <v>46194</v>
      </c>
      <c r="D212" t="inlineStr">
        <is>
          <t>DALARNAS LÄN</t>
        </is>
      </c>
      <c r="E212" t="inlineStr">
        <is>
          <t>LUDVIKA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45559-2024</t>
        </is>
      </c>
      <c r="B213" s="1" t="n">
        <v>45579</v>
      </c>
      <c r="C213" s="1" t="n">
        <v>46194</v>
      </c>
      <c r="D213" t="inlineStr">
        <is>
          <t>DALARNAS LÄN</t>
        </is>
      </c>
      <c r="E213" t="inlineStr">
        <is>
          <t>LUDVIKA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39519-2024</t>
        </is>
      </c>
      <c r="B214" s="1" t="n">
        <v>45551</v>
      </c>
      <c r="C214" s="1" t="n">
        <v>46194</v>
      </c>
      <c r="D214" t="inlineStr">
        <is>
          <t>DALARNAS LÄN</t>
        </is>
      </c>
      <c r="E214" t="inlineStr">
        <is>
          <t>LUDVIKA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6975-2023</t>
        </is>
      </c>
      <c r="B215" s="1" t="n">
        <v>44967</v>
      </c>
      <c r="C215" s="1" t="n">
        <v>46194</v>
      </c>
      <c r="D215" t="inlineStr">
        <is>
          <t>DALARNAS LÄN</t>
        </is>
      </c>
      <c r="E215" t="inlineStr">
        <is>
          <t>LUDVIKA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40125-2024</t>
        </is>
      </c>
      <c r="B216" s="1" t="n">
        <v>45554</v>
      </c>
      <c r="C216" s="1" t="n">
        <v>46194</v>
      </c>
      <c r="D216" t="inlineStr">
        <is>
          <t>DALARNAS LÄN</t>
        </is>
      </c>
      <c r="E216" t="inlineStr">
        <is>
          <t>LUDVIKA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48522-2023</t>
        </is>
      </c>
      <c r="B217" s="1" t="n">
        <v>45208</v>
      </c>
      <c r="C217" s="1" t="n">
        <v>46194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23103-2024</t>
        </is>
      </c>
      <c r="B218" s="1" t="n">
        <v>45450</v>
      </c>
      <c r="C218" s="1" t="n">
        <v>46194</v>
      </c>
      <c r="D218" t="inlineStr">
        <is>
          <t>DALARNAS LÄN</t>
        </is>
      </c>
      <c r="E218" t="inlineStr">
        <is>
          <t>LUDVIKA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33839-2024</t>
        </is>
      </c>
      <c r="B219" s="1" t="n">
        <v>45520</v>
      </c>
      <c r="C219" s="1" t="n">
        <v>46194</v>
      </c>
      <c r="D219" t="inlineStr">
        <is>
          <t>DALARNAS LÄN</t>
        </is>
      </c>
      <c r="E219" t="inlineStr">
        <is>
          <t>LUDVIKA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38446-2025</t>
        </is>
      </c>
      <c r="B220" s="1" t="n">
        <v>45883</v>
      </c>
      <c r="C220" s="1" t="n">
        <v>46194</v>
      </c>
      <c r="D220" t="inlineStr">
        <is>
          <t>DALARNAS LÄN</t>
        </is>
      </c>
      <c r="E220" t="inlineStr">
        <is>
          <t>LUDVIKA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33505-2021</t>
        </is>
      </c>
      <c r="B221" s="1" t="n">
        <v>44377</v>
      </c>
      <c r="C221" s="1" t="n">
        <v>46194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14046-2025</t>
        </is>
      </c>
      <c r="B222" s="1" t="n">
        <v>45740</v>
      </c>
      <c r="C222" s="1" t="n">
        <v>46194</v>
      </c>
      <c r="D222" t="inlineStr">
        <is>
          <t>DALARNAS LÄN</t>
        </is>
      </c>
      <c r="E222" t="inlineStr">
        <is>
          <t>LUDVIKA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37538-2024</t>
        </is>
      </c>
      <c r="B223" s="1" t="n">
        <v>45541</v>
      </c>
      <c r="C223" s="1" t="n">
        <v>46194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43839-2023</t>
        </is>
      </c>
      <c r="B224" s="1" t="n">
        <v>45187</v>
      </c>
      <c r="C224" s="1" t="n">
        <v>46194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29114-2024</t>
        </is>
      </c>
      <c r="B225" s="1" t="n">
        <v>45481</v>
      </c>
      <c r="C225" s="1" t="n">
        <v>46194</v>
      </c>
      <c r="D225" t="inlineStr">
        <is>
          <t>DALARNAS LÄN</t>
        </is>
      </c>
      <c r="E225" t="inlineStr">
        <is>
          <t>LUDVIKA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478-2024</t>
        </is>
      </c>
      <c r="B226" s="1" t="n">
        <v>45297</v>
      </c>
      <c r="C226" s="1" t="n">
        <v>46194</v>
      </c>
      <c r="D226" t="inlineStr">
        <is>
          <t>DALARNAS LÄN</t>
        </is>
      </c>
      <c r="E226" t="inlineStr">
        <is>
          <t>LUDVIKA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47496-2022</t>
        </is>
      </c>
      <c r="B227" s="1" t="n">
        <v>44853</v>
      </c>
      <c r="C227" s="1" t="n">
        <v>46194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27644-2025</t>
        </is>
      </c>
      <c r="B228" s="1" t="n">
        <v>45813</v>
      </c>
      <c r="C228" s="1" t="n">
        <v>46194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51015-2023</t>
        </is>
      </c>
      <c r="B229" s="1" t="n">
        <v>45218</v>
      </c>
      <c r="C229" s="1" t="n">
        <v>46194</v>
      </c>
      <c r="D229" t="inlineStr">
        <is>
          <t>DALARNAS LÄN</t>
        </is>
      </c>
      <c r="E229" t="inlineStr">
        <is>
          <t>LUDVIKA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31702-2023</t>
        </is>
      </c>
      <c r="B230" s="1" t="n">
        <v>45105</v>
      </c>
      <c r="C230" s="1" t="n">
        <v>46194</v>
      </c>
      <c r="D230" t="inlineStr">
        <is>
          <t>DALARNAS LÄN</t>
        </is>
      </c>
      <c r="E230" t="inlineStr">
        <is>
          <t>LUDVIKA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32119-2023</t>
        </is>
      </c>
      <c r="B231" s="1" t="n">
        <v>45119</v>
      </c>
      <c r="C231" s="1" t="n">
        <v>46194</v>
      </c>
      <c r="D231" t="inlineStr">
        <is>
          <t>DALARNAS LÄN</t>
        </is>
      </c>
      <c r="E231" t="inlineStr">
        <is>
          <t>LUDVIKA</t>
        </is>
      </c>
      <c r="F231" t="inlineStr">
        <is>
          <t>Naturvårdsverket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55961-2024</t>
        </is>
      </c>
      <c r="B232" s="1" t="n">
        <v>45623</v>
      </c>
      <c r="C232" s="1" t="n">
        <v>46194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24974-2025</t>
        </is>
      </c>
      <c r="B233" s="1" t="n">
        <v>45799</v>
      </c>
      <c r="C233" s="1" t="n">
        <v>46194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32277-2024</t>
        </is>
      </c>
      <c r="B234" s="1" t="n">
        <v>45512</v>
      </c>
      <c r="C234" s="1" t="n">
        <v>46194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60660-2024</t>
        </is>
      </c>
      <c r="B235" s="1" t="n">
        <v>45644</v>
      </c>
      <c r="C235" s="1" t="n">
        <v>46194</v>
      </c>
      <c r="D235" t="inlineStr">
        <is>
          <t>DALARNAS LÄN</t>
        </is>
      </c>
      <c r="E235" t="inlineStr">
        <is>
          <t>LUDVIKA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7173-2023</t>
        </is>
      </c>
      <c r="B236" s="1" t="n">
        <v>44970</v>
      </c>
      <c r="C236" s="1" t="n">
        <v>46194</v>
      </c>
      <c r="D236" t="inlineStr">
        <is>
          <t>DALARNAS LÄN</t>
        </is>
      </c>
      <c r="E236" t="inlineStr">
        <is>
          <t>LUDVIKA</t>
        </is>
      </c>
      <c r="F236" t="inlineStr">
        <is>
          <t>Övriga Aktiebolag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22000-2022</t>
        </is>
      </c>
      <c r="B237" s="1" t="n">
        <v>44711</v>
      </c>
      <c r="C237" s="1" t="n">
        <v>46194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5673-2023</t>
        </is>
      </c>
      <c r="B238" s="1" t="n">
        <v>44960</v>
      </c>
      <c r="C238" s="1" t="n">
        <v>46194</v>
      </c>
      <c r="D238" t="inlineStr">
        <is>
          <t>DALARNAS LÄN</t>
        </is>
      </c>
      <c r="E238" t="inlineStr">
        <is>
          <t>LUDVIKA</t>
        </is>
      </c>
      <c r="F238" t="inlineStr">
        <is>
          <t>Naturvårdsverket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53048-2024</t>
        </is>
      </c>
      <c r="B239" s="1" t="n">
        <v>45611</v>
      </c>
      <c r="C239" s="1" t="n">
        <v>46194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56203-2024</t>
        </is>
      </c>
      <c r="B240" s="1" t="n">
        <v>45624</v>
      </c>
      <c r="C240" s="1" t="n">
        <v>46194</v>
      </c>
      <c r="D240" t="inlineStr">
        <is>
          <t>DALARNAS LÄN</t>
        </is>
      </c>
      <c r="E240" t="inlineStr">
        <is>
          <t>LUDVIKA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51043-2024</t>
        </is>
      </c>
      <c r="B241" s="1" t="n">
        <v>45603</v>
      </c>
      <c r="C241" s="1" t="n">
        <v>46194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57217-2024</t>
        </is>
      </c>
      <c r="B242" s="1" t="n">
        <v>45629</v>
      </c>
      <c r="C242" s="1" t="n">
        <v>46194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17.3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50777-2024</t>
        </is>
      </c>
      <c r="B243" s="1" t="n">
        <v>45602</v>
      </c>
      <c r="C243" s="1" t="n">
        <v>46194</v>
      </c>
      <c r="D243" t="inlineStr">
        <is>
          <t>DALARNAS LÄN</t>
        </is>
      </c>
      <c r="E243" t="inlineStr">
        <is>
          <t>LUDVIKA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36527-2024</t>
        </is>
      </c>
      <c r="B244" s="1" t="n">
        <v>45537</v>
      </c>
      <c r="C244" s="1" t="n">
        <v>46194</v>
      </c>
      <c r="D244" t="inlineStr">
        <is>
          <t>DALARNAS LÄN</t>
        </is>
      </c>
      <c r="E244" t="inlineStr">
        <is>
          <t>LUDVIKA</t>
        </is>
      </c>
      <c r="F244" t="inlineStr">
        <is>
          <t>Övriga Aktiebolag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53106-2024</t>
        </is>
      </c>
      <c r="B245" s="1" t="n">
        <v>45611</v>
      </c>
      <c r="C245" s="1" t="n">
        <v>46194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56445-2024</t>
        </is>
      </c>
      <c r="B246" s="1" t="n">
        <v>45625</v>
      </c>
      <c r="C246" s="1" t="n">
        <v>46194</v>
      </c>
      <c r="D246" t="inlineStr">
        <is>
          <t>DALARNAS LÄN</t>
        </is>
      </c>
      <c r="E246" t="inlineStr">
        <is>
          <t>LUDVIKA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51704-2024</t>
        </is>
      </c>
      <c r="B247" s="1" t="n">
        <v>45607</v>
      </c>
      <c r="C247" s="1" t="n">
        <v>46194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918-2024</t>
        </is>
      </c>
      <c r="B248" s="1" t="n">
        <v>45301</v>
      </c>
      <c r="C248" s="1" t="n">
        <v>46194</v>
      </c>
      <c r="D248" t="inlineStr">
        <is>
          <t>DALARNAS LÄN</t>
        </is>
      </c>
      <c r="E248" t="inlineStr">
        <is>
          <t>LUDVIKA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54730-2022</t>
        </is>
      </c>
      <c r="B249" s="1" t="n">
        <v>44883</v>
      </c>
      <c r="C249" s="1" t="n">
        <v>46194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33345-2024</t>
        </is>
      </c>
      <c r="B250" s="1" t="n">
        <v>45519</v>
      </c>
      <c r="C250" s="1" t="n">
        <v>46194</v>
      </c>
      <c r="D250" t="inlineStr">
        <is>
          <t>DALARNAS LÄN</t>
        </is>
      </c>
      <c r="E250" t="inlineStr">
        <is>
          <t>LUDVIKA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28507-2023</t>
        </is>
      </c>
      <c r="B251" s="1" t="n">
        <v>45103</v>
      </c>
      <c r="C251" s="1" t="n">
        <v>46194</v>
      </c>
      <c r="D251" t="inlineStr">
        <is>
          <t>DALARNAS LÄN</t>
        </is>
      </c>
      <c r="E251" t="inlineStr">
        <is>
          <t>LUDVIKA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48774-2024</t>
        </is>
      </c>
      <c r="B252" s="1" t="n">
        <v>45593</v>
      </c>
      <c r="C252" s="1" t="n">
        <v>46194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47071-2022</t>
        </is>
      </c>
      <c r="B253" s="1" t="n">
        <v>44852</v>
      </c>
      <c r="C253" s="1" t="n">
        <v>46194</v>
      </c>
      <c r="D253" t="inlineStr">
        <is>
          <t>DALARNAS LÄN</t>
        </is>
      </c>
      <c r="E253" t="inlineStr">
        <is>
          <t>LUDVIKA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3470-2025</t>
        </is>
      </c>
      <c r="B254" s="1" t="n">
        <v>45680</v>
      </c>
      <c r="C254" s="1" t="n">
        <v>46194</v>
      </c>
      <c r="D254" t="inlineStr">
        <is>
          <t>DALARNAS LÄN</t>
        </is>
      </c>
      <c r="E254" t="inlineStr">
        <is>
          <t>LUDVIKA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21145-2023</t>
        </is>
      </c>
      <c r="B255" s="1" t="n">
        <v>45062</v>
      </c>
      <c r="C255" s="1" t="n">
        <v>46194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49060-2023</t>
        </is>
      </c>
      <c r="B256" s="1" t="n">
        <v>45210</v>
      </c>
      <c r="C256" s="1" t="n">
        <v>46194</v>
      </c>
      <c r="D256" t="inlineStr">
        <is>
          <t>DALARNAS LÄN</t>
        </is>
      </c>
      <c r="E256" t="inlineStr">
        <is>
          <t>LUDVIKA</t>
        </is>
      </c>
      <c r="F256" t="inlineStr">
        <is>
          <t>Naturvårdsverket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55034-2024</t>
        </is>
      </c>
      <c r="B257" s="1" t="n">
        <v>45621</v>
      </c>
      <c r="C257" s="1" t="n">
        <v>46194</v>
      </c>
      <c r="D257" t="inlineStr">
        <is>
          <t>DALARNAS LÄN</t>
        </is>
      </c>
      <c r="E257" t="inlineStr">
        <is>
          <t>LUDVIKA</t>
        </is>
      </c>
      <c r="F257" t="inlineStr">
        <is>
          <t>Naturvårdsverket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31100-2024</t>
        </is>
      </c>
      <c r="B258" s="1" t="n">
        <v>45502</v>
      </c>
      <c r="C258" s="1" t="n">
        <v>46194</v>
      </c>
      <c r="D258" t="inlineStr">
        <is>
          <t>DALARNAS LÄN</t>
        </is>
      </c>
      <c r="E258" t="inlineStr">
        <is>
          <t>LUDVIKA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45544-2024</t>
        </is>
      </c>
      <c r="B259" s="1" t="n">
        <v>45579</v>
      </c>
      <c r="C259" s="1" t="n">
        <v>46194</v>
      </c>
      <c r="D259" t="inlineStr">
        <is>
          <t>DALARNAS LÄN</t>
        </is>
      </c>
      <c r="E259" t="inlineStr">
        <is>
          <t>LUDVIKA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45547-2024</t>
        </is>
      </c>
      <c r="B260" s="1" t="n">
        <v>45579</v>
      </c>
      <c r="C260" s="1" t="n">
        <v>46194</v>
      </c>
      <c r="D260" t="inlineStr">
        <is>
          <t>DALARNAS LÄN</t>
        </is>
      </c>
      <c r="E260" t="inlineStr">
        <is>
          <t>LUDVIKA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59347-2024</t>
        </is>
      </c>
      <c r="B261" s="1" t="n">
        <v>45638</v>
      </c>
      <c r="C261" s="1" t="n">
        <v>46194</v>
      </c>
      <c r="D261" t="inlineStr">
        <is>
          <t>DALARNAS LÄN</t>
        </is>
      </c>
      <c r="E261" t="inlineStr">
        <is>
          <t>LUDVIKA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60843-2024</t>
        </is>
      </c>
      <c r="B262" s="1" t="n">
        <v>45644</v>
      </c>
      <c r="C262" s="1" t="n">
        <v>46194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56996-2021</t>
        </is>
      </c>
      <c r="B263" s="1" t="n">
        <v>44482</v>
      </c>
      <c r="C263" s="1" t="n">
        <v>46194</v>
      </c>
      <c r="D263" t="inlineStr">
        <is>
          <t>DALARNAS LÄN</t>
        </is>
      </c>
      <c r="E263" t="inlineStr">
        <is>
          <t>LUDVIKA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43240-2024</t>
        </is>
      </c>
      <c r="B264" s="1" t="n">
        <v>45568</v>
      </c>
      <c r="C264" s="1" t="n">
        <v>46194</v>
      </c>
      <c r="D264" t="inlineStr">
        <is>
          <t>DALARNAS LÄN</t>
        </is>
      </c>
      <c r="E264" t="inlineStr">
        <is>
          <t>LUDVIKA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38223-2021</t>
        </is>
      </c>
      <c r="B265" s="1" t="n">
        <v>44405</v>
      </c>
      <c r="C265" s="1" t="n">
        <v>46194</v>
      </c>
      <c r="D265" t="inlineStr">
        <is>
          <t>DALARNAS LÄN</t>
        </is>
      </c>
      <c r="E265" t="inlineStr">
        <is>
          <t>LUDVIKA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27389-2024</t>
        </is>
      </c>
      <c r="B266" s="1" t="n">
        <v>45474</v>
      </c>
      <c r="C266" s="1" t="n">
        <v>46194</v>
      </c>
      <c r="D266" t="inlineStr">
        <is>
          <t>DALARNAS LÄN</t>
        </is>
      </c>
      <c r="E266" t="inlineStr">
        <is>
          <t>LUDVIKA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45361-2022</t>
        </is>
      </c>
      <c r="B267" s="1" t="n">
        <v>44844</v>
      </c>
      <c r="C267" s="1" t="n">
        <v>46194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41109-2025</t>
        </is>
      </c>
      <c r="B268" s="1" t="n">
        <v>45898</v>
      </c>
      <c r="C268" s="1" t="n">
        <v>46194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41249-2025</t>
        </is>
      </c>
      <c r="B269" s="1" t="n">
        <v>45898</v>
      </c>
      <c r="C269" s="1" t="n">
        <v>46194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41269-2025</t>
        </is>
      </c>
      <c r="B270" s="1" t="n">
        <v>45898</v>
      </c>
      <c r="C270" s="1" t="n">
        <v>46194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39754-2025</t>
        </is>
      </c>
      <c r="B271" s="1" t="n">
        <v>45891</v>
      </c>
      <c r="C271" s="1" t="n">
        <v>46194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40246-2025</t>
        </is>
      </c>
      <c r="B272" s="1" t="n">
        <v>45895</v>
      </c>
      <c r="C272" s="1" t="n">
        <v>46194</v>
      </c>
      <c r="D272" t="inlineStr">
        <is>
          <t>DALARNAS LÄN</t>
        </is>
      </c>
      <c r="E272" t="inlineStr">
        <is>
          <t>LUDVIKA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8703-2023</t>
        </is>
      </c>
      <c r="B273" s="1" t="n">
        <v>44978</v>
      </c>
      <c r="C273" s="1" t="n">
        <v>46194</v>
      </c>
      <c r="D273" t="inlineStr">
        <is>
          <t>DALARNAS LÄN</t>
        </is>
      </c>
      <c r="E273" t="inlineStr">
        <is>
          <t>LUDVIKA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41731-2025</t>
        </is>
      </c>
      <c r="B274" s="1" t="n">
        <v>45902</v>
      </c>
      <c r="C274" s="1" t="n">
        <v>46194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41866-2025</t>
        </is>
      </c>
      <c r="B275" s="1" t="n">
        <v>45903</v>
      </c>
      <c r="C275" s="1" t="n">
        <v>46194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41916-2025</t>
        </is>
      </c>
      <c r="B276" s="1" t="n">
        <v>45903</v>
      </c>
      <c r="C276" s="1" t="n">
        <v>46194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42005-2025</t>
        </is>
      </c>
      <c r="B277" s="1" t="n">
        <v>45903</v>
      </c>
      <c r="C277" s="1" t="n">
        <v>46194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25273-2022</t>
        </is>
      </c>
      <c r="B278" s="1" t="n">
        <v>44729</v>
      </c>
      <c r="C278" s="1" t="n">
        <v>46194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3277-2024</t>
        </is>
      </c>
      <c r="B279" s="1" t="n">
        <v>45317</v>
      </c>
      <c r="C279" s="1" t="n">
        <v>46194</v>
      </c>
      <c r="D279" t="inlineStr">
        <is>
          <t>DALARNAS LÄN</t>
        </is>
      </c>
      <c r="E279" t="inlineStr">
        <is>
          <t>LUDVIKA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36338-2025</t>
        </is>
      </c>
      <c r="B280" s="1" t="n">
        <v>45868</v>
      </c>
      <c r="C280" s="1" t="n">
        <v>46194</v>
      </c>
      <c r="D280" t="inlineStr">
        <is>
          <t>DALARNAS LÄN</t>
        </is>
      </c>
      <c r="E280" t="inlineStr">
        <is>
          <t>LUDVIKA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42996-2025</t>
        </is>
      </c>
      <c r="B281" s="1" t="n">
        <v>45909</v>
      </c>
      <c r="C281" s="1" t="n">
        <v>46194</v>
      </c>
      <c r="D281" t="inlineStr">
        <is>
          <t>DALARNAS LÄN</t>
        </is>
      </c>
      <c r="E281" t="inlineStr">
        <is>
          <t>LUDVIKA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12497-2024</t>
        </is>
      </c>
      <c r="B282" s="1" t="n">
        <v>45379</v>
      </c>
      <c r="C282" s="1" t="n">
        <v>46194</v>
      </c>
      <c r="D282" t="inlineStr">
        <is>
          <t>DALARNAS LÄN</t>
        </is>
      </c>
      <c r="E282" t="inlineStr">
        <is>
          <t>LUDVIKA</t>
        </is>
      </c>
      <c r="F282" t="inlineStr">
        <is>
          <t>Naturvårdsverket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43145-2025</t>
        </is>
      </c>
      <c r="B283" s="1" t="n">
        <v>45910</v>
      </c>
      <c r="C283" s="1" t="n">
        <v>46194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42106-2024</t>
        </is>
      </c>
      <c r="B284" s="1" t="n">
        <v>45562</v>
      </c>
      <c r="C284" s="1" t="n">
        <v>46194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35708-2025</t>
        </is>
      </c>
      <c r="B285" s="1" t="n">
        <v>45860</v>
      </c>
      <c r="C285" s="1" t="n">
        <v>46194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20341-2026</t>
        </is>
      </c>
      <c r="B286" s="1" t="n">
        <v>46139</v>
      </c>
      <c r="C286" s="1" t="n">
        <v>46194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43345-2025</t>
        </is>
      </c>
      <c r="B287" s="1" t="n">
        <v>45910</v>
      </c>
      <c r="C287" s="1" t="n">
        <v>46194</v>
      </c>
      <c r="D287" t="inlineStr">
        <is>
          <t>DALARNAS LÄN</t>
        </is>
      </c>
      <c r="E287" t="inlineStr">
        <is>
          <t>LUDVIKA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43479-2025</t>
        </is>
      </c>
      <c r="B288" s="1" t="n">
        <v>45911</v>
      </c>
      <c r="C288" s="1" t="n">
        <v>46194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41828-2025</t>
        </is>
      </c>
      <c r="B289" s="1" t="n">
        <v>45902</v>
      </c>
      <c r="C289" s="1" t="n">
        <v>46194</v>
      </c>
      <c r="D289" t="inlineStr">
        <is>
          <t>DALARNAS LÄN</t>
        </is>
      </c>
      <c r="E289" t="inlineStr">
        <is>
          <t>LUDVIKA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43473-2025</t>
        </is>
      </c>
      <c r="B290" s="1" t="n">
        <v>45911</v>
      </c>
      <c r="C290" s="1" t="n">
        <v>46194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31550-2021</t>
        </is>
      </c>
      <c r="B291" s="1" t="n">
        <v>44369</v>
      </c>
      <c r="C291" s="1" t="n">
        <v>46194</v>
      </c>
      <c r="D291" t="inlineStr">
        <is>
          <t>DALARNAS LÄN</t>
        </is>
      </c>
      <c r="E291" t="inlineStr">
        <is>
          <t>LUDVIKA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43449-2025</t>
        </is>
      </c>
      <c r="B292" s="1" t="n">
        <v>45911</v>
      </c>
      <c r="C292" s="1" t="n">
        <v>46194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43348-2025</t>
        </is>
      </c>
      <c r="B293" s="1" t="n">
        <v>45910</v>
      </c>
      <c r="C293" s="1" t="n">
        <v>46194</v>
      </c>
      <c r="D293" t="inlineStr">
        <is>
          <t>DALARNAS LÄN</t>
        </is>
      </c>
      <c r="E293" t="inlineStr">
        <is>
          <t>LUDVIKA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49805-2023</t>
        </is>
      </c>
      <c r="B294" s="1" t="n">
        <v>45212</v>
      </c>
      <c r="C294" s="1" t="n">
        <v>46194</v>
      </c>
      <c r="D294" t="inlineStr">
        <is>
          <t>DALARNAS LÄN</t>
        </is>
      </c>
      <c r="E294" t="inlineStr">
        <is>
          <t>LUDVIKA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2838-2022</t>
        </is>
      </c>
      <c r="B295" s="1" t="n">
        <v>44581</v>
      </c>
      <c r="C295" s="1" t="n">
        <v>46194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44261-2025</t>
        </is>
      </c>
      <c r="B296" s="1" t="n">
        <v>45915</v>
      </c>
      <c r="C296" s="1" t="n">
        <v>46194</v>
      </c>
      <c r="D296" t="inlineStr">
        <is>
          <t>DALARNAS LÄN</t>
        </is>
      </c>
      <c r="E296" t="inlineStr">
        <is>
          <t>LUDVIKA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40142-2022</t>
        </is>
      </c>
      <c r="B297" s="1" t="n">
        <v>44820</v>
      </c>
      <c r="C297" s="1" t="n">
        <v>46194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40151-2022</t>
        </is>
      </c>
      <c r="B298" s="1" t="n">
        <v>44820</v>
      </c>
      <c r="C298" s="1" t="n">
        <v>46194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61384-2024</t>
        </is>
      </c>
      <c r="B299" s="1" t="n">
        <v>45646</v>
      </c>
      <c r="C299" s="1" t="n">
        <v>46194</v>
      </c>
      <c r="D299" t="inlineStr">
        <is>
          <t>DALARNAS LÄN</t>
        </is>
      </c>
      <c r="E299" t="inlineStr">
        <is>
          <t>LUDVIKA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3280-2024</t>
        </is>
      </c>
      <c r="B300" s="1" t="n">
        <v>45317</v>
      </c>
      <c r="C300" s="1" t="n">
        <v>46194</v>
      </c>
      <c r="D300" t="inlineStr">
        <is>
          <t>DALARNAS LÄN</t>
        </is>
      </c>
      <c r="E300" t="inlineStr">
        <is>
          <t>LUDVIKA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43925-2025</t>
        </is>
      </c>
      <c r="B301" s="1" t="n">
        <v>45915</v>
      </c>
      <c r="C301" s="1" t="n">
        <v>46194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44690-2025</t>
        </is>
      </c>
      <c r="B302" s="1" t="n">
        <v>45917</v>
      </c>
      <c r="C302" s="1" t="n">
        <v>46194</v>
      </c>
      <c r="D302" t="inlineStr">
        <is>
          <t>DALARNAS LÄN</t>
        </is>
      </c>
      <c r="E302" t="inlineStr">
        <is>
          <t>LUDVIKA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29780-2024</t>
        </is>
      </c>
      <c r="B303" s="1" t="n">
        <v>45485</v>
      </c>
      <c r="C303" s="1" t="n">
        <v>46194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14881-2025</t>
        </is>
      </c>
      <c r="B304" s="1" t="n">
        <v>45743</v>
      </c>
      <c r="C304" s="1" t="n">
        <v>46194</v>
      </c>
      <c r="D304" t="inlineStr">
        <is>
          <t>DALARNAS LÄN</t>
        </is>
      </c>
      <c r="E304" t="inlineStr">
        <is>
          <t>LUDVIKA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44879-2025</t>
        </is>
      </c>
      <c r="B305" s="1" t="n">
        <v>45918</v>
      </c>
      <c r="C305" s="1" t="n">
        <v>46194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4544-2025</t>
        </is>
      </c>
      <c r="B306" s="1" t="n">
        <v>45687</v>
      </c>
      <c r="C306" s="1" t="n">
        <v>46194</v>
      </c>
      <c r="D306" t="inlineStr">
        <is>
          <t>DALARNAS LÄN</t>
        </is>
      </c>
      <c r="E306" t="inlineStr">
        <is>
          <t>LUDVIKA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18421-2025</t>
        </is>
      </c>
      <c r="B307" s="1" t="n">
        <v>45762</v>
      </c>
      <c r="C307" s="1" t="n">
        <v>46194</v>
      </c>
      <c r="D307" t="inlineStr">
        <is>
          <t>DALARNAS LÄN</t>
        </is>
      </c>
      <c r="E307" t="inlineStr">
        <is>
          <t>LUDVIKA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44537-2024</t>
        </is>
      </c>
      <c r="B308" s="1" t="n">
        <v>45574</v>
      </c>
      <c r="C308" s="1" t="n">
        <v>46194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46054-2025</t>
        </is>
      </c>
      <c r="B309" s="1" t="n">
        <v>45924</v>
      </c>
      <c r="C309" s="1" t="n">
        <v>46194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43762-2025</t>
        </is>
      </c>
      <c r="B310" s="1" t="n">
        <v>45912</v>
      </c>
      <c r="C310" s="1" t="n">
        <v>46194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46040-2025</t>
        </is>
      </c>
      <c r="B311" s="1" t="n">
        <v>45924</v>
      </c>
      <c r="C311" s="1" t="n">
        <v>46194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46024-2025</t>
        </is>
      </c>
      <c r="B312" s="1" t="n">
        <v>45924</v>
      </c>
      <c r="C312" s="1" t="n">
        <v>46194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46045-2025</t>
        </is>
      </c>
      <c r="B313" s="1" t="n">
        <v>45924</v>
      </c>
      <c r="C313" s="1" t="n">
        <v>46194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46108-2025</t>
        </is>
      </c>
      <c r="B314" s="1" t="n">
        <v>45924</v>
      </c>
      <c r="C314" s="1" t="n">
        <v>46194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17.2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45791-2025</t>
        </is>
      </c>
      <c r="B315" s="1" t="n">
        <v>45923</v>
      </c>
      <c r="C315" s="1" t="n">
        <v>46194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41737-2025</t>
        </is>
      </c>
      <c r="B316" s="1" t="n">
        <v>45902</v>
      </c>
      <c r="C316" s="1" t="n">
        <v>46194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2890-2026</t>
        </is>
      </c>
      <c r="B317" s="1" t="n">
        <v>46037</v>
      </c>
      <c r="C317" s="1" t="n">
        <v>46194</v>
      </c>
      <c r="D317" t="inlineStr">
        <is>
          <t>DALARNAS LÄN</t>
        </is>
      </c>
      <c r="E317" t="inlineStr">
        <is>
          <t>LUDVIKA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45940-2025</t>
        </is>
      </c>
      <c r="B318" s="1" t="n">
        <v>45924</v>
      </c>
      <c r="C318" s="1" t="n">
        <v>46194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46317-2025</t>
        </is>
      </c>
      <c r="B319" s="1" t="n">
        <v>45925</v>
      </c>
      <c r="C319" s="1" t="n">
        <v>46194</v>
      </c>
      <c r="D319" t="inlineStr">
        <is>
          <t>DALARNAS LÄN</t>
        </is>
      </c>
      <c r="E319" t="inlineStr">
        <is>
          <t>LUDVIKA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46598-2025</t>
        </is>
      </c>
      <c r="B320" s="1" t="n">
        <v>45926</v>
      </c>
      <c r="C320" s="1" t="n">
        <v>46194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23111-2025</t>
        </is>
      </c>
      <c r="B321" s="1" t="n">
        <v>45791</v>
      </c>
      <c r="C321" s="1" t="n">
        <v>46194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21891-2025</t>
        </is>
      </c>
      <c r="B322" s="1" t="n">
        <v>45784</v>
      </c>
      <c r="C322" s="1" t="n">
        <v>46194</v>
      </c>
      <c r="D322" t="inlineStr">
        <is>
          <t>DALARNAS LÄN</t>
        </is>
      </c>
      <c r="E322" t="inlineStr">
        <is>
          <t>LUDVIKA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21893-2025</t>
        </is>
      </c>
      <c r="B323" s="1" t="n">
        <v>45784</v>
      </c>
      <c r="C323" s="1" t="n">
        <v>46194</v>
      </c>
      <c r="D323" t="inlineStr">
        <is>
          <t>DALARNAS LÄN</t>
        </is>
      </c>
      <c r="E323" t="inlineStr">
        <is>
          <t>LUDVIKA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38359-2024</t>
        </is>
      </c>
      <c r="B324" s="1" t="n">
        <v>45545</v>
      </c>
      <c r="C324" s="1" t="n">
        <v>46194</v>
      </c>
      <c r="D324" t="inlineStr">
        <is>
          <t>DALARNAS LÄN</t>
        </is>
      </c>
      <c r="E324" t="inlineStr">
        <is>
          <t>LUDVIKA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46517-2025</t>
        </is>
      </c>
      <c r="B325" s="1" t="n">
        <v>45926</v>
      </c>
      <c r="C325" s="1" t="n">
        <v>46194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47671-2024</t>
        </is>
      </c>
      <c r="B326" s="1" t="n">
        <v>45588</v>
      </c>
      <c r="C326" s="1" t="n">
        <v>46194</v>
      </c>
      <c r="D326" t="inlineStr">
        <is>
          <t>DALARNAS LÄN</t>
        </is>
      </c>
      <c r="E326" t="inlineStr">
        <is>
          <t>LUDVIKA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46603-2025</t>
        </is>
      </c>
      <c r="B327" s="1" t="n">
        <v>45926</v>
      </c>
      <c r="C327" s="1" t="n">
        <v>46194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20789-2026</t>
        </is>
      </c>
      <c r="B328" s="1" t="n">
        <v>46141</v>
      </c>
      <c r="C328" s="1" t="n">
        <v>46194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19071-2025</t>
        </is>
      </c>
      <c r="B329" s="1" t="n">
        <v>45765</v>
      </c>
      <c r="C329" s="1" t="n">
        <v>46194</v>
      </c>
      <c r="D329" t="inlineStr">
        <is>
          <t>DALARNAS LÄN</t>
        </is>
      </c>
      <c r="E329" t="inlineStr">
        <is>
          <t>LUDVIKA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4173-2025</t>
        </is>
      </c>
      <c r="B330" s="1" t="n">
        <v>45685</v>
      </c>
      <c r="C330" s="1" t="n">
        <v>46194</v>
      </c>
      <c r="D330" t="inlineStr">
        <is>
          <t>DALARNAS LÄN</t>
        </is>
      </c>
      <c r="E330" t="inlineStr">
        <is>
          <t>LUDVIKA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42421-2024</t>
        </is>
      </c>
      <c r="B331" s="1" t="n">
        <v>45565</v>
      </c>
      <c r="C331" s="1" t="n">
        <v>46194</v>
      </c>
      <c r="D331" t="inlineStr">
        <is>
          <t>DALARNAS LÄN</t>
        </is>
      </c>
      <c r="E331" t="inlineStr">
        <is>
          <t>LUDVIKA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24712-2024</t>
        </is>
      </c>
      <c r="B332" s="1" t="n">
        <v>45460</v>
      </c>
      <c r="C332" s="1" t="n">
        <v>46194</v>
      </c>
      <c r="D332" t="inlineStr">
        <is>
          <t>DALARNAS LÄN</t>
        </is>
      </c>
      <c r="E332" t="inlineStr">
        <is>
          <t>LUDVIKA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53602-2023</t>
        </is>
      </c>
      <c r="B333" s="1" t="n">
        <v>45230</v>
      </c>
      <c r="C333" s="1" t="n">
        <v>46194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46095-2024</t>
        </is>
      </c>
      <c r="B334" s="1" t="n">
        <v>45581</v>
      </c>
      <c r="C334" s="1" t="n">
        <v>46194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52359-2024</t>
        </is>
      </c>
      <c r="B335" s="1" t="n">
        <v>45609</v>
      </c>
      <c r="C335" s="1" t="n">
        <v>46194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46093-2024</t>
        </is>
      </c>
      <c r="B336" s="1" t="n">
        <v>45581</v>
      </c>
      <c r="C336" s="1" t="n">
        <v>46194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61621-2022</t>
        </is>
      </c>
      <c r="B337" s="1" t="n">
        <v>44916</v>
      </c>
      <c r="C337" s="1" t="n">
        <v>46194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33914-2023</t>
        </is>
      </c>
      <c r="B338" s="1" t="n">
        <v>45134</v>
      </c>
      <c r="C338" s="1" t="n">
        <v>46194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22606-2025</t>
        </is>
      </c>
      <c r="B339" s="1" t="n">
        <v>45789</v>
      </c>
      <c r="C339" s="1" t="n">
        <v>46194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22610-2025</t>
        </is>
      </c>
      <c r="B340" s="1" t="n">
        <v>45789</v>
      </c>
      <c r="C340" s="1" t="n">
        <v>46194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14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50240-2024</t>
        </is>
      </c>
      <c r="B341" s="1" t="n">
        <v>45600</v>
      </c>
      <c r="C341" s="1" t="n">
        <v>46194</v>
      </c>
      <c r="D341" t="inlineStr">
        <is>
          <t>DALARNAS LÄN</t>
        </is>
      </c>
      <c r="E341" t="inlineStr">
        <is>
          <t>LUDVIKA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36066-2024</t>
        </is>
      </c>
      <c r="B342" s="1" t="n">
        <v>45533</v>
      </c>
      <c r="C342" s="1" t="n">
        <v>46194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43702-2024</t>
        </is>
      </c>
      <c r="B343" s="1" t="n">
        <v>45569</v>
      </c>
      <c r="C343" s="1" t="n">
        <v>46194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22599-2025</t>
        </is>
      </c>
      <c r="B344" s="1" t="n">
        <v>45789</v>
      </c>
      <c r="C344" s="1" t="n">
        <v>46194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22594-2025</t>
        </is>
      </c>
      <c r="B345" s="1" t="n">
        <v>45789</v>
      </c>
      <c r="C345" s="1" t="n">
        <v>46194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22850-2025</t>
        </is>
      </c>
      <c r="B346" s="1" t="n">
        <v>45790</v>
      </c>
      <c r="C346" s="1" t="n">
        <v>46194</v>
      </c>
      <c r="D346" t="inlineStr">
        <is>
          <t>DALARNAS LÄN</t>
        </is>
      </c>
      <c r="E346" t="inlineStr">
        <is>
          <t>LUDVIKA</t>
        </is>
      </c>
      <c r="F346" t="inlineStr">
        <is>
          <t>Övriga Aktiebolag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47233-2024</t>
        </is>
      </c>
      <c r="B347" s="1" t="n">
        <v>45586</v>
      </c>
      <c r="C347" s="1" t="n">
        <v>46194</v>
      </c>
      <c r="D347" t="inlineStr">
        <is>
          <t>DALARNAS LÄN</t>
        </is>
      </c>
      <c r="E347" t="inlineStr">
        <is>
          <t>LUDVIKA</t>
        </is>
      </c>
      <c r="G347" t="n">
        <v>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46107-2024</t>
        </is>
      </c>
      <c r="B348" s="1" t="n">
        <v>45581</v>
      </c>
      <c r="C348" s="1" t="n">
        <v>46194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41539-2024</t>
        </is>
      </c>
      <c r="B349" s="1" t="n">
        <v>45560</v>
      </c>
      <c r="C349" s="1" t="n">
        <v>46194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20778-2026</t>
        </is>
      </c>
      <c r="B350" s="1" t="n">
        <v>46141</v>
      </c>
      <c r="C350" s="1" t="n">
        <v>46194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23088-2025</t>
        </is>
      </c>
      <c r="B351" s="1" t="n">
        <v>45791</v>
      </c>
      <c r="C351" s="1" t="n">
        <v>46194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22686-2025</t>
        </is>
      </c>
      <c r="B352" s="1" t="n">
        <v>45786</v>
      </c>
      <c r="C352" s="1" t="n">
        <v>46194</v>
      </c>
      <c r="D352" t="inlineStr">
        <is>
          <t>DALARNAS LÄN</t>
        </is>
      </c>
      <c r="E352" t="inlineStr">
        <is>
          <t>LUDVIKA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30844-2024</t>
        </is>
      </c>
      <c r="B353" s="1" t="n">
        <v>45497</v>
      </c>
      <c r="C353" s="1" t="n">
        <v>46194</v>
      </c>
      <c r="D353" t="inlineStr">
        <is>
          <t>DALARNAS LÄN</t>
        </is>
      </c>
      <c r="E353" t="inlineStr">
        <is>
          <t>LUDVIKA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43115-2021</t>
        </is>
      </c>
      <c r="B354" s="1" t="n">
        <v>44431</v>
      </c>
      <c r="C354" s="1" t="n">
        <v>46194</v>
      </c>
      <c r="D354" t="inlineStr">
        <is>
          <t>DALARNAS LÄN</t>
        </is>
      </c>
      <c r="E354" t="inlineStr">
        <is>
          <t>LUDVIKA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29535-2023</t>
        </is>
      </c>
      <c r="B355" s="1" t="n">
        <v>45106</v>
      </c>
      <c r="C355" s="1" t="n">
        <v>46194</v>
      </c>
      <c r="D355" t="inlineStr">
        <is>
          <t>DALARNAS LÄN</t>
        </is>
      </c>
      <c r="E355" t="inlineStr">
        <is>
          <t>LUDVIKA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34280-2024</t>
        </is>
      </c>
      <c r="B356" s="1" t="n">
        <v>45524</v>
      </c>
      <c r="C356" s="1" t="n">
        <v>46194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23105-2025</t>
        </is>
      </c>
      <c r="B357" s="1" t="n">
        <v>45791</v>
      </c>
      <c r="C357" s="1" t="n">
        <v>46194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23443-2024</t>
        </is>
      </c>
      <c r="B358" s="1" t="n">
        <v>45453</v>
      </c>
      <c r="C358" s="1" t="n">
        <v>46194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37549-2024</t>
        </is>
      </c>
      <c r="B359" s="1" t="n">
        <v>45541</v>
      </c>
      <c r="C359" s="1" t="n">
        <v>46194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24081-2025</t>
        </is>
      </c>
      <c r="B360" s="1" t="n">
        <v>45796</v>
      </c>
      <c r="C360" s="1" t="n">
        <v>46194</v>
      </c>
      <c r="D360" t="inlineStr">
        <is>
          <t>DALARNAS LÄN</t>
        </is>
      </c>
      <c r="E360" t="inlineStr">
        <is>
          <t>LUDVIKA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49874-2025</t>
        </is>
      </c>
      <c r="B361" s="1" t="n">
        <v>45940</v>
      </c>
      <c r="C361" s="1" t="n">
        <v>46194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49879-2025</t>
        </is>
      </c>
      <c r="B362" s="1" t="n">
        <v>45940</v>
      </c>
      <c r="C362" s="1" t="n">
        <v>46194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49893-2025</t>
        </is>
      </c>
      <c r="B363" s="1" t="n">
        <v>45940</v>
      </c>
      <c r="C363" s="1" t="n">
        <v>46194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16814-2024</t>
        </is>
      </c>
      <c r="B364" s="1" t="n">
        <v>45411</v>
      </c>
      <c r="C364" s="1" t="n">
        <v>46194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24027-2025</t>
        </is>
      </c>
      <c r="B365" s="1" t="n">
        <v>45796</v>
      </c>
      <c r="C365" s="1" t="n">
        <v>46194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61278-2022</t>
        </is>
      </c>
      <c r="B366" s="1" t="n">
        <v>44915</v>
      </c>
      <c r="C366" s="1" t="n">
        <v>46194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30977-2024</t>
        </is>
      </c>
      <c r="B367" s="1" t="n">
        <v>45499</v>
      </c>
      <c r="C367" s="1" t="n">
        <v>46194</v>
      </c>
      <c r="D367" t="inlineStr">
        <is>
          <t>DALARNAS LÄN</t>
        </is>
      </c>
      <c r="E367" t="inlineStr">
        <is>
          <t>LUDVIKA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50444-2025</t>
        </is>
      </c>
      <c r="B368" s="1" t="n">
        <v>45944</v>
      </c>
      <c r="C368" s="1" t="n">
        <v>46194</v>
      </c>
      <c r="D368" t="inlineStr">
        <is>
          <t>DALARNAS LÄN</t>
        </is>
      </c>
      <c r="E368" t="inlineStr">
        <is>
          <t>LUDVIKA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46185-2024</t>
        </is>
      </c>
      <c r="B369" s="1" t="n">
        <v>45581</v>
      </c>
      <c r="C369" s="1" t="n">
        <v>46194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23097-2025</t>
        </is>
      </c>
      <c r="B370" s="1" t="n">
        <v>45791</v>
      </c>
      <c r="C370" s="1" t="n">
        <v>46194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23117-2025</t>
        </is>
      </c>
      <c r="B371" s="1" t="n">
        <v>45791</v>
      </c>
      <c r="C371" s="1" t="n">
        <v>46194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2614-2023</t>
        </is>
      </c>
      <c r="B372" s="1" t="n">
        <v>44942</v>
      </c>
      <c r="C372" s="1" t="n">
        <v>46194</v>
      </c>
      <c r="D372" t="inlineStr">
        <is>
          <t>DALARNAS LÄN</t>
        </is>
      </c>
      <c r="E372" t="inlineStr">
        <is>
          <t>LUDVIKA</t>
        </is>
      </c>
      <c r="G372" t="n">
        <v>13.1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20973-2026</t>
        </is>
      </c>
      <c r="B373" s="1" t="n">
        <v>46142</v>
      </c>
      <c r="C373" s="1" t="n">
        <v>46194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20642-2025</t>
        </is>
      </c>
      <c r="B374" s="1" t="n">
        <v>45776</v>
      </c>
      <c r="C374" s="1" t="n">
        <v>46194</v>
      </c>
      <c r="D374" t="inlineStr">
        <is>
          <t>DALARNAS LÄN</t>
        </is>
      </c>
      <c r="E374" t="inlineStr">
        <is>
          <t>LUDVIKA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23107-2025</t>
        </is>
      </c>
      <c r="B375" s="1" t="n">
        <v>45791</v>
      </c>
      <c r="C375" s="1" t="n">
        <v>46194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23137-2025</t>
        </is>
      </c>
      <c r="B376" s="1" t="n">
        <v>45791</v>
      </c>
      <c r="C376" s="1" t="n">
        <v>46194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23139-2025</t>
        </is>
      </c>
      <c r="B377" s="1" t="n">
        <v>45791</v>
      </c>
      <c r="C377" s="1" t="n">
        <v>46194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19677-2025</t>
        </is>
      </c>
      <c r="B378" s="1" t="n">
        <v>45770</v>
      </c>
      <c r="C378" s="1" t="n">
        <v>46194</v>
      </c>
      <c r="D378" t="inlineStr">
        <is>
          <t>DALARNAS LÄN</t>
        </is>
      </c>
      <c r="E378" t="inlineStr">
        <is>
          <t>LUDVIKA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51080-2024</t>
        </is>
      </c>
      <c r="B379" s="1" t="n">
        <v>45603</v>
      </c>
      <c r="C379" s="1" t="n">
        <v>46194</v>
      </c>
      <c r="D379" t="inlineStr">
        <is>
          <t>DALARNAS LÄN</t>
        </is>
      </c>
      <c r="E379" t="inlineStr">
        <is>
          <t>LUDVIKA</t>
        </is>
      </c>
      <c r="F379" t="inlineStr">
        <is>
          <t>Naturvårdsverket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25235-2025</t>
        </is>
      </c>
      <c r="B380" s="1" t="n">
        <v>45800</v>
      </c>
      <c r="C380" s="1" t="n">
        <v>46194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25296-2022</t>
        </is>
      </c>
      <c r="B381" s="1" t="n">
        <v>44730</v>
      </c>
      <c r="C381" s="1" t="n">
        <v>46194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59346-2024</t>
        </is>
      </c>
      <c r="B382" s="1" t="n">
        <v>45637</v>
      </c>
      <c r="C382" s="1" t="n">
        <v>46194</v>
      </c>
      <c r="D382" t="inlineStr">
        <is>
          <t>DALARNAS LÄN</t>
        </is>
      </c>
      <c r="E382" t="inlineStr">
        <is>
          <t>LUDVIKA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20666-2026</t>
        </is>
      </c>
      <c r="B383" s="1" t="n">
        <v>46141</v>
      </c>
      <c r="C383" s="1" t="n">
        <v>46194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24789-2025</t>
        </is>
      </c>
      <c r="B384" s="1" t="n">
        <v>45799</v>
      </c>
      <c r="C384" s="1" t="n">
        <v>46194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24783-2025</t>
        </is>
      </c>
      <c r="B385" s="1" t="n">
        <v>45799</v>
      </c>
      <c r="C385" s="1" t="n">
        <v>46194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51865-2025</t>
        </is>
      </c>
      <c r="B386" s="1" t="n">
        <v>45952</v>
      </c>
      <c r="C386" s="1" t="n">
        <v>46194</v>
      </c>
      <c r="D386" t="inlineStr">
        <is>
          <t>DALARNAS LÄN</t>
        </is>
      </c>
      <c r="E386" t="inlineStr">
        <is>
          <t>LUDVIKA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20888-2026</t>
        </is>
      </c>
      <c r="B387" s="1" t="n">
        <v>46142</v>
      </c>
      <c r="C387" s="1" t="n">
        <v>46194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25004-2025</t>
        </is>
      </c>
      <c r="B388" s="1" t="n">
        <v>45799</v>
      </c>
      <c r="C388" s="1" t="n">
        <v>46194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25113-2025</t>
        </is>
      </c>
      <c r="B389" s="1" t="n">
        <v>45800</v>
      </c>
      <c r="C389" s="1" t="n">
        <v>46194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24939-2025</t>
        </is>
      </c>
      <c r="B390" s="1" t="n">
        <v>45799</v>
      </c>
      <c r="C390" s="1" t="n">
        <v>46194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15.6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21002-2026</t>
        </is>
      </c>
      <c r="B391" s="1" t="n">
        <v>46142</v>
      </c>
      <c r="C391" s="1" t="n">
        <v>46194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28157-2023</t>
        </is>
      </c>
      <c r="B392" s="1" t="n">
        <v>45099</v>
      </c>
      <c r="C392" s="1" t="n">
        <v>46194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52552-2025</t>
        </is>
      </c>
      <c r="B393" s="1" t="n">
        <v>45954</v>
      </c>
      <c r="C393" s="1" t="n">
        <v>46194</v>
      </c>
      <c r="D393" t="inlineStr">
        <is>
          <t>DALARNAS LÄN</t>
        </is>
      </c>
      <c r="E393" t="inlineStr">
        <is>
          <t>LUDVIKA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52484-2025</t>
        </is>
      </c>
      <c r="B394" s="1" t="n">
        <v>45954</v>
      </c>
      <c r="C394" s="1" t="n">
        <v>46194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52504-2025</t>
        </is>
      </c>
      <c r="B395" s="1" t="n">
        <v>45954</v>
      </c>
      <c r="C395" s="1" t="n">
        <v>46194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61507-2023</t>
        </is>
      </c>
      <c r="B396" s="1" t="n">
        <v>45265</v>
      </c>
      <c r="C396" s="1" t="n">
        <v>46194</v>
      </c>
      <c r="D396" t="inlineStr">
        <is>
          <t>DALARNAS LÄN</t>
        </is>
      </c>
      <c r="E396" t="inlineStr">
        <is>
          <t>LUDVIKA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52459-2025</t>
        </is>
      </c>
      <c r="B397" s="1" t="n">
        <v>45954</v>
      </c>
      <c r="C397" s="1" t="n">
        <v>46194</v>
      </c>
      <c r="D397" t="inlineStr">
        <is>
          <t>DALARNAS LÄN</t>
        </is>
      </c>
      <c r="E397" t="inlineStr">
        <is>
          <t>LUDVIKA</t>
        </is>
      </c>
      <c r="F397" t="inlineStr">
        <is>
          <t>Övriga Aktiebolag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20882-2026</t>
        </is>
      </c>
      <c r="B398" s="1" t="n">
        <v>46142</v>
      </c>
      <c r="C398" s="1" t="n">
        <v>46194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52491-2025</t>
        </is>
      </c>
      <c r="B399" s="1" t="n">
        <v>45954</v>
      </c>
      <c r="C399" s="1" t="n">
        <v>46194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52900-2025</t>
        </is>
      </c>
      <c r="B400" s="1" t="n">
        <v>45954</v>
      </c>
      <c r="C400" s="1" t="n">
        <v>46194</v>
      </c>
      <c r="D400" t="inlineStr">
        <is>
          <t>DALARNAS LÄN</t>
        </is>
      </c>
      <c r="E400" t="inlineStr">
        <is>
          <t>LUDVIKA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52530-2025</t>
        </is>
      </c>
      <c r="B401" s="1" t="n">
        <v>45954</v>
      </c>
      <c r="C401" s="1" t="n">
        <v>46194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26320-2025</t>
        </is>
      </c>
      <c r="B402" s="1" t="n">
        <v>45805</v>
      </c>
      <c r="C402" s="1" t="n">
        <v>46194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52427-2025</t>
        </is>
      </c>
      <c r="B403" s="1" t="n">
        <v>45954</v>
      </c>
      <c r="C403" s="1" t="n">
        <v>46194</v>
      </c>
      <c r="D403" t="inlineStr">
        <is>
          <t>DALARNAS LÄN</t>
        </is>
      </c>
      <c r="E403" t="inlineStr">
        <is>
          <t>LUDVIKA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26382-2026</t>
        </is>
      </c>
      <c r="B404" s="1" t="n">
        <v>46183</v>
      </c>
      <c r="C404" s="1" t="n">
        <v>46194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7683-2026</t>
        </is>
      </c>
      <c r="B405" s="1" t="n">
        <v>46062</v>
      </c>
      <c r="C405" s="1" t="n">
        <v>46194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17999-2025</t>
        </is>
      </c>
      <c r="B406" s="1" t="n">
        <v>45761</v>
      </c>
      <c r="C406" s="1" t="n">
        <v>46194</v>
      </c>
      <c r="D406" t="inlineStr">
        <is>
          <t>DALARNAS LÄN</t>
        </is>
      </c>
      <c r="E406" t="inlineStr">
        <is>
          <t>LUDVIKA</t>
        </is>
      </c>
      <c r="F406" t="inlineStr">
        <is>
          <t>Naturvårdsverket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52724-2025</t>
        </is>
      </c>
      <c r="B407" s="1" t="n">
        <v>45957</v>
      </c>
      <c r="C407" s="1" t="n">
        <v>46194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26698-2025</t>
        </is>
      </c>
      <c r="B408" s="1" t="n">
        <v>45810</v>
      </c>
      <c r="C408" s="1" t="n">
        <v>46194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52556-2025</t>
        </is>
      </c>
      <c r="B409" s="1" t="n">
        <v>45954</v>
      </c>
      <c r="C409" s="1" t="n">
        <v>46194</v>
      </c>
      <c r="D409" t="inlineStr">
        <is>
          <t>DALARNAS LÄN</t>
        </is>
      </c>
      <c r="E409" t="inlineStr">
        <is>
          <t>LUDVIKA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26628-2025</t>
        </is>
      </c>
      <c r="B410" s="1" t="n">
        <v>45810</v>
      </c>
      <c r="C410" s="1" t="n">
        <v>46194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52832-2025</t>
        </is>
      </c>
      <c r="B411" s="1" t="n">
        <v>45957</v>
      </c>
      <c r="C411" s="1" t="n">
        <v>46194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52838-2025</t>
        </is>
      </c>
      <c r="B412" s="1" t="n">
        <v>45957</v>
      </c>
      <c r="C412" s="1" t="n">
        <v>46194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20974-2026</t>
        </is>
      </c>
      <c r="B413" s="1" t="n">
        <v>46142</v>
      </c>
      <c r="C413" s="1" t="n">
        <v>46194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26719-2025</t>
        </is>
      </c>
      <c r="B414" s="1" t="n">
        <v>45810</v>
      </c>
      <c r="C414" s="1" t="n">
        <v>46194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26794-2025</t>
        </is>
      </c>
      <c r="B415" s="1" t="n">
        <v>45810</v>
      </c>
      <c r="C415" s="1" t="n">
        <v>46194</v>
      </c>
      <c r="D415" t="inlineStr">
        <is>
          <t>DALARNAS LÄN</t>
        </is>
      </c>
      <c r="E415" t="inlineStr">
        <is>
          <t>LUDVIKA</t>
        </is>
      </c>
      <c r="F415" t="inlineStr">
        <is>
          <t>Kommuner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39828-2025</t>
        </is>
      </c>
      <c r="B416" s="1" t="n">
        <v>45891</v>
      </c>
      <c r="C416" s="1" t="n">
        <v>46194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39772-2025</t>
        </is>
      </c>
      <c r="B417" s="1" t="n">
        <v>45891</v>
      </c>
      <c r="C417" s="1" t="n">
        <v>46194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14.1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54035-2025</t>
        </is>
      </c>
      <c r="B418" s="1" t="n">
        <v>45963</v>
      </c>
      <c r="C418" s="1" t="n">
        <v>46194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46029-2025</t>
        </is>
      </c>
      <c r="B419" s="1" t="n">
        <v>45924</v>
      </c>
      <c r="C419" s="1" t="n">
        <v>46194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43700-2024</t>
        </is>
      </c>
      <c r="B420" s="1" t="n">
        <v>45569</v>
      </c>
      <c r="C420" s="1" t="n">
        <v>46194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65104-2023</t>
        </is>
      </c>
      <c r="B421" s="1" t="n">
        <v>45288</v>
      </c>
      <c r="C421" s="1" t="n">
        <v>46194</v>
      </c>
      <c r="D421" t="inlineStr">
        <is>
          <t>DALARNAS LÄN</t>
        </is>
      </c>
      <c r="E421" t="inlineStr">
        <is>
          <t>LUDVIKA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27525-2025</t>
        </is>
      </c>
      <c r="B422" s="1" t="n">
        <v>45813</v>
      </c>
      <c r="C422" s="1" t="n">
        <v>46194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27532-2025</t>
        </is>
      </c>
      <c r="B423" s="1" t="n">
        <v>45813</v>
      </c>
      <c r="C423" s="1" t="n">
        <v>46194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42346-2025</t>
        </is>
      </c>
      <c r="B424" s="1" t="n">
        <v>45904</v>
      </c>
      <c r="C424" s="1" t="n">
        <v>46194</v>
      </c>
      <c r="D424" t="inlineStr">
        <is>
          <t>DALARNAS LÄN</t>
        </is>
      </c>
      <c r="E424" t="inlineStr">
        <is>
          <t>LUDVIKA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27506-2025</t>
        </is>
      </c>
      <c r="B425" s="1" t="n">
        <v>45813</v>
      </c>
      <c r="C425" s="1" t="n">
        <v>46194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27448-2025</t>
        </is>
      </c>
      <c r="B426" s="1" t="n">
        <v>45813</v>
      </c>
      <c r="C426" s="1" t="n">
        <v>46194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54673-2025</t>
        </is>
      </c>
      <c r="B427" s="1" t="n">
        <v>45966</v>
      </c>
      <c r="C427" s="1" t="n">
        <v>46194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54375-2025</t>
        </is>
      </c>
      <c r="B428" s="1" t="n">
        <v>45965</v>
      </c>
      <c r="C428" s="1" t="n">
        <v>46194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54341-2025</t>
        </is>
      </c>
      <c r="B429" s="1" t="n">
        <v>45965</v>
      </c>
      <c r="C429" s="1" t="n">
        <v>46194</v>
      </c>
      <c r="D429" t="inlineStr">
        <is>
          <t>DALARNAS LÄN</t>
        </is>
      </c>
      <c r="E429" t="inlineStr">
        <is>
          <t>LUDVIKA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49951-2022</t>
        </is>
      </c>
      <c r="B430" s="1" t="n">
        <v>44865</v>
      </c>
      <c r="C430" s="1" t="n">
        <v>46194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55211-2025</t>
        </is>
      </c>
      <c r="B431" s="1" t="n">
        <v>45968</v>
      </c>
      <c r="C431" s="1" t="n">
        <v>46194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14986-2024</t>
        </is>
      </c>
      <c r="B432" s="1" t="n">
        <v>45399</v>
      </c>
      <c r="C432" s="1" t="n">
        <v>46194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28435-2025</t>
        </is>
      </c>
      <c r="B433" s="1" t="n">
        <v>45819</v>
      </c>
      <c r="C433" s="1" t="n">
        <v>46194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55409-2025</t>
        </is>
      </c>
      <c r="B434" s="1" t="n">
        <v>45971</v>
      </c>
      <c r="C434" s="1" t="n">
        <v>46194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55646-2025</t>
        </is>
      </c>
      <c r="B435" s="1" t="n">
        <v>45972</v>
      </c>
      <c r="C435" s="1" t="n">
        <v>46194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55427-2025</t>
        </is>
      </c>
      <c r="B436" s="1" t="n">
        <v>45971</v>
      </c>
      <c r="C436" s="1" t="n">
        <v>46194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29443-2025</t>
        </is>
      </c>
      <c r="B437" s="1" t="n">
        <v>45824</v>
      </c>
      <c r="C437" s="1" t="n">
        <v>46194</v>
      </c>
      <c r="D437" t="inlineStr">
        <is>
          <t>DALARNAS LÄN</t>
        </is>
      </c>
      <c r="E437" t="inlineStr">
        <is>
          <t>LUDVIKA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55554-2025</t>
        </is>
      </c>
      <c r="B438" s="1" t="n">
        <v>45971</v>
      </c>
      <c r="C438" s="1" t="n">
        <v>46194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8.699999999999999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55559-2025</t>
        </is>
      </c>
      <c r="B439" s="1" t="n">
        <v>45971</v>
      </c>
      <c r="C439" s="1" t="n">
        <v>46194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55426-2025</t>
        </is>
      </c>
      <c r="B440" s="1" t="n">
        <v>45971</v>
      </c>
      <c r="C440" s="1" t="n">
        <v>46194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55450-2025</t>
        </is>
      </c>
      <c r="B441" s="1" t="n">
        <v>45971</v>
      </c>
      <c r="C441" s="1" t="n">
        <v>46194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29966-2025</t>
        </is>
      </c>
      <c r="B442" s="1" t="n">
        <v>45826</v>
      </c>
      <c r="C442" s="1" t="n">
        <v>46194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56249-2025</t>
        </is>
      </c>
      <c r="B443" s="1" t="n">
        <v>45974</v>
      </c>
      <c r="C443" s="1" t="n">
        <v>46194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26888-2026</t>
        </is>
      </c>
      <c r="B444" s="1" t="n">
        <v>46185</v>
      </c>
      <c r="C444" s="1" t="n">
        <v>46194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17.5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56178-2025</t>
        </is>
      </c>
      <c r="B445" s="1" t="n">
        <v>45974</v>
      </c>
      <c r="C445" s="1" t="n">
        <v>46194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56002-2025</t>
        </is>
      </c>
      <c r="B446" s="1" t="n">
        <v>45973</v>
      </c>
      <c r="C446" s="1" t="n">
        <v>46194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56219-2025</t>
        </is>
      </c>
      <c r="B447" s="1" t="n">
        <v>45974</v>
      </c>
      <c r="C447" s="1" t="n">
        <v>46194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43694-2024</t>
        </is>
      </c>
      <c r="B448" s="1" t="n">
        <v>45569</v>
      </c>
      <c r="C448" s="1" t="n">
        <v>46194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55944-2025</t>
        </is>
      </c>
      <c r="B449" s="1" t="n">
        <v>45973</v>
      </c>
      <c r="C449" s="1" t="n">
        <v>46194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29918-2025</t>
        </is>
      </c>
      <c r="B450" s="1" t="n">
        <v>45826</v>
      </c>
      <c r="C450" s="1" t="n">
        <v>46194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30288-2025</t>
        </is>
      </c>
      <c r="B451" s="1" t="n">
        <v>45827</v>
      </c>
      <c r="C451" s="1" t="n">
        <v>46194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56030-2025</t>
        </is>
      </c>
      <c r="B452" s="1" t="n">
        <v>45973</v>
      </c>
      <c r="C452" s="1" t="n">
        <v>46194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55932-2025</t>
        </is>
      </c>
      <c r="B453" s="1" t="n">
        <v>45973</v>
      </c>
      <c r="C453" s="1" t="n">
        <v>46194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56316-2025</t>
        </is>
      </c>
      <c r="B454" s="1" t="n">
        <v>45974</v>
      </c>
      <c r="C454" s="1" t="n">
        <v>46194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55972-2025</t>
        </is>
      </c>
      <c r="B455" s="1" t="n">
        <v>45973</v>
      </c>
      <c r="C455" s="1" t="n">
        <v>46194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55974-2025</t>
        </is>
      </c>
      <c r="B456" s="1" t="n">
        <v>45973</v>
      </c>
      <c r="C456" s="1" t="n">
        <v>46194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56155-2025</t>
        </is>
      </c>
      <c r="B457" s="1" t="n">
        <v>45974</v>
      </c>
      <c r="C457" s="1" t="n">
        <v>46194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21032-2026</t>
        </is>
      </c>
      <c r="B458" s="1" t="n">
        <v>46146</v>
      </c>
      <c r="C458" s="1" t="n">
        <v>46194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21034-2026</t>
        </is>
      </c>
      <c r="B459" s="1" t="n">
        <v>46146</v>
      </c>
      <c r="C459" s="1" t="n">
        <v>46194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56650-2025</t>
        </is>
      </c>
      <c r="B460" s="1" t="n">
        <v>45975</v>
      </c>
      <c r="C460" s="1" t="n">
        <v>46194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55633-2021</t>
        </is>
      </c>
      <c r="B461" s="1" t="n">
        <v>44476</v>
      </c>
      <c r="C461" s="1" t="n">
        <v>46194</v>
      </c>
      <c r="D461" t="inlineStr">
        <is>
          <t>DALARNAS LÄN</t>
        </is>
      </c>
      <c r="E461" t="inlineStr">
        <is>
          <t>LUDVIKA</t>
        </is>
      </c>
      <c r="F461" t="inlineStr">
        <is>
          <t>Övriga Aktiebolag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31001-2025</t>
        </is>
      </c>
      <c r="B462" s="1" t="n">
        <v>45832</v>
      </c>
      <c r="C462" s="1" t="n">
        <v>46194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30748-2025</t>
        </is>
      </c>
      <c r="B463" s="1" t="n">
        <v>45831</v>
      </c>
      <c r="C463" s="1" t="n">
        <v>46194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30760-2025</t>
        </is>
      </c>
      <c r="B464" s="1" t="n">
        <v>45831</v>
      </c>
      <c r="C464" s="1" t="n">
        <v>46194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31818-2025</t>
        </is>
      </c>
      <c r="B465" s="1" t="n">
        <v>45834</v>
      </c>
      <c r="C465" s="1" t="n">
        <v>46194</v>
      </c>
      <c r="D465" t="inlineStr">
        <is>
          <t>DALARNAS LÄN</t>
        </is>
      </c>
      <c r="E465" t="inlineStr">
        <is>
          <t>LUDVIKA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60138-2023</t>
        </is>
      </c>
      <c r="B466" s="1" t="n">
        <v>45258</v>
      </c>
      <c r="C466" s="1" t="n">
        <v>46194</v>
      </c>
      <c r="D466" t="inlineStr">
        <is>
          <t>DALARNAS LÄN</t>
        </is>
      </c>
      <c r="E466" t="inlineStr">
        <is>
          <t>LUDVIKA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15851-2024</t>
        </is>
      </c>
      <c r="B467" s="1" t="n">
        <v>45404</v>
      </c>
      <c r="C467" s="1" t="n">
        <v>46194</v>
      </c>
      <c r="D467" t="inlineStr">
        <is>
          <t>DALARNAS LÄN</t>
        </is>
      </c>
      <c r="E467" t="inlineStr">
        <is>
          <t>LUDVIKA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32019-2025</t>
        </is>
      </c>
      <c r="B468" s="1" t="n">
        <v>45835</v>
      </c>
      <c r="C468" s="1" t="n">
        <v>46194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30123-2023</t>
        </is>
      </c>
      <c r="B469" s="1" t="n">
        <v>45110</v>
      </c>
      <c r="C469" s="1" t="n">
        <v>46194</v>
      </c>
      <c r="D469" t="inlineStr">
        <is>
          <t>DALARNAS LÄN</t>
        </is>
      </c>
      <c r="E469" t="inlineStr">
        <is>
          <t>LUDVIKA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57435-2025</t>
        </is>
      </c>
      <c r="B470" s="1" t="n">
        <v>45980</v>
      </c>
      <c r="C470" s="1" t="n">
        <v>46194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33244-2025</t>
        </is>
      </c>
      <c r="B471" s="1" t="n">
        <v>45840</v>
      </c>
      <c r="C471" s="1" t="n">
        <v>46194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70046-2021</t>
        </is>
      </c>
      <c r="B472" s="1" t="n">
        <v>44533</v>
      </c>
      <c r="C472" s="1" t="n">
        <v>46194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33063-2025</t>
        </is>
      </c>
      <c r="B473" s="1" t="n">
        <v>45840</v>
      </c>
      <c r="C473" s="1" t="n">
        <v>46194</v>
      </c>
      <c r="D473" t="inlineStr">
        <is>
          <t>DALARNAS LÄN</t>
        </is>
      </c>
      <c r="E473" t="inlineStr">
        <is>
          <t>LUDVIKA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57832-2025</t>
        </is>
      </c>
      <c r="B474" s="1" t="n">
        <v>45981</v>
      </c>
      <c r="C474" s="1" t="n">
        <v>46194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57870-2025</t>
        </is>
      </c>
      <c r="B475" s="1" t="n">
        <v>45981</v>
      </c>
      <c r="C475" s="1" t="n">
        <v>46194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34067-2025</t>
        </is>
      </c>
      <c r="B476" s="1" t="n">
        <v>45845</v>
      </c>
      <c r="C476" s="1" t="n">
        <v>46194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4170-2025</t>
        </is>
      </c>
      <c r="B477" s="1" t="n">
        <v>45685</v>
      </c>
      <c r="C477" s="1" t="n">
        <v>46194</v>
      </c>
      <c r="D477" t="inlineStr">
        <is>
          <t>DALARNAS LÄN</t>
        </is>
      </c>
      <c r="E477" t="inlineStr">
        <is>
          <t>LUDVIKA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38921-2025</t>
        </is>
      </c>
      <c r="B478" s="1" t="n">
        <v>45887</v>
      </c>
      <c r="C478" s="1" t="n">
        <v>46194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39833-2025</t>
        </is>
      </c>
      <c r="B479" s="1" t="n">
        <v>45891</v>
      </c>
      <c r="C479" s="1" t="n">
        <v>46194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47086-2025</t>
        </is>
      </c>
      <c r="B480" s="1" t="n">
        <v>45929</v>
      </c>
      <c r="C480" s="1" t="n">
        <v>46194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47032-2025</t>
        </is>
      </c>
      <c r="B481" s="1" t="n">
        <v>45929</v>
      </c>
      <c r="C481" s="1" t="n">
        <v>46194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59171-2025</t>
        </is>
      </c>
      <c r="B482" s="1" t="n">
        <v>45988</v>
      </c>
      <c r="C482" s="1" t="n">
        <v>46194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59176-2025</t>
        </is>
      </c>
      <c r="B483" s="1" t="n">
        <v>45988</v>
      </c>
      <c r="C483" s="1" t="n">
        <v>46194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10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31043-2024</t>
        </is>
      </c>
      <c r="B484" s="1" t="n">
        <v>45502</v>
      </c>
      <c r="C484" s="1" t="n">
        <v>46194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42985-2025</t>
        </is>
      </c>
      <c r="B485" s="1" t="n">
        <v>45909</v>
      </c>
      <c r="C485" s="1" t="n">
        <v>46194</v>
      </c>
      <c r="D485" t="inlineStr">
        <is>
          <t>DALARNAS LÄN</t>
        </is>
      </c>
      <c r="E485" t="inlineStr">
        <is>
          <t>LUDVIKA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43981-2024</t>
        </is>
      </c>
      <c r="B486" s="1" t="n">
        <v>45572</v>
      </c>
      <c r="C486" s="1" t="n">
        <v>46194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59435-2025</t>
        </is>
      </c>
      <c r="B487" s="1" t="n">
        <v>45989</v>
      </c>
      <c r="C487" s="1" t="n">
        <v>46194</v>
      </c>
      <c r="D487" t="inlineStr">
        <is>
          <t>DALARNAS LÄN</t>
        </is>
      </c>
      <c r="E487" t="inlineStr">
        <is>
          <t>LUDVIKA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59518-2025</t>
        </is>
      </c>
      <c r="B488" s="1" t="n">
        <v>45989</v>
      </c>
      <c r="C488" s="1" t="n">
        <v>46194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30039-2024</t>
        </is>
      </c>
      <c r="B489" s="1" t="n">
        <v>45488</v>
      </c>
      <c r="C489" s="1" t="n">
        <v>46194</v>
      </c>
      <c r="D489" t="inlineStr">
        <is>
          <t>DALARNAS LÄN</t>
        </is>
      </c>
      <c r="E489" t="inlineStr">
        <is>
          <t>LUDVIKA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59444-2025</t>
        </is>
      </c>
      <c r="B490" s="1" t="n">
        <v>45989</v>
      </c>
      <c r="C490" s="1" t="n">
        <v>46194</v>
      </c>
      <c r="D490" t="inlineStr">
        <is>
          <t>DALARNAS LÄN</t>
        </is>
      </c>
      <c r="E490" t="inlineStr">
        <is>
          <t>LUDVIKA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59530-2025</t>
        </is>
      </c>
      <c r="B491" s="1" t="n">
        <v>45989</v>
      </c>
      <c r="C491" s="1" t="n">
        <v>46194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34861-2025</t>
        </is>
      </c>
      <c r="B492" s="1" t="n">
        <v>45849</v>
      </c>
      <c r="C492" s="1" t="n">
        <v>46194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59439-2025</t>
        </is>
      </c>
      <c r="B493" s="1" t="n">
        <v>45989</v>
      </c>
      <c r="C493" s="1" t="n">
        <v>46194</v>
      </c>
      <c r="D493" t="inlineStr">
        <is>
          <t>DALARNAS LÄN</t>
        </is>
      </c>
      <c r="E493" t="inlineStr">
        <is>
          <t>LUDVIKA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34455-2024</t>
        </is>
      </c>
      <c r="B494" s="1" t="n">
        <v>45525</v>
      </c>
      <c r="C494" s="1" t="n">
        <v>46194</v>
      </c>
      <c r="D494" t="inlineStr">
        <is>
          <t>DALARNAS LÄN</t>
        </is>
      </c>
      <c r="E494" t="inlineStr">
        <is>
          <t>LUDVIKA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59528-2025</t>
        </is>
      </c>
      <c r="B495" s="1" t="n">
        <v>45989</v>
      </c>
      <c r="C495" s="1" t="n">
        <v>46194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26902-2026</t>
        </is>
      </c>
      <c r="B496" s="1" t="n">
        <v>46185</v>
      </c>
      <c r="C496" s="1" t="n">
        <v>46194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29654-2025</t>
        </is>
      </c>
      <c r="B497" s="1" t="n">
        <v>45825</v>
      </c>
      <c r="C497" s="1" t="n">
        <v>46194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26823-2025</t>
        </is>
      </c>
      <c r="B498" s="1" t="n">
        <v>45810</v>
      </c>
      <c r="C498" s="1" t="n">
        <v>46194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60005-2025</t>
        </is>
      </c>
      <c r="B499" s="1" t="n">
        <v>45993</v>
      </c>
      <c r="C499" s="1" t="n">
        <v>46194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20969-2026</t>
        </is>
      </c>
      <c r="B500" s="1" t="n">
        <v>46142</v>
      </c>
      <c r="C500" s="1" t="n">
        <v>46194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16.9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60002-2025</t>
        </is>
      </c>
      <c r="B501" s="1" t="n">
        <v>45993</v>
      </c>
      <c r="C501" s="1" t="n">
        <v>46194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32995-2023</t>
        </is>
      </c>
      <c r="B502" s="1" t="n">
        <v>45113</v>
      </c>
      <c r="C502" s="1" t="n">
        <v>46194</v>
      </c>
      <c r="D502" t="inlineStr">
        <is>
          <t>DALARNAS LÄN</t>
        </is>
      </c>
      <c r="E502" t="inlineStr">
        <is>
          <t>LUDVIKA</t>
        </is>
      </c>
      <c r="F502" t="inlineStr">
        <is>
          <t>Kommuner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32329-2024</t>
        </is>
      </c>
      <c r="B503" s="1" t="n">
        <v>45512</v>
      </c>
      <c r="C503" s="1" t="n">
        <v>46194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31010-2025</t>
        </is>
      </c>
      <c r="B504" s="1" t="n">
        <v>45832</v>
      </c>
      <c r="C504" s="1" t="n">
        <v>46194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50714-2024</t>
        </is>
      </c>
      <c r="B505" s="1" t="n">
        <v>45602</v>
      </c>
      <c r="C505" s="1" t="n">
        <v>46194</v>
      </c>
      <c r="D505" t="inlineStr">
        <is>
          <t>DALARNAS LÄN</t>
        </is>
      </c>
      <c r="E505" t="inlineStr">
        <is>
          <t>LUDVIKA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31050-2025</t>
        </is>
      </c>
      <c r="B506" s="1" t="n">
        <v>45832</v>
      </c>
      <c r="C506" s="1" t="n">
        <v>46194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33001-2025</t>
        </is>
      </c>
      <c r="B507" s="1" t="n">
        <v>45840</v>
      </c>
      <c r="C507" s="1" t="n">
        <v>46194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21472-2026</t>
        </is>
      </c>
      <c r="B508" s="1" t="n">
        <v>46148</v>
      </c>
      <c r="C508" s="1" t="n">
        <v>46194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31057-2025</t>
        </is>
      </c>
      <c r="B509" s="1" t="n">
        <v>45832</v>
      </c>
      <c r="C509" s="1" t="n">
        <v>46194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32854-2023</t>
        </is>
      </c>
      <c r="B510" s="1" t="n">
        <v>45112</v>
      </c>
      <c r="C510" s="1" t="n">
        <v>46194</v>
      </c>
      <c r="D510" t="inlineStr">
        <is>
          <t>DALARNAS LÄN</t>
        </is>
      </c>
      <c r="E510" t="inlineStr">
        <is>
          <t>LUDVIKA</t>
        </is>
      </c>
      <c r="F510" t="inlineStr">
        <is>
          <t>Kommuner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60454-2025</t>
        </is>
      </c>
      <c r="B511" s="1" t="n">
        <v>45995</v>
      </c>
      <c r="C511" s="1" t="n">
        <v>46194</v>
      </c>
      <c r="D511" t="inlineStr">
        <is>
          <t>DALARNAS LÄN</t>
        </is>
      </c>
      <c r="E511" t="inlineStr">
        <is>
          <t>LUDVIKA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60452-2025</t>
        </is>
      </c>
      <c r="B512" s="1" t="n">
        <v>45995</v>
      </c>
      <c r="C512" s="1" t="n">
        <v>46194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60455-2025</t>
        </is>
      </c>
      <c r="B513" s="1" t="n">
        <v>45995</v>
      </c>
      <c r="C513" s="1" t="n">
        <v>46194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27554-2026</t>
        </is>
      </c>
      <c r="B514" s="1" t="n">
        <v>46190</v>
      </c>
      <c r="C514" s="1" t="n">
        <v>46194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43055-2024</t>
        </is>
      </c>
      <c r="B515" s="1" t="n">
        <v>45567</v>
      </c>
      <c r="C515" s="1" t="n">
        <v>46194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60788-2024</t>
        </is>
      </c>
      <c r="B516" s="1" t="n">
        <v>45644</v>
      </c>
      <c r="C516" s="1" t="n">
        <v>46194</v>
      </c>
      <c r="D516" t="inlineStr">
        <is>
          <t>DALARNAS LÄN</t>
        </is>
      </c>
      <c r="E516" t="inlineStr">
        <is>
          <t>LUDVIKA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17677-2022</t>
        </is>
      </c>
      <c r="B517" s="1" t="n">
        <v>44680</v>
      </c>
      <c r="C517" s="1" t="n">
        <v>46194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59667-2024</t>
        </is>
      </c>
      <c r="B518" s="1" t="n">
        <v>45639</v>
      </c>
      <c r="C518" s="1" t="n">
        <v>46194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36437-2025</t>
        </is>
      </c>
      <c r="B519" s="1" t="n">
        <v>45869</v>
      </c>
      <c r="C519" s="1" t="n">
        <v>46194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43704-2024</t>
        </is>
      </c>
      <c r="B520" s="1" t="n">
        <v>45569</v>
      </c>
      <c r="C520" s="1" t="n">
        <v>46194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61502-2025</t>
        </is>
      </c>
      <c r="B521" s="1" t="n">
        <v>46001</v>
      </c>
      <c r="C521" s="1" t="n">
        <v>46194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61505-2025</t>
        </is>
      </c>
      <c r="B522" s="1" t="n">
        <v>46001</v>
      </c>
      <c r="C522" s="1" t="n">
        <v>46194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61473-2025</t>
        </is>
      </c>
      <c r="B523" s="1" t="n">
        <v>46001</v>
      </c>
      <c r="C523" s="1" t="n">
        <v>46194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21345-2026</t>
        </is>
      </c>
      <c r="B524" s="1" t="n">
        <v>46147</v>
      </c>
      <c r="C524" s="1" t="n">
        <v>46194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6151-2024</t>
        </is>
      </c>
      <c r="B525" s="1" t="n">
        <v>45337</v>
      </c>
      <c r="C525" s="1" t="n">
        <v>46194</v>
      </c>
      <c r="D525" t="inlineStr">
        <is>
          <t>DALARNAS LÄN</t>
        </is>
      </c>
      <c r="E525" t="inlineStr">
        <is>
          <t>LUDVIKA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37586-2024</t>
        </is>
      </c>
      <c r="B526" s="1" t="n">
        <v>45541</v>
      </c>
      <c r="C526" s="1" t="n">
        <v>46194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55551-2024</t>
        </is>
      </c>
      <c r="B527" s="1" t="n">
        <v>45622</v>
      </c>
      <c r="C527" s="1" t="n">
        <v>46194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44520-2023</t>
        </is>
      </c>
      <c r="B528" s="1" t="n">
        <v>45189</v>
      </c>
      <c r="C528" s="1" t="n">
        <v>46194</v>
      </c>
      <c r="D528" t="inlineStr">
        <is>
          <t>DALARNAS LÄN</t>
        </is>
      </c>
      <c r="E528" t="inlineStr">
        <is>
          <t>LUDVIKA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45045-2023</t>
        </is>
      </c>
      <c r="B529" s="1" t="n">
        <v>45191</v>
      </c>
      <c r="C529" s="1" t="n">
        <v>46194</v>
      </c>
      <c r="D529" t="inlineStr">
        <is>
          <t>DALARNAS LÄN</t>
        </is>
      </c>
      <c r="E529" t="inlineStr">
        <is>
          <t>LUDVIKA</t>
        </is>
      </c>
      <c r="F529" t="inlineStr">
        <is>
          <t>Sveaskog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62561-2025</t>
        </is>
      </c>
      <c r="B530" s="1" t="n">
        <v>46007</v>
      </c>
      <c r="C530" s="1" t="n">
        <v>46194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62704-2025</t>
        </is>
      </c>
      <c r="B531" s="1" t="n">
        <v>46008</v>
      </c>
      <c r="C531" s="1" t="n">
        <v>46194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62367-2025</t>
        </is>
      </c>
      <c r="B532" s="1" t="n">
        <v>46007</v>
      </c>
      <c r="C532" s="1" t="n">
        <v>46194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62842-2025</t>
        </is>
      </c>
      <c r="B533" s="1" t="n">
        <v>46008</v>
      </c>
      <c r="C533" s="1" t="n">
        <v>46194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18187-2025</t>
        </is>
      </c>
      <c r="B534" s="1" t="n">
        <v>45761</v>
      </c>
      <c r="C534" s="1" t="n">
        <v>46194</v>
      </c>
      <c r="D534" t="inlineStr">
        <is>
          <t>DALARNAS LÄN</t>
        </is>
      </c>
      <c r="E534" t="inlineStr">
        <is>
          <t>LUDVIKA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55510-2024</t>
        </is>
      </c>
      <c r="B535" s="1" t="n">
        <v>45622</v>
      </c>
      <c r="C535" s="1" t="n">
        <v>46194</v>
      </c>
      <c r="D535" t="inlineStr">
        <is>
          <t>DALARNAS LÄN</t>
        </is>
      </c>
      <c r="E535" t="inlineStr">
        <is>
          <t>LUDVIKA</t>
        </is>
      </c>
      <c r="F535" t="inlineStr">
        <is>
          <t>Naturvårdsverket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49045-2024</t>
        </is>
      </c>
      <c r="B536" s="1" t="n">
        <v>45594</v>
      </c>
      <c r="C536" s="1" t="n">
        <v>46194</v>
      </c>
      <c r="D536" t="inlineStr">
        <is>
          <t>DALARNAS LÄN</t>
        </is>
      </c>
      <c r="E536" t="inlineStr">
        <is>
          <t>LUDVIKA</t>
        </is>
      </c>
      <c r="F536" t="inlineStr">
        <is>
          <t>Naturvårdsverket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62824-2025</t>
        </is>
      </c>
      <c r="B537" s="1" t="n">
        <v>46008</v>
      </c>
      <c r="C537" s="1" t="n">
        <v>46194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49166-2025</t>
        </is>
      </c>
      <c r="B538" s="1" t="n">
        <v>45938</v>
      </c>
      <c r="C538" s="1" t="n">
        <v>46194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62695-2025</t>
        </is>
      </c>
      <c r="B539" s="1" t="n">
        <v>46008</v>
      </c>
      <c r="C539" s="1" t="n">
        <v>46194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62838-2025</t>
        </is>
      </c>
      <c r="B540" s="1" t="n">
        <v>46008</v>
      </c>
      <c r="C540" s="1" t="n">
        <v>46194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46620-2023</t>
        </is>
      </c>
      <c r="B541" s="1" t="n">
        <v>45198</v>
      </c>
      <c r="C541" s="1" t="n">
        <v>46194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37129-2025</t>
        </is>
      </c>
      <c r="B542" s="1" t="n">
        <v>45875</v>
      </c>
      <c r="C542" s="1" t="n">
        <v>46194</v>
      </c>
      <c r="D542" t="inlineStr">
        <is>
          <t>DALARNAS LÄN</t>
        </is>
      </c>
      <c r="E542" t="inlineStr">
        <is>
          <t>LUDVIKA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62688-2025</t>
        </is>
      </c>
      <c r="B543" s="1" t="n">
        <v>46008</v>
      </c>
      <c r="C543" s="1" t="n">
        <v>46194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62706-2025</t>
        </is>
      </c>
      <c r="B544" s="1" t="n">
        <v>46008</v>
      </c>
      <c r="C544" s="1" t="n">
        <v>46194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62845-2025</t>
        </is>
      </c>
      <c r="B545" s="1" t="n">
        <v>46008</v>
      </c>
      <c r="C545" s="1" t="n">
        <v>46194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63222-2025</t>
        </is>
      </c>
      <c r="B546" s="1" t="n">
        <v>46010</v>
      </c>
      <c r="C546" s="1" t="n">
        <v>46194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63215-2025</t>
        </is>
      </c>
      <c r="B547" s="1" t="n">
        <v>46010</v>
      </c>
      <c r="C547" s="1" t="n">
        <v>46194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62930-2025</t>
        </is>
      </c>
      <c r="B548" s="1" t="n">
        <v>46009</v>
      </c>
      <c r="C548" s="1" t="n">
        <v>46194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62945-2025</t>
        </is>
      </c>
      <c r="B549" s="1" t="n">
        <v>46009</v>
      </c>
      <c r="C549" s="1" t="n">
        <v>46194</v>
      </c>
      <c r="D549" t="inlineStr">
        <is>
          <t>DALARNAS LÄN</t>
        </is>
      </c>
      <c r="E549" t="inlineStr">
        <is>
          <t>LUDVIKA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32301-2024</t>
        </is>
      </c>
      <c r="B550" s="1" t="n">
        <v>45512</v>
      </c>
      <c r="C550" s="1" t="n">
        <v>46194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27853-2026</t>
        </is>
      </c>
      <c r="B551" s="1" t="n">
        <v>46191</v>
      </c>
      <c r="C551" s="1" t="n">
        <v>46194</v>
      </c>
      <c r="D551" t="inlineStr">
        <is>
          <t>DALARNAS LÄN</t>
        </is>
      </c>
      <c r="E551" t="inlineStr">
        <is>
          <t>LUDVIKA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55462-2024</t>
        </is>
      </c>
      <c r="B552" s="1" t="n">
        <v>45622</v>
      </c>
      <c r="C552" s="1" t="n">
        <v>46194</v>
      </c>
      <c r="D552" t="inlineStr">
        <is>
          <t>DALARNAS LÄN</t>
        </is>
      </c>
      <c r="E552" t="inlineStr">
        <is>
          <t>LUDVIKA</t>
        </is>
      </c>
      <c r="F552" t="inlineStr">
        <is>
          <t>Naturvårdsverket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55474-2024</t>
        </is>
      </c>
      <c r="B553" s="1" t="n">
        <v>45622</v>
      </c>
      <c r="C553" s="1" t="n">
        <v>46194</v>
      </c>
      <c r="D553" t="inlineStr">
        <is>
          <t>DALARNAS LÄN</t>
        </is>
      </c>
      <c r="E553" t="inlineStr">
        <is>
          <t>LUDVIKA</t>
        </is>
      </c>
      <c r="F553" t="inlineStr">
        <is>
          <t>Naturvårdsverket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28134-2023</t>
        </is>
      </c>
      <c r="B554" s="1" t="n">
        <v>45099</v>
      </c>
      <c r="C554" s="1" t="n">
        <v>46194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21798-2026</t>
        </is>
      </c>
      <c r="B555" s="1" t="n">
        <v>46150</v>
      </c>
      <c r="C555" s="1" t="n">
        <v>46194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27609-2026</t>
        </is>
      </c>
      <c r="B556" s="1" t="n">
        <v>46190</v>
      </c>
      <c r="C556" s="1" t="n">
        <v>46194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27611-2026</t>
        </is>
      </c>
      <c r="B557" s="1" t="n">
        <v>46190</v>
      </c>
      <c r="C557" s="1" t="n">
        <v>46194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27613-2026</t>
        </is>
      </c>
      <c r="B558" s="1" t="n">
        <v>46190</v>
      </c>
      <c r="C558" s="1" t="n">
        <v>46194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64100-2025</t>
        </is>
      </c>
      <c r="B559" s="1" t="n">
        <v>46021</v>
      </c>
      <c r="C559" s="1" t="n">
        <v>46194</v>
      </c>
      <c r="D559" t="inlineStr">
        <is>
          <t>DALARNAS LÄN</t>
        </is>
      </c>
      <c r="E559" t="inlineStr">
        <is>
          <t>LUDVIKA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4550-2025</t>
        </is>
      </c>
      <c r="B560" s="1" t="n">
        <v>45687</v>
      </c>
      <c r="C560" s="1" t="n">
        <v>46194</v>
      </c>
      <c r="D560" t="inlineStr">
        <is>
          <t>DALARNAS LÄN</t>
        </is>
      </c>
      <c r="E560" t="inlineStr">
        <is>
          <t>LUDVIKA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39849-2023</t>
        </is>
      </c>
      <c r="B561" s="1" t="n">
        <v>45168</v>
      </c>
      <c r="C561" s="1" t="n">
        <v>46194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48589-2023</t>
        </is>
      </c>
      <c r="B562" s="1" t="n">
        <v>45208</v>
      </c>
      <c r="C562" s="1" t="n">
        <v>46194</v>
      </c>
      <c r="D562" t="inlineStr">
        <is>
          <t>DALARNAS LÄN</t>
        </is>
      </c>
      <c r="E562" t="inlineStr">
        <is>
          <t>LUDVIKA</t>
        </is>
      </c>
      <c r="F562" t="inlineStr">
        <is>
          <t>Naturvårdsverket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33673-2022</t>
        </is>
      </c>
      <c r="B563" s="1" t="n">
        <v>44789</v>
      </c>
      <c r="C563" s="1" t="n">
        <v>46194</v>
      </c>
      <c r="D563" t="inlineStr">
        <is>
          <t>DALARNAS LÄN</t>
        </is>
      </c>
      <c r="E563" t="inlineStr">
        <is>
          <t>LUDVIKA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26574-2026</t>
        </is>
      </c>
      <c r="B564" s="1" t="n">
        <v>46183</v>
      </c>
      <c r="C564" s="1" t="n">
        <v>46194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20.6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27608-2026</t>
        </is>
      </c>
      <c r="B565" s="1" t="n">
        <v>46190</v>
      </c>
      <c r="C565" s="1" t="n">
        <v>46194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39437-2023</t>
        </is>
      </c>
      <c r="B566" s="1" t="n">
        <v>45166</v>
      </c>
      <c r="C566" s="1" t="n">
        <v>46194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990-2026</t>
        </is>
      </c>
      <c r="B567" s="1" t="n">
        <v>46030</v>
      </c>
      <c r="C567" s="1" t="n">
        <v>46194</v>
      </c>
      <c r="D567" t="inlineStr">
        <is>
          <t>DALARNAS LÄN</t>
        </is>
      </c>
      <c r="E567" t="inlineStr">
        <is>
          <t>LUDVIKA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21872-2026</t>
        </is>
      </c>
      <c r="B568" s="1" t="n">
        <v>46150</v>
      </c>
      <c r="C568" s="1" t="n">
        <v>46194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661-2026</t>
        </is>
      </c>
      <c r="B569" s="1" t="n">
        <v>46029</v>
      </c>
      <c r="C569" s="1" t="n">
        <v>46194</v>
      </c>
      <c r="D569" t="inlineStr">
        <is>
          <t>DALARNAS LÄN</t>
        </is>
      </c>
      <c r="E569" t="inlineStr">
        <is>
          <t>LUDVIKA</t>
        </is>
      </c>
      <c r="F569" t="inlineStr">
        <is>
          <t>Övriga Aktiebolag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21741-2022</t>
        </is>
      </c>
      <c r="B570" s="1" t="n">
        <v>44708</v>
      </c>
      <c r="C570" s="1" t="n">
        <v>46194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18724-2022</t>
        </is>
      </c>
      <c r="B571" s="1" t="n">
        <v>44687</v>
      </c>
      <c r="C571" s="1" t="n">
        <v>46194</v>
      </c>
      <c r="D571" t="inlineStr">
        <is>
          <t>DALARNAS LÄN</t>
        </is>
      </c>
      <c r="E571" t="inlineStr">
        <is>
          <t>LUDVIKA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49114-2023</t>
        </is>
      </c>
      <c r="B572" s="1" t="n">
        <v>45210</v>
      </c>
      <c r="C572" s="1" t="n">
        <v>46194</v>
      </c>
      <c r="D572" t="inlineStr">
        <is>
          <t>DALARNAS LÄN</t>
        </is>
      </c>
      <c r="E572" t="inlineStr">
        <is>
          <t>LUDVIKA</t>
        </is>
      </c>
      <c r="F572" t="inlineStr">
        <is>
          <t>Naturvårdsverket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45060-2022</t>
        </is>
      </c>
      <c r="B573" s="1" t="n">
        <v>44841</v>
      </c>
      <c r="C573" s="1" t="n">
        <v>46194</v>
      </c>
      <c r="D573" t="inlineStr">
        <is>
          <t>DALARNAS LÄN</t>
        </is>
      </c>
      <c r="E573" t="inlineStr">
        <is>
          <t>LUDVIKA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26727-2026</t>
        </is>
      </c>
      <c r="B574" s="1" t="n">
        <v>46184</v>
      </c>
      <c r="C574" s="1" t="n">
        <v>46194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16768-2025</t>
        </is>
      </c>
      <c r="B575" s="1" t="n">
        <v>45754</v>
      </c>
      <c r="C575" s="1" t="n">
        <v>46194</v>
      </c>
      <c r="D575" t="inlineStr">
        <is>
          <t>DALARNAS LÄN</t>
        </is>
      </c>
      <c r="E575" t="inlineStr">
        <is>
          <t>LUDVIKA</t>
        </is>
      </c>
      <c r="F575" t="inlineStr">
        <is>
          <t>Naturvårdsverket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61054-2024</t>
        </is>
      </c>
      <c r="B576" s="1" t="n">
        <v>45645</v>
      </c>
      <c r="C576" s="1" t="n">
        <v>46194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21462-2026</t>
        </is>
      </c>
      <c r="B577" s="1" t="n">
        <v>46148</v>
      </c>
      <c r="C577" s="1" t="n">
        <v>46194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56818-2023</t>
        </is>
      </c>
      <c r="B578" s="1" t="n">
        <v>45244</v>
      </c>
      <c r="C578" s="1" t="n">
        <v>46194</v>
      </c>
      <c r="D578" t="inlineStr">
        <is>
          <t>DALARNAS LÄN</t>
        </is>
      </c>
      <c r="E578" t="inlineStr">
        <is>
          <t>LUDVIKA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2979-2026</t>
        </is>
      </c>
      <c r="B579" s="1" t="n">
        <v>46038</v>
      </c>
      <c r="C579" s="1" t="n">
        <v>46194</v>
      </c>
      <c r="D579" t="inlineStr">
        <is>
          <t>DALARNAS LÄN</t>
        </is>
      </c>
      <c r="E579" t="inlineStr">
        <is>
          <t>LUDVIKA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3602-2026</t>
        </is>
      </c>
      <c r="B580" s="1" t="n">
        <v>46042</v>
      </c>
      <c r="C580" s="1" t="n">
        <v>46194</v>
      </c>
      <c r="D580" t="inlineStr">
        <is>
          <t>DALARNAS LÄN</t>
        </is>
      </c>
      <c r="E580" t="inlineStr">
        <is>
          <t>LUDVIKA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37392-2023</t>
        </is>
      </c>
      <c r="B581" s="1" t="n">
        <v>45156</v>
      </c>
      <c r="C581" s="1" t="n">
        <v>46194</v>
      </c>
      <c r="D581" t="inlineStr">
        <is>
          <t>DALARNAS LÄN</t>
        </is>
      </c>
      <c r="E581" t="inlineStr">
        <is>
          <t>LUDVIKA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61799-2025</t>
        </is>
      </c>
      <c r="B582" s="1" t="n">
        <v>46002</v>
      </c>
      <c r="C582" s="1" t="n">
        <v>46194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51208-2023</t>
        </is>
      </c>
      <c r="B583" s="1" t="n">
        <v>45219</v>
      </c>
      <c r="C583" s="1" t="n">
        <v>46194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59206-2023</t>
        </is>
      </c>
      <c r="B584" s="1" t="n">
        <v>45253</v>
      </c>
      <c r="C584" s="1" t="n">
        <v>46194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59351-2023</t>
        </is>
      </c>
      <c r="B585" s="1" t="n">
        <v>45253</v>
      </c>
      <c r="C585" s="1" t="n">
        <v>46194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53981-2025</t>
        </is>
      </c>
      <c r="B586" s="1" t="n">
        <v>45961</v>
      </c>
      <c r="C586" s="1" t="n">
        <v>46194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53979-2025</t>
        </is>
      </c>
      <c r="B587" s="1" t="n">
        <v>45961</v>
      </c>
      <c r="C587" s="1" t="n">
        <v>46194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46656-2023</t>
        </is>
      </c>
      <c r="B588" s="1" t="n">
        <v>45198</v>
      </c>
      <c r="C588" s="1" t="n">
        <v>46194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48683-2023</t>
        </is>
      </c>
      <c r="B589" s="1" t="n">
        <v>45208</v>
      </c>
      <c r="C589" s="1" t="n">
        <v>46194</v>
      </c>
      <c r="D589" t="inlineStr">
        <is>
          <t>DALARNAS LÄN</t>
        </is>
      </c>
      <c r="E589" t="inlineStr">
        <is>
          <t>LUDVIKA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57557-2023</t>
        </is>
      </c>
      <c r="B590" s="1" t="n">
        <v>45246</v>
      </c>
      <c r="C590" s="1" t="n">
        <v>46194</v>
      </c>
      <c r="D590" t="inlineStr">
        <is>
          <t>DALARNAS LÄN</t>
        </is>
      </c>
      <c r="E590" t="inlineStr">
        <is>
          <t>LUDVIKA</t>
        </is>
      </c>
      <c r="G590" t="n">
        <v>12.7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16807-2025</t>
        </is>
      </c>
      <c r="B591" s="1" t="n">
        <v>45754</v>
      </c>
      <c r="C591" s="1" t="n">
        <v>46194</v>
      </c>
      <c r="D591" t="inlineStr">
        <is>
          <t>DALARNAS LÄN</t>
        </is>
      </c>
      <c r="E591" t="inlineStr">
        <is>
          <t>LUDVIKA</t>
        </is>
      </c>
      <c r="F591" t="inlineStr">
        <is>
          <t>Naturvårdsverket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15128-2025</t>
        </is>
      </c>
      <c r="B592" s="1" t="n">
        <v>45744</v>
      </c>
      <c r="C592" s="1" t="n">
        <v>46194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31270-2022</t>
        </is>
      </c>
      <c r="B593" s="1" t="n">
        <v>44771</v>
      </c>
      <c r="C593" s="1" t="n">
        <v>46194</v>
      </c>
      <c r="D593" t="inlineStr">
        <is>
          <t>DALARNAS LÄN</t>
        </is>
      </c>
      <c r="E593" t="inlineStr">
        <is>
          <t>LUDVIKA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49669-2024</t>
        </is>
      </c>
      <c r="B594" s="1" t="n">
        <v>45596</v>
      </c>
      <c r="C594" s="1" t="n">
        <v>46194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61309-2022</t>
        </is>
      </c>
      <c r="B595" s="1" t="n">
        <v>44915</v>
      </c>
      <c r="C595" s="1" t="n">
        <v>46194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56615-2025</t>
        </is>
      </c>
      <c r="B596" s="1" t="n">
        <v>45975</v>
      </c>
      <c r="C596" s="1" t="n">
        <v>46194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50347-2021</t>
        </is>
      </c>
      <c r="B597" s="1" t="n">
        <v>44459</v>
      </c>
      <c r="C597" s="1" t="n">
        <v>46194</v>
      </c>
      <c r="D597" t="inlineStr">
        <is>
          <t>DALARNAS LÄN</t>
        </is>
      </c>
      <c r="E597" t="inlineStr">
        <is>
          <t>LUDVIKA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30813-2025</t>
        </is>
      </c>
      <c r="B598" s="1" t="n">
        <v>45831</v>
      </c>
      <c r="C598" s="1" t="n">
        <v>46194</v>
      </c>
      <c r="D598" t="inlineStr">
        <is>
          <t>DALARNAS LÄN</t>
        </is>
      </c>
      <c r="E598" t="inlineStr">
        <is>
          <t>LUDVIKA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48740-2022</t>
        </is>
      </c>
      <c r="B599" s="1" t="n">
        <v>44859</v>
      </c>
      <c r="C599" s="1" t="n">
        <v>46194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52230-2023</t>
        </is>
      </c>
      <c r="B600" s="1" t="n">
        <v>45224</v>
      </c>
      <c r="C600" s="1" t="n">
        <v>46194</v>
      </c>
      <c r="D600" t="inlineStr">
        <is>
          <t>DALARNAS LÄN</t>
        </is>
      </c>
      <c r="E600" t="inlineStr">
        <is>
          <t>LUDVIKA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62368-2025</t>
        </is>
      </c>
      <c r="B601" s="1" t="n">
        <v>46007</v>
      </c>
      <c r="C601" s="1" t="n">
        <v>46194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56621-2023</t>
        </is>
      </c>
      <c r="B602" s="1" t="n">
        <v>45243</v>
      </c>
      <c r="C602" s="1" t="n">
        <v>46194</v>
      </c>
      <c r="D602" t="inlineStr">
        <is>
          <t>DALARNAS LÄN</t>
        </is>
      </c>
      <c r="E602" t="inlineStr">
        <is>
          <t>LUDVIKA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53996-2024</t>
        </is>
      </c>
      <c r="B603" s="1" t="n">
        <v>45616</v>
      </c>
      <c r="C603" s="1" t="n">
        <v>46194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10381-2026</t>
        </is>
      </c>
      <c r="B604" s="1" t="n">
        <v>46076</v>
      </c>
      <c r="C604" s="1" t="n">
        <v>46194</v>
      </c>
      <c r="D604" t="inlineStr">
        <is>
          <t>DALARNAS LÄN</t>
        </is>
      </c>
      <c r="E604" t="inlineStr">
        <is>
          <t>LUDVIKA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47999-2024</t>
        </is>
      </c>
      <c r="B605" s="1" t="n">
        <v>45589</v>
      </c>
      <c r="C605" s="1" t="n">
        <v>46194</v>
      </c>
      <c r="D605" t="inlineStr">
        <is>
          <t>DALARNAS LÄN</t>
        </is>
      </c>
      <c r="E605" t="inlineStr">
        <is>
          <t>LUDVIKA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64171-2023</t>
        </is>
      </c>
      <c r="B606" s="1" t="n">
        <v>45279</v>
      </c>
      <c r="C606" s="1" t="n">
        <v>46194</v>
      </c>
      <c r="D606" t="inlineStr">
        <is>
          <t>DALARNAS LÄN</t>
        </is>
      </c>
      <c r="E606" t="inlineStr">
        <is>
          <t>LUDVIKA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923-2024</t>
        </is>
      </c>
      <c r="B607" s="1" t="n">
        <v>45301</v>
      </c>
      <c r="C607" s="1" t="n">
        <v>46194</v>
      </c>
      <c r="D607" t="inlineStr">
        <is>
          <t>DALARNAS LÄN</t>
        </is>
      </c>
      <c r="E607" t="inlineStr">
        <is>
          <t>LUDVIKA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20427-2025</t>
        </is>
      </c>
      <c r="B608" s="1" t="n">
        <v>45775</v>
      </c>
      <c r="C608" s="1" t="n">
        <v>46194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53620-2022</t>
        </is>
      </c>
      <c r="B609" s="1" t="n">
        <v>44879</v>
      </c>
      <c r="C609" s="1" t="n">
        <v>46194</v>
      </c>
      <c r="D609" t="inlineStr">
        <is>
          <t>DALARNAS LÄN</t>
        </is>
      </c>
      <c r="E609" t="inlineStr">
        <is>
          <t>LUDVIKA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11672-2026</t>
        </is>
      </c>
      <c r="B610" s="1" t="n">
        <v>46084</v>
      </c>
      <c r="C610" s="1" t="n">
        <v>46194</v>
      </c>
      <c r="D610" t="inlineStr">
        <is>
          <t>DALARNAS LÄN</t>
        </is>
      </c>
      <c r="E610" t="inlineStr">
        <is>
          <t>LUDVIKA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7238-2023</t>
        </is>
      </c>
      <c r="B611" s="1" t="n">
        <v>44970</v>
      </c>
      <c r="C611" s="1" t="n">
        <v>46194</v>
      </c>
      <c r="D611" t="inlineStr">
        <is>
          <t>DALARNAS LÄN</t>
        </is>
      </c>
      <c r="E611" t="inlineStr">
        <is>
          <t>LUDVIKA</t>
        </is>
      </c>
      <c r="F611" t="inlineStr">
        <is>
          <t>Övriga Aktiebolag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73703-2021</t>
        </is>
      </c>
      <c r="B612" s="1" t="n">
        <v>44552</v>
      </c>
      <c r="C612" s="1" t="n">
        <v>46194</v>
      </c>
      <c r="D612" t="inlineStr">
        <is>
          <t>DALARNAS LÄN</t>
        </is>
      </c>
      <c r="E612" t="inlineStr">
        <is>
          <t>LUDVIKA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25299-2022</t>
        </is>
      </c>
      <c r="B613" s="1" t="n">
        <v>44730</v>
      </c>
      <c r="C613" s="1" t="n">
        <v>46194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5970-2022</t>
        </is>
      </c>
      <c r="B614" s="1" t="n">
        <v>44599</v>
      </c>
      <c r="C614" s="1" t="n">
        <v>46194</v>
      </c>
      <c r="D614" t="inlineStr">
        <is>
          <t>DALARNAS LÄN</t>
        </is>
      </c>
      <c r="E614" t="inlineStr">
        <is>
          <t>LUDVIKA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48642-2022</t>
        </is>
      </c>
      <c r="B615" s="1" t="n">
        <v>44859</v>
      </c>
      <c r="C615" s="1" t="n">
        <v>46194</v>
      </c>
      <c r="D615" t="inlineStr">
        <is>
          <t>DALARNAS LÄN</t>
        </is>
      </c>
      <c r="E615" t="inlineStr">
        <is>
          <t>LUDVIKA</t>
        </is>
      </c>
      <c r="F615" t="inlineStr">
        <is>
          <t>Naturvårdsverket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5672-2023</t>
        </is>
      </c>
      <c r="B616" s="1" t="n">
        <v>44960</v>
      </c>
      <c r="C616" s="1" t="n">
        <v>46194</v>
      </c>
      <c r="D616" t="inlineStr">
        <is>
          <t>DALARNAS LÄN</t>
        </is>
      </c>
      <c r="E616" t="inlineStr">
        <is>
          <t>LUDVIKA</t>
        </is>
      </c>
      <c r="F616" t="inlineStr">
        <is>
          <t>Naturvårdsverket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9709-2026</t>
        </is>
      </c>
      <c r="B617" s="1" t="n">
        <v>46072</v>
      </c>
      <c r="C617" s="1" t="n">
        <v>46194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16843-2026</t>
        </is>
      </c>
      <c r="B618" s="1" t="n">
        <v>46113</v>
      </c>
      <c r="C618" s="1" t="n">
        <v>46194</v>
      </c>
      <c r="D618" t="inlineStr">
        <is>
          <t>DALARNAS LÄN</t>
        </is>
      </c>
      <c r="E618" t="inlineStr">
        <is>
          <t>LUDVIKA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22464-2026</t>
        </is>
      </c>
      <c r="B619" s="1" t="n">
        <v>46155</v>
      </c>
      <c r="C619" s="1" t="n">
        <v>46194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9.800000000000001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17054-2026</t>
        </is>
      </c>
      <c r="B620" s="1" t="n">
        <v>46114</v>
      </c>
      <c r="C620" s="1" t="n">
        <v>46194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22817-2026</t>
        </is>
      </c>
      <c r="B621" s="1" t="n">
        <v>46160</v>
      </c>
      <c r="C621" s="1" t="n">
        <v>46194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22830-2026</t>
        </is>
      </c>
      <c r="B622" s="1" t="n">
        <v>46160</v>
      </c>
      <c r="C622" s="1" t="n">
        <v>46194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22821-2026</t>
        </is>
      </c>
      <c r="B623" s="1" t="n">
        <v>46160</v>
      </c>
      <c r="C623" s="1" t="n">
        <v>46194</v>
      </c>
      <c r="D623" t="inlineStr">
        <is>
          <t>DALARNAS LÄN</t>
        </is>
      </c>
      <c r="E623" t="inlineStr">
        <is>
          <t>LUDVIKA</t>
        </is>
      </c>
      <c r="F623" t="inlineStr">
        <is>
          <t>Naturvårdsverket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22824-2026</t>
        </is>
      </c>
      <c r="B624" s="1" t="n">
        <v>46160</v>
      </c>
      <c r="C624" s="1" t="n">
        <v>46194</v>
      </c>
      <c r="D624" t="inlineStr">
        <is>
          <t>DALARNAS LÄN</t>
        </is>
      </c>
      <c r="E624" t="inlineStr">
        <is>
          <t>LUDVIKA</t>
        </is>
      </c>
      <c r="F624" t="inlineStr">
        <is>
          <t>Naturvårdsverket</t>
        </is>
      </c>
      <c r="G624" t="n">
        <v>9.9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23082-2026</t>
        </is>
      </c>
      <c r="B625" s="1" t="n">
        <v>46161</v>
      </c>
      <c r="C625" s="1" t="n">
        <v>46194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22585-2026</t>
        </is>
      </c>
      <c r="B626" s="1" t="n">
        <v>46155</v>
      </c>
      <c r="C626" s="1" t="n">
        <v>46194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22580-2026</t>
        </is>
      </c>
      <c r="B627" s="1" t="n">
        <v>46155</v>
      </c>
      <c r="C627" s="1" t="n">
        <v>46194</v>
      </c>
      <c r="D627" t="inlineStr">
        <is>
          <t>DALARNAS LÄN</t>
        </is>
      </c>
      <c r="E627" t="inlineStr">
        <is>
          <t>LUDVIKA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22611-2026</t>
        </is>
      </c>
      <c r="B628" s="1" t="n">
        <v>46155</v>
      </c>
      <c r="C628" s="1" t="n">
        <v>46194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10.1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22806-2026</t>
        </is>
      </c>
      <c r="B629" s="1" t="n">
        <v>46160</v>
      </c>
      <c r="C629" s="1" t="n">
        <v>46194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22558-2026</t>
        </is>
      </c>
      <c r="B630" s="1" t="n">
        <v>46155</v>
      </c>
      <c r="C630" s="1" t="n">
        <v>46194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13.5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22276-2026</t>
        </is>
      </c>
      <c r="B631" s="1" t="n">
        <v>46154</v>
      </c>
      <c r="C631" s="1" t="n">
        <v>46194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17245-2026</t>
        </is>
      </c>
      <c r="B632" s="1" t="n">
        <v>46119</v>
      </c>
      <c r="C632" s="1" t="n">
        <v>46194</v>
      </c>
      <c r="D632" t="inlineStr">
        <is>
          <t>DALARNAS LÄN</t>
        </is>
      </c>
      <c r="E632" t="inlineStr">
        <is>
          <t>LUDVIKA</t>
        </is>
      </c>
      <c r="F632" t="inlineStr">
        <is>
          <t>Naturvårdsverket</t>
        </is>
      </c>
      <c r="G632" t="n">
        <v>19.8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22278-2026</t>
        </is>
      </c>
      <c r="B633" s="1" t="n">
        <v>46154</v>
      </c>
      <c r="C633" s="1" t="n">
        <v>46194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22813-2026</t>
        </is>
      </c>
      <c r="B634" s="1" t="n">
        <v>46160</v>
      </c>
      <c r="C634" s="1" t="n">
        <v>46194</v>
      </c>
      <c r="D634" t="inlineStr">
        <is>
          <t>DALARNAS LÄN</t>
        </is>
      </c>
      <c r="E634" t="inlineStr">
        <is>
          <t>LUDVIKA</t>
        </is>
      </c>
      <c r="F634" t="inlineStr">
        <is>
          <t>Naturvårdsverket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22538-2026</t>
        </is>
      </c>
      <c r="B635" s="1" t="n">
        <v>46155</v>
      </c>
      <c r="C635" s="1" t="n">
        <v>46194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23871-2026</t>
        </is>
      </c>
      <c r="B636" s="1" t="n">
        <v>46167</v>
      </c>
      <c r="C636" s="1" t="n">
        <v>46194</v>
      </c>
      <c r="D636" t="inlineStr">
        <is>
          <t>DALARNAS LÄN</t>
        </is>
      </c>
      <c r="E636" t="inlineStr">
        <is>
          <t>LUDVIKA</t>
        </is>
      </c>
      <c r="F636" t="inlineStr">
        <is>
          <t>Kommuner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23714-2026</t>
        </is>
      </c>
      <c r="B637" s="1" t="n">
        <v>46163</v>
      </c>
      <c r="C637" s="1" t="n">
        <v>46194</v>
      </c>
      <c r="D637" t="inlineStr">
        <is>
          <t>DALARNAS LÄN</t>
        </is>
      </c>
      <c r="E637" t="inlineStr">
        <is>
          <t>LUDVIKA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17879-2026</t>
        </is>
      </c>
      <c r="B638" s="1" t="n">
        <v>46122</v>
      </c>
      <c r="C638" s="1" t="n">
        <v>46194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17915-2026</t>
        </is>
      </c>
      <c r="B639" s="1" t="n">
        <v>46122</v>
      </c>
      <c r="C639" s="1" t="n">
        <v>46194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24021-2026</t>
        </is>
      </c>
      <c r="B640" s="1" t="n">
        <v>46167</v>
      </c>
      <c r="C640" s="1" t="n">
        <v>46194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17913-2026</t>
        </is>
      </c>
      <c r="B641" s="1" t="n">
        <v>46122</v>
      </c>
      <c r="C641" s="1" t="n">
        <v>46194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23720-2026</t>
        </is>
      </c>
      <c r="B642" s="1" t="n">
        <v>46163</v>
      </c>
      <c r="C642" s="1" t="n">
        <v>46194</v>
      </c>
      <c r="D642" t="inlineStr">
        <is>
          <t>DALARNAS LÄN</t>
        </is>
      </c>
      <c r="E642" t="inlineStr">
        <is>
          <t>LUDVIKA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17882-2026</t>
        </is>
      </c>
      <c r="B643" s="1" t="n">
        <v>46122</v>
      </c>
      <c r="C643" s="1" t="n">
        <v>46194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17787-2026</t>
        </is>
      </c>
      <c r="B644" s="1" t="n">
        <v>46122</v>
      </c>
      <c r="C644" s="1" t="n">
        <v>46194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18357-2026</t>
        </is>
      </c>
      <c r="B645" s="1" t="n">
        <v>46126</v>
      </c>
      <c r="C645" s="1" t="n">
        <v>46194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18355-2026</t>
        </is>
      </c>
      <c r="B646" s="1" t="n">
        <v>46126</v>
      </c>
      <c r="C646" s="1" t="n">
        <v>46194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18362-2026</t>
        </is>
      </c>
      <c r="B647" s="1" t="n">
        <v>46126</v>
      </c>
      <c r="C647" s="1" t="n">
        <v>46194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24693-2026</t>
        </is>
      </c>
      <c r="B648" s="1" t="n">
        <v>46171</v>
      </c>
      <c r="C648" s="1" t="n">
        <v>46194</v>
      </c>
      <c r="D648" t="inlineStr">
        <is>
          <t>DALARNAS LÄN</t>
        </is>
      </c>
      <c r="E648" t="inlineStr">
        <is>
          <t>LUDVIKA</t>
        </is>
      </c>
      <c r="F648" t="inlineStr">
        <is>
          <t>Naturvårdsverket</t>
        </is>
      </c>
      <c r="G648" t="n">
        <v>10.4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18829-2026</t>
        </is>
      </c>
      <c r="B649" s="1" t="n">
        <v>46128</v>
      </c>
      <c r="C649" s="1" t="n">
        <v>46194</v>
      </c>
      <c r="D649" t="inlineStr">
        <is>
          <t>DALARNAS LÄN</t>
        </is>
      </c>
      <c r="E649" t="inlineStr">
        <is>
          <t>LUDVIKA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24776-2026</t>
        </is>
      </c>
      <c r="B650" s="1" t="n">
        <v>46171</v>
      </c>
      <c r="C650" s="1" t="n">
        <v>46194</v>
      </c>
      <c r="D650" t="inlineStr">
        <is>
          <t>DALARNAS LÄN</t>
        </is>
      </c>
      <c r="E650" t="inlineStr">
        <is>
          <t>LUDVIKA</t>
        </is>
      </c>
      <c r="F650" t="inlineStr">
        <is>
          <t>Naturvårdsverket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24768-2026</t>
        </is>
      </c>
      <c r="B651" s="1" t="n">
        <v>46171</v>
      </c>
      <c r="C651" s="1" t="n">
        <v>46194</v>
      </c>
      <c r="D651" t="inlineStr">
        <is>
          <t>DALARNAS LÄN</t>
        </is>
      </c>
      <c r="E651" t="inlineStr">
        <is>
          <t>LUDVIKA</t>
        </is>
      </c>
      <c r="F651" t="inlineStr">
        <is>
          <t>Naturvårdsverket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19610-2026</t>
        </is>
      </c>
      <c r="B652" s="1" t="n">
        <v>46134</v>
      </c>
      <c r="C652" s="1" t="n">
        <v>46194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24670-2026</t>
        </is>
      </c>
      <c r="B653" s="1" t="n">
        <v>46171</v>
      </c>
      <c r="C653" s="1" t="n">
        <v>46194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24678-2026</t>
        </is>
      </c>
      <c r="B654" s="1" t="n">
        <v>46171</v>
      </c>
      <c r="C654" s="1" t="n">
        <v>46194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23917-2026</t>
        </is>
      </c>
      <c r="B655" s="1" t="n">
        <v>46167</v>
      </c>
      <c r="C655" s="1" t="n">
        <v>46194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25193-2026</t>
        </is>
      </c>
      <c r="B656" s="1" t="n">
        <v>46175</v>
      </c>
      <c r="C656" s="1" t="n">
        <v>46194</v>
      </c>
      <c r="D656" t="inlineStr">
        <is>
          <t>DALARNAS LÄN</t>
        </is>
      </c>
      <c r="E656" t="inlineStr">
        <is>
          <t>LUDVIKA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50273-2021</t>
        </is>
      </c>
      <c r="B657" s="1" t="n">
        <v>44459</v>
      </c>
      <c r="C657" s="1" t="n">
        <v>46194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24682-2026</t>
        </is>
      </c>
      <c r="B658" s="1" t="n">
        <v>46171</v>
      </c>
      <c r="C658" s="1" t="n">
        <v>46194</v>
      </c>
      <c r="D658" t="inlineStr">
        <is>
          <t>DALARNAS LÄN</t>
        </is>
      </c>
      <c r="E658" t="inlineStr">
        <is>
          <t>LUDVIKA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24687-2026</t>
        </is>
      </c>
      <c r="B659" s="1" t="n">
        <v>46171</v>
      </c>
      <c r="C659" s="1" t="n">
        <v>46194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13.2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24609-2026</t>
        </is>
      </c>
      <c r="B660" s="1" t="n">
        <v>46171</v>
      </c>
      <c r="C660" s="1" t="n">
        <v>46194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24673-2026</t>
        </is>
      </c>
      <c r="B661" s="1" t="n">
        <v>46171</v>
      </c>
      <c r="C661" s="1" t="n">
        <v>46194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23515-2026</t>
        </is>
      </c>
      <c r="B662" s="1" t="n">
        <v>46163</v>
      </c>
      <c r="C662" s="1" t="n">
        <v>46194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23617-2026</t>
        </is>
      </c>
      <c r="B663" s="1" t="n">
        <v>46163</v>
      </c>
      <c r="C663" s="1" t="n">
        <v>46194</v>
      </c>
      <c r="D663" t="inlineStr">
        <is>
          <t>DALARNAS LÄN</t>
        </is>
      </c>
      <c r="E663" t="inlineStr">
        <is>
          <t>LUDVIKA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19834-2026</t>
        </is>
      </c>
      <c r="B664" s="1" t="n">
        <v>46135</v>
      </c>
      <c r="C664" s="1" t="n">
        <v>46194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34868-2025</t>
        </is>
      </c>
      <c r="B665" s="1" t="n">
        <v>45849</v>
      </c>
      <c r="C665" s="1" t="n">
        <v>46194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53554-2025</t>
        </is>
      </c>
      <c r="B666" s="1" t="n">
        <v>45960</v>
      </c>
      <c r="C666" s="1" t="n">
        <v>46194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20106-2026</t>
        </is>
      </c>
      <c r="B667" s="1" t="n">
        <v>46136</v>
      </c>
      <c r="C667" s="1" t="n">
        <v>46194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7714-2026</t>
        </is>
      </c>
      <c r="B668" s="1" t="n">
        <v>46062</v>
      </c>
      <c r="C668" s="1" t="n">
        <v>46194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20096-2026</t>
        </is>
      </c>
      <c r="B669" s="1" t="n">
        <v>46136</v>
      </c>
      <c r="C669" s="1" t="n">
        <v>46194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25320-2026</t>
        </is>
      </c>
      <c r="B670" s="1" t="n">
        <v>46176</v>
      </c>
      <c r="C670" s="1" t="n">
        <v>46194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29578-2025</t>
        </is>
      </c>
      <c r="B671" s="1" t="n">
        <v>45825</v>
      </c>
      <c r="C671" s="1" t="n">
        <v>46194</v>
      </c>
      <c r="D671" t="inlineStr">
        <is>
          <t>DALARNAS LÄN</t>
        </is>
      </c>
      <c r="E671" t="inlineStr">
        <is>
          <t>LUDVIKA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34875-2025</t>
        </is>
      </c>
      <c r="B672" s="1" t="n">
        <v>45849</v>
      </c>
      <c r="C672" s="1" t="n">
        <v>46194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34070-2025</t>
        </is>
      </c>
      <c r="B673" s="1" t="n">
        <v>45845</v>
      </c>
      <c r="C673" s="1" t="n">
        <v>46194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8728-2026</t>
        </is>
      </c>
      <c r="B674" s="1" t="n">
        <v>46066</v>
      </c>
      <c r="C674" s="1" t="n">
        <v>46194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30399-2025</t>
        </is>
      </c>
      <c r="B675" s="1" t="n">
        <v>45827</v>
      </c>
      <c r="C675" s="1" t="n">
        <v>46194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55151-2025</t>
        </is>
      </c>
      <c r="B676" s="1" t="n">
        <v>45968</v>
      </c>
      <c r="C676" s="1" t="n">
        <v>46194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10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52466-2023</t>
        </is>
      </c>
      <c r="B677" s="1" t="n">
        <v>45225</v>
      </c>
      <c r="C677" s="1" t="n">
        <v>46194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20104-2026</t>
        </is>
      </c>
      <c r="B678" s="1" t="n">
        <v>46136</v>
      </c>
      <c r="C678" s="1" t="n">
        <v>46194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14.8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20421-2026</t>
        </is>
      </c>
      <c r="B679" s="1" t="n">
        <v>46140</v>
      </c>
      <c r="C679" s="1" t="n">
        <v>46194</v>
      </c>
      <c r="D679" t="inlineStr">
        <is>
          <t>DALARNAS LÄN</t>
        </is>
      </c>
      <c r="E679" t="inlineStr">
        <is>
          <t>LUDVIKA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52912-2025</t>
        </is>
      </c>
      <c r="B680" s="1" t="n">
        <v>45954</v>
      </c>
      <c r="C680" s="1" t="n">
        <v>46194</v>
      </c>
      <c r="D680" t="inlineStr">
        <is>
          <t>DALARNAS LÄN</t>
        </is>
      </c>
      <c r="E680" t="inlineStr">
        <is>
          <t>LUDVIKA</t>
        </is>
      </c>
      <c r="G680" t="n">
        <v>9.800000000000001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59186-2025</t>
        </is>
      </c>
      <c r="B681" s="1" t="n">
        <v>45988</v>
      </c>
      <c r="C681" s="1" t="n">
        <v>46194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20.5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55323-2025</t>
        </is>
      </c>
      <c r="B682" s="1" t="n">
        <v>45971</v>
      </c>
      <c r="C682" s="1" t="n">
        <v>46194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25.7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31380-2025</t>
        </is>
      </c>
      <c r="B683" s="1" t="n">
        <v>45833</v>
      </c>
      <c r="C683" s="1" t="n">
        <v>46194</v>
      </c>
      <c r="D683" t="inlineStr">
        <is>
          <t>DALARNAS LÄN</t>
        </is>
      </c>
      <c r="E683" t="inlineStr">
        <is>
          <t>LUDVIKA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32224-2025</t>
        </is>
      </c>
      <c r="B684" s="1" t="n">
        <v>45835</v>
      </c>
      <c r="C684" s="1" t="n">
        <v>46194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35353-2024</t>
        </is>
      </c>
      <c r="B685" s="1" t="n">
        <v>45531</v>
      </c>
      <c r="C685" s="1" t="n">
        <v>46194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2026-06-21T00:44:34Z</dcterms:created>
  <dcterms:modified xmlns:dcterms="http://purl.org/dc/terms/" xmlns:xsi="http://www.w3.org/2001/XMLSchema-instance" xsi:type="dcterms:W3CDTF">2026-06-21T00:44:35Z</dcterms:modified>
</cp:coreProperties>
</file>
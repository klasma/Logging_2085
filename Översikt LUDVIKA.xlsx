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46322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46322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46322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46322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46322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46322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46322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46322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46322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46322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46322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46322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37350-2026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46275</v>
      </c>
      <c r="E15" s="1" t="n">
        <v>46322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5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10</v>
      </c>
      <c r="T15" t="n">
        <v>12</v>
      </c>
      <c r="U15" t="n">
        <v>12</v>
      </c>
      <c r="V15" s="2" t="inlineStr">
        <is>
          <t>Gul pysslinglav
Talltita
Ullticka
Gulnål
Vedticka
Gråspett
Järpe
Linnea
Spillkråka
Tofsmes</t>
        </is>
      </c>
      <c r="W15">
        <f>HYPERLINK("https://klasma.github.io/Logging_2085/artfynd/A 37350-2026 artfynd.xlsx", "A 37350-2026")</f>
        <v/>
      </c>
      <c r="X15">
        <f>HYPERLINK("https://klasma.github.io/Logging_2085/kartor/A 37350-2026 karta.png", "A 37350-2026")</f>
        <v/>
      </c>
      <c r="Y15">
        <f>HYPERLINK("https://klasma.github.io/Logging_2085/kartor_geotiff/A 37350-2026 georefererad karta.tif", "A 37350-2026")</f>
        <v/>
      </c>
      <c r="AA15">
        <f>HYPERLINK("https://klasma.github.io/Logging_2085/klagomål/A 37350-2026 FSC-klagomål.docx", "A 37350-2026")</f>
        <v/>
      </c>
      <c r="AB15">
        <f>HYPERLINK("https://klasma.github.io/Logging_2085/klagomålsmail/A 37350-2026 FSC-klagomål mail.docx", "A 37350-2026")</f>
        <v/>
      </c>
      <c r="AC15">
        <f>HYPERLINK("https://klasma.github.io/Logging_2085/tillsyn/A 37350-2026 tillsynsbegäran.docx", "A 37350-2026")</f>
        <v/>
      </c>
      <c r="AD15">
        <f>HYPERLINK("https://klasma.github.io/Logging_2085/tillsynsmail/A 37350-2026 tillsynsbegäran mail.docx", "A 37350-2026")</f>
        <v/>
      </c>
      <c r="AE15">
        <f>HYPERLINK("https://klasma.github.io/Logging_2085/fåglar/A 37350-2026 prioriterade fågelarter.docx", "A 37350-2026")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46322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46322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46322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7214-2026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46058</v>
      </c>
      <c r="E19" s="1" t="n">
        <v>46322</v>
      </c>
      <c r="F19" t="inlineStr">
        <is>
          <t>DALARNAS LÄN</t>
        </is>
      </c>
      <c r="G19" t="inlineStr">
        <is>
          <t>LUDVIKA</t>
        </is>
      </c>
      <c r="I19" t="n">
        <v>4.2</v>
      </c>
      <c r="J19" t="n">
        <v>4</v>
      </c>
      <c r="K19" t="n">
        <v>2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23</v>
      </c>
      <c r="U19" t="n">
        <v>23</v>
      </c>
      <c r="V19" s="2" t="inlineStr">
        <is>
          <t>Knärot
Dropptaggsvamp
Rynkskinn
Talltita
Tretåig hackspett
Vedtrappmossa
Jättesvampmal
Thomsons trägnagare
Spillkråka</t>
        </is>
      </c>
      <c r="W19">
        <f>HYPERLINK("https://klasma.github.io/Logging_2085/artfynd/A 7214-2026 artfynd.xlsx", "A 7214-2026")</f>
        <v/>
      </c>
      <c r="X19">
        <f>HYPERLINK("https://klasma.github.io/Logging_2085/kartor/A 7214-2026 karta.png", "A 7214-2026")</f>
        <v/>
      </c>
      <c r="Y19">
        <f>HYPERLINK("https://klasma.github.io/Logging_2085/kartor_geotiff/A 7214-2026 georefererad karta.tif", "A 7214-2026")</f>
        <v/>
      </c>
      <c r="Z19">
        <f>HYPERLINK("https://klasma.github.io/Logging_2085/knärot/A 7214-2026 karta knärot.png", "A 7214-2026")</f>
        <v/>
      </c>
      <c r="AA19">
        <f>HYPERLINK("https://klasma.github.io/Logging_2085/klagomål/A 7214-2026 FSC-klagomål.docx", "A 7214-2026")</f>
        <v/>
      </c>
      <c r="AB19">
        <f>HYPERLINK("https://klasma.github.io/Logging_2085/klagomålsmail/A 7214-2026 FSC-klagomål mail.docx", "A 7214-2026")</f>
        <v/>
      </c>
      <c r="AC19">
        <f>HYPERLINK("https://klasma.github.io/Logging_2085/tillsyn/A 7214-2026 tillsynsbegäran.docx", "A 7214-2026")</f>
        <v/>
      </c>
      <c r="AD19">
        <f>HYPERLINK("https://klasma.github.io/Logging_2085/tillsynsmail/A 7214-2026 tillsynsbegäran mail.docx", "A 7214-2026")</f>
        <v/>
      </c>
      <c r="AE19">
        <f>HYPERLINK("https://klasma.github.io/Logging_2085/fåglar/A 7214-2026 prioriterade fågelarter.docx", "A 7214-2026")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46322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46322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46322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46322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46322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46322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46322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46322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46322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46322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46322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33885-2025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45842</v>
      </c>
      <c r="E31" s="1" t="n">
        <v>46322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2.6</v>
      </c>
      <c r="J31" t="n">
        <v>2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6</v>
      </c>
      <c r="T31" t="n">
        <v>10</v>
      </c>
      <c r="U31" t="n">
        <v>10</v>
      </c>
      <c r="V31" s="2" t="inlineStr">
        <is>
          <t>Garnlav
Knärot
Dropptaggsvamp
Ullticka
Nästlav
Tjäder</t>
        </is>
      </c>
      <c r="W31">
        <f>HYPERLINK("https://klasma.github.io/Logging_2085/artfynd/A 33885-2025 artfynd.xlsx", "A 33885-2025")</f>
        <v/>
      </c>
      <c r="X31">
        <f>HYPERLINK("https://klasma.github.io/Logging_2085/kartor/A 33885-2025 karta.png", "A 33885-2025")</f>
        <v/>
      </c>
      <c r="Y31">
        <f>HYPERLINK("https://klasma.github.io/Logging_2085/kartor_geotiff/A 33885-2025 georefererad karta.tif", "A 33885-2025")</f>
        <v/>
      </c>
      <c r="Z31">
        <f>HYPERLINK("https://klasma.github.io/Logging_2085/knärot/A 33885-2025 karta knärot.png", "A 33885-2025")</f>
        <v/>
      </c>
      <c r="AA31">
        <f>HYPERLINK("https://klasma.github.io/Logging_2085/klagomål/A 33885-2025 FSC-klagomål.docx", "A 33885-2025")</f>
        <v/>
      </c>
      <c r="AB31">
        <f>HYPERLINK("https://klasma.github.io/Logging_2085/klagomålsmail/A 33885-2025 FSC-klagomål mail.docx", "A 33885-2025")</f>
        <v/>
      </c>
      <c r="AC31">
        <f>HYPERLINK("https://klasma.github.io/Logging_2085/tillsyn/A 33885-2025 tillsynsbegäran.docx", "A 33885-2025")</f>
        <v/>
      </c>
      <c r="AD31">
        <f>HYPERLINK("https://klasma.github.io/Logging_2085/tillsynsmail/A 33885-2025 tillsynsbegäran mail.docx", "A 33885-2025")</f>
        <v/>
      </c>
      <c r="AE31">
        <f>HYPERLINK("https://klasma.github.io/Logging_2085/fåglar/A 33885-2025 prioriterade fågelarter.docx", "A 33885-2025")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46322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46322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46322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46322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23681-2026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46322</v>
      </c>
      <c r="F36" t="inlineStr">
        <is>
          <t>DALARNAS LÄN</t>
        </is>
      </c>
      <c r="G36" t="inlineStr">
        <is>
          <t>LUDVIKA</t>
        </is>
      </c>
      <c r="I36" t="n">
        <v>6.2</v>
      </c>
      <c r="J36" t="n">
        <v>3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6</v>
      </c>
      <c r="T36" t="n">
        <v>26</v>
      </c>
      <c r="U36" t="n">
        <v>26</v>
      </c>
      <c r="V36" s="2" t="inlineStr">
        <is>
          <t>Dropptaggsvamp
Tretåig hackspett
Blodticka
Mindre märgborre
Järpe
Spillkråka</t>
        </is>
      </c>
      <c r="W36">
        <f>HYPERLINK("https://klasma.github.io/Logging_2085/artfynd/A 23681-2026 artfynd.xlsx", "A 23681-2026")</f>
        <v/>
      </c>
      <c r="X36">
        <f>HYPERLINK("https://klasma.github.io/Logging_2085/kartor/A 23681-2026 karta.png", "A 23681-2026")</f>
        <v/>
      </c>
      <c r="Y36">
        <f>HYPERLINK("https://klasma.github.io/Logging_2085/kartor_geotiff/A 23681-2026 georefererad karta.tif", "A 23681-2026")</f>
        <v/>
      </c>
      <c r="AA36">
        <f>HYPERLINK("https://klasma.github.io/Logging_2085/klagomål/A 23681-2026 FSC-klagomål.docx", "A 23681-2026")</f>
        <v/>
      </c>
      <c r="AB36">
        <f>HYPERLINK("https://klasma.github.io/Logging_2085/klagomålsmail/A 23681-2026 FSC-klagomål mail.docx", "A 23681-2026")</f>
        <v/>
      </c>
      <c r="AC36">
        <f>HYPERLINK("https://klasma.github.io/Logging_2085/tillsyn/A 23681-2026 tillsynsbegäran.docx", "A 23681-2026")</f>
        <v/>
      </c>
      <c r="AD36">
        <f>HYPERLINK("https://klasma.github.io/Logging_2085/tillsynsmail/A 23681-2026 tillsynsbegäran mail.docx", "A 23681-2026")</f>
        <v/>
      </c>
      <c r="AE36">
        <f>HYPERLINK("https://klasma.github.io/Logging_2085/fåglar/A 23681-2026 prioriterade fågelarter.docx", "A 23681-2026")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46322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37639-2024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45541</v>
      </c>
      <c r="E39" s="1" t="n">
        <v>46322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1.6</v>
      </c>
      <c r="J39" t="n">
        <v>0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5</v>
      </c>
      <c r="U39" t="n">
        <v>0</v>
      </c>
      <c r="V39" s="2" t="inlineStr">
        <is>
          <t>Garnlav
Lunglav
Violettgrå tagellav
Gulnål
Korallblylav</t>
        </is>
      </c>
      <c r="W39">
        <f>HYPERLINK("https://klasma.github.io/Logging_2085/artfynd/A 37639-2024 artfynd.xlsx", "A 37639-2024")</f>
        <v/>
      </c>
      <c r="X39">
        <f>HYPERLINK("https://klasma.github.io/Logging_2085/kartor/A 37639-2024 karta.png", "A 37639-2024")</f>
        <v/>
      </c>
      <c r="Y39">
        <f>HYPERLINK("https://klasma.github.io/Logging_2085/kartor_geotiff/A 37639-2024 georefererad karta.tif", "A 37639-2024")</f>
        <v/>
      </c>
      <c r="AA39">
        <f>HYPERLINK("https://klasma.github.io/Logging_2085/klagomål/A 37639-2024 FSC-klagomål.docx", "A 37639-2024")</f>
        <v/>
      </c>
      <c r="AB39">
        <f>HYPERLINK("https://klasma.github.io/Logging_2085/klagomålsmail/A 37639-2024 FSC-klagomål mail.docx", "A 37639-2024")</f>
        <v/>
      </c>
      <c r="AC39">
        <f>HYPERLINK("https://klasma.github.io/Logging_2085/tillsyn/A 37639-2024 tillsynsbegäran.docx", "A 37639-2024")</f>
        <v/>
      </c>
      <c r="AD39">
        <f>HYPERLINK("https://klasma.github.io/Logging_2085/tillsynsmail/A 37639-2024 tillsynsbegäran mail.docx", "A 37639-2024")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46322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46322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34144-2026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46322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4.6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5</v>
      </c>
      <c r="U42" t="n">
        <v>5</v>
      </c>
      <c r="V42" s="2" t="inlineStr">
        <is>
          <t>Garnlav
Dropptaggsvamp
Korallblylav
Järpe
Spillkråka</t>
        </is>
      </c>
      <c r="W42">
        <f>HYPERLINK("https://klasma.github.io/Logging_2085/artfynd/A 34144-2026 artfynd.xlsx", "A 34144-2026")</f>
        <v/>
      </c>
      <c r="X42">
        <f>HYPERLINK("https://klasma.github.io/Logging_2085/kartor/A 34144-2026 karta.png", "A 34144-2026")</f>
        <v/>
      </c>
      <c r="Y42">
        <f>HYPERLINK("https://klasma.github.io/Logging_2085/kartor_geotiff/A 34144-2026 georefererad karta.tif", "A 34144-2026")</f>
        <v/>
      </c>
      <c r="AA42">
        <f>HYPERLINK("https://klasma.github.io/Logging_2085/klagomål/A 34144-2026 FSC-klagomål.docx", "A 34144-2026")</f>
        <v/>
      </c>
      <c r="AB42">
        <f>HYPERLINK("https://klasma.github.io/Logging_2085/klagomålsmail/A 34144-2026 FSC-klagomål mail.docx", "A 34144-2026")</f>
        <v/>
      </c>
      <c r="AC42">
        <f>HYPERLINK("https://klasma.github.io/Logging_2085/tillsyn/A 34144-2026 tillsynsbegäran.docx", "A 34144-2026")</f>
        <v/>
      </c>
      <c r="AD42">
        <f>HYPERLINK("https://klasma.github.io/Logging_2085/tillsynsmail/A 34144-2026 tillsynsbegäran mail.docx", "A 34144-2026")</f>
        <v/>
      </c>
      <c r="AE42">
        <f>HYPERLINK("https://klasma.github.io/Logging_2085/fåglar/A 34144-2026 prioriterade fågelarter.docx", "A 34144-2026")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46322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46322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31070-2026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46216</v>
      </c>
      <c r="E45" s="1" t="n">
        <v>46322</v>
      </c>
      <c r="F45" t="inlineStr">
        <is>
          <t>DALARNAS LÄN</t>
        </is>
      </c>
      <c r="G45" t="inlineStr">
        <is>
          <t>LUDVIKA</t>
        </is>
      </c>
      <c r="I45" t="n">
        <v>8.9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5</v>
      </c>
      <c r="T45" t="n">
        <v>13</v>
      </c>
      <c r="U45" t="n">
        <v>11</v>
      </c>
      <c r="V45" s="2" t="inlineStr">
        <is>
          <t>Knärot
Blåsippa
Spillkråka
Sälg
Tjäder</t>
        </is>
      </c>
      <c r="W45">
        <f>HYPERLINK("https://klasma.github.io/Logging_2085/artfynd/A 31070-2026 artfynd.xlsx", "A 31070-2026")</f>
        <v/>
      </c>
      <c r="X45">
        <f>HYPERLINK("https://klasma.github.io/Logging_2085/kartor/A 31070-2026 karta.png", "A 31070-2026")</f>
        <v/>
      </c>
      <c r="Y45">
        <f>HYPERLINK("https://klasma.github.io/Logging_2085/kartor_geotiff/A 31070-2026 georefererad karta.tif", "A 31070-2026")</f>
        <v/>
      </c>
      <c r="Z45">
        <f>HYPERLINK("https://klasma.github.io/Logging_2085/knärot/A 31070-2026 karta knärot.png", "A 31070-2026")</f>
        <v/>
      </c>
      <c r="AA45">
        <f>HYPERLINK("https://klasma.github.io/Logging_2085/klagomål/A 31070-2026 FSC-klagomål.docx", "A 31070-2026")</f>
        <v/>
      </c>
      <c r="AB45">
        <f>HYPERLINK("https://klasma.github.io/Logging_2085/klagomålsmail/A 31070-2026 FSC-klagomål mail.docx", "A 31070-2026")</f>
        <v/>
      </c>
      <c r="AC45">
        <f>HYPERLINK("https://klasma.github.io/Logging_2085/tillsyn/A 31070-2026 tillsynsbegäran.docx", "A 31070-2026")</f>
        <v/>
      </c>
      <c r="AD45">
        <f>HYPERLINK("https://klasma.github.io/Logging_2085/tillsynsmail/A 31070-2026 tillsynsbegäran mail.docx", "A 31070-2026")</f>
        <v/>
      </c>
      <c r="AE45">
        <f>HYPERLINK("https://klasma.github.io/Logging_2085/fåglar/A 31070-2026 prioriterade fågelarter.docx", "A 31070-2026")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46322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46322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28738-2026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46322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1.5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12</v>
      </c>
      <c r="U48" t="n">
        <v>12</v>
      </c>
      <c r="V48" s="2" t="inlineStr">
        <is>
          <t>Garnlav
Violettgrå tagellav
Mindre märgborre
Spillkråka</t>
        </is>
      </c>
      <c r="W48">
        <f>HYPERLINK("https://klasma.github.io/Logging_2085/artfynd/A 28738-2026 artfynd.xlsx", "A 28738-2026")</f>
        <v/>
      </c>
      <c r="X48">
        <f>HYPERLINK("https://klasma.github.io/Logging_2085/kartor/A 28738-2026 karta.png", "A 28738-2026")</f>
        <v/>
      </c>
      <c r="Y48">
        <f>HYPERLINK("https://klasma.github.io/Logging_2085/kartor_geotiff/A 28738-2026 georefererad karta.tif", "A 28738-2026")</f>
        <v/>
      </c>
      <c r="AA48">
        <f>HYPERLINK("https://klasma.github.io/Logging_2085/klagomål/A 28738-2026 FSC-klagomål.docx", "A 28738-2026")</f>
        <v/>
      </c>
      <c r="AB48">
        <f>HYPERLINK("https://klasma.github.io/Logging_2085/klagomålsmail/A 28738-2026 FSC-klagomål mail.docx", "A 28738-2026")</f>
        <v/>
      </c>
      <c r="AC48">
        <f>HYPERLINK("https://klasma.github.io/Logging_2085/tillsyn/A 28738-2026 tillsynsbegäran.docx", "A 28738-2026")</f>
        <v/>
      </c>
      <c r="AD48">
        <f>HYPERLINK("https://klasma.github.io/Logging_2085/tillsynsmail/A 28738-2026 tillsynsbegäran mail.docx", "A 28738-2026")</f>
        <v/>
      </c>
      <c r="AE48">
        <f>HYPERLINK("https://klasma.github.io/Logging_2085/fåglar/A 28738-2026 prioriterade fågelarter.docx", "A 28738-2026")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46322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38635-2026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46283</v>
      </c>
      <c r="E50" s="1" t="n">
        <v>46322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2.2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Lunglav
Mörk husmossa
Vedticka
Vågbandad barkbock</t>
        </is>
      </c>
      <c r="W50">
        <f>HYPERLINK("https://klasma.github.io/Logging_2085/artfynd/A 38635-2026 artfynd.xlsx", "A 38635-2026")</f>
        <v/>
      </c>
      <c r="X50">
        <f>HYPERLINK("https://klasma.github.io/Logging_2085/kartor/A 38635-2026 karta.png", "A 38635-2026")</f>
        <v/>
      </c>
      <c r="Y50">
        <f>HYPERLINK("https://klasma.github.io/Logging_2085/kartor_geotiff/A 38635-2026 georefererad karta.tif", "A 38635-2026")</f>
        <v/>
      </c>
      <c r="AA50">
        <f>HYPERLINK("https://klasma.github.io/Logging_2085/klagomål/A 38635-2026 FSC-klagomål.docx", "A 38635-2026")</f>
        <v/>
      </c>
      <c r="AB50">
        <f>HYPERLINK("https://klasma.github.io/Logging_2085/klagomålsmail/A 38635-2026 FSC-klagomål mail.docx", "A 38635-2026")</f>
        <v/>
      </c>
      <c r="AC50">
        <f>HYPERLINK("https://klasma.github.io/Logging_2085/tillsyn/A 38635-2026 tillsynsbegäran.docx", "A 38635-2026")</f>
        <v/>
      </c>
      <c r="AD50">
        <f>HYPERLINK("https://klasma.github.io/Logging_2085/tillsynsmail/A 38635-2026 tillsynsbegäran mail.docx", "A 38635-2026")</f>
        <v/>
      </c>
    </row>
    <row r="51" ht="15" customHeight="1">
      <c r="A51" t="inlineStr">
        <is>
          <t>A 51928-2024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46322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27.9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Brunpudrad nållav
Gulnål
Kornig nållav
Vedticka</t>
        </is>
      </c>
      <c r="W51">
        <f>HYPERLINK("https://klasma.github.io/Logging_2085/artfynd/A 51928-2024 artfynd.xlsx", "A 51928-2024")</f>
        <v/>
      </c>
      <c r="X51">
        <f>HYPERLINK("https://klasma.github.io/Logging_2085/kartor/A 51928-2024 karta.png", "A 51928-2024")</f>
        <v/>
      </c>
      <c r="Y51">
        <f>HYPERLINK("https://klasma.github.io/Logging_2085/kartor_geotiff/A 51928-2024 georefererad karta.tif", "A 51928-2024")</f>
        <v/>
      </c>
      <c r="AA51">
        <f>HYPERLINK("https://klasma.github.io/Logging_2085/klagomål/A 51928-2024 FSC-klagomål.docx", "A 51928-2024")</f>
        <v/>
      </c>
      <c r="AB51">
        <f>HYPERLINK("https://klasma.github.io/Logging_2085/klagomålsmail/A 51928-2024 FSC-klagomål mail.docx", "A 51928-2024")</f>
        <v/>
      </c>
      <c r="AC51">
        <f>HYPERLINK("https://klasma.github.io/Logging_2085/tillsyn/A 51928-2024 tillsynsbegäran.docx", "A 51928-2024")</f>
        <v/>
      </c>
      <c r="AD51">
        <f>HYPERLINK("https://klasma.github.io/Logging_2085/tillsynsmail/A 51928-2024 tillsynsbegäran mail.docx", "A 51928-2024")</f>
        <v/>
      </c>
    </row>
    <row r="52" ht="15" customHeight="1">
      <c r="A52" t="inlineStr">
        <is>
          <t>A 49676-2024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45596</v>
      </c>
      <c r="E52" s="1" t="n">
        <v>46322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3.5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8</v>
      </c>
      <c r="U52" t="n">
        <v>8</v>
      </c>
      <c r="V52" s="2" t="inlineStr">
        <is>
          <t>Garnlav
Dropptaggsvamp
Järpe
Spillkråka</t>
        </is>
      </c>
      <c r="W52">
        <f>HYPERLINK("https://klasma.github.io/Logging_2085/artfynd/A 49676-2024 artfynd.xlsx", "A 49676-2024")</f>
        <v/>
      </c>
      <c r="X52">
        <f>HYPERLINK("https://klasma.github.io/Logging_2085/kartor/A 49676-2024 karta.png", "A 49676-2024")</f>
        <v/>
      </c>
      <c r="Y52">
        <f>HYPERLINK("https://klasma.github.io/Logging_2085/kartor_geotiff/A 49676-2024 georefererad karta.tif", "A 49676-2024")</f>
        <v/>
      </c>
      <c r="AA52">
        <f>HYPERLINK("https://klasma.github.io/Logging_2085/klagomål/A 49676-2024 FSC-klagomål.docx", "A 49676-2024")</f>
        <v/>
      </c>
      <c r="AB52">
        <f>HYPERLINK("https://klasma.github.io/Logging_2085/klagomålsmail/A 49676-2024 FSC-klagomål mail.docx", "A 49676-2024")</f>
        <v/>
      </c>
      <c r="AC52">
        <f>HYPERLINK("https://klasma.github.io/Logging_2085/tillsyn/A 49676-2024 tillsynsbegäran.docx", "A 49676-2024")</f>
        <v/>
      </c>
      <c r="AD52">
        <f>HYPERLINK("https://klasma.github.io/Logging_2085/tillsynsmail/A 49676-2024 tillsynsbegäran mail.docx", "A 49676-2024")</f>
        <v/>
      </c>
      <c r="AE52">
        <f>HYPERLINK("https://klasma.github.io/Logging_2085/fåglar/A 49676-2024 prioriterade fågelarter.docx", "A 49676-2024")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46322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47044-2025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45929</v>
      </c>
      <c r="E54" s="1" t="n">
        <v>46322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2.7</v>
      </c>
      <c r="J54" t="n">
        <v>4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Duvhök
Tretåig hackspett
Järpe
Tjäder</t>
        </is>
      </c>
      <c r="W54">
        <f>HYPERLINK("https://klasma.github.io/Logging_2085/artfynd/A 47044-2025 artfynd.xlsx", "A 47044-2025")</f>
        <v/>
      </c>
      <c r="X54">
        <f>HYPERLINK("https://klasma.github.io/Logging_2085/kartor/A 47044-2025 karta.png", "A 47044-2025")</f>
        <v/>
      </c>
      <c r="Y54">
        <f>HYPERLINK("https://klasma.github.io/Logging_2085/kartor_geotiff/A 47044-2025 georefererad karta.tif", "A 47044-2025")</f>
        <v/>
      </c>
      <c r="AA54">
        <f>HYPERLINK("https://klasma.github.io/Logging_2085/klagomål/A 47044-2025 FSC-klagomål.docx", "A 47044-2025")</f>
        <v/>
      </c>
      <c r="AB54">
        <f>HYPERLINK("https://klasma.github.io/Logging_2085/klagomålsmail/A 47044-2025 FSC-klagomål mail.docx", "A 47044-2025")</f>
        <v/>
      </c>
      <c r="AC54">
        <f>HYPERLINK("https://klasma.github.io/Logging_2085/tillsyn/A 47044-2025 tillsynsbegäran.docx", "A 47044-2025")</f>
        <v/>
      </c>
      <c r="AD54">
        <f>HYPERLINK("https://klasma.github.io/Logging_2085/tillsynsmail/A 47044-2025 tillsynsbegäran mail.docx", "A 47044-2025")</f>
        <v/>
      </c>
      <c r="AE54">
        <f>HYPERLINK("https://klasma.github.io/Logging_2085/fåglar/A 47044-2025 prioriterade fågelarter.docx", "A 47044-2025")</f>
        <v/>
      </c>
    </row>
    <row r="55" ht="15" customHeight="1">
      <c r="A55" t="inlineStr">
        <is>
          <t>A 35101-2026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46260</v>
      </c>
      <c r="E55" s="1" t="n">
        <v>46322</v>
      </c>
      <c r="F55" t="inlineStr">
        <is>
          <t>DALARNAS LÄN</t>
        </is>
      </c>
      <c r="G55" t="inlineStr">
        <is>
          <t>LUDVIKA</t>
        </is>
      </c>
      <c r="I55" t="n">
        <v>2.3</v>
      </c>
      <c r="J55" t="n">
        <v>3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7</v>
      </c>
      <c r="U55" t="n">
        <v>7</v>
      </c>
      <c r="V55" s="2" t="inlineStr">
        <is>
          <t>Tretåig hackspett
Rödgul trumpetsvamp
Järpe
Spillkråka</t>
        </is>
      </c>
      <c r="W55">
        <f>HYPERLINK("https://klasma.github.io/Logging_2085/artfynd/A 35101-2026 artfynd.xlsx", "A 35101-2026")</f>
        <v/>
      </c>
      <c r="X55">
        <f>HYPERLINK("https://klasma.github.io/Logging_2085/kartor/A 35101-2026 karta.png", "A 35101-2026")</f>
        <v/>
      </c>
      <c r="Y55">
        <f>HYPERLINK("https://klasma.github.io/Logging_2085/kartor_geotiff/A 35101-2026 georefererad karta.tif", "A 35101-2026")</f>
        <v/>
      </c>
      <c r="AA55">
        <f>HYPERLINK("https://klasma.github.io/Logging_2085/klagomål/A 35101-2026 FSC-klagomål.docx", "A 35101-2026")</f>
        <v/>
      </c>
      <c r="AB55">
        <f>HYPERLINK("https://klasma.github.io/Logging_2085/klagomålsmail/A 35101-2026 FSC-klagomål mail.docx", "A 35101-2026")</f>
        <v/>
      </c>
      <c r="AC55">
        <f>HYPERLINK("https://klasma.github.io/Logging_2085/tillsyn/A 35101-2026 tillsynsbegäran.docx", "A 35101-2026")</f>
        <v/>
      </c>
      <c r="AD55">
        <f>HYPERLINK("https://klasma.github.io/Logging_2085/tillsynsmail/A 35101-2026 tillsynsbegäran mail.docx", "A 35101-2026")</f>
        <v/>
      </c>
      <c r="AE55">
        <f>HYPERLINK("https://klasma.github.io/Logging_2085/fåglar/A 35101-2026 prioriterade fågelarter.docx", "A 35101-2026")</f>
        <v/>
      </c>
    </row>
    <row r="56" ht="15" customHeight="1">
      <c r="A56" t="inlineStr">
        <is>
          <t>A 23682-2026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46322</v>
      </c>
      <c r="F56" t="inlineStr">
        <is>
          <t>DALARNAS LÄN</t>
        </is>
      </c>
      <c r="G56" t="inlineStr">
        <is>
          <t>LUDVIKA</t>
        </is>
      </c>
      <c r="I56" t="n">
        <v>3.9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5</v>
      </c>
      <c r="U56" t="n">
        <v>5</v>
      </c>
      <c r="V56" s="2" t="inlineStr">
        <is>
          <t>Vårärt
Järpe
Spillkråka
Tjäder</t>
        </is>
      </c>
      <c r="W56">
        <f>HYPERLINK("https://klasma.github.io/Logging_2085/artfynd/A 23682-2026 artfynd.xlsx", "A 23682-2026")</f>
        <v/>
      </c>
      <c r="X56">
        <f>HYPERLINK("https://klasma.github.io/Logging_2085/kartor/A 23682-2026 karta.png", "A 23682-2026")</f>
        <v/>
      </c>
      <c r="Y56">
        <f>HYPERLINK("https://klasma.github.io/Logging_2085/kartor_geotiff/A 23682-2026 georefererad karta.tif", "A 23682-2026")</f>
        <v/>
      </c>
      <c r="AA56">
        <f>HYPERLINK("https://klasma.github.io/Logging_2085/klagomål/A 23682-2026 FSC-klagomål.docx", "A 23682-2026")</f>
        <v/>
      </c>
      <c r="AB56">
        <f>HYPERLINK("https://klasma.github.io/Logging_2085/klagomålsmail/A 23682-2026 FSC-klagomål mail.docx", "A 23682-2026")</f>
        <v/>
      </c>
      <c r="AC56">
        <f>HYPERLINK("https://klasma.github.io/Logging_2085/tillsyn/A 23682-2026 tillsynsbegäran.docx", "A 23682-2026")</f>
        <v/>
      </c>
      <c r="AD56">
        <f>HYPERLINK("https://klasma.github.io/Logging_2085/tillsynsmail/A 23682-2026 tillsynsbegäran mail.docx", "A 23682-2026")</f>
        <v/>
      </c>
      <c r="AE56">
        <f>HYPERLINK("https://klasma.github.io/Logging_2085/fåglar/A 23682-2026 prioriterade fågelarter.docx", "A 23682-2026")</f>
        <v/>
      </c>
    </row>
    <row r="57" ht="15" customHeight="1">
      <c r="A57" t="inlineStr">
        <is>
          <t>A 11705-2024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46322</v>
      </c>
      <c r="F57" t="inlineStr">
        <is>
          <t>DALARNAS LÄN</t>
        </is>
      </c>
      <c r="G57" t="inlineStr">
        <is>
          <t>LUDVIKA</t>
        </is>
      </c>
      <c r="I57" t="n">
        <v>35.4</v>
      </c>
      <c r="J57" t="n">
        <v>2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4</v>
      </c>
      <c r="T57" t="n">
        <v>45</v>
      </c>
      <c r="U57" t="n">
        <v>45</v>
      </c>
      <c r="V57" s="2" t="inlineStr">
        <is>
          <t>Garnlav
Kortskaftad ärgspik
Tretåig hackspett
Spillkråka</t>
        </is>
      </c>
      <c r="W57">
        <f>HYPERLINK("https://klasma.github.io/Logging_2085/artfynd/A 11705-2024 artfynd.xlsx", "A 11705-2024")</f>
        <v/>
      </c>
      <c r="X57">
        <f>HYPERLINK("https://klasma.github.io/Logging_2085/kartor/A 11705-2024 karta.png", "A 11705-2024")</f>
        <v/>
      </c>
      <c r="Y57">
        <f>HYPERLINK("https://klasma.github.io/Logging_2085/kartor_geotiff/A 11705-2024 georefererad karta.tif", "A 11705-2024")</f>
        <v/>
      </c>
      <c r="AA57">
        <f>HYPERLINK("https://klasma.github.io/Logging_2085/klagomål/A 11705-2024 FSC-klagomål.docx", "A 11705-2024")</f>
        <v/>
      </c>
      <c r="AB57">
        <f>HYPERLINK("https://klasma.github.io/Logging_2085/klagomålsmail/A 11705-2024 FSC-klagomål mail.docx", "A 11705-2024")</f>
        <v/>
      </c>
      <c r="AC57">
        <f>HYPERLINK("https://klasma.github.io/Logging_2085/tillsyn/A 11705-2024 tillsynsbegäran.docx", "A 11705-2024")</f>
        <v/>
      </c>
      <c r="AD57">
        <f>HYPERLINK("https://klasma.github.io/Logging_2085/tillsynsmail/A 11705-2024 tillsynsbegäran mail.docx", "A 11705-2024")</f>
        <v/>
      </c>
      <c r="AE57">
        <f>HYPERLINK("https://klasma.github.io/Logging_2085/fåglar/A 11705-2024 prioriterade fågelarter.docx", "A 11705-2024")</f>
        <v/>
      </c>
    </row>
    <row r="58" ht="15" customHeight="1">
      <c r="A58" t="inlineStr">
        <is>
          <t>A 22589-2026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46155</v>
      </c>
      <c r="E58" s="1" t="n">
        <v>46322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3.7</v>
      </c>
      <c r="J58" t="n">
        <v>3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5</v>
      </c>
      <c r="U58" t="n">
        <v>5</v>
      </c>
      <c r="V58" s="2" t="inlineStr">
        <is>
          <t>Garnlav
Järpe
Spillkråka
Tjäder</t>
        </is>
      </c>
      <c r="W58">
        <f>HYPERLINK("https://klasma.github.io/Logging_2085/artfynd/A 22589-2026 artfynd.xlsx", "A 22589-2026")</f>
        <v/>
      </c>
      <c r="X58">
        <f>HYPERLINK("https://klasma.github.io/Logging_2085/kartor/A 22589-2026 karta.png", "A 22589-2026")</f>
        <v/>
      </c>
      <c r="Y58">
        <f>HYPERLINK("https://klasma.github.io/Logging_2085/kartor_geotiff/A 22589-2026 georefererad karta.tif", "A 22589-2026")</f>
        <v/>
      </c>
      <c r="AA58">
        <f>HYPERLINK("https://klasma.github.io/Logging_2085/klagomål/A 22589-2026 FSC-klagomål.docx", "A 22589-2026")</f>
        <v/>
      </c>
      <c r="AB58">
        <f>HYPERLINK("https://klasma.github.io/Logging_2085/klagomålsmail/A 22589-2026 FSC-klagomål mail.docx", "A 22589-2026")</f>
        <v/>
      </c>
      <c r="AC58">
        <f>HYPERLINK("https://klasma.github.io/Logging_2085/tillsyn/A 22589-2026 tillsynsbegäran.docx", "A 22589-2026")</f>
        <v/>
      </c>
      <c r="AD58">
        <f>HYPERLINK("https://klasma.github.io/Logging_2085/tillsynsmail/A 22589-2026 tillsynsbegäran mail.docx", "A 22589-2026")</f>
        <v/>
      </c>
      <c r="AE58">
        <f>HYPERLINK("https://klasma.github.io/Logging_2085/fåglar/A 22589-2026 prioriterade fågelarter.docx", "A 22589-2026")</f>
        <v/>
      </c>
    </row>
    <row r="59" ht="15" customHeight="1">
      <c r="A59" t="inlineStr">
        <is>
          <t>A 35100-2026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46260</v>
      </c>
      <c r="E59" s="1" t="n">
        <v>46322</v>
      </c>
      <c r="F59" t="inlineStr">
        <is>
          <t>DALARNAS LÄN</t>
        </is>
      </c>
      <c r="G59" t="inlineStr">
        <is>
          <t>LUDVIKA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8</v>
      </c>
      <c r="U59" t="n">
        <v>8</v>
      </c>
      <c r="V59" s="2" t="inlineStr">
        <is>
          <t>Knärot
Trådticka
Spillkråka
Sälg</t>
        </is>
      </c>
      <c r="W59">
        <f>HYPERLINK("https://klasma.github.io/Logging_2085/artfynd/A 35100-2026 artfynd.xlsx", "A 35100-2026")</f>
        <v/>
      </c>
      <c r="X59">
        <f>HYPERLINK("https://klasma.github.io/Logging_2085/kartor/A 35100-2026 karta.png", "A 35100-2026")</f>
        <v/>
      </c>
      <c r="Y59">
        <f>HYPERLINK("https://klasma.github.io/Logging_2085/kartor_geotiff/A 35100-2026 georefererad karta.tif", "A 35100-2026")</f>
        <v/>
      </c>
      <c r="Z59">
        <f>HYPERLINK("https://klasma.github.io/Logging_2085/knärot/A 35100-2026 karta knärot.png", "A 35100-2026")</f>
        <v/>
      </c>
      <c r="AA59">
        <f>HYPERLINK("https://klasma.github.io/Logging_2085/klagomål/A 35100-2026 FSC-klagomål.docx", "A 35100-2026")</f>
        <v/>
      </c>
      <c r="AB59">
        <f>HYPERLINK("https://klasma.github.io/Logging_2085/klagomålsmail/A 35100-2026 FSC-klagomål mail.docx", "A 35100-2026")</f>
        <v/>
      </c>
      <c r="AC59">
        <f>HYPERLINK("https://klasma.github.io/Logging_2085/tillsyn/A 35100-2026 tillsynsbegäran.docx", "A 35100-2026")</f>
        <v/>
      </c>
      <c r="AD59">
        <f>HYPERLINK("https://klasma.github.io/Logging_2085/tillsynsmail/A 35100-2026 tillsynsbegäran mail.docx", "A 35100-2026")</f>
        <v/>
      </c>
      <c r="AE59">
        <f>HYPERLINK("https://klasma.github.io/Logging_2085/fåglar/A 35100-2026 prioriterade fågelarter.docx", "A 35100-2026")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46322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46322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29144-2023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45105</v>
      </c>
      <c r="E62" s="1" t="n">
        <v>46322</v>
      </c>
      <c r="F62" t="inlineStr">
        <is>
          <t>DALARNAS LÄN</t>
        </is>
      </c>
      <c r="G62" t="inlineStr">
        <is>
          <t>LUDVIKA</t>
        </is>
      </c>
      <c r="H62" t="inlineStr">
        <is>
          <t>Allmännings- och besparingsskogar</t>
        </is>
      </c>
      <c r="I62" t="n">
        <v>6.2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14</v>
      </c>
      <c r="U62" t="n">
        <v>0</v>
      </c>
      <c r="V62" s="2" t="inlineStr">
        <is>
          <t>Garnlav
Knärot
Brunklöver</t>
        </is>
      </c>
      <c r="W62">
        <f>HYPERLINK("https://klasma.github.io/Logging_2085/artfynd/A 29144-2023 artfynd.xlsx", "A 29144-2023")</f>
        <v/>
      </c>
      <c r="X62">
        <f>HYPERLINK("https://klasma.github.io/Logging_2085/kartor/A 29144-2023 karta.png", "A 29144-2023")</f>
        <v/>
      </c>
      <c r="Y62">
        <f>HYPERLINK("https://klasma.github.io/Logging_2085/kartor_geotiff/A 29144-2023 georefererad karta.tif", "A 29144-2023")</f>
        <v/>
      </c>
      <c r="Z62">
        <f>HYPERLINK("https://klasma.github.io/Logging_2085/knärot/A 29144-2023 karta knärot.png", "A 29144-2023")</f>
        <v/>
      </c>
      <c r="AA62">
        <f>HYPERLINK("https://klasma.github.io/Logging_2085/klagomål/A 29144-2023 FSC-klagomål.docx", "A 29144-2023")</f>
        <v/>
      </c>
      <c r="AB62">
        <f>HYPERLINK("https://klasma.github.io/Logging_2085/klagomålsmail/A 29144-2023 FSC-klagomål mail.docx", "A 29144-2023")</f>
        <v/>
      </c>
      <c r="AC62">
        <f>HYPERLINK("https://klasma.github.io/Logging_2085/tillsyn/A 29144-2023 tillsynsbegäran.docx", "A 29144-2023")</f>
        <v/>
      </c>
      <c r="AD62">
        <f>HYPERLINK("https://klasma.github.io/Logging_2085/tillsynsmail/A 29144-2023 tillsynsbegäran mail.docx", "A 29144-2023")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46322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A 74432-2021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44560</v>
      </c>
      <c r="E64" s="1" t="n">
        <v>46322</v>
      </c>
      <c r="F64" t="inlineStr">
        <is>
          <t>DALARNAS LÄN</t>
        </is>
      </c>
      <c r="G64" t="inlineStr">
        <is>
          <t>LUDVIKA</t>
        </is>
      </c>
      <c r="H64" t="inlineStr">
        <is>
          <t>Kommuner</t>
        </is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Spillkråka
Gröngöling
Kungsfågel</t>
        </is>
      </c>
      <c r="W64">
        <f>HYPERLINK("https://klasma.github.io/Logging_2085/artfynd/A 74432-2021 artfynd.xlsx", "A 74432-2021")</f>
        <v/>
      </c>
      <c r="X64">
        <f>HYPERLINK("https://klasma.github.io/Logging_2085/kartor/A 74432-2021 karta.png", "A 74432-2021")</f>
        <v/>
      </c>
      <c r="Y64">
        <f>HYPERLINK("https://klasma.github.io/Logging_2085/kartor_geotiff/A 74432-2021 georefererad karta.tif", "A 74432-2021")</f>
        <v/>
      </c>
      <c r="AA64">
        <f>HYPERLINK("https://klasma.github.io/Logging_2085/klagomål/A 74432-2021 FSC-klagomål.docx", "A 74432-2021")</f>
        <v/>
      </c>
      <c r="AB64">
        <f>HYPERLINK("https://klasma.github.io/Logging_2085/klagomålsmail/A 74432-2021 FSC-klagomål mail.docx", "A 74432-2021")</f>
        <v/>
      </c>
      <c r="AC64">
        <f>HYPERLINK("https://klasma.github.io/Logging_2085/tillsyn/A 74432-2021 tillsynsbegäran.docx", "A 74432-2021")</f>
        <v/>
      </c>
      <c r="AD64">
        <f>HYPERLINK("https://klasma.github.io/Logging_2085/tillsynsmail/A 74432-2021 tillsynsbegäran mail.docx", "A 74432-2021")</f>
        <v/>
      </c>
      <c r="AE64">
        <f>HYPERLINK("https://klasma.github.io/Logging_2085/fåglar/A 74432-2021 prioriterade fågelarter.docx", "A 74432-2021")</f>
        <v/>
      </c>
    </row>
    <row r="65" ht="15" customHeight="1">
      <c r="A65" t="inlineStr">
        <is>
          <t>A 18759-2026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46322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3.5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11</v>
      </c>
      <c r="U65" t="n">
        <v>0</v>
      </c>
      <c r="V65" s="2" t="inlineStr">
        <is>
          <t>Knärot
Dropptaggsvamp
Nattviol</t>
        </is>
      </c>
      <c r="W65">
        <f>HYPERLINK("https://klasma.github.io/Logging_2085/artfynd/A 18759-2026 artfynd.xlsx", "A 18759-2026")</f>
        <v/>
      </c>
      <c r="X65">
        <f>HYPERLINK("https://klasma.github.io/Logging_2085/kartor/A 18759-2026 karta.png", "A 18759-2026")</f>
        <v/>
      </c>
      <c r="Y65">
        <f>HYPERLINK("https://klasma.github.io/Logging_2085/kartor_geotiff/A 18759-2026 georefererad karta.tif", "A 18759-2026")</f>
        <v/>
      </c>
      <c r="Z65">
        <f>HYPERLINK("https://klasma.github.io/Logging_2085/knärot/A 18759-2026 karta knärot.png", "A 18759-2026")</f>
        <v/>
      </c>
      <c r="AA65">
        <f>HYPERLINK("https://klasma.github.io/Logging_2085/klagomål/A 18759-2026 FSC-klagomål.docx", "A 18759-2026")</f>
        <v/>
      </c>
      <c r="AB65">
        <f>HYPERLINK("https://klasma.github.io/Logging_2085/klagomålsmail/A 18759-2026 FSC-klagomål mail.docx", "A 18759-2026")</f>
        <v/>
      </c>
      <c r="AC65">
        <f>HYPERLINK("https://klasma.github.io/Logging_2085/tillsyn/A 18759-2026 tillsynsbegäran.docx", "A 18759-2026")</f>
        <v/>
      </c>
      <c r="AD65">
        <f>HYPERLINK("https://klasma.github.io/Logging_2085/tillsynsmail/A 18759-2026 tillsynsbegäran mail.docx", "A 18759-2026")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46322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24425-2026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46168</v>
      </c>
      <c r="E67" s="1" t="n">
        <v>46322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5.6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Tretåig hackspett
Spillkråka
Sälg</t>
        </is>
      </c>
      <c r="W67">
        <f>HYPERLINK("https://klasma.github.io/Logging_2085/artfynd/A 24425-2026 artfynd.xlsx", "A 24425-2026")</f>
        <v/>
      </c>
      <c r="X67">
        <f>HYPERLINK("https://klasma.github.io/Logging_2085/kartor/A 24425-2026 karta.png", "A 24425-2026")</f>
        <v/>
      </c>
      <c r="Y67">
        <f>HYPERLINK("https://klasma.github.io/Logging_2085/kartor_geotiff/A 24425-2026 georefererad karta.tif", "A 24425-2026")</f>
        <v/>
      </c>
      <c r="AA67">
        <f>HYPERLINK("https://klasma.github.io/Logging_2085/klagomål/A 24425-2026 FSC-klagomål.docx", "A 24425-2026")</f>
        <v/>
      </c>
      <c r="AB67">
        <f>HYPERLINK("https://klasma.github.io/Logging_2085/klagomålsmail/A 24425-2026 FSC-klagomål mail.docx", "A 24425-2026")</f>
        <v/>
      </c>
      <c r="AC67">
        <f>HYPERLINK("https://klasma.github.io/Logging_2085/tillsyn/A 24425-2026 tillsynsbegäran.docx", "A 24425-2026")</f>
        <v/>
      </c>
      <c r="AD67">
        <f>HYPERLINK("https://klasma.github.io/Logging_2085/tillsynsmail/A 24425-2026 tillsynsbegäran mail.docx", "A 24425-2026")</f>
        <v/>
      </c>
      <c r="AE67">
        <f>HYPERLINK("https://klasma.github.io/Logging_2085/fåglar/A 24425-2026 prioriterade fågelarter.docx", "A 24425-2026")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46322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46322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46322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44262-2025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46322</v>
      </c>
      <c r="F71" t="inlineStr">
        <is>
          <t>DALARNAS LÄN</t>
        </is>
      </c>
      <c r="G71" t="inlineStr">
        <is>
          <t>LUDVIKA</t>
        </is>
      </c>
      <c r="I71" t="n">
        <v>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6</v>
      </c>
      <c r="U71" t="n">
        <v>0</v>
      </c>
      <c r="V71" s="2" t="inlineStr">
        <is>
          <t>Nordfladdermus
Fläcknycklar</t>
        </is>
      </c>
      <c r="W71">
        <f>HYPERLINK("https://klasma.github.io/Logging_2085/artfynd/A 44262-2025 artfynd.xlsx", "A 44262-2025")</f>
        <v/>
      </c>
      <c r="X71">
        <f>HYPERLINK("https://klasma.github.io/Logging_2085/kartor/A 44262-2025 karta.png", "A 44262-2025")</f>
        <v/>
      </c>
      <c r="Y71">
        <f>HYPERLINK("https://klasma.github.io/Logging_2085/kartor_geotiff/A 44262-2025 georefererad karta.tif", "A 44262-2025")</f>
        <v/>
      </c>
      <c r="AA71">
        <f>HYPERLINK("https://klasma.github.io/Logging_2085/klagomål/A 44262-2025 FSC-klagomål.docx", "A 44262-2025")</f>
        <v/>
      </c>
      <c r="AB71">
        <f>HYPERLINK("https://klasma.github.io/Logging_2085/klagomålsmail/A 44262-2025 FSC-klagomål mail.docx", "A 44262-2025")</f>
        <v/>
      </c>
      <c r="AC71">
        <f>HYPERLINK("https://klasma.github.io/Logging_2085/tillsyn/A 44262-2025 tillsynsbegäran.docx", "A 44262-2025")</f>
        <v/>
      </c>
      <c r="AD71">
        <f>HYPERLINK("https://klasma.github.io/Logging_2085/tillsynsmail/A 44262-2025 tillsynsbegäran mail.docx", "A 44262-2025")</f>
        <v/>
      </c>
    </row>
    <row r="72" ht="15" customHeight="1">
      <c r="A72" t="inlineStr">
        <is>
          <t>A 45791-2025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46322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3.2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Vitfläckig guldvinge
Fläcknycklar</t>
        </is>
      </c>
      <c r="W72">
        <f>HYPERLINK("https://klasma.github.io/Logging_2085/artfynd/A 45791-2025 artfynd.xlsx", "A 45791-2025")</f>
        <v/>
      </c>
      <c r="X72">
        <f>HYPERLINK("https://klasma.github.io/Logging_2085/kartor/A 45791-2025 karta.png", "A 45791-2025")</f>
        <v/>
      </c>
      <c r="Y72">
        <f>HYPERLINK("https://klasma.github.io/Logging_2085/kartor_geotiff/A 45791-2025 georefererad karta.tif", "A 45791-2025")</f>
        <v/>
      </c>
      <c r="AA72">
        <f>HYPERLINK("https://klasma.github.io/Logging_2085/klagomål/A 45791-2025 FSC-klagomål.docx", "A 45791-2025")</f>
        <v/>
      </c>
      <c r="AB72">
        <f>HYPERLINK("https://klasma.github.io/Logging_2085/klagomålsmail/A 45791-2025 FSC-klagomål mail.docx", "A 45791-2025")</f>
        <v/>
      </c>
      <c r="AC72">
        <f>HYPERLINK("https://klasma.github.io/Logging_2085/tillsyn/A 45791-2025 tillsynsbegäran.docx", "A 45791-2025")</f>
        <v/>
      </c>
      <c r="AD72">
        <f>HYPERLINK("https://klasma.github.io/Logging_2085/tillsynsmail/A 45791-2025 tillsynsbegäran mail.docx", "A 45791-2025")</f>
        <v/>
      </c>
    </row>
    <row r="73" ht="15" customHeight="1">
      <c r="A73" t="inlineStr">
        <is>
          <t>A 49767-2025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45940</v>
      </c>
      <c r="E73" s="1" t="n">
        <v>46322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2.5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4</v>
      </c>
      <c r="U73" t="n">
        <v>4</v>
      </c>
      <c r="V73" s="2" t="inlineStr">
        <is>
          <t>Garnlav
Tretåig hackspett</t>
        </is>
      </c>
      <c r="W73">
        <f>HYPERLINK("https://klasma.github.io/Logging_2085/artfynd/A 49767-2025 artfynd.xlsx", "A 49767-2025")</f>
        <v/>
      </c>
      <c r="X73">
        <f>HYPERLINK("https://klasma.github.io/Logging_2085/kartor/A 49767-2025 karta.png", "A 49767-2025")</f>
        <v/>
      </c>
      <c r="Y73">
        <f>HYPERLINK("https://klasma.github.io/Logging_2085/kartor_geotiff/A 49767-2025 georefererad karta.tif", "A 49767-2025")</f>
        <v/>
      </c>
      <c r="AA73">
        <f>HYPERLINK("https://klasma.github.io/Logging_2085/klagomål/A 49767-2025 FSC-klagomål.docx", "A 49767-2025")</f>
        <v/>
      </c>
      <c r="AB73">
        <f>HYPERLINK("https://klasma.github.io/Logging_2085/klagomålsmail/A 49767-2025 FSC-klagomål mail.docx", "A 49767-2025")</f>
        <v/>
      </c>
      <c r="AC73">
        <f>HYPERLINK("https://klasma.github.io/Logging_2085/tillsyn/A 49767-2025 tillsynsbegäran.docx", "A 49767-2025")</f>
        <v/>
      </c>
      <c r="AD73">
        <f>HYPERLINK("https://klasma.github.io/Logging_2085/tillsynsmail/A 49767-2025 tillsynsbegäran mail.docx", "A 49767-2025")</f>
        <v/>
      </c>
      <c r="AE73">
        <f>HYPERLINK("https://klasma.github.io/Logging_2085/fåglar/A 49767-2025 prioriterade fågelarter.docx", "A 49767-2025")</f>
        <v/>
      </c>
    </row>
    <row r="74" ht="15" customHeight="1">
      <c r="A74" t="inlineStr">
        <is>
          <t>A 50170-2025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46322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Labyrintlav
Gulnål</t>
        </is>
      </c>
      <c r="W74">
        <f>HYPERLINK("https://klasma.github.io/Logging_2085/artfynd/A 50170-2025 artfynd.xlsx", "A 50170-2025")</f>
        <v/>
      </c>
      <c r="X74">
        <f>HYPERLINK("https://klasma.github.io/Logging_2085/kartor/A 50170-2025 karta.png", "A 50170-2025")</f>
        <v/>
      </c>
      <c r="Y74">
        <f>HYPERLINK("https://klasma.github.io/Logging_2085/kartor_geotiff/A 50170-2025 georefererad karta.tif", "A 50170-2025")</f>
        <v/>
      </c>
      <c r="AA74">
        <f>HYPERLINK("https://klasma.github.io/Logging_2085/klagomål/A 50170-2025 FSC-klagomål.docx", "A 50170-2025")</f>
        <v/>
      </c>
      <c r="AB74">
        <f>HYPERLINK("https://klasma.github.io/Logging_2085/klagomålsmail/A 50170-2025 FSC-klagomål mail.docx", "A 50170-2025")</f>
        <v/>
      </c>
      <c r="AC74">
        <f>HYPERLINK("https://klasma.github.io/Logging_2085/tillsyn/A 50170-2025 tillsynsbegäran.docx", "A 50170-2025")</f>
        <v/>
      </c>
      <c r="AD74">
        <f>HYPERLINK("https://klasma.github.io/Logging_2085/tillsynsmail/A 50170-2025 tillsynsbegäran mail.docx", "A 50170-2025")</f>
        <v/>
      </c>
    </row>
    <row r="75" ht="15" customHeight="1">
      <c r="A75" t="inlineStr">
        <is>
          <t>A 33155-2024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45518</v>
      </c>
      <c r="E75" s="1" t="n">
        <v>46322</v>
      </c>
      <c r="F75" t="inlineStr">
        <is>
          <t>DALARNAS LÄN</t>
        </is>
      </c>
      <c r="G75" t="inlineStr">
        <is>
          <t>LUDVIKA</t>
        </is>
      </c>
      <c r="I75" t="n">
        <v>2.9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Brunpudrad nållav
Tretåig hackspett</t>
        </is>
      </c>
      <c r="W75">
        <f>HYPERLINK("https://klasma.github.io/Logging_2085/artfynd/A 33155-2024 artfynd.xlsx", "A 33155-2024")</f>
        <v/>
      </c>
      <c r="X75">
        <f>HYPERLINK("https://klasma.github.io/Logging_2085/kartor/A 33155-2024 karta.png", "A 33155-2024")</f>
        <v/>
      </c>
      <c r="Y75">
        <f>HYPERLINK("https://klasma.github.io/Logging_2085/kartor_geotiff/A 33155-2024 georefererad karta.tif", "A 33155-2024")</f>
        <v/>
      </c>
      <c r="AA75">
        <f>HYPERLINK("https://klasma.github.io/Logging_2085/klagomål/A 33155-2024 FSC-klagomål.docx", "A 33155-2024")</f>
        <v/>
      </c>
      <c r="AB75">
        <f>HYPERLINK("https://klasma.github.io/Logging_2085/klagomålsmail/A 33155-2024 FSC-klagomål mail.docx", "A 33155-2024")</f>
        <v/>
      </c>
      <c r="AC75">
        <f>HYPERLINK("https://klasma.github.io/Logging_2085/tillsyn/A 33155-2024 tillsynsbegäran.docx", "A 33155-2024")</f>
        <v/>
      </c>
      <c r="AD75">
        <f>HYPERLINK("https://klasma.github.io/Logging_2085/tillsynsmail/A 33155-2024 tillsynsbegäran mail.docx", "A 33155-2024")</f>
        <v/>
      </c>
      <c r="AE75">
        <f>HYPERLINK("https://klasma.github.io/Logging_2085/fåglar/A 33155-2024 prioriterade fågelarter.docx", "A 33155-2024")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46322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42558-2022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44831</v>
      </c>
      <c r="E77" s="1" t="n">
        <v>46322</v>
      </c>
      <c r="F77" t="inlineStr">
        <is>
          <t>DALARNAS LÄN</t>
        </is>
      </c>
      <c r="G77" t="inlineStr">
        <is>
          <t>LUDVIKA</t>
        </is>
      </c>
      <c r="H77" t="inlineStr">
        <is>
          <t>Naturvårdsverket</t>
        </is>
      </c>
      <c r="I77" t="n">
        <v>4.9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Gräddporing
Lopplummer (aggregat)</t>
        </is>
      </c>
      <c r="W77">
        <f>HYPERLINK("https://klasma.github.io/Logging_2085/artfynd/A 42558-2022 artfynd.xlsx", "A 42558-2022")</f>
        <v/>
      </c>
      <c r="X77">
        <f>HYPERLINK("https://klasma.github.io/Logging_2085/kartor/A 42558-2022 karta.png", "A 42558-2022")</f>
        <v/>
      </c>
      <c r="Y77">
        <f>HYPERLINK("https://klasma.github.io/Logging_2085/kartor_geotiff/A 42558-2022 georefererad karta.tif", "A 42558-2022")</f>
        <v/>
      </c>
      <c r="AA77">
        <f>HYPERLINK("https://klasma.github.io/Logging_2085/klagomål/A 42558-2022 FSC-klagomål.docx", "A 42558-2022")</f>
        <v/>
      </c>
      <c r="AB77">
        <f>HYPERLINK("https://klasma.github.io/Logging_2085/klagomålsmail/A 42558-2022 FSC-klagomål mail.docx", "A 42558-2022")</f>
        <v/>
      </c>
      <c r="AC77">
        <f>HYPERLINK("https://klasma.github.io/Logging_2085/tillsyn/A 42558-2022 tillsynsbegäran.docx", "A 42558-2022")</f>
        <v/>
      </c>
      <c r="AD77">
        <f>HYPERLINK("https://klasma.github.io/Logging_2085/tillsynsmail/A 42558-2022 tillsynsbegäran mail.docx", "A 42558-2022")</f>
        <v/>
      </c>
    </row>
    <row r="78" ht="15" customHeight="1">
      <c r="A78" t="inlineStr">
        <is>
          <t>A 28727-2026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46198</v>
      </c>
      <c r="E78" s="1" t="n">
        <v>46322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14</v>
      </c>
      <c r="J78" t="n">
        <v>0</v>
      </c>
      <c r="K78" t="n">
        <v>1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Mindre märgborre</t>
        </is>
      </c>
      <c r="W78">
        <f>HYPERLINK("https://klasma.github.io/Logging_2085/artfynd/A 28727-2026 artfynd.xlsx", "A 28727-2026")</f>
        <v/>
      </c>
      <c r="X78">
        <f>HYPERLINK("https://klasma.github.io/Logging_2085/kartor/A 28727-2026 karta.png", "A 28727-2026")</f>
        <v/>
      </c>
      <c r="Y78">
        <f>HYPERLINK("https://klasma.github.io/Logging_2085/kartor_geotiff/A 28727-2026 georefererad karta.tif", "A 28727-2026")</f>
        <v/>
      </c>
      <c r="AA78">
        <f>HYPERLINK("https://klasma.github.io/Logging_2085/klagomål/A 28727-2026 FSC-klagomål.docx", "A 28727-2026")</f>
        <v/>
      </c>
      <c r="AB78">
        <f>HYPERLINK("https://klasma.github.io/Logging_2085/klagomålsmail/A 28727-2026 FSC-klagomål mail.docx", "A 28727-2026")</f>
        <v/>
      </c>
      <c r="AC78">
        <f>HYPERLINK("https://klasma.github.io/Logging_2085/tillsyn/A 28727-2026 tillsynsbegäran.docx", "A 28727-2026")</f>
        <v/>
      </c>
      <c r="AD78">
        <f>HYPERLINK("https://klasma.github.io/Logging_2085/tillsynsmail/A 28727-2026 tillsynsbegäran mail.docx", "A 28727-2026")</f>
        <v/>
      </c>
    </row>
    <row r="79" ht="15" customHeight="1">
      <c r="A79" t="inlineStr">
        <is>
          <t>A 55399-2025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46322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11.5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HYPERLINK("https://klasma.github.io/Logging_2085/artfynd/A 55399-2025 artfynd.xlsx", "A 55399-2025")</f>
        <v/>
      </c>
      <c r="X79">
        <f>HYPERLINK("https://klasma.github.io/Logging_2085/kartor/A 55399-2025 karta.png", "A 55399-2025")</f>
        <v/>
      </c>
      <c r="Y79">
        <f>HYPERLINK("https://klasma.github.io/Logging_2085/kartor_geotiff/A 55399-2025 georefererad karta.tif", "A 55399-2025")</f>
        <v/>
      </c>
      <c r="AA79">
        <f>HYPERLINK("https://klasma.github.io/Logging_2085/klagomål/A 55399-2025 FSC-klagomål.docx", "A 55399-2025")</f>
        <v/>
      </c>
      <c r="AB79">
        <f>HYPERLINK("https://klasma.github.io/Logging_2085/klagomålsmail/A 55399-2025 FSC-klagomål mail.docx", "A 55399-2025")</f>
        <v/>
      </c>
      <c r="AC79">
        <f>HYPERLINK("https://klasma.github.io/Logging_2085/tillsyn/A 55399-2025 tillsynsbegäran.docx", "A 55399-2025")</f>
        <v/>
      </c>
      <c r="AD79">
        <f>HYPERLINK("https://klasma.github.io/Logging_2085/tillsynsmail/A 55399-2025 tillsynsbegäran mail.docx", "A 55399-2025")</f>
        <v/>
      </c>
      <c r="AE79">
        <f>HYPERLINK("https://klasma.github.io/Logging_2085/fåglar/A 55399-2025 prioriterade fågelarter.docx", "A 55399-2025")</f>
        <v/>
      </c>
    </row>
    <row r="80" ht="15" customHeight="1">
      <c r="A80" t="inlineStr">
        <is>
          <t>A 21369-2023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45063</v>
      </c>
      <c r="E80" s="1" t="n">
        <v>46322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0.4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Skogsalm
Tibast</t>
        </is>
      </c>
      <c r="W80">
        <f>HYPERLINK("https://klasma.github.io/Logging_2085/artfynd/A 21369-2023 artfynd.xlsx", "A 21369-2023")</f>
        <v/>
      </c>
      <c r="X80">
        <f>HYPERLINK("https://klasma.github.io/Logging_2085/kartor/A 21369-2023 karta.png", "A 21369-2023")</f>
        <v/>
      </c>
      <c r="Y80">
        <f>HYPERLINK("https://klasma.github.io/Logging_2085/kartor_geotiff/A 21369-2023 georefererad karta.tif", "A 21369-2023")</f>
        <v/>
      </c>
      <c r="AA80">
        <f>HYPERLINK("https://klasma.github.io/Logging_2085/klagomål/A 21369-2023 FSC-klagomål.docx", "A 21369-2023")</f>
        <v/>
      </c>
      <c r="AB80">
        <f>HYPERLINK("https://klasma.github.io/Logging_2085/klagomålsmail/A 21369-2023 FSC-klagomål mail.docx", "A 21369-2023")</f>
        <v/>
      </c>
      <c r="AC80">
        <f>HYPERLINK("https://klasma.github.io/Logging_2085/tillsyn/A 21369-2023 tillsynsbegäran.docx", "A 21369-2023")</f>
        <v/>
      </c>
      <c r="AD80">
        <f>HYPERLINK("https://klasma.github.io/Logging_2085/tillsynsmail/A 21369-2023 tillsynsbegäran mail.docx", "A 21369-2023")</f>
        <v/>
      </c>
    </row>
    <row r="81" ht="15" customHeight="1">
      <c r="A81" t="inlineStr">
        <is>
          <t>A 62275-2022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46322</v>
      </c>
      <c r="F81" t="inlineStr">
        <is>
          <t>DALARNAS LÄN</t>
        </is>
      </c>
      <c r="G81" t="inlineStr">
        <is>
          <t>LUDVIKA</t>
        </is>
      </c>
      <c r="I81" t="n">
        <v>4.6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5</v>
      </c>
      <c r="U81" t="n">
        <v>5</v>
      </c>
      <c r="V81" s="2" t="inlineStr">
        <is>
          <t>Knärot
Brunklöver</t>
        </is>
      </c>
      <c r="W81">
        <f>HYPERLINK("https://klasma.github.io/Logging_2085/artfynd/A 62275-2022 artfynd.xlsx", "A 62275-2022")</f>
        <v/>
      </c>
      <c r="X81">
        <f>HYPERLINK("https://klasma.github.io/Logging_2085/kartor/A 62275-2022 karta.png", "A 62275-2022")</f>
        <v/>
      </c>
      <c r="Y81">
        <f>HYPERLINK("https://klasma.github.io/Logging_2085/kartor_geotiff/A 62275-2022 georefererad karta.tif", "A 62275-2022")</f>
        <v/>
      </c>
      <c r="Z81">
        <f>HYPERLINK("https://klasma.github.io/Logging_2085/knärot/A 62275-2022 karta knärot.png", "A 62275-2022")</f>
        <v/>
      </c>
      <c r="AA81">
        <f>HYPERLINK("https://klasma.github.io/Logging_2085/klagomål/A 62275-2022 FSC-klagomål.docx", "A 62275-2022")</f>
        <v/>
      </c>
      <c r="AB81">
        <f>HYPERLINK("https://klasma.github.io/Logging_2085/klagomålsmail/A 62275-2022 FSC-klagomål mail.docx", "A 62275-2022")</f>
        <v/>
      </c>
      <c r="AC81">
        <f>HYPERLINK("https://klasma.github.io/Logging_2085/tillsyn/A 62275-2022 tillsynsbegäran.docx", "A 62275-2022")</f>
        <v/>
      </c>
      <c r="AD81">
        <f>HYPERLINK("https://klasma.github.io/Logging_2085/tillsynsmail/A 62275-2022 tillsynsbegäran mail.docx", "A 62275-2022")</f>
        <v/>
      </c>
    </row>
    <row r="82" ht="15" customHeight="1">
      <c r="A82" t="inlineStr">
        <is>
          <t>A 28639-2026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46322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2.7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Blå taggsvamp
Motaggsvamp</t>
        </is>
      </c>
      <c r="W82">
        <f>HYPERLINK("https://klasma.github.io/Logging_2085/artfynd/A 28639-2026 artfynd.xlsx", "A 28639-2026")</f>
        <v/>
      </c>
      <c r="X82">
        <f>HYPERLINK("https://klasma.github.io/Logging_2085/kartor/A 28639-2026 karta.png", "A 28639-2026")</f>
        <v/>
      </c>
      <c r="Y82">
        <f>HYPERLINK("https://klasma.github.io/Logging_2085/kartor_geotiff/A 28639-2026 georefererad karta.tif", "A 28639-2026")</f>
        <v/>
      </c>
      <c r="AA82">
        <f>HYPERLINK("https://klasma.github.io/Logging_2085/klagomål/A 28639-2026 FSC-klagomål.docx", "A 28639-2026")</f>
        <v/>
      </c>
      <c r="AB82">
        <f>HYPERLINK("https://klasma.github.io/Logging_2085/klagomålsmail/A 28639-2026 FSC-klagomål mail.docx", "A 28639-2026")</f>
        <v/>
      </c>
      <c r="AC82">
        <f>HYPERLINK("https://klasma.github.io/Logging_2085/tillsyn/A 28639-2026 tillsynsbegäran.docx", "A 28639-2026")</f>
        <v/>
      </c>
      <c r="AD82">
        <f>HYPERLINK("https://klasma.github.io/Logging_2085/tillsynsmail/A 28639-2026 tillsynsbegäran mail.docx", "A 28639-2026")</f>
        <v/>
      </c>
    </row>
    <row r="83" ht="15" customHeight="1">
      <c r="A83" t="inlineStr">
        <is>
          <t>A 56879-2025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46322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Tjäder</t>
        </is>
      </c>
      <c r="W83">
        <f>HYPERLINK("https://klasma.github.io/Logging_2085/artfynd/A 56879-2025 artfynd.xlsx", "A 56879-2025")</f>
        <v/>
      </c>
      <c r="X83">
        <f>HYPERLINK("https://klasma.github.io/Logging_2085/kartor/A 56879-2025 karta.png", "A 56879-2025")</f>
        <v/>
      </c>
      <c r="Y83">
        <f>HYPERLINK("https://klasma.github.io/Logging_2085/kartor_geotiff/A 56879-2025 georefererad karta.tif", "A 56879-2025")</f>
        <v/>
      </c>
      <c r="AA83">
        <f>HYPERLINK("https://klasma.github.io/Logging_2085/klagomål/A 56879-2025 FSC-klagomål.docx", "A 56879-2025")</f>
        <v/>
      </c>
      <c r="AB83">
        <f>HYPERLINK("https://klasma.github.io/Logging_2085/klagomålsmail/A 56879-2025 FSC-klagomål mail.docx", "A 56879-2025")</f>
        <v/>
      </c>
      <c r="AC83">
        <f>HYPERLINK("https://klasma.github.io/Logging_2085/tillsyn/A 56879-2025 tillsynsbegäran.docx", "A 56879-2025")</f>
        <v/>
      </c>
      <c r="AD83">
        <f>HYPERLINK("https://klasma.github.io/Logging_2085/tillsynsmail/A 56879-2025 tillsynsbegäran mail.docx", "A 56879-2025")</f>
        <v/>
      </c>
      <c r="AE83">
        <f>HYPERLINK("https://klasma.github.io/Logging_2085/fåglar/A 56879-2025 prioriterade fågelarter.docx", "A 56879-2025")</f>
        <v/>
      </c>
    </row>
    <row r="84" ht="15" customHeight="1">
      <c r="A84" t="inlineStr">
        <is>
          <t>A 11755-2023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44994</v>
      </c>
      <c r="E84" s="1" t="n">
        <v>46322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Spillkråka</t>
        </is>
      </c>
      <c r="W84">
        <f>HYPERLINK("https://klasma.github.io/Logging_2085/artfynd/A 11755-2023 artfynd.xlsx", "A 11755-2023")</f>
        <v/>
      </c>
      <c r="X84">
        <f>HYPERLINK("https://klasma.github.io/Logging_2085/kartor/A 11755-2023 karta.png", "A 11755-2023")</f>
        <v/>
      </c>
      <c r="Y84">
        <f>HYPERLINK("https://klasma.github.io/Logging_2085/kartor_geotiff/A 11755-2023 georefererad karta.tif", "A 11755-2023")</f>
        <v/>
      </c>
      <c r="AA84">
        <f>HYPERLINK("https://klasma.github.io/Logging_2085/klagomål/A 11755-2023 FSC-klagomål.docx", "A 11755-2023")</f>
        <v/>
      </c>
      <c r="AB84">
        <f>HYPERLINK("https://klasma.github.io/Logging_2085/klagomålsmail/A 11755-2023 FSC-klagomål mail.docx", "A 11755-2023")</f>
        <v/>
      </c>
      <c r="AC84">
        <f>HYPERLINK("https://klasma.github.io/Logging_2085/tillsyn/A 11755-2023 tillsynsbegäran.docx", "A 11755-2023")</f>
        <v/>
      </c>
      <c r="AD84">
        <f>HYPERLINK("https://klasma.github.io/Logging_2085/tillsynsmail/A 11755-2023 tillsynsbegäran mail.docx", "A 11755-2023")</f>
        <v/>
      </c>
      <c r="AE84">
        <f>HYPERLINK("https://klasma.github.io/Logging_2085/fåglar/A 11755-2023 prioriterade fågelarter.docx", "A 11755-2023")</f>
        <v/>
      </c>
    </row>
    <row r="85" ht="15" customHeight="1">
      <c r="A85" t="inlineStr">
        <is>
          <t>A 3809-2024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45321</v>
      </c>
      <c r="E85" s="1" t="n">
        <v>46322</v>
      </c>
      <c r="F85" t="inlineStr">
        <is>
          <t>DALARNAS LÄN</t>
        </is>
      </c>
      <c r="G85" t="inlineStr">
        <is>
          <t>LUDVIKA</t>
        </is>
      </c>
      <c r="I85" t="n">
        <v>0.5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8</v>
      </c>
      <c r="U85" t="n">
        <v>8</v>
      </c>
      <c r="V85" s="2" t="inlineStr">
        <is>
          <t>Nordfladdermus
Fläcknycklar</t>
        </is>
      </c>
      <c r="W85">
        <f>HYPERLINK("https://klasma.github.io/Logging_2085/artfynd/A 3809-2024 artfynd.xlsx", "A 3809-2024")</f>
        <v/>
      </c>
      <c r="X85">
        <f>HYPERLINK("https://klasma.github.io/Logging_2085/kartor/A 3809-2024 karta.png", "A 3809-2024")</f>
        <v/>
      </c>
      <c r="Y85">
        <f>HYPERLINK("https://klasma.github.io/Logging_2085/kartor_geotiff/A 3809-2024 georefererad karta.tif", "A 3809-2024")</f>
        <v/>
      </c>
      <c r="AA85">
        <f>HYPERLINK("https://klasma.github.io/Logging_2085/klagomål/A 3809-2024 FSC-klagomål.docx", "A 3809-2024")</f>
        <v/>
      </c>
      <c r="AB85">
        <f>HYPERLINK("https://klasma.github.io/Logging_2085/klagomålsmail/A 3809-2024 FSC-klagomål mail.docx", "A 3809-2024")</f>
        <v/>
      </c>
      <c r="AC85">
        <f>HYPERLINK("https://klasma.github.io/Logging_2085/tillsyn/A 3809-2024 tillsynsbegäran.docx", "A 3809-2024")</f>
        <v/>
      </c>
      <c r="AD85">
        <f>HYPERLINK("https://klasma.github.io/Logging_2085/tillsynsmail/A 3809-2024 tillsynsbegäran mail.docx", "A 3809-2024")</f>
        <v/>
      </c>
    </row>
    <row r="86" ht="15" customHeight="1">
      <c r="A86" t="inlineStr">
        <is>
          <t>A 18024-2026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46125</v>
      </c>
      <c r="E86" s="1" t="n">
        <v>46322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Skinnlav
Svavelriska</t>
        </is>
      </c>
      <c r="W86">
        <f>HYPERLINK("https://klasma.github.io/Logging_2085/artfynd/A 18024-2026 artfynd.xlsx", "A 18024-2026")</f>
        <v/>
      </c>
      <c r="X86">
        <f>HYPERLINK("https://klasma.github.io/Logging_2085/kartor/A 18024-2026 karta.png", "A 18024-2026")</f>
        <v/>
      </c>
      <c r="Y86">
        <f>HYPERLINK("https://klasma.github.io/Logging_2085/kartor_geotiff/A 18024-2026 georefererad karta.tif", "A 18024-2026")</f>
        <v/>
      </c>
      <c r="AA86">
        <f>HYPERLINK("https://klasma.github.io/Logging_2085/klagomål/A 18024-2026 FSC-klagomål.docx", "A 18024-2026")</f>
        <v/>
      </c>
      <c r="AB86">
        <f>HYPERLINK("https://klasma.github.io/Logging_2085/klagomålsmail/A 18024-2026 FSC-klagomål mail.docx", "A 18024-2026")</f>
        <v/>
      </c>
      <c r="AC86">
        <f>HYPERLINK("https://klasma.github.io/Logging_2085/tillsyn/A 18024-2026 tillsynsbegäran.docx", "A 18024-2026")</f>
        <v/>
      </c>
      <c r="AD86">
        <f>HYPERLINK("https://klasma.github.io/Logging_2085/tillsynsmail/A 18024-2026 tillsynsbegäran mail.docx", "A 18024-2026")</f>
        <v/>
      </c>
    </row>
    <row r="87" ht="15" customHeight="1">
      <c r="A87" t="inlineStr">
        <is>
          <t>A 23919-2026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46167</v>
      </c>
      <c r="E87" s="1" t="n">
        <v>46322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2.2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Korallblylav
Skinnlav</t>
        </is>
      </c>
      <c r="W87">
        <f>HYPERLINK("https://klasma.github.io/Logging_2085/artfynd/A 23919-2026 artfynd.xlsx", "A 23919-2026")</f>
        <v/>
      </c>
      <c r="X87">
        <f>HYPERLINK("https://klasma.github.io/Logging_2085/kartor/A 23919-2026 karta.png", "A 23919-2026")</f>
        <v/>
      </c>
      <c r="Y87">
        <f>HYPERLINK("https://klasma.github.io/Logging_2085/kartor_geotiff/A 23919-2026 georefererad karta.tif", "A 23919-2026")</f>
        <v/>
      </c>
      <c r="AA87">
        <f>HYPERLINK("https://klasma.github.io/Logging_2085/klagomål/A 23919-2026 FSC-klagomål.docx", "A 23919-2026")</f>
        <v/>
      </c>
      <c r="AB87">
        <f>HYPERLINK("https://klasma.github.io/Logging_2085/klagomålsmail/A 23919-2026 FSC-klagomål mail.docx", "A 23919-2026")</f>
        <v/>
      </c>
      <c r="AC87">
        <f>HYPERLINK("https://klasma.github.io/Logging_2085/tillsyn/A 23919-2026 tillsynsbegäran.docx", "A 23919-2026")</f>
        <v/>
      </c>
      <c r="AD87">
        <f>HYPERLINK("https://klasma.github.io/Logging_2085/tillsynsmail/A 23919-2026 tillsynsbegäran mail.docx", "A 23919-2026")</f>
        <v/>
      </c>
    </row>
    <row r="88" ht="15" customHeight="1">
      <c r="A88" t="inlineStr">
        <is>
          <t>A 19512-2022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46322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2.8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Tretåig hackspett
Nästlav</t>
        </is>
      </c>
      <c r="W88">
        <f>HYPERLINK("https://klasma.github.io/Logging_2085/artfynd/A 19512-2022 artfynd.xlsx", "A 19512-2022")</f>
        <v/>
      </c>
      <c r="X88">
        <f>HYPERLINK("https://klasma.github.io/Logging_2085/kartor/A 19512-2022 karta.png", "A 19512-2022")</f>
        <v/>
      </c>
      <c r="Y88">
        <f>HYPERLINK("https://klasma.github.io/Logging_2085/kartor_geotiff/A 19512-2022 georefererad karta.tif", "A 19512-2022")</f>
        <v/>
      </c>
      <c r="AA88">
        <f>HYPERLINK("https://klasma.github.io/Logging_2085/klagomål/A 19512-2022 FSC-klagomål.docx", "A 19512-2022")</f>
        <v/>
      </c>
      <c r="AB88">
        <f>HYPERLINK("https://klasma.github.io/Logging_2085/klagomålsmail/A 19512-2022 FSC-klagomål mail.docx", "A 19512-2022")</f>
        <v/>
      </c>
      <c r="AC88">
        <f>HYPERLINK("https://klasma.github.io/Logging_2085/tillsyn/A 19512-2022 tillsynsbegäran.docx", "A 19512-2022")</f>
        <v/>
      </c>
      <c r="AD88">
        <f>HYPERLINK("https://klasma.github.io/Logging_2085/tillsynsmail/A 19512-2022 tillsynsbegäran mail.docx", "A 19512-2022")</f>
        <v/>
      </c>
      <c r="AE88">
        <f>HYPERLINK("https://klasma.github.io/Logging_2085/fåglar/A 19512-2022 prioriterade fågelarter.docx", "A 19512-2022")</f>
        <v/>
      </c>
    </row>
    <row r="89" ht="15" customHeight="1">
      <c r="A89" t="inlineStr">
        <is>
          <t>A 8202-2025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46322</v>
      </c>
      <c r="F89" t="inlineStr">
        <is>
          <t>DALARNAS LÄN</t>
        </is>
      </c>
      <c r="G89" t="inlineStr">
        <is>
          <t>LUDVIKA</t>
        </is>
      </c>
      <c r="I89" t="n">
        <v>6.4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7</v>
      </c>
      <c r="U89" t="n">
        <v>7</v>
      </c>
      <c r="V89" s="2" t="inlineStr">
        <is>
          <t>Tretåig hackspett
Spillkråka</t>
        </is>
      </c>
      <c r="W89">
        <f>HYPERLINK("https://klasma.github.io/Logging_2085/artfynd/A 8202-2025 artfynd.xlsx", "A 8202-2025")</f>
        <v/>
      </c>
      <c r="X89">
        <f>HYPERLINK("https://klasma.github.io/Logging_2085/kartor/A 8202-2025 karta.png", "A 8202-2025")</f>
        <v/>
      </c>
      <c r="Y89">
        <f>HYPERLINK("https://klasma.github.io/Logging_2085/kartor_geotiff/A 8202-2025 georefererad karta.tif", "A 8202-2025")</f>
        <v/>
      </c>
      <c r="AA89">
        <f>HYPERLINK("https://klasma.github.io/Logging_2085/klagomål/A 8202-2025 FSC-klagomål.docx", "A 8202-2025")</f>
        <v/>
      </c>
      <c r="AB89">
        <f>HYPERLINK("https://klasma.github.io/Logging_2085/klagomålsmail/A 8202-2025 FSC-klagomål mail.docx", "A 8202-2025")</f>
        <v/>
      </c>
      <c r="AC89">
        <f>HYPERLINK("https://klasma.github.io/Logging_2085/tillsyn/A 8202-2025 tillsynsbegäran.docx", "A 8202-2025")</f>
        <v/>
      </c>
      <c r="AD89">
        <f>HYPERLINK("https://klasma.github.io/Logging_2085/tillsynsmail/A 8202-2025 tillsynsbegäran mail.docx", "A 8202-2025")</f>
        <v/>
      </c>
      <c r="AE89">
        <f>HYPERLINK("https://klasma.github.io/Logging_2085/fåglar/A 8202-2025 prioriterade fågelarter.docx", "A 8202-2025")</f>
        <v/>
      </c>
    </row>
    <row r="90" ht="15" customHeight="1">
      <c r="A90" t="inlineStr">
        <is>
          <t>A 35099-2026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46260</v>
      </c>
      <c r="E90" s="1" t="n">
        <v>46322</v>
      </c>
      <c r="F90" t="inlineStr">
        <is>
          <t>DALARNAS LÄN</t>
        </is>
      </c>
      <c r="G90" t="inlineStr">
        <is>
          <t>LUDVIKA</t>
        </is>
      </c>
      <c r="I90" t="n">
        <v>3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5</v>
      </c>
      <c r="U90" t="n">
        <v>5</v>
      </c>
      <c r="V90" s="2" t="inlineStr">
        <is>
          <t>Knärot
Sälg</t>
        </is>
      </c>
      <c r="W90">
        <f>HYPERLINK("https://klasma.github.io/Logging_2085/artfynd/A 35099-2026 artfynd.xlsx", "A 35099-2026")</f>
        <v/>
      </c>
      <c r="X90">
        <f>HYPERLINK("https://klasma.github.io/Logging_2085/kartor/A 35099-2026 karta.png", "A 35099-2026")</f>
        <v/>
      </c>
      <c r="Y90">
        <f>HYPERLINK("https://klasma.github.io/Logging_2085/kartor_geotiff/A 35099-2026 georefererad karta.tif", "A 35099-2026")</f>
        <v/>
      </c>
      <c r="Z90">
        <f>HYPERLINK("https://klasma.github.io/Logging_2085/knärot/A 35099-2026 karta knärot.png", "A 35099-2026")</f>
        <v/>
      </c>
      <c r="AA90">
        <f>HYPERLINK("https://klasma.github.io/Logging_2085/klagomål/A 35099-2026 FSC-klagomål.docx", "A 35099-2026")</f>
        <v/>
      </c>
      <c r="AB90">
        <f>HYPERLINK("https://klasma.github.io/Logging_2085/klagomålsmail/A 35099-2026 FSC-klagomål mail.docx", "A 35099-2026")</f>
        <v/>
      </c>
      <c r="AC90">
        <f>HYPERLINK("https://klasma.github.io/Logging_2085/tillsyn/A 35099-2026 tillsynsbegäran.docx", "A 35099-2026")</f>
        <v/>
      </c>
      <c r="AD90">
        <f>HYPERLINK("https://klasma.github.io/Logging_2085/tillsynsmail/A 35099-2026 tillsynsbegäran mail.docx", "A 35099-2026")</f>
        <v/>
      </c>
    </row>
    <row r="91" ht="15" customHeight="1">
      <c r="A91" t="inlineStr">
        <is>
          <t>A 49763-2025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46322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6.9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2</v>
      </c>
      <c r="V91" s="2" t="inlineStr">
        <is>
          <t>Dvärgbägarlav
Vedticka</t>
        </is>
      </c>
      <c r="W91">
        <f>HYPERLINK("https://klasma.github.io/Logging_2085/artfynd/A 49763-2025 artfynd.xlsx", "A 49763-2025")</f>
        <v/>
      </c>
      <c r="X91">
        <f>HYPERLINK("https://klasma.github.io/Logging_2085/kartor/A 49763-2025 karta.png", "A 49763-2025")</f>
        <v/>
      </c>
      <c r="Y91">
        <f>HYPERLINK("https://klasma.github.io/Logging_2085/kartor_geotiff/A 49763-2025 georefererad karta.tif", "A 49763-2025")</f>
        <v/>
      </c>
      <c r="AA91">
        <f>HYPERLINK("https://klasma.github.io/Logging_2085/klagomål/A 49763-2025 FSC-klagomål.docx", "A 49763-2025")</f>
        <v/>
      </c>
      <c r="AB91">
        <f>HYPERLINK("https://klasma.github.io/Logging_2085/klagomålsmail/A 49763-2025 FSC-klagomål mail.docx", "A 49763-2025")</f>
        <v/>
      </c>
      <c r="AC91">
        <f>HYPERLINK("https://klasma.github.io/Logging_2085/tillsyn/A 49763-2025 tillsynsbegäran.docx", "A 49763-2025")</f>
        <v/>
      </c>
      <c r="AD91">
        <f>HYPERLINK("https://klasma.github.io/Logging_2085/tillsynsmail/A 49763-2025 tillsynsbegäran mail.docx", "A 49763-2025")</f>
        <v/>
      </c>
    </row>
    <row r="92" ht="15" customHeight="1">
      <c r="A92" t="inlineStr">
        <is>
          <t>A 56826-2025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46322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4.5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8</v>
      </c>
      <c r="U92" t="n">
        <v>8</v>
      </c>
      <c r="V92" s="2" t="inlineStr">
        <is>
          <t>Garnlav
Tretåig hackspett</t>
        </is>
      </c>
      <c r="W92">
        <f>HYPERLINK("https://klasma.github.io/Logging_2085/artfynd/A 56826-2025 artfynd.xlsx", "A 56826-2025")</f>
        <v/>
      </c>
      <c r="X92">
        <f>HYPERLINK("https://klasma.github.io/Logging_2085/kartor/A 56826-2025 karta.png", "A 56826-2025")</f>
        <v/>
      </c>
      <c r="Y92">
        <f>HYPERLINK("https://klasma.github.io/Logging_2085/kartor_geotiff/A 56826-2025 georefererad karta.tif", "A 56826-2025")</f>
        <v/>
      </c>
      <c r="AA92">
        <f>HYPERLINK("https://klasma.github.io/Logging_2085/klagomål/A 56826-2025 FSC-klagomål.docx", "A 56826-2025")</f>
        <v/>
      </c>
      <c r="AB92">
        <f>HYPERLINK("https://klasma.github.io/Logging_2085/klagomålsmail/A 56826-2025 FSC-klagomål mail.docx", "A 56826-2025")</f>
        <v/>
      </c>
      <c r="AC92">
        <f>HYPERLINK("https://klasma.github.io/Logging_2085/tillsyn/A 56826-2025 tillsynsbegäran.docx", "A 56826-2025")</f>
        <v/>
      </c>
      <c r="AD92">
        <f>HYPERLINK("https://klasma.github.io/Logging_2085/tillsynsmail/A 56826-2025 tillsynsbegäran mail.docx", "A 56826-2025")</f>
        <v/>
      </c>
      <c r="AE92">
        <f>HYPERLINK("https://klasma.github.io/Logging_2085/fåglar/A 56826-2025 prioriterade fågelarter.docx", "A 56826-2025")</f>
        <v/>
      </c>
    </row>
    <row r="93" ht="15" customHeight="1">
      <c r="A93" t="inlineStr">
        <is>
          <t>A 35104-2026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46260</v>
      </c>
      <c r="E93" s="1" t="n">
        <v>46322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Knärot
Rödgul trumpetsvamp</t>
        </is>
      </c>
      <c r="W93">
        <f>HYPERLINK("https://klasma.github.io/Logging_2085/artfynd/A 35104-2026 artfynd.xlsx", "A 35104-2026")</f>
        <v/>
      </c>
      <c r="X93">
        <f>HYPERLINK("https://klasma.github.io/Logging_2085/kartor/A 35104-2026 karta.png", "A 35104-2026")</f>
        <v/>
      </c>
      <c r="Y93">
        <f>HYPERLINK("https://klasma.github.io/Logging_2085/kartor_geotiff/A 35104-2026 georefererad karta.tif", "A 35104-2026")</f>
        <v/>
      </c>
      <c r="Z93">
        <f>HYPERLINK("https://klasma.github.io/Logging_2085/knärot/A 35104-2026 karta knärot.png", "A 35104-2026")</f>
        <v/>
      </c>
      <c r="AA93">
        <f>HYPERLINK("https://klasma.github.io/Logging_2085/klagomål/A 35104-2026 FSC-klagomål.docx", "A 35104-2026")</f>
        <v/>
      </c>
      <c r="AB93">
        <f>HYPERLINK("https://klasma.github.io/Logging_2085/klagomålsmail/A 35104-2026 FSC-klagomål mail.docx", "A 35104-2026")</f>
        <v/>
      </c>
      <c r="AC93">
        <f>HYPERLINK("https://klasma.github.io/Logging_2085/tillsyn/A 35104-2026 tillsynsbegäran.docx", "A 35104-2026")</f>
        <v/>
      </c>
      <c r="AD93">
        <f>HYPERLINK("https://klasma.github.io/Logging_2085/tillsynsmail/A 35104-2026 tillsynsbegäran mail.docx", "A 35104-2026")</f>
        <v/>
      </c>
    </row>
    <row r="94" ht="15" customHeight="1">
      <c r="A94" t="inlineStr">
        <is>
          <t>A 24426-2026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46168</v>
      </c>
      <c r="E94" s="1" t="n">
        <v>46322</v>
      </c>
      <c r="F94" t="inlineStr">
        <is>
          <t>DALARNAS LÄN</t>
        </is>
      </c>
      <c r="G94" t="inlineStr">
        <is>
          <t>LUDVIKA</t>
        </is>
      </c>
      <c r="H94" t="inlineStr">
        <is>
          <t>Övriga Aktiebolag</t>
        </is>
      </c>
      <c r="I94" t="n">
        <v>12.4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Spillkråka
Sälg</t>
        </is>
      </c>
      <c r="W94">
        <f>HYPERLINK("https://klasma.github.io/Logging_2085/artfynd/A 24426-2026 artfynd.xlsx", "A 24426-2026")</f>
        <v/>
      </c>
      <c r="X94">
        <f>HYPERLINK("https://klasma.github.io/Logging_2085/kartor/A 24426-2026 karta.png", "A 24426-2026")</f>
        <v/>
      </c>
      <c r="Y94">
        <f>HYPERLINK("https://klasma.github.io/Logging_2085/kartor_geotiff/A 24426-2026 georefererad karta.tif", "A 24426-2026")</f>
        <v/>
      </c>
      <c r="AA94">
        <f>HYPERLINK("https://klasma.github.io/Logging_2085/klagomål/A 24426-2026 FSC-klagomål.docx", "A 24426-2026")</f>
        <v/>
      </c>
      <c r="AB94">
        <f>HYPERLINK("https://klasma.github.io/Logging_2085/klagomålsmail/A 24426-2026 FSC-klagomål mail.docx", "A 24426-2026")</f>
        <v/>
      </c>
      <c r="AC94">
        <f>HYPERLINK("https://klasma.github.io/Logging_2085/tillsyn/A 24426-2026 tillsynsbegäran.docx", "A 24426-2026")</f>
        <v/>
      </c>
      <c r="AD94">
        <f>HYPERLINK("https://klasma.github.io/Logging_2085/tillsynsmail/A 24426-2026 tillsynsbegäran mail.docx", "A 24426-2026")</f>
        <v/>
      </c>
      <c r="AE94">
        <f>HYPERLINK("https://klasma.github.io/Logging_2085/fåglar/A 24426-2026 prioriterade fågelarter.docx", "A 24426-2026")</f>
        <v/>
      </c>
    </row>
    <row r="95" ht="15" customHeight="1">
      <c r="A95" t="inlineStr">
        <is>
          <t>S 296-2025</t>
        </is>
      </c>
      <c r="B95" t="inlineStr">
        <is>
          <t>samrådsanmälan</t>
        </is>
      </c>
      <c r="C95" t="inlineStr">
        <is>
          <t>Skogsgödsling</t>
        </is>
      </c>
      <c r="D95" s="1" t="n">
        <v>45687</v>
      </c>
      <c r="E95" s="1" t="n">
        <v>46322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278.6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Brunpudrad nållav
Rödgul trumpetsvamp</t>
        </is>
      </c>
      <c r="W95">
        <f>HYPERLINK("https://klasma.github.io/Logging_2085/artfynd/S 296-2025 artfynd.xlsx", "S 296-2025")</f>
        <v/>
      </c>
      <c r="X95">
        <f>HYPERLINK("https://klasma.github.io/Logging_2085/kartor/S 296-2025 karta.png", "S 296-2025")</f>
        <v/>
      </c>
      <c r="Y95">
        <f>HYPERLINK("https://klasma.github.io/Logging_2085/kartor_geotiff/S 296-2025 georefererad karta.tif", "S 296-2025")</f>
        <v/>
      </c>
      <c r="AA95">
        <f>HYPERLINK("https://klasma.github.io/Logging_2085/klagomål/S 296-2025 FSC-klagomål.docx", "S 296-2025")</f>
        <v/>
      </c>
      <c r="AB95">
        <f>HYPERLINK("https://klasma.github.io/Logging_2085/klagomålsmail/S 296-2025 FSC-klagomål mail.docx", "S 296-2025")</f>
        <v/>
      </c>
      <c r="AC95">
        <f>HYPERLINK("https://klasma.github.io/Logging_2085/tillsyn/S 296-2025 tillsynsbegäran.docx", "S 296-2025")</f>
        <v/>
      </c>
      <c r="AD95">
        <f>HYPERLINK("https://klasma.github.io/Logging_2085/tillsynsmail/S 296-2025 tillsynsbegäran mail.docx", "S 296-2025")</f>
        <v/>
      </c>
    </row>
    <row r="96" ht="15" customHeight="1">
      <c r="A96" t="inlineStr">
        <is>
          <t>S 3586-2025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46010</v>
      </c>
      <c r="E96" s="1" t="n">
        <v>46322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Garnlav
Järpe</t>
        </is>
      </c>
      <c r="W96">
        <f>HYPERLINK("https://klasma.github.io/Logging_2085/artfynd/S 3586-2025 artfynd.xlsx", "S 3586-2025")</f>
        <v/>
      </c>
      <c r="X96">
        <f>HYPERLINK("https://klasma.github.io/Logging_2085/kartor/S 3586-2025 karta.png", "S 3586-2025")</f>
        <v/>
      </c>
      <c r="Y96">
        <f>HYPERLINK("https://klasma.github.io/Logging_2085/kartor_geotiff/S 3586-2025 georefererad karta.tif", "S 3586-2025")</f>
        <v/>
      </c>
      <c r="AA96">
        <f>HYPERLINK("https://klasma.github.io/Logging_2085/klagomål/S 3586-2025 FSC-klagomål.docx", "S 3586-2025")</f>
        <v/>
      </c>
      <c r="AB96">
        <f>HYPERLINK("https://klasma.github.io/Logging_2085/klagomålsmail/S 3586-2025 FSC-klagomål mail.docx", "S 3586-2025")</f>
        <v/>
      </c>
      <c r="AC96">
        <f>HYPERLINK("https://klasma.github.io/Logging_2085/tillsyn/S 3586-2025 tillsynsbegäran.docx", "S 3586-2025")</f>
        <v/>
      </c>
      <c r="AD96">
        <f>HYPERLINK("https://klasma.github.io/Logging_2085/tillsynsmail/S 3586-2025 tillsynsbegäran mail.docx", "S 3586-2025")</f>
        <v/>
      </c>
      <c r="AE96">
        <f>HYPERLINK("https://klasma.github.io/Logging_2085/fåglar/S 3586-2025 prioriterade fågelarter.docx", "S 3586-2025")</f>
        <v/>
      </c>
    </row>
    <row r="97" ht="15" customHeight="1">
      <c r="A97" t="inlineStr">
        <is>
          <t>A 927-2022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46322</v>
      </c>
      <c r="F97" t="inlineStr">
        <is>
          <t>DALARNAS LÄN</t>
        </is>
      </c>
      <c r="G97" t="inlineStr">
        <is>
          <t>LUDVIKA</t>
        </is>
      </c>
      <c r="H97" t="inlineStr">
        <is>
          <t>Allmännings- och besparingsskogar</t>
        </is>
      </c>
      <c r="I97" t="n">
        <v>2.4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Brunklöver</t>
        </is>
      </c>
      <c r="W97">
        <f>HYPERLINK("https://klasma.github.io/Logging_2085/artfynd/A 927-2022 artfynd.xlsx", "A 927-2022")</f>
        <v/>
      </c>
      <c r="X97">
        <f>HYPERLINK("https://klasma.github.io/Logging_2085/kartor/A 927-2022 karta.png", "A 927-2022")</f>
        <v/>
      </c>
      <c r="Y97">
        <f>HYPERLINK("https://klasma.github.io/Logging_2085/kartor_geotiff/A 927-2022 georefererad karta.tif", "A 927-2022")</f>
        <v/>
      </c>
      <c r="AA97">
        <f>HYPERLINK("https://klasma.github.io/Logging_2085/klagomål/A 927-2022 FSC-klagomål.docx", "A 927-2022")</f>
        <v/>
      </c>
      <c r="AB97">
        <f>HYPERLINK("https://klasma.github.io/Logging_2085/klagomålsmail/A 927-2022 FSC-klagomål mail.docx", "A 927-2022")</f>
        <v/>
      </c>
      <c r="AC97">
        <f>HYPERLINK("https://klasma.github.io/Logging_2085/tillsyn/A 927-2022 tillsynsbegäran.docx", "A 927-2022")</f>
        <v/>
      </c>
      <c r="AD97">
        <f>HYPERLINK("https://klasma.github.io/Logging_2085/tillsynsmail/A 927-2022 tillsynsbegäran mail.docx", "A 927-2022")</f>
        <v/>
      </c>
    </row>
    <row r="98" ht="15" customHeight="1">
      <c r="A98" t="inlineStr">
        <is>
          <t>A 13051-2022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46322</v>
      </c>
      <c r="F98" t="inlineStr">
        <is>
          <t>DALARNAS LÄN</t>
        </is>
      </c>
      <c r="G98" t="inlineStr">
        <is>
          <t>LUDVIKA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Mosippa</t>
        </is>
      </c>
      <c r="W98">
        <f>HYPERLINK("https://klasma.github.io/Logging_2085/artfynd/A 13051-2022 artfynd.xlsx", "A 13051-2022")</f>
        <v/>
      </c>
      <c r="X98">
        <f>HYPERLINK("https://klasma.github.io/Logging_2085/kartor/A 13051-2022 karta.png", "A 13051-2022")</f>
        <v/>
      </c>
      <c r="Y98">
        <f>HYPERLINK("https://klasma.github.io/Logging_2085/kartor_geotiff/A 13051-2022 georefererad karta.tif", "A 13051-2022")</f>
        <v/>
      </c>
      <c r="AA98">
        <f>HYPERLINK("https://klasma.github.io/Logging_2085/klagomål/A 13051-2022 FSC-klagomål.docx", "A 13051-2022")</f>
        <v/>
      </c>
      <c r="AB98">
        <f>HYPERLINK("https://klasma.github.io/Logging_2085/klagomålsmail/A 13051-2022 FSC-klagomål mail.docx", "A 13051-2022")</f>
        <v/>
      </c>
      <c r="AC98">
        <f>HYPERLINK("https://klasma.github.io/Logging_2085/tillsyn/A 13051-2022 tillsynsbegäran.docx", "A 13051-2022")</f>
        <v/>
      </c>
      <c r="AD98">
        <f>HYPERLINK("https://klasma.github.io/Logging_2085/tillsynsmail/A 13051-2022 tillsynsbegäran mail.docx", "A 13051-2022")</f>
        <v/>
      </c>
    </row>
    <row r="99" ht="15" customHeight="1">
      <c r="A99" t="inlineStr">
        <is>
          <t>A 51709-2022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46322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Ängsmetallvinge</t>
        </is>
      </c>
      <c r="W99">
        <f>HYPERLINK("https://klasma.github.io/Logging_2085/artfynd/A 51709-2022 artfynd.xlsx", "A 51709-2022")</f>
        <v/>
      </c>
      <c r="X99">
        <f>HYPERLINK("https://klasma.github.io/Logging_2085/kartor/A 51709-2022 karta.png", "A 51709-2022")</f>
        <v/>
      </c>
      <c r="Y99">
        <f>HYPERLINK("https://klasma.github.io/Logging_2085/kartor_geotiff/A 51709-2022 georefererad karta.tif", "A 51709-2022")</f>
        <v/>
      </c>
      <c r="AA99">
        <f>HYPERLINK("https://klasma.github.io/Logging_2085/klagomål/A 51709-2022 FSC-klagomål.docx", "A 51709-2022")</f>
        <v/>
      </c>
      <c r="AB99">
        <f>HYPERLINK("https://klasma.github.io/Logging_2085/klagomålsmail/A 51709-2022 FSC-klagomål mail.docx", "A 51709-2022")</f>
        <v/>
      </c>
      <c r="AC99">
        <f>HYPERLINK("https://klasma.github.io/Logging_2085/tillsyn/A 51709-2022 tillsynsbegäran.docx", "A 51709-2022")</f>
        <v/>
      </c>
      <c r="AD99">
        <f>HYPERLINK("https://klasma.github.io/Logging_2085/tillsynsmail/A 51709-2022 tillsynsbegäran mail.docx", "A 51709-2022")</f>
        <v/>
      </c>
    </row>
    <row r="100" ht="15" customHeight="1">
      <c r="A100" t="inlineStr">
        <is>
          <t>A 45858-2025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46322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Granbarkgnagare</t>
        </is>
      </c>
      <c r="W100">
        <f>HYPERLINK("https://klasma.github.io/Logging_2085/artfynd/A 45858-2025 artfynd.xlsx", "A 45858-2025")</f>
        <v/>
      </c>
      <c r="X100">
        <f>HYPERLINK("https://klasma.github.io/Logging_2085/kartor/A 45858-2025 karta.png", "A 45858-2025")</f>
        <v/>
      </c>
      <c r="Y100">
        <f>HYPERLINK("https://klasma.github.io/Logging_2085/kartor_geotiff/A 45858-2025 georefererad karta.tif", "A 45858-2025")</f>
        <v/>
      </c>
      <c r="AA100">
        <f>HYPERLINK("https://klasma.github.io/Logging_2085/klagomål/A 45858-2025 FSC-klagomål.docx", "A 45858-2025")</f>
        <v/>
      </c>
      <c r="AB100">
        <f>HYPERLINK("https://klasma.github.io/Logging_2085/klagomålsmail/A 45858-2025 FSC-klagomål mail.docx", "A 45858-2025")</f>
        <v/>
      </c>
      <c r="AC100">
        <f>HYPERLINK("https://klasma.github.io/Logging_2085/tillsyn/A 45858-2025 tillsynsbegäran.docx", "A 45858-2025")</f>
        <v/>
      </c>
      <c r="AD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46322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46322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46322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36050-2025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45866</v>
      </c>
      <c r="E104" s="1" t="n">
        <v>46322</v>
      </c>
      <c r="F104" t="inlineStr">
        <is>
          <t>DALARNAS LÄN</t>
        </is>
      </c>
      <c r="G104" t="inlineStr">
        <is>
          <t>LUDVIKA</t>
        </is>
      </c>
      <c r="I104" t="n">
        <v>1.4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hackspett</t>
        </is>
      </c>
      <c r="W104">
        <f>HYPERLINK("https://klasma.github.io/Logging_2085/artfynd/A 36050-2025 artfynd.xlsx", "A 36050-2025")</f>
        <v/>
      </c>
      <c r="X104">
        <f>HYPERLINK("https://klasma.github.io/Logging_2085/kartor/A 36050-2025 karta.png", "A 36050-2025")</f>
        <v/>
      </c>
      <c r="Y104">
        <f>HYPERLINK("https://klasma.github.io/Logging_2085/kartor_geotiff/A 36050-2025 georefererad karta.tif", "A 36050-2025")</f>
        <v/>
      </c>
      <c r="AA104">
        <f>HYPERLINK("https://klasma.github.io/Logging_2085/klagomål/A 36050-2025 FSC-klagomål.docx", "A 36050-2025")</f>
        <v/>
      </c>
      <c r="AB104">
        <f>HYPERLINK("https://klasma.github.io/Logging_2085/klagomålsmail/A 36050-2025 FSC-klagomål mail.docx", "A 36050-2025")</f>
        <v/>
      </c>
      <c r="AC104">
        <f>HYPERLINK("https://klasma.github.io/Logging_2085/tillsyn/A 36050-2025 tillsynsbegäran.docx", "A 36050-2025")</f>
        <v/>
      </c>
      <c r="AD104">
        <f>HYPERLINK("https://klasma.github.io/Logging_2085/tillsynsmail/A 36050-2025 tillsynsbegäran mail.docx", "A 36050-2025")</f>
        <v/>
      </c>
      <c r="AE104">
        <f>HYPERLINK("https://klasma.github.io/Logging_2085/fåglar/A 36050-2025 prioriterade fågelarter.docx", "A 36050-2025")</f>
        <v/>
      </c>
    </row>
    <row r="105" ht="15" customHeight="1">
      <c r="A105" t="inlineStr">
        <is>
          <t>A 55550-2022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44888</v>
      </c>
      <c r="E105" s="1" t="n">
        <v>46322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Ögonpyrola</t>
        </is>
      </c>
      <c r="W105">
        <f>HYPERLINK("https://klasma.github.io/Logging_2085/artfynd/A 55550-2022 artfynd.xlsx", "A 55550-2022")</f>
        <v/>
      </c>
      <c r="X105">
        <f>HYPERLINK("https://klasma.github.io/Logging_2085/kartor/A 55550-2022 karta.png", "A 55550-2022")</f>
        <v/>
      </c>
      <c r="Y105">
        <f>HYPERLINK("https://klasma.github.io/Logging_2085/kartor_geotiff/A 55550-2022 georefererad karta.tif", "A 55550-2022")</f>
        <v/>
      </c>
      <c r="AA105">
        <f>HYPERLINK("https://klasma.github.io/Logging_2085/klagomål/A 55550-2022 FSC-klagomål.docx", "A 55550-2022")</f>
        <v/>
      </c>
      <c r="AB105">
        <f>HYPERLINK("https://klasma.github.io/Logging_2085/klagomålsmail/A 55550-2022 FSC-klagomål mail.docx", "A 55550-2022")</f>
        <v/>
      </c>
      <c r="AC105">
        <f>HYPERLINK("https://klasma.github.io/Logging_2085/tillsyn/A 55550-2022 tillsynsbegäran.docx", "A 55550-2022")</f>
        <v/>
      </c>
      <c r="AD105">
        <f>HYPERLINK("https://klasma.github.io/Logging_2085/tillsynsmail/A 55550-2022 tillsynsbegäran mail.docx", "A 55550-2022")</f>
        <v/>
      </c>
    </row>
    <row r="106" ht="15" customHeight="1">
      <c r="A106" t="inlineStr">
        <is>
          <t>A 29882-2024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45486</v>
      </c>
      <c r="E106" s="1" t="n">
        <v>46322</v>
      </c>
      <c r="F106" t="inlineStr">
        <is>
          <t>DALARNAS LÄN</t>
        </is>
      </c>
      <c r="G106" t="inlineStr">
        <is>
          <t>LUDVIKA</t>
        </is>
      </c>
      <c r="I106" t="n">
        <v>1.3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Spillkråka</t>
        </is>
      </c>
      <c r="W106">
        <f>HYPERLINK("https://klasma.github.io/Logging_2085/artfynd/A 29882-2024 artfynd.xlsx", "A 29882-2024")</f>
        <v/>
      </c>
      <c r="X106">
        <f>HYPERLINK("https://klasma.github.io/Logging_2085/kartor/A 29882-2024 karta.png", "A 29882-2024")</f>
        <v/>
      </c>
      <c r="Y106">
        <f>HYPERLINK("https://klasma.github.io/Logging_2085/kartor_geotiff/A 29882-2024 georefererad karta.tif", "A 29882-2024")</f>
        <v/>
      </c>
      <c r="AA106">
        <f>HYPERLINK("https://klasma.github.io/Logging_2085/klagomål/A 29882-2024 FSC-klagomål.docx", "A 29882-2024")</f>
        <v/>
      </c>
      <c r="AB106">
        <f>HYPERLINK("https://klasma.github.io/Logging_2085/klagomålsmail/A 29882-2024 FSC-klagomål mail.docx", "A 29882-2024")</f>
        <v/>
      </c>
      <c r="AC106">
        <f>HYPERLINK("https://klasma.github.io/Logging_2085/tillsyn/A 29882-2024 tillsynsbegäran.docx", "A 29882-2024")</f>
        <v/>
      </c>
      <c r="AD106">
        <f>HYPERLINK("https://klasma.github.io/Logging_2085/tillsynsmail/A 29882-2024 tillsynsbegäran mail.docx", "A 29882-2024")</f>
        <v/>
      </c>
      <c r="AE106">
        <f>HYPERLINK("https://klasma.github.io/Logging_2085/fåglar/A 29882-2024 prioriterade fågelarter.docx", "A 29882-2024")</f>
        <v/>
      </c>
    </row>
    <row r="107" ht="15" customHeight="1">
      <c r="A107" t="inlineStr">
        <is>
          <t>A 23102-2025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46322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HYPERLINK("https://klasma.github.io/Logging_2085/artfynd/A 23102-2025 artfynd.xlsx", "A 23102-2025")</f>
        <v/>
      </c>
      <c r="X107">
        <f>HYPERLINK("https://klasma.github.io/Logging_2085/kartor/A 23102-2025 karta.png", "A 23102-2025")</f>
        <v/>
      </c>
      <c r="Y107">
        <f>HYPERLINK("https://klasma.github.io/Logging_2085/kartor_geotiff/A 23102-2025 georefererad karta.tif", "A 23102-2025")</f>
        <v/>
      </c>
      <c r="AA107">
        <f>HYPERLINK("https://klasma.github.io/Logging_2085/klagomål/A 23102-2025 FSC-klagomål.docx", "A 23102-2025")</f>
        <v/>
      </c>
      <c r="AB107">
        <f>HYPERLINK("https://klasma.github.io/Logging_2085/klagomålsmail/A 23102-2025 FSC-klagomål mail.docx", "A 23102-2025")</f>
        <v/>
      </c>
      <c r="AC107">
        <f>HYPERLINK("https://klasma.github.io/Logging_2085/tillsyn/A 23102-2025 tillsynsbegäran.docx", "A 23102-2025")</f>
        <v/>
      </c>
      <c r="AD107">
        <f>HYPERLINK("https://klasma.github.io/Logging_2085/tillsynsmail/A 23102-2025 tillsynsbegäran mail.docx", "A 23102-2025")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46322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59873-2025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46322</v>
      </c>
      <c r="F109" t="inlineStr">
        <is>
          <t>DALARNAS LÄN</t>
        </is>
      </c>
      <c r="G109" t="inlineStr">
        <is>
          <t>LUDVIKA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Lateritticka</t>
        </is>
      </c>
      <c r="W109">
        <f>HYPERLINK("https://klasma.github.io/Logging_2085/artfynd/A 59873-2025 artfynd.xlsx", "A 59873-2025")</f>
        <v/>
      </c>
      <c r="X109">
        <f>HYPERLINK("https://klasma.github.io/Logging_2085/kartor/A 59873-2025 karta.png", "A 59873-2025")</f>
        <v/>
      </c>
      <c r="Y109">
        <f>HYPERLINK("https://klasma.github.io/Logging_2085/kartor_geotiff/A 59873-2025 georefererad karta.tif", "A 59873-2025")</f>
        <v/>
      </c>
      <c r="AA109">
        <f>HYPERLINK("https://klasma.github.io/Logging_2085/klagomål/A 59873-2025 FSC-klagomål.docx", "A 59873-2025")</f>
        <v/>
      </c>
      <c r="AB109">
        <f>HYPERLINK("https://klasma.github.io/Logging_2085/klagomålsmail/A 59873-2025 FSC-klagomål mail.docx", "A 59873-2025")</f>
        <v/>
      </c>
      <c r="AC109">
        <f>HYPERLINK("https://klasma.github.io/Logging_2085/tillsyn/A 59873-2025 tillsynsbegäran.docx", "A 59873-2025")</f>
        <v/>
      </c>
      <c r="AD109">
        <f>HYPERLINK("https://klasma.github.io/Logging_2085/tillsynsmail/A 59873-2025 tillsynsbegäran mail.docx", "A 59873-2025")</f>
        <v/>
      </c>
    </row>
    <row r="110" ht="15" customHeight="1">
      <c r="A110" t="inlineStr">
        <is>
          <t>A 62676-2025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46322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4.2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HYPERLINK("https://klasma.github.io/Logging_2085/artfynd/A 62676-2025 artfynd.xlsx", "A 62676-2025")</f>
        <v/>
      </c>
      <c r="X110">
        <f>HYPERLINK("https://klasma.github.io/Logging_2085/kartor/A 62676-2025 karta.png", "A 62676-2025")</f>
        <v/>
      </c>
      <c r="Y110">
        <f>HYPERLINK("https://klasma.github.io/Logging_2085/kartor_geotiff/A 62676-2025 georefererad karta.tif", "A 62676-2025")</f>
        <v/>
      </c>
      <c r="AA110">
        <f>HYPERLINK("https://klasma.github.io/Logging_2085/klagomål/A 62676-2025 FSC-klagomål.docx", "A 62676-2025")</f>
        <v/>
      </c>
      <c r="AB110">
        <f>HYPERLINK("https://klasma.github.io/Logging_2085/klagomålsmail/A 62676-2025 FSC-klagomål mail.docx", "A 62676-2025")</f>
        <v/>
      </c>
      <c r="AC110">
        <f>HYPERLINK("https://klasma.github.io/Logging_2085/tillsyn/A 62676-2025 tillsynsbegäran.docx", "A 62676-2025")</f>
        <v/>
      </c>
      <c r="AD110">
        <f>HYPERLINK("https://klasma.github.io/Logging_2085/tillsynsmail/A 62676-2025 tillsynsbegäran mail.docx", "A 62676-2025")</f>
        <v/>
      </c>
    </row>
    <row r="111" ht="15" customHeight="1">
      <c r="A111" t="inlineStr">
        <is>
          <t>A 3687-2024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46322</v>
      </c>
      <c r="F111" t="inlineStr">
        <is>
          <t>DALARNAS LÄN</t>
        </is>
      </c>
      <c r="G111" t="inlineStr">
        <is>
          <t>LUDVIKA</t>
        </is>
      </c>
      <c r="I111" t="n">
        <v>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Nordfladdermus</t>
        </is>
      </c>
      <c r="W111">
        <f>HYPERLINK("https://klasma.github.io/Logging_2085/artfynd/A 3687-2024 artfynd.xlsx", "A 3687-2024")</f>
        <v/>
      </c>
      <c r="X111">
        <f>HYPERLINK("https://klasma.github.io/Logging_2085/kartor/A 3687-2024 karta.png", "A 3687-2024")</f>
        <v/>
      </c>
      <c r="Y111">
        <f>HYPERLINK("https://klasma.github.io/Logging_2085/kartor_geotiff/A 3687-2024 georefererad karta.tif", "A 3687-2024")</f>
        <v/>
      </c>
      <c r="AA111">
        <f>HYPERLINK("https://klasma.github.io/Logging_2085/klagomål/A 3687-2024 FSC-klagomål.docx", "A 3687-2024")</f>
        <v/>
      </c>
      <c r="AB111">
        <f>HYPERLINK("https://klasma.github.io/Logging_2085/klagomålsmail/A 3687-2024 FSC-klagomål mail.docx", "A 3687-2024")</f>
        <v/>
      </c>
      <c r="AC111">
        <f>HYPERLINK("https://klasma.github.io/Logging_2085/tillsyn/A 3687-2024 tillsynsbegäran.docx", "A 3687-2024")</f>
        <v/>
      </c>
      <c r="AD111">
        <f>HYPERLINK("https://klasma.github.io/Logging_2085/tillsynsmail/A 3687-2024 tillsynsbegäran mail.docx", "A 3687-2024")</f>
        <v/>
      </c>
    </row>
    <row r="112" ht="15" customHeight="1">
      <c r="A112" t="inlineStr">
        <is>
          <t>A 33560-2023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46322</v>
      </c>
      <c r="F112" t="inlineStr">
        <is>
          <t>DALARNAS LÄN</t>
        </is>
      </c>
      <c r="G112" t="inlineStr">
        <is>
          <t>LUDVIKA</t>
        </is>
      </c>
      <c r="I112" t="n">
        <v>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vattensalamander</t>
        </is>
      </c>
      <c r="W112">
        <f>HYPERLINK("https://klasma.github.io/Logging_2085/artfynd/A 33560-2023 artfynd.xlsx", "A 33560-2023")</f>
        <v/>
      </c>
      <c r="X112">
        <f>HYPERLINK("https://klasma.github.io/Logging_2085/kartor/A 33560-2023 karta.png", "A 33560-2023")</f>
        <v/>
      </c>
      <c r="Y112">
        <f>HYPERLINK("https://klasma.github.io/Logging_2085/kartor_geotiff/A 33560-2023 georefererad karta.tif", "A 33560-2023")</f>
        <v/>
      </c>
      <c r="AA112">
        <f>HYPERLINK("https://klasma.github.io/Logging_2085/klagomål/A 33560-2023 FSC-klagomål.docx", "A 33560-2023")</f>
        <v/>
      </c>
      <c r="AB112">
        <f>HYPERLINK("https://klasma.github.io/Logging_2085/klagomålsmail/A 33560-2023 FSC-klagomål mail.docx", "A 33560-2023")</f>
        <v/>
      </c>
      <c r="AC112">
        <f>HYPERLINK("https://klasma.github.io/Logging_2085/tillsyn/A 33560-2023 tillsynsbegäran.docx", "A 33560-2023")</f>
        <v/>
      </c>
      <c r="AD112">
        <f>HYPERLINK("https://klasma.github.io/Logging_2085/tillsynsmail/A 33560-2023 tillsynsbegäran mail.docx", "A 33560-2023")</f>
        <v/>
      </c>
    </row>
    <row r="113" ht="15" customHeight="1">
      <c r="A113" t="inlineStr">
        <is>
          <t>A 29733-2025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46322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10.4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Stuplav</t>
        </is>
      </c>
      <c r="W113">
        <f>HYPERLINK("https://klasma.github.io/Logging_2085/artfynd/A 29733-2025 artfynd.xlsx", "A 29733-2025")</f>
        <v/>
      </c>
      <c r="X113">
        <f>HYPERLINK("https://klasma.github.io/Logging_2085/kartor/A 29733-2025 karta.png", "A 29733-2025")</f>
        <v/>
      </c>
      <c r="Y113">
        <f>HYPERLINK("https://klasma.github.io/Logging_2085/kartor_geotiff/A 29733-2025 georefererad karta.tif", "A 29733-2025")</f>
        <v/>
      </c>
      <c r="AA113">
        <f>HYPERLINK("https://klasma.github.io/Logging_2085/klagomål/A 29733-2025 FSC-klagomål.docx", "A 29733-2025")</f>
        <v/>
      </c>
      <c r="AB113">
        <f>HYPERLINK("https://klasma.github.io/Logging_2085/klagomålsmail/A 29733-2025 FSC-klagomål mail.docx", "A 29733-2025")</f>
        <v/>
      </c>
      <c r="AC113">
        <f>HYPERLINK("https://klasma.github.io/Logging_2085/tillsyn/A 29733-2025 tillsynsbegäran.docx", "A 29733-2025")</f>
        <v/>
      </c>
      <c r="AD113">
        <f>HYPERLINK("https://klasma.github.io/Logging_2085/tillsynsmail/A 29733-2025 tillsynsbegäran mail.docx", "A 29733-2025")</f>
        <v/>
      </c>
    </row>
    <row r="114" ht="15" customHeight="1">
      <c r="A114" t="inlineStr">
        <is>
          <t>A 59947-2025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46322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HYPERLINK("https://klasma.github.io/Logging_2085/artfynd/A 59947-2025 artfynd.xlsx", "A 59947-2025")</f>
        <v/>
      </c>
      <c r="X114">
        <f>HYPERLINK("https://klasma.github.io/Logging_2085/kartor/A 59947-2025 karta.png", "A 59947-2025")</f>
        <v/>
      </c>
      <c r="Y114">
        <f>HYPERLINK("https://klasma.github.io/Logging_2085/kartor_geotiff/A 59947-2025 georefererad karta.tif", "A 59947-2025")</f>
        <v/>
      </c>
      <c r="AA114">
        <f>HYPERLINK("https://klasma.github.io/Logging_2085/klagomål/A 59947-2025 FSC-klagomål.docx", "A 59947-2025")</f>
        <v/>
      </c>
      <c r="AB114">
        <f>HYPERLINK("https://klasma.github.io/Logging_2085/klagomålsmail/A 59947-2025 FSC-klagomål mail.docx", "A 59947-2025")</f>
        <v/>
      </c>
      <c r="AC114">
        <f>HYPERLINK("https://klasma.github.io/Logging_2085/tillsyn/A 59947-2025 tillsynsbegäran.docx", "A 59947-2025")</f>
        <v/>
      </c>
      <c r="AD114">
        <f>HYPERLINK("https://klasma.github.io/Logging_2085/tillsynsmail/A 59947-2025 tillsynsbegäran mail.docx", "A 59947-2025")</f>
        <v/>
      </c>
      <c r="AE114">
        <f>HYPERLINK("https://klasma.github.io/Logging_2085/fåglar/A 59947-2025 prioriterade fågelarter.docx", "A 59947-2025")</f>
        <v/>
      </c>
    </row>
    <row r="115" ht="15" customHeight="1">
      <c r="A115" t="inlineStr">
        <is>
          <t>A 26850-2023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46322</v>
      </c>
      <c r="F115" t="inlineStr">
        <is>
          <t>DALARNAS LÄN</t>
        </is>
      </c>
      <c r="G115" t="inlineStr">
        <is>
          <t>LUDVIKA</t>
        </is>
      </c>
      <c r="H115" t="inlineStr">
        <is>
          <t>Naturvårdsverket</t>
        </is>
      </c>
      <c r="I115" t="n">
        <v>2.7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Motaggsvamp</t>
        </is>
      </c>
      <c r="W115">
        <f>HYPERLINK("https://klasma.github.io/Logging_2085/artfynd/A 26850-2023 artfynd.xlsx", "A 26850-2023")</f>
        <v/>
      </c>
      <c r="X115">
        <f>HYPERLINK("https://klasma.github.io/Logging_2085/kartor/A 26850-2023 karta.png", "A 26850-2023")</f>
        <v/>
      </c>
      <c r="Y115">
        <f>HYPERLINK("https://klasma.github.io/Logging_2085/kartor_geotiff/A 26850-2023 georefererad karta.tif", "A 26850-2023")</f>
        <v/>
      </c>
      <c r="AA115">
        <f>HYPERLINK("https://klasma.github.io/Logging_2085/klagomål/A 26850-2023 FSC-klagomål.docx", "A 26850-2023")</f>
        <v/>
      </c>
      <c r="AB115">
        <f>HYPERLINK("https://klasma.github.io/Logging_2085/klagomålsmail/A 26850-2023 FSC-klagomål mail.docx", "A 26850-2023")</f>
        <v/>
      </c>
      <c r="AC115">
        <f>HYPERLINK("https://klasma.github.io/Logging_2085/tillsyn/A 26850-2023 tillsynsbegäran.docx", "A 26850-2023")</f>
        <v/>
      </c>
      <c r="AD115">
        <f>HYPERLINK("https://klasma.github.io/Logging_2085/tillsynsmail/A 26850-2023 tillsynsbegäran mail.docx", "A 26850-2023")</f>
        <v/>
      </c>
    </row>
    <row r="116" ht="15" customHeight="1">
      <c r="A116" t="inlineStr">
        <is>
          <t>A 74401-2021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46322</v>
      </c>
      <c r="F116" t="inlineStr">
        <is>
          <t>DALARNAS LÄN</t>
        </is>
      </c>
      <c r="G116" t="inlineStr">
        <is>
          <t>LUDVIKA</t>
        </is>
      </c>
      <c r="H116" t="inlineStr">
        <is>
          <t>Kommuner</t>
        </is>
      </c>
      <c r="I116" t="n">
        <v>0.6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Gullgröppa</t>
        </is>
      </c>
      <c r="W116">
        <f>HYPERLINK("https://klasma.github.io/Logging_2085/artfynd/A 74401-2021 artfynd.xlsx", "A 74401-2021")</f>
        <v/>
      </c>
      <c r="X116">
        <f>HYPERLINK("https://klasma.github.io/Logging_2085/kartor/A 74401-2021 karta.png", "A 74401-2021")</f>
        <v/>
      </c>
      <c r="Y116">
        <f>HYPERLINK("https://klasma.github.io/Logging_2085/kartor_geotiff/A 74401-2021 georefererad karta.tif", "A 74401-2021")</f>
        <v/>
      </c>
      <c r="AA116">
        <f>HYPERLINK("https://klasma.github.io/Logging_2085/klagomål/A 74401-2021 FSC-klagomål.docx", "A 74401-2021")</f>
        <v/>
      </c>
      <c r="AB116">
        <f>HYPERLINK("https://klasma.github.io/Logging_2085/klagomålsmail/A 74401-2021 FSC-klagomål mail.docx", "A 74401-2021")</f>
        <v/>
      </c>
      <c r="AC116">
        <f>HYPERLINK("https://klasma.github.io/Logging_2085/tillsyn/A 74401-2021 tillsynsbegäran.docx", "A 74401-2021")</f>
        <v/>
      </c>
      <c r="AD116">
        <f>HYPERLINK("https://klasma.github.io/Logging_2085/tillsynsmail/A 74401-2021 tillsynsbegäran mail.docx", "A 74401-2021")</f>
        <v/>
      </c>
    </row>
    <row r="117" ht="15" customHeight="1">
      <c r="A117" t="inlineStr">
        <is>
          <t>A 25588-2023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45089</v>
      </c>
      <c r="E117" s="1" t="n">
        <v>46322</v>
      </c>
      <c r="F117" t="inlineStr">
        <is>
          <t>DALARNAS LÄN</t>
        </is>
      </c>
      <c r="G117" t="inlineStr">
        <is>
          <t>LUDVIKA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HYPERLINK("https://klasma.github.io/Logging_2085/artfynd/A 25588-2023 artfynd.xlsx", "A 25588-2023")</f>
        <v/>
      </c>
      <c r="X117">
        <f>HYPERLINK("https://klasma.github.io/Logging_2085/kartor/A 25588-2023 karta.png", "A 25588-2023")</f>
        <v/>
      </c>
      <c r="Y117">
        <f>HYPERLINK("https://klasma.github.io/Logging_2085/kartor_geotiff/A 25588-2023 georefererad karta.tif", "A 25588-2023")</f>
        <v/>
      </c>
      <c r="AA117">
        <f>HYPERLINK("https://klasma.github.io/Logging_2085/klagomål/A 25588-2023 FSC-klagomål.docx", "A 25588-2023")</f>
        <v/>
      </c>
      <c r="AB117">
        <f>HYPERLINK("https://klasma.github.io/Logging_2085/klagomålsmail/A 25588-2023 FSC-klagomål mail.docx", "A 25588-2023")</f>
        <v/>
      </c>
      <c r="AC117">
        <f>HYPERLINK("https://klasma.github.io/Logging_2085/tillsyn/A 25588-2023 tillsynsbegäran.docx", "A 25588-2023")</f>
        <v/>
      </c>
      <c r="AD117">
        <f>HYPERLINK("https://klasma.github.io/Logging_2085/tillsynsmail/A 25588-2023 tillsynsbegäran mail.docx", "A 25588-2023")</f>
        <v/>
      </c>
    </row>
    <row r="118" ht="15" customHeight="1">
      <c r="A118" t="inlineStr">
        <is>
          <t>A 31352-2026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46219</v>
      </c>
      <c r="E118" s="1" t="n">
        <v>46322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1.2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Tvåblad</t>
        </is>
      </c>
      <c r="W118">
        <f>HYPERLINK("https://klasma.github.io/Logging_2085/artfynd/A 31352-2026 artfynd.xlsx", "A 31352-2026")</f>
        <v/>
      </c>
      <c r="X118">
        <f>HYPERLINK("https://klasma.github.io/Logging_2085/kartor/A 31352-2026 karta.png", "A 31352-2026")</f>
        <v/>
      </c>
      <c r="Y118">
        <f>HYPERLINK("https://klasma.github.io/Logging_2085/kartor_geotiff/A 31352-2026 georefererad karta.tif", "A 31352-2026")</f>
        <v/>
      </c>
      <c r="AA118">
        <f>HYPERLINK("https://klasma.github.io/Logging_2085/klagomål/A 31352-2026 FSC-klagomål.docx", "A 31352-2026")</f>
        <v/>
      </c>
      <c r="AB118">
        <f>HYPERLINK("https://klasma.github.io/Logging_2085/klagomålsmail/A 31352-2026 FSC-klagomål mail.docx", "A 31352-2026")</f>
        <v/>
      </c>
      <c r="AC118">
        <f>HYPERLINK("https://klasma.github.io/Logging_2085/tillsyn/A 31352-2026 tillsynsbegäran.docx", "A 31352-2026")</f>
        <v/>
      </c>
      <c r="AD118">
        <f>HYPERLINK("https://klasma.github.io/Logging_2085/tillsynsmail/A 31352-2026 tillsynsbegäran mail.docx", "A 31352-2026")</f>
        <v/>
      </c>
    </row>
    <row r="119" ht="15" customHeight="1">
      <c r="A119" t="inlineStr">
        <is>
          <t>A 17987-2025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46322</v>
      </c>
      <c r="F119" t="inlineStr">
        <is>
          <t>DALARNAS LÄN</t>
        </is>
      </c>
      <c r="G119" t="inlineStr">
        <is>
          <t>LUDVIKA</t>
        </is>
      </c>
      <c r="I119" t="n">
        <v>0.5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HYPERLINK("https://klasma.github.io/Logging_2085/artfynd/A 17987-2025 artfynd.xlsx", "A 17987-2025")</f>
        <v/>
      </c>
      <c r="X119">
        <f>HYPERLINK("https://klasma.github.io/Logging_2085/kartor/A 17987-2025 karta.png", "A 17987-2025")</f>
        <v/>
      </c>
      <c r="Y119">
        <f>HYPERLINK("https://klasma.github.io/Logging_2085/kartor_geotiff/A 17987-2025 georefererad karta.tif", "A 17987-2025")</f>
        <v/>
      </c>
      <c r="AA119">
        <f>HYPERLINK("https://klasma.github.io/Logging_2085/klagomål/A 17987-2025 FSC-klagomål.docx", "A 17987-2025")</f>
        <v/>
      </c>
      <c r="AB119">
        <f>HYPERLINK("https://klasma.github.io/Logging_2085/klagomålsmail/A 17987-2025 FSC-klagomål mail.docx", "A 17987-2025")</f>
        <v/>
      </c>
      <c r="AC119">
        <f>HYPERLINK("https://klasma.github.io/Logging_2085/tillsyn/A 17987-2025 tillsynsbegäran.docx", "A 17987-2025")</f>
        <v/>
      </c>
      <c r="AD119">
        <f>HYPERLINK("https://klasma.github.io/Logging_2085/tillsynsmail/A 17987-2025 tillsynsbegäran mail.docx", "A 17987-2025")</f>
        <v/>
      </c>
      <c r="AE119">
        <f>HYPERLINK("https://klasma.github.io/Logging_2085/fåglar/A 17987-2025 prioriterade fågelarter.docx", "A 17987-2025")</f>
        <v/>
      </c>
    </row>
    <row r="120" ht="15" customHeight="1">
      <c r="A120" t="inlineStr">
        <is>
          <t>A 21499-2022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44706</v>
      </c>
      <c r="E120" s="1" t="n">
        <v>46322</v>
      </c>
      <c r="F120" t="inlineStr">
        <is>
          <t>DALARNAS LÄN</t>
        </is>
      </c>
      <c r="G120" t="inlineStr">
        <is>
          <t>LUDVIKA</t>
        </is>
      </c>
      <c r="I120" t="n">
        <v>4.3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Strimspindling</t>
        </is>
      </c>
      <c r="W120">
        <f>HYPERLINK("https://klasma.github.io/Logging_2085/artfynd/A 21499-2022 artfynd.xlsx", "A 21499-2022")</f>
        <v/>
      </c>
      <c r="X120">
        <f>HYPERLINK("https://klasma.github.io/Logging_2085/kartor/A 21499-2022 karta.png", "A 21499-2022")</f>
        <v/>
      </c>
      <c r="Y120">
        <f>HYPERLINK("https://klasma.github.io/Logging_2085/kartor_geotiff/A 21499-2022 georefererad karta.tif", "A 21499-2022")</f>
        <v/>
      </c>
      <c r="AA120">
        <f>HYPERLINK("https://klasma.github.io/Logging_2085/klagomål/A 21499-2022 FSC-klagomål.docx", "A 21499-2022")</f>
        <v/>
      </c>
      <c r="AB120">
        <f>HYPERLINK("https://klasma.github.io/Logging_2085/klagomålsmail/A 21499-2022 FSC-klagomål mail.docx", "A 21499-2022")</f>
        <v/>
      </c>
      <c r="AC120">
        <f>HYPERLINK("https://klasma.github.io/Logging_2085/tillsyn/A 21499-2022 tillsynsbegäran.docx", "A 21499-2022")</f>
        <v/>
      </c>
      <c r="AD120">
        <f>HYPERLINK("https://klasma.github.io/Logging_2085/tillsynsmail/A 21499-2022 tillsynsbegäran mail.docx", "A 21499-2022")</f>
        <v/>
      </c>
    </row>
    <row r="121" ht="15" customHeight="1">
      <c r="A121" t="inlineStr">
        <is>
          <t>A 400-2023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46322</v>
      </c>
      <c r="F121" t="inlineStr">
        <is>
          <t>DALARNAS LÄN</t>
        </is>
      </c>
      <c r="G121" t="inlineStr">
        <is>
          <t>LUDVIKA</t>
        </is>
      </c>
      <c r="I121" t="n">
        <v>3.6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HYPERLINK("https://klasma.github.io/Logging_2085/artfynd/A 400-2023 artfynd.xlsx", "A 400-2023")</f>
        <v/>
      </c>
      <c r="X121">
        <f>HYPERLINK("https://klasma.github.io/Logging_2085/kartor/A 400-2023 karta.png", "A 400-2023")</f>
        <v/>
      </c>
      <c r="Y121">
        <f>HYPERLINK("https://klasma.github.io/Logging_2085/kartor_geotiff/A 400-2023 georefererad karta.tif", "A 400-2023")</f>
        <v/>
      </c>
      <c r="AA121">
        <f>HYPERLINK("https://klasma.github.io/Logging_2085/klagomål/A 400-2023 FSC-klagomål.docx", "A 400-2023")</f>
        <v/>
      </c>
      <c r="AB121">
        <f>HYPERLINK("https://klasma.github.io/Logging_2085/klagomålsmail/A 400-2023 FSC-klagomål mail.docx", "A 400-2023")</f>
        <v/>
      </c>
      <c r="AC121">
        <f>HYPERLINK("https://klasma.github.io/Logging_2085/tillsyn/A 400-2023 tillsynsbegäran.docx", "A 400-2023")</f>
        <v/>
      </c>
      <c r="AD121">
        <f>HYPERLINK("https://klasma.github.io/Logging_2085/tillsynsmail/A 400-2023 tillsynsbegäran mail.docx", "A 400-2023")</f>
        <v/>
      </c>
    </row>
    <row r="122" ht="15" customHeight="1">
      <c r="A122" t="inlineStr">
        <is>
          <t>A 33399-2026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46247</v>
      </c>
      <c r="E122" s="1" t="n">
        <v>46322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0.8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Järpe</t>
        </is>
      </c>
      <c r="W122">
        <f>HYPERLINK("https://klasma.github.io/Logging_2085/artfynd/A 33399-2026 artfynd.xlsx", "A 33399-2026")</f>
        <v/>
      </c>
      <c r="X122">
        <f>HYPERLINK("https://klasma.github.io/Logging_2085/kartor/A 33399-2026 karta.png", "A 33399-2026")</f>
        <v/>
      </c>
      <c r="Y122">
        <f>HYPERLINK("https://klasma.github.io/Logging_2085/kartor_geotiff/A 33399-2026 georefererad karta.tif", "A 33399-2026")</f>
        <v/>
      </c>
      <c r="AA122">
        <f>HYPERLINK("https://klasma.github.io/Logging_2085/klagomål/A 33399-2026 FSC-klagomål.docx", "A 33399-2026")</f>
        <v/>
      </c>
      <c r="AB122">
        <f>HYPERLINK("https://klasma.github.io/Logging_2085/klagomålsmail/A 33399-2026 FSC-klagomål mail.docx", "A 33399-2026")</f>
        <v/>
      </c>
      <c r="AC122">
        <f>HYPERLINK("https://klasma.github.io/Logging_2085/tillsyn/A 33399-2026 tillsynsbegäran.docx", "A 33399-2026")</f>
        <v/>
      </c>
      <c r="AD122">
        <f>HYPERLINK("https://klasma.github.io/Logging_2085/tillsynsmail/A 33399-2026 tillsynsbegäran mail.docx", "A 33399-2026")</f>
        <v/>
      </c>
      <c r="AE122">
        <f>HYPERLINK("https://klasma.github.io/Logging_2085/fåglar/A 33399-2026 prioriterade fågelarter.docx", "A 33399-2026")</f>
        <v/>
      </c>
    </row>
    <row r="123" ht="15" customHeight="1">
      <c r="A123" t="inlineStr">
        <is>
          <t>A 31478-2023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45114</v>
      </c>
      <c r="E123" s="1" t="n">
        <v>46322</v>
      </c>
      <c r="F123" t="inlineStr">
        <is>
          <t>DALARNAS LÄN</t>
        </is>
      </c>
      <c r="G123" t="inlineStr">
        <is>
          <t>LUDVIKA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HYPERLINK("https://klasma.github.io/Logging_2085/artfynd/A 31478-2023 artfynd.xlsx", "A 31478-2023")</f>
        <v/>
      </c>
      <c r="X123">
        <f>HYPERLINK("https://klasma.github.io/Logging_2085/kartor/A 31478-2023 karta.png", "A 31478-2023")</f>
        <v/>
      </c>
      <c r="Y123">
        <f>HYPERLINK("https://klasma.github.io/Logging_2085/kartor_geotiff/A 31478-2023 georefererad karta.tif", "A 31478-2023")</f>
        <v/>
      </c>
      <c r="AA123">
        <f>HYPERLINK("https://klasma.github.io/Logging_2085/klagomål/A 31478-2023 FSC-klagomål.docx", "A 31478-2023")</f>
        <v/>
      </c>
      <c r="AB123">
        <f>HYPERLINK("https://klasma.github.io/Logging_2085/klagomålsmail/A 31478-2023 FSC-klagomål mail.docx", "A 31478-2023")</f>
        <v/>
      </c>
      <c r="AC123">
        <f>HYPERLINK("https://klasma.github.io/Logging_2085/tillsyn/A 31478-2023 tillsynsbegäran.docx", "A 31478-2023")</f>
        <v/>
      </c>
      <c r="AD123">
        <f>HYPERLINK("https://klasma.github.io/Logging_2085/tillsynsmail/A 31478-2023 tillsynsbegäran mail.docx", "A 31478-2023")</f>
        <v/>
      </c>
    </row>
    <row r="124" ht="15" customHeight="1">
      <c r="A124" t="inlineStr">
        <is>
          <t>A 25448-2024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45463</v>
      </c>
      <c r="E124" s="1" t="n">
        <v>46322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24.7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0</v>
      </c>
      <c r="V124" s="2" t="inlineStr">
        <is>
          <t>Blåsippa</t>
        </is>
      </c>
      <c r="W124">
        <f>HYPERLINK("https://klasma.github.io/Logging_2085/artfynd/A 25448-2024 artfynd.xlsx", "A 25448-2024")</f>
        <v/>
      </c>
      <c r="X124">
        <f>HYPERLINK("https://klasma.github.io/Logging_2085/kartor/A 25448-2024 karta.png", "A 25448-2024")</f>
        <v/>
      </c>
      <c r="Y124">
        <f>HYPERLINK("https://klasma.github.io/Logging_2085/kartor_geotiff/A 25448-2024 georefererad karta.tif", "A 25448-2024")</f>
        <v/>
      </c>
      <c r="AA124">
        <f>HYPERLINK("https://klasma.github.io/Logging_2085/klagomål/A 25448-2024 FSC-klagomål.docx", "A 25448-2024")</f>
        <v/>
      </c>
      <c r="AB124">
        <f>HYPERLINK("https://klasma.github.io/Logging_2085/klagomålsmail/A 25448-2024 FSC-klagomål mail.docx", "A 25448-2024")</f>
        <v/>
      </c>
      <c r="AC124">
        <f>HYPERLINK("https://klasma.github.io/Logging_2085/tillsyn/A 25448-2024 tillsynsbegäran.docx", "A 25448-2024")</f>
        <v/>
      </c>
      <c r="AD124">
        <f>HYPERLINK("https://klasma.github.io/Logging_2085/tillsynsmail/A 25448-2024 tillsynsbegäran mail.docx", "A 25448-2024")</f>
        <v/>
      </c>
    </row>
    <row r="125" ht="15" customHeight="1">
      <c r="A125" t="inlineStr">
        <is>
          <t>A 23720-2026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46163</v>
      </c>
      <c r="E125" s="1" t="n">
        <v>46322</v>
      </c>
      <c r="F125" t="inlineStr">
        <is>
          <t>DALARNAS LÄN</t>
        </is>
      </c>
      <c r="G125" t="inlineStr">
        <is>
          <t>LUDVIKA</t>
        </is>
      </c>
      <c r="I125" t="n">
        <v>3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Tretåig hackspett</t>
        </is>
      </c>
      <c r="W125">
        <f>HYPERLINK("https://klasma.github.io/Logging_2085/artfynd/A 23720-2026 artfynd.xlsx", "A 23720-2026")</f>
        <v/>
      </c>
      <c r="X125">
        <f>HYPERLINK("https://klasma.github.io/Logging_2085/kartor/A 23720-2026 karta.png", "A 23720-2026")</f>
        <v/>
      </c>
      <c r="Y125">
        <f>HYPERLINK("https://klasma.github.io/Logging_2085/kartor_geotiff/A 23720-2026 georefererad karta.tif", "A 23720-2026")</f>
        <v/>
      </c>
      <c r="AA125">
        <f>HYPERLINK("https://klasma.github.io/Logging_2085/klagomål/A 23720-2026 FSC-klagomål.docx", "A 23720-2026")</f>
        <v/>
      </c>
      <c r="AB125">
        <f>HYPERLINK("https://klasma.github.io/Logging_2085/klagomålsmail/A 23720-2026 FSC-klagomål mail.docx", "A 23720-2026")</f>
        <v/>
      </c>
      <c r="AC125">
        <f>HYPERLINK("https://klasma.github.io/Logging_2085/tillsyn/A 23720-2026 tillsynsbegäran.docx", "A 23720-2026")</f>
        <v/>
      </c>
      <c r="AD125">
        <f>HYPERLINK("https://klasma.github.io/Logging_2085/tillsynsmail/A 23720-2026 tillsynsbegäran mail.docx", "A 23720-2026")</f>
        <v/>
      </c>
      <c r="AE125">
        <f>HYPERLINK("https://klasma.github.io/Logging_2085/fåglar/A 23720-2026 prioriterade fågelarter.docx", "A 23720-2026")</f>
        <v/>
      </c>
    </row>
    <row r="126" ht="15" customHeight="1">
      <c r="A126" t="inlineStr">
        <is>
          <t>A 23778-2026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46164</v>
      </c>
      <c r="E126" s="1" t="n">
        <v>46322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23778-2026 artfynd.xlsx", "A 23778-2026")</f>
        <v/>
      </c>
      <c r="X126">
        <f>HYPERLINK("https://klasma.github.io/Logging_2085/kartor/A 23778-2026 karta.png", "A 23778-2026")</f>
        <v/>
      </c>
      <c r="Y126">
        <f>HYPERLINK("https://klasma.github.io/Logging_2085/kartor_geotiff/A 23778-2026 georefererad karta.tif", "A 23778-2026")</f>
        <v/>
      </c>
      <c r="AA126">
        <f>HYPERLINK("https://klasma.github.io/Logging_2085/klagomål/A 23778-2026 FSC-klagomål.docx", "A 23778-2026")</f>
        <v/>
      </c>
      <c r="AB126">
        <f>HYPERLINK("https://klasma.github.io/Logging_2085/klagomålsmail/A 23778-2026 FSC-klagomål mail.docx", "A 23778-2026")</f>
        <v/>
      </c>
      <c r="AC126">
        <f>HYPERLINK("https://klasma.github.io/Logging_2085/tillsyn/A 23778-2026 tillsynsbegäran.docx", "A 23778-2026")</f>
        <v/>
      </c>
      <c r="AD126">
        <f>HYPERLINK("https://klasma.github.io/Logging_2085/tillsynsmail/A 23778-2026 tillsynsbegäran mail.docx", "A 23778-2026")</f>
        <v/>
      </c>
      <c r="AE126">
        <f>HYPERLINK("https://klasma.github.io/Logging_2085/fåglar/A 23778-2026 prioriterade fågelarter.docx", "A 23778-2026")</f>
        <v/>
      </c>
    </row>
    <row r="127" ht="15" customHeight="1">
      <c r="A127" t="inlineStr">
        <is>
          <t>A 63005-2025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46322</v>
      </c>
      <c r="F127" t="inlineStr">
        <is>
          <t>DALARNAS LÄN</t>
        </is>
      </c>
      <c r="G127" t="inlineStr">
        <is>
          <t>LUDVIKA</t>
        </is>
      </c>
      <c r="I127" t="n">
        <v>4.4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63005-2025 artfynd.xlsx", "A 63005-2025")</f>
        <v/>
      </c>
      <c r="X127">
        <f>HYPERLINK("https://klasma.github.io/Logging_2085/kartor/A 63005-2025 karta.png", "A 63005-2025")</f>
        <v/>
      </c>
      <c r="Y127">
        <f>HYPERLINK("https://klasma.github.io/Logging_2085/kartor_geotiff/A 63005-2025 georefererad karta.tif", "A 63005-2025")</f>
        <v/>
      </c>
      <c r="AA127">
        <f>HYPERLINK("https://klasma.github.io/Logging_2085/klagomål/A 63005-2025 FSC-klagomål.docx", "A 63005-2025")</f>
        <v/>
      </c>
      <c r="AB127">
        <f>HYPERLINK("https://klasma.github.io/Logging_2085/klagomålsmail/A 63005-2025 FSC-klagomål mail.docx", "A 63005-2025")</f>
        <v/>
      </c>
      <c r="AC127">
        <f>HYPERLINK("https://klasma.github.io/Logging_2085/tillsyn/A 63005-2025 tillsynsbegäran.docx", "A 63005-2025")</f>
        <v/>
      </c>
      <c r="AD127">
        <f>HYPERLINK("https://klasma.github.io/Logging_2085/tillsynsmail/A 63005-2025 tillsynsbegäran mail.docx", "A 63005-2025")</f>
        <v/>
      </c>
      <c r="AE127">
        <f>HYPERLINK("https://klasma.github.io/Logging_2085/fåglar/A 63005-2025 prioriterade fågelarter.docx", "A 63005-2025")</f>
        <v/>
      </c>
    </row>
    <row r="128" ht="15" customHeight="1">
      <c r="A128" t="inlineStr">
        <is>
          <t>A 25159-2026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46175</v>
      </c>
      <c r="E128" s="1" t="n">
        <v>46322</v>
      </c>
      <c r="F128" t="inlineStr">
        <is>
          <t>DALARNAS LÄN</t>
        </is>
      </c>
      <c r="G128" t="inlineStr">
        <is>
          <t>LUDVIKA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HYPERLINK("https://klasma.github.io/Logging_2085/artfynd/A 25159-2026 artfynd.xlsx", "A 25159-2026")</f>
        <v/>
      </c>
      <c r="X128">
        <f>HYPERLINK("https://klasma.github.io/Logging_2085/kartor/A 25159-2026 karta.png", "A 25159-2026")</f>
        <v/>
      </c>
      <c r="Y128">
        <f>HYPERLINK("https://klasma.github.io/Logging_2085/kartor_geotiff/A 25159-2026 georefererad karta.tif", "A 25159-2026")</f>
        <v/>
      </c>
      <c r="AA128">
        <f>HYPERLINK("https://klasma.github.io/Logging_2085/klagomål/A 25159-2026 FSC-klagomål.docx", "A 25159-2026")</f>
        <v/>
      </c>
      <c r="AB128">
        <f>HYPERLINK("https://klasma.github.io/Logging_2085/klagomålsmail/A 25159-2026 FSC-klagomål mail.docx", "A 25159-2026")</f>
        <v/>
      </c>
      <c r="AC128">
        <f>HYPERLINK("https://klasma.github.io/Logging_2085/tillsyn/A 25159-2026 tillsynsbegäran.docx", "A 25159-2026")</f>
        <v/>
      </c>
      <c r="AD128">
        <f>HYPERLINK("https://klasma.github.io/Logging_2085/tillsynsmail/A 25159-2026 tillsynsbegäran mail.docx", "A 25159-2026")</f>
        <v/>
      </c>
    </row>
    <row r="129" ht="15" customHeight="1">
      <c r="A129" t="inlineStr">
        <is>
          <t>A 12093-2023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46322</v>
      </c>
      <c r="F129" t="inlineStr">
        <is>
          <t>DALARNAS LÄN</t>
        </is>
      </c>
      <c r="G129" t="inlineStr">
        <is>
          <t>LUDVIKA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Bitter taggsvamp</t>
        </is>
      </c>
      <c r="W129">
        <f>HYPERLINK("https://klasma.github.io/Logging_2085/artfynd/A 12093-2023 artfynd.xlsx", "A 12093-2023")</f>
        <v/>
      </c>
      <c r="X129">
        <f>HYPERLINK("https://klasma.github.io/Logging_2085/kartor/A 12093-2023 karta.png", "A 12093-2023")</f>
        <v/>
      </c>
      <c r="Y129">
        <f>HYPERLINK("https://klasma.github.io/Logging_2085/kartor_geotiff/A 12093-2023 georefererad karta.tif", "A 12093-2023")</f>
        <v/>
      </c>
      <c r="AA129">
        <f>HYPERLINK("https://klasma.github.io/Logging_2085/klagomål/A 12093-2023 FSC-klagomål.docx", "A 12093-2023")</f>
        <v/>
      </c>
      <c r="AB129">
        <f>HYPERLINK("https://klasma.github.io/Logging_2085/klagomålsmail/A 12093-2023 FSC-klagomål mail.docx", "A 12093-2023")</f>
        <v/>
      </c>
      <c r="AC129">
        <f>HYPERLINK("https://klasma.github.io/Logging_2085/tillsyn/A 12093-2023 tillsynsbegäran.docx", "A 12093-2023")</f>
        <v/>
      </c>
      <c r="AD129">
        <f>HYPERLINK("https://klasma.github.io/Logging_2085/tillsynsmail/A 12093-2023 tillsynsbegäran mail.docx", "A 12093-2023")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46322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35652-2026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46322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Garnlav</t>
        </is>
      </c>
      <c r="W131">
        <f>HYPERLINK("https://klasma.github.io/Logging_2085/artfynd/A 35652-2026 artfynd.xlsx", "A 35652-2026")</f>
        <v/>
      </c>
      <c r="X131">
        <f>HYPERLINK("https://klasma.github.io/Logging_2085/kartor/A 35652-2026 karta.png", "A 35652-2026")</f>
        <v/>
      </c>
      <c r="Y131">
        <f>HYPERLINK("https://klasma.github.io/Logging_2085/kartor_geotiff/A 35652-2026 georefererad karta.tif", "A 35652-2026")</f>
        <v/>
      </c>
      <c r="AA131">
        <f>HYPERLINK("https://klasma.github.io/Logging_2085/klagomål/A 35652-2026 FSC-klagomål.docx", "A 35652-2026")</f>
        <v/>
      </c>
      <c r="AB131">
        <f>HYPERLINK("https://klasma.github.io/Logging_2085/klagomålsmail/A 35652-2026 FSC-klagomål mail.docx", "A 35652-2026")</f>
        <v/>
      </c>
      <c r="AC131">
        <f>HYPERLINK("https://klasma.github.io/Logging_2085/tillsyn/A 35652-2026 tillsynsbegäran.docx", "A 35652-2026")</f>
        <v/>
      </c>
      <c r="AD131">
        <f>HYPERLINK("https://klasma.github.io/Logging_2085/tillsynsmail/A 35652-2026 tillsynsbegäran mail.docx", "A 35652-2026")</f>
        <v/>
      </c>
    </row>
    <row r="132" ht="15" customHeight="1">
      <c r="A132" t="inlineStr">
        <is>
          <t>A 43248-2026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46314</v>
      </c>
      <c r="E132" s="1" t="n">
        <v>46322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Brunpudrad nållav</t>
        </is>
      </c>
      <c r="W132">
        <f>HYPERLINK("https://klasma.github.io/Logging_2085/artfynd/A 43248-2026 artfynd.xlsx", "A 43248-2026")</f>
        <v/>
      </c>
      <c r="X132">
        <f>HYPERLINK("https://klasma.github.io/Logging_2085/kartor/A 43248-2026 karta.png", "A 43248-2026")</f>
        <v/>
      </c>
      <c r="Y132">
        <f>HYPERLINK("https://klasma.github.io/Logging_2085/kartor_geotiff/A 43248-2026 georefererad karta.tif", "A 43248-2026")</f>
        <v/>
      </c>
      <c r="AA132">
        <f>HYPERLINK("https://klasma.github.io/Logging_2085/klagomål/A 43248-2026 FSC-klagomål.docx", "A 43248-2026")</f>
        <v/>
      </c>
      <c r="AB132">
        <f>HYPERLINK("https://klasma.github.io/Logging_2085/klagomålsmail/A 43248-2026 FSC-klagomål mail.docx", "A 43248-2026")</f>
        <v/>
      </c>
      <c r="AC132">
        <f>HYPERLINK("https://klasma.github.io/Logging_2085/tillsyn/A 43248-2026 tillsynsbegäran.docx", "A 43248-2026")</f>
        <v/>
      </c>
      <c r="AD132">
        <f>HYPERLINK("https://klasma.github.io/Logging_2085/tillsynsmail/A 43248-2026 tillsynsbegäran mail.docx", "A 43248-2026")</f>
        <v/>
      </c>
    </row>
    <row r="133" ht="15" customHeight="1">
      <c r="A133" t="inlineStr">
        <is>
          <t>A 36478-2026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46322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Skogsalm</t>
        </is>
      </c>
      <c r="W133">
        <f>HYPERLINK("https://klasma.github.io/Logging_2085/artfynd/A 36478-2026 artfynd.xlsx", "A 36478-2026")</f>
        <v/>
      </c>
      <c r="X133">
        <f>HYPERLINK("https://klasma.github.io/Logging_2085/kartor/A 36478-2026 karta.png", "A 36478-2026")</f>
        <v/>
      </c>
      <c r="Y133">
        <f>HYPERLINK("https://klasma.github.io/Logging_2085/kartor_geotiff/A 36478-2026 georefererad karta.tif", "A 36478-2026")</f>
        <v/>
      </c>
      <c r="AA133">
        <f>HYPERLINK("https://klasma.github.io/Logging_2085/klagomål/A 36478-2026 FSC-klagomål.docx", "A 36478-2026")</f>
        <v/>
      </c>
      <c r="AB133">
        <f>HYPERLINK("https://klasma.github.io/Logging_2085/klagomålsmail/A 36478-2026 FSC-klagomål mail.docx", "A 36478-2026")</f>
        <v/>
      </c>
      <c r="AC133">
        <f>HYPERLINK("https://klasma.github.io/Logging_2085/tillsyn/A 36478-2026 tillsynsbegäran.docx", "A 36478-2026")</f>
        <v/>
      </c>
      <c r="AD133">
        <f>HYPERLINK("https://klasma.github.io/Logging_2085/tillsynsmail/A 36478-2026 tillsynsbegäran mail.docx", "A 36478-2026")</f>
        <v/>
      </c>
    </row>
    <row r="134" ht="15" customHeight="1">
      <c r="A134" t="inlineStr">
        <is>
          <t>A 60787-2024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46322</v>
      </c>
      <c r="F134" t="inlineStr">
        <is>
          <t>DALARNAS LÄN</t>
        </is>
      </c>
      <c r="G134" t="inlineStr">
        <is>
          <t>LUDVIKA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Järpe</t>
        </is>
      </c>
      <c r="W134">
        <f>HYPERLINK("https://klasma.github.io/Logging_2085/artfynd/A 60787-2024 artfynd.xlsx", "A 60787-2024")</f>
        <v/>
      </c>
      <c r="X134">
        <f>HYPERLINK("https://klasma.github.io/Logging_2085/kartor/A 60787-2024 karta.png", "A 60787-2024")</f>
        <v/>
      </c>
      <c r="Y134">
        <f>HYPERLINK("https://klasma.github.io/Logging_2085/kartor_geotiff/A 60787-2024 georefererad karta.tif", "A 60787-2024")</f>
        <v/>
      </c>
      <c r="AA134">
        <f>HYPERLINK("https://klasma.github.io/Logging_2085/klagomål/A 60787-2024 FSC-klagomål.docx", "A 60787-2024")</f>
        <v/>
      </c>
      <c r="AB134">
        <f>HYPERLINK("https://klasma.github.io/Logging_2085/klagomålsmail/A 60787-2024 FSC-klagomål mail.docx", "A 60787-2024")</f>
        <v/>
      </c>
      <c r="AC134">
        <f>HYPERLINK("https://klasma.github.io/Logging_2085/tillsyn/A 60787-2024 tillsynsbegäran.docx", "A 60787-2024")</f>
        <v/>
      </c>
      <c r="AD134">
        <f>HYPERLINK("https://klasma.github.io/Logging_2085/tillsynsmail/A 60787-2024 tillsynsbegäran mail.docx", "A 60787-2024")</f>
        <v/>
      </c>
      <c r="AE134">
        <f>HYPERLINK("https://klasma.github.io/Logging_2085/fåglar/A 60787-2024 prioriterade fågelarter.docx", "A 60787-2024")</f>
        <v/>
      </c>
    </row>
    <row r="135" ht="15" customHeight="1">
      <c r="A135" t="inlineStr">
        <is>
          <t>A 37560-2026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46276</v>
      </c>
      <c r="E135" s="1" t="n">
        <v>46322</v>
      </c>
      <c r="F135" t="inlineStr">
        <is>
          <t>DALARNAS LÄN</t>
        </is>
      </c>
      <c r="G135" t="inlineStr">
        <is>
          <t>LUDVIKA</t>
        </is>
      </c>
      <c r="H135" t="inlineStr">
        <is>
          <t>Naturvårdsverket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HYPERLINK("https://klasma.github.io/Logging_2085/artfynd/A 37560-2026 artfynd.xlsx", "A 37560-2026")</f>
        <v/>
      </c>
      <c r="X135">
        <f>HYPERLINK("https://klasma.github.io/Logging_2085/kartor/A 37560-2026 karta.png", "A 37560-2026")</f>
        <v/>
      </c>
      <c r="Y135">
        <f>HYPERLINK("https://klasma.github.io/Logging_2085/kartor_geotiff/A 37560-2026 georefererad karta.tif", "A 37560-2026")</f>
        <v/>
      </c>
      <c r="AA135">
        <f>HYPERLINK("https://klasma.github.io/Logging_2085/klagomål/A 37560-2026 FSC-klagomål.docx", "A 37560-2026")</f>
        <v/>
      </c>
      <c r="AB135">
        <f>HYPERLINK("https://klasma.github.io/Logging_2085/klagomålsmail/A 37560-2026 FSC-klagomål mail.docx", "A 37560-2026")</f>
        <v/>
      </c>
      <c r="AC135">
        <f>HYPERLINK("https://klasma.github.io/Logging_2085/tillsyn/A 37560-2026 tillsynsbegäran.docx", "A 37560-2026")</f>
        <v/>
      </c>
      <c r="AD135">
        <f>HYPERLINK("https://klasma.github.io/Logging_2085/tillsynsmail/A 37560-2026 tillsynsbegäran mail.docx", "A 37560-2026")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46322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46322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46322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46322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46322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46322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46322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46322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46322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46322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46322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46322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46322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46322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46322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46322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46322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46322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44508</v>
      </c>
      <c r="E154" s="1" t="n">
        <v>46322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46322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45071</v>
      </c>
      <c r="E156" s="1" t="n">
        <v>46322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45813</v>
      </c>
      <c r="E157" s="1" t="n">
        <v>46322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3280-2024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45317</v>
      </c>
      <c r="E158" s="1" t="n">
        <v>46322</v>
      </c>
      <c r="F158" t="inlineStr">
        <is>
          <t>DALARNAS LÄN</t>
        </is>
      </c>
      <c r="G158" t="inlineStr">
        <is>
          <t>LUDVIKA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44893</v>
      </c>
      <c r="E159" s="1" t="n">
        <v>46322</v>
      </c>
      <c r="F159" t="inlineStr">
        <is>
          <t>DALARNAS LÄN</t>
        </is>
      </c>
      <c r="G159" t="inlineStr">
        <is>
          <t>LUDVIKA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3470-2025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45680</v>
      </c>
      <c r="E160" s="1" t="n">
        <v>46322</v>
      </c>
      <c r="F160" t="inlineStr">
        <is>
          <t>DALARNAS LÄN</t>
        </is>
      </c>
      <c r="G160" t="inlineStr">
        <is>
          <t>LUDVIKA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46322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45205</v>
      </c>
      <c r="E162" s="1" t="n">
        <v>46322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45541</v>
      </c>
      <c r="E163" s="1" t="n">
        <v>46322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46322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46322</v>
      </c>
      <c r="F165" t="inlineStr">
        <is>
          <t>DALARNAS LÄN</t>
        </is>
      </c>
      <c r="G165" t="inlineStr">
        <is>
          <t>LUDVIKA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46322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44841</v>
      </c>
      <c r="E167" s="1" t="n">
        <v>46322</v>
      </c>
      <c r="F167" t="inlineStr">
        <is>
          <t>DALARNAS LÄN</t>
        </is>
      </c>
      <c r="G167" t="inlineStr">
        <is>
          <t>LUDVIKA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44581</v>
      </c>
      <c r="E168" s="1" t="n">
        <v>46322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46322</v>
      </c>
      <c r="F169" t="inlineStr">
        <is>
          <t>DALARNAS LÄN</t>
        </is>
      </c>
      <c r="G169" t="inlineStr">
        <is>
          <t>LUDVIKA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46322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8703-2023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44978</v>
      </c>
      <c r="E171" s="1" t="n">
        <v>46322</v>
      </c>
      <c r="F171" t="inlineStr">
        <is>
          <t>DALARNAS LÄN</t>
        </is>
      </c>
      <c r="G171" t="inlineStr">
        <is>
          <t>LUDVIKA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46322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40125-2024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45554</v>
      </c>
      <c r="E173" s="1" t="n">
        <v>46322</v>
      </c>
      <c r="F173" t="inlineStr">
        <is>
          <t>DALARNAS LÄN</t>
        </is>
      </c>
      <c r="G173" t="inlineStr">
        <is>
          <t>LUDVIKA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46322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46322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46322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46322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46322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46322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46322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46322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46322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36338-2025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45868</v>
      </c>
      <c r="E183" s="1" t="n">
        <v>46322</v>
      </c>
      <c r="F183" t="inlineStr">
        <is>
          <t>DALARNAS LÄN</t>
        </is>
      </c>
      <c r="G183" t="inlineStr">
        <is>
          <t>LUDVIKA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46322</v>
      </c>
      <c r="F184" t="inlineStr">
        <is>
          <t>DALARNAS LÄN</t>
        </is>
      </c>
      <c r="G184" t="inlineStr">
        <is>
          <t>LUDVIKA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46322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46322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46322</v>
      </c>
      <c r="F187" t="inlineStr">
        <is>
          <t>DALARNAS LÄN</t>
        </is>
      </c>
      <c r="G187" t="inlineStr">
        <is>
          <t>LUDVIKA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46322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46185</v>
      </c>
      <c r="E189" s="1" t="n">
        <v>46322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43479-2025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46322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46322</v>
      </c>
      <c r="F191" t="inlineStr">
        <is>
          <t>DALARNAS LÄN</t>
        </is>
      </c>
      <c r="G191" t="inlineStr">
        <is>
          <t>LUDVIKA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22000-2022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44711</v>
      </c>
      <c r="E192" s="1" t="n">
        <v>46322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46322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46322</v>
      </c>
      <c r="F194" t="inlineStr">
        <is>
          <t>DALARNAS LÄN</t>
        </is>
      </c>
      <c r="G194" t="inlineStr">
        <is>
          <t>LUDVIKA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44960</v>
      </c>
      <c r="E195" s="1" t="n">
        <v>46322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46322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46185</v>
      </c>
      <c r="E197" s="1" t="n">
        <v>46322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46322</v>
      </c>
      <c r="F198" t="inlineStr">
        <is>
          <t>DALARNAS LÄN</t>
        </is>
      </c>
      <c r="G198" t="inlineStr">
        <is>
          <t>LUDVIKA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46322</v>
      </c>
      <c r="F199" t="inlineStr">
        <is>
          <t>DALARNAS LÄN</t>
        </is>
      </c>
      <c r="G199" t="inlineStr">
        <is>
          <t>LUDVIKA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3277-2024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45317</v>
      </c>
      <c r="E200" s="1" t="n">
        <v>46322</v>
      </c>
      <c r="F200" t="inlineStr">
        <is>
          <t>DALARNAS LÄN</t>
        </is>
      </c>
      <c r="G200" t="inlineStr">
        <is>
          <t>LUDVIKA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44967</v>
      </c>
      <c r="E201" s="1" t="n">
        <v>46322</v>
      </c>
      <c r="F201" t="inlineStr">
        <is>
          <t>DALARNAS LÄN</t>
        </is>
      </c>
      <c r="G201" t="inlineStr">
        <is>
          <t>LUDVIKA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45219</v>
      </c>
      <c r="E202" s="1" t="n">
        <v>46322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46322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45572</v>
      </c>
      <c r="E204" s="1" t="n">
        <v>46322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45912</v>
      </c>
      <c r="E205" s="1" t="n">
        <v>46322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45622</v>
      </c>
      <c r="E206" s="1" t="n">
        <v>46322</v>
      </c>
      <c r="F206" t="inlineStr">
        <is>
          <t>DALARNAS LÄN</t>
        </is>
      </c>
      <c r="G206" t="inlineStr">
        <is>
          <t>LUDVIKA</t>
        </is>
      </c>
      <c r="H206" t="inlineStr">
        <is>
          <t>Naturvårdsverket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46322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45940-2025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46322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46322</v>
      </c>
      <c r="F209" t="inlineStr">
        <is>
          <t>DALARNAS LÄN</t>
        </is>
      </c>
      <c r="G209" t="inlineStr">
        <is>
          <t>LUDVIKA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45258</v>
      </c>
      <c r="E210" s="1" t="n">
        <v>46322</v>
      </c>
      <c r="F210" t="inlineStr">
        <is>
          <t>DALARNAS LÄN</t>
        </is>
      </c>
      <c r="G210" t="inlineStr">
        <is>
          <t>LUDVIKA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46322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46322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46322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46322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46322</v>
      </c>
      <c r="F215" t="inlineStr">
        <is>
          <t>DALARNAS LÄN</t>
        </is>
      </c>
      <c r="G215" t="inlineStr">
        <is>
          <t>LUDVIKA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46322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45622</v>
      </c>
      <c r="E217" s="1" t="n">
        <v>46322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30844-2024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45497</v>
      </c>
      <c r="E218" s="1" t="n">
        <v>46322</v>
      </c>
      <c r="F218" t="inlineStr">
        <is>
          <t>DALARNAS LÄN</t>
        </is>
      </c>
      <c r="G218" t="inlineStr">
        <is>
          <t>LUDVIKA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45056</v>
      </c>
      <c r="E219" s="1" t="n">
        <v>46322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44844</v>
      </c>
      <c r="E220" s="1" t="n">
        <v>46322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45638</v>
      </c>
      <c r="E221" s="1" t="n">
        <v>46322</v>
      </c>
      <c r="F221" t="inlineStr">
        <is>
          <t>DALARNAS LÄN</t>
        </is>
      </c>
      <c r="G221" t="inlineStr">
        <is>
          <t>LUDVIKA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46190</v>
      </c>
      <c r="E222" s="1" t="n">
        <v>46322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45512</v>
      </c>
      <c r="E223" s="1" t="n">
        <v>46322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46322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46322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46322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46322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46322</v>
      </c>
      <c r="F228" t="inlineStr">
        <is>
          <t>DALARNAS LÄN</t>
        </is>
      </c>
      <c r="G228" t="inlineStr">
        <is>
          <t>LUDVIKA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45602</v>
      </c>
      <c r="E229" s="1" t="n">
        <v>46322</v>
      </c>
      <c r="F229" t="inlineStr">
        <is>
          <t>DALARNAS LÄN</t>
        </is>
      </c>
      <c r="G229" t="inlineStr">
        <is>
          <t>LUDVIKA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46322</v>
      </c>
      <c r="F230" t="inlineStr">
        <is>
          <t>DALARNAS LÄN</t>
        </is>
      </c>
      <c r="G230" t="inlineStr">
        <is>
          <t>LUDVIKA</t>
        </is>
      </c>
      <c r="H230" t="inlineStr">
        <is>
          <t>Naturvårdsverket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46322</v>
      </c>
      <c r="F231" t="inlineStr">
        <is>
          <t>DALARNAS LÄN</t>
        </is>
      </c>
      <c r="G231" t="inlineStr">
        <is>
          <t>LUDVIKA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46322</v>
      </c>
      <c r="F232" t="inlineStr">
        <is>
          <t>DALARNAS LÄN</t>
        </is>
      </c>
      <c r="G232" t="inlineStr">
        <is>
          <t>LUDVIKA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45622</v>
      </c>
      <c r="E233" s="1" t="n">
        <v>46322</v>
      </c>
      <c r="F233" t="inlineStr">
        <is>
          <t>DALARNAS LÄN</t>
        </is>
      </c>
      <c r="G233" t="inlineStr">
        <is>
          <t>LUDVIKA</t>
        </is>
      </c>
      <c r="H233" t="inlineStr">
        <is>
          <t>Naturvårdsverket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46322</v>
      </c>
      <c r="F234" t="inlineStr">
        <is>
          <t>DALARNAS LÄN</t>
        </is>
      </c>
      <c r="G234" t="inlineStr">
        <is>
          <t>LUDVIKA</t>
        </is>
      </c>
      <c r="H234" t="inlineStr">
        <is>
          <t>Naturvårdsverket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45622</v>
      </c>
      <c r="E235" s="1" t="n">
        <v>46322</v>
      </c>
      <c r="F235" t="inlineStr">
        <is>
          <t>DALARNAS LÄN</t>
        </is>
      </c>
      <c r="G235" t="inlineStr">
        <is>
          <t>LUDVIKA</t>
        </is>
      </c>
      <c r="H235" t="inlineStr">
        <is>
          <t>Naturvårdsverket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45687</v>
      </c>
      <c r="E236" s="1" t="n">
        <v>46322</v>
      </c>
      <c r="F236" t="inlineStr">
        <is>
          <t>DALARNAS LÄN</t>
        </is>
      </c>
      <c r="G236" t="inlineStr">
        <is>
          <t>LUDVIKA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45762</v>
      </c>
      <c r="E237" s="1" t="n">
        <v>46322</v>
      </c>
      <c r="F237" t="inlineStr">
        <is>
          <t>DALARNAS LÄN</t>
        </is>
      </c>
      <c r="G237" t="inlineStr">
        <is>
          <t>LUDVIKA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45602</v>
      </c>
      <c r="E238" s="1" t="n">
        <v>46322</v>
      </c>
      <c r="F238" t="inlineStr">
        <is>
          <t>DALARNAS LÄN</t>
        </is>
      </c>
      <c r="G238" t="inlineStr">
        <is>
          <t>LUDVIKA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45519</v>
      </c>
      <c r="E239" s="1" t="n">
        <v>46322</v>
      </c>
      <c r="F239" t="inlineStr">
        <is>
          <t>DALARNAS LÄN</t>
        </is>
      </c>
      <c r="G239" t="inlineStr">
        <is>
          <t>LUDVIKA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45952</v>
      </c>
      <c r="E240" s="1" t="n">
        <v>46322</v>
      </c>
      <c r="F240" t="inlineStr">
        <is>
          <t>DALARNAS LÄN</t>
        </is>
      </c>
      <c r="G240" t="inlineStr">
        <is>
          <t>LUDVIKA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46322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46322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52484-2025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46322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46322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52552-2025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45954</v>
      </c>
      <c r="E245" s="1" t="n">
        <v>46322</v>
      </c>
      <c r="F245" t="inlineStr">
        <is>
          <t>DALARNAS LÄN</t>
        </is>
      </c>
      <c r="G245" t="inlineStr">
        <is>
          <t>LUDVIKA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46322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52556-2025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45954</v>
      </c>
      <c r="E247" s="1" t="n">
        <v>46322</v>
      </c>
      <c r="F247" t="inlineStr">
        <is>
          <t>DALARNAS LÄN</t>
        </is>
      </c>
      <c r="G247" t="inlineStr">
        <is>
          <t>LUDVIKA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52459-2025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45954</v>
      </c>
      <c r="E248" s="1" t="n">
        <v>46322</v>
      </c>
      <c r="F248" t="inlineStr">
        <is>
          <t>DALARNAS LÄN</t>
        </is>
      </c>
      <c r="G248" t="inlineStr">
        <is>
          <t>LUDVIKA</t>
        </is>
      </c>
      <c r="H248" t="inlineStr">
        <is>
          <t>Övriga Aktiebolag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46322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9.300000000000001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52427-2025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45954</v>
      </c>
      <c r="E250" s="1" t="n">
        <v>46322</v>
      </c>
      <c r="F250" t="inlineStr">
        <is>
          <t>DALARNAS LÄN</t>
        </is>
      </c>
      <c r="G250" t="inlineStr">
        <is>
          <t>LUDVIKA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44730</v>
      </c>
      <c r="E251" s="1" t="n">
        <v>46322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23103-2024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45450</v>
      </c>
      <c r="E252" s="1" t="n">
        <v>46322</v>
      </c>
      <c r="F252" t="inlineStr">
        <is>
          <t>DALARNAS LÄN</t>
        </is>
      </c>
      <c r="G252" t="inlineStr">
        <is>
          <t>LUDVIKA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31702-2023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45105</v>
      </c>
      <c r="E253" s="1" t="n">
        <v>46322</v>
      </c>
      <c r="F253" t="inlineStr">
        <is>
          <t>DALARNAS LÄN</t>
        </is>
      </c>
      <c r="G253" t="inlineStr">
        <is>
          <t>LUDVIKA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46322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52900-2025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46322</v>
      </c>
      <c r="F255" t="inlineStr">
        <is>
          <t>DALARNAS LÄN</t>
        </is>
      </c>
      <c r="G255" t="inlineStr">
        <is>
          <t>LUDVIKA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46322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48740-2022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44859</v>
      </c>
      <c r="E257" s="1" t="n">
        <v>46322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45371</v>
      </c>
      <c r="E258" s="1" t="n">
        <v>46322</v>
      </c>
      <c r="F258" t="inlineStr">
        <is>
          <t>DALARNAS LÄN</t>
        </is>
      </c>
      <c r="G258" t="inlineStr">
        <is>
          <t>LUDVIKA</t>
        </is>
      </c>
      <c r="I258" t="n">
        <v>20.8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38359-2024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45545</v>
      </c>
      <c r="E259" s="1" t="n">
        <v>46322</v>
      </c>
      <c r="F259" t="inlineStr">
        <is>
          <t>DALARNAS LÄN</t>
        </is>
      </c>
      <c r="G259" t="inlineStr">
        <is>
          <t>LUDVIKA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54341-2025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45965</v>
      </c>
      <c r="E260" s="1" t="n">
        <v>46322</v>
      </c>
      <c r="F260" t="inlineStr">
        <is>
          <t>DALARNAS LÄN</t>
        </is>
      </c>
      <c r="G260" t="inlineStr">
        <is>
          <t>LUDVIKA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46322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45891</v>
      </c>
      <c r="E262" s="1" t="n">
        <v>46322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54035-2025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45963</v>
      </c>
      <c r="E263" s="1" t="n">
        <v>46322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45106</v>
      </c>
      <c r="E264" s="1" t="n">
        <v>46322</v>
      </c>
      <c r="F264" t="inlineStr">
        <is>
          <t>DALARNAS LÄN</t>
        </is>
      </c>
      <c r="G264" t="inlineStr">
        <is>
          <t>LUDVIKA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46322</v>
      </c>
      <c r="F265" t="inlineStr">
        <is>
          <t>DALARNAS LÄN</t>
        </is>
      </c>
      <c r="G265" t="inlineStr">
        <is>
          <t>LUDVIKA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45891</v>
      </c>
      <c r="E266" s="1" t="n">
        <v>46322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46322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46322</v>
      </c>
      <c r="F268" t="inlineStr">
        <is>
          <t>DALARNAS LÄN</t>
        </is>
      </c>
      <c r="G268" t="inlineStr">
        <is>
          <t>LUDVIKA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45904</v>
      </c>
      <c r="E269" s="1" t="n">
        <v>46322</v>
      </c>
      <c r="F269" t="inlineStr">
        <is>
          <t>DALARNAS LÄN</t>
        </is>
      </c>
      <c r="G269" t="inlineStr">
        <is>
          <t>LUDVIKA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42421-2024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45565</v>
      </c>
      <c r="E270" s="1" t="n">
        <v>46322</v>
      </c>
      <c r="F270" t="inlineStr">
        <is>
          <t>DALARNAS LÄN</t>
        </is>
      </c>
      <c r="G270" t="inlineStr">
        <is>
          <t>LUDVIKA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53602-2023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46322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46322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55559-2025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46322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9.4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45754</v>
      </c>
      <c r="E274" s="1" t="n">
        <v>46322</v>
      </c>
      <c r="F274" t="inlineStr">
        <is>
          <t>DALARNAS LÄN</t>
        </is>
      </c>
      <c r="G274" t="inlineStr">
        <is>
          <t>LUDVIKA</t>
        </is>
      </c>
      <c r="H274" t="inlineStr">
        <is>
          <t>Naturvårdsverket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45968</v>
      </c>
      <c r="E275" s="1" t="n">
        <v>46322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55554-2025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46322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8.699999999999999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52359-2024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45609</v>
      </c>
      <c r="E277" s="1" t="n">
        <v>46322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46322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46322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21891-2025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45784</v>
      </c>
      <c r="E280" s="1" t="n">
        <v>46322</v>
      </c>
      <c r="F280" t="inlineStr">
        <is>
          <t>DALARNAS LÄN</t>
        </is>
      </c>
      <c r="G280" t="inlineStr">
        <is>
          <t>LUDVIKA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45134</v>
      </c>
      <c r="E281" s="1" t="n">
        <v>46322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45973</v>
      </c>
      <c r="E282" s="1" t="n">
        <v>46322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45973</v>
      </c>
      <c r="E283" s="1" t="n">
        <v>46322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46322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45973</v>
      </c>
      <c r="E285" s="1" t="n">
        <v>46322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56030-2025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45973</v>
      </c>
      <c r="E286" s="1" t="n">
        <v>46322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46322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46322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45560</v>
      </c>
      <c r="E289" s="1" t="n">
        <v>46322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27609-2026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46190</v>
      </c>
      <c r="E290" s="1" t="n">
        <v>46322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46322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46322</v>
      </c>
      <c r="F292" t="inlineStr">
        <is>
          <t>DALARNAS LÄN</t>
        </is>
      </c>
      <c r="G292" t="inlineStr">
        <is>
          <t>LUDVIKA</t>
        </is>
      </c>
      <c r="H292" t="inlineStr">
        <is>
          <t>Naturvårdsverket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45789</v>
      </c>
      <c r="E293" s="1" t="n">
        <v>46322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45581</v>
      </c>
      <c r="E294" s="1" t="n">
        <v>46322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46107-2024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45581</v>
      </c>
      <c r="E295" s="1" t="n">
        <v>46322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45974</v>
      </c>
      <c r="E296" s="1" t="n">
        <v>46322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61384-2024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46322</v>
      </c>
      <c r="F297" t="inlineStr">
        <is>
          <t>DALARNAS LÄN</t>
        </is>
      </c>
      <c r="G297" t="inlineStr">
        <is>
          <t>LUDVIKA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46322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46322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56219-2025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46322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50240-2024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46322</v>
      </c>
      <c r="F301" t="inlineStr">
        <is>
          <t>DALARNAS LÄN</t>
        </is>
      </c>
      <c r="G301" t="inlineStr">
        <is>
          <t>LUDVIKA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46322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56155-2025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45974</v>
      </c>
      <c r="E303" s="1" t="n">
        <v>46322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56249-2025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45974</v>
      </c>
      <c r="E304" s="1" t="n">
        <v>46322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46322</v>
      </c>
      <c r="F305" t="inlineStr">
        <is>
          <t>DALARNAS LÄN</t>
        </is>
      </c>
      <c r="G305" t="inlineStr">
        <is>
          <t>LUDVIKA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23088-2025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45791</v>
      </c>
      <c r="E306" s="1" t="n">
        <v>46322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45524</v>
      </c>
      <c r="E307" s="1" t="n">
        <v>46322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45533</v>
      </c>
      <c r="E308" s="1" t="n">
        <v>46322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45625</v>
      </c>
      <c r="E309" s="1" t="n">
        <v>46322</v>
      </c>
      <c r="F309" t="inlineStr">
        <is>
          <t>DALARNAS LÄN</t>
        </is>
      </c>
      <c r="G309" t="inlineStr">
        <is>
          <t>LUDVIKA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46322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47233-2024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45586</v>
      </c>
      <c r="E311" s="1" t="n">
        <v>46322</v>
      </c>
      <c r="F311" t="inlineStr">
        <is>
          <t>DALARNAS LÄN</t>
        </is>
      </c>
      <c r="G311" t="inlineStr">
        <is>
          <t>LUDVIKA</t>
        </is>
      </c>
      <c r="I311" t="n">
        <v>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57870-2025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45981</v>
      </c>
      <c r="E312" s="1" t="n">
        <v>46322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45786</v>
      </c>
      <c r="E313" s="1" t="n">
        <v>46322</v>
      </c>
      <c r="F313" t="inlineStr">
        <is>
          <t>DALARNAS LÄN</t>
        </is>
      </c>
      <c r="G313" t="inlineStr">
        <is>
          <t>LUDVIKA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48589-2023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45208</v>
      </c>
      <c r="E314" s="1" t="n">
        <v>46322</v>
      </c>
      <c r="F314" t="inlineStr">
        <is>
          <t>DALARNAS LÄN</t>
        </is>
      </c>
      <c r="G314" t="inlineStr">
        <is>
          <t>LUDVIKA</t>
        </is>
      </c>
      <c r="H314" t="inlineStr">
        <is>
          <t>Naturvårdsverket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61278-2022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44915</v>
      </c>
      <c r="E315" s="1" t="n">
        <v>46322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19677-2025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45770</v>
      </c>
      <c r="E316" s="1" t="n">
        <v>46322</v>
      </c>
      <c r="F316" t="inlineStr">
        <is>
          <t>DALARNAS LÄN</t>
        </is>
      </c>
      <c r="G316" t="inlineStr">
        <is>
          <t>LUDVIKA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46322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44859</v>
      </c>
      <c r="E318" s="1" t="n">
        <v>46322</v>
      </c>
      <c r="F318" t="inlineStr">
        <is>
          <t>DALARNAS LÄN</t>
        </is>
      </c>
      <c r="G318" t="inlineStr">
        <is>
          <t>LUDVIKA</t>
        </is>
      </c>
      <c r="H318" t="inlineStr">
        <is>
          <t>Naturvårdsverket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45559-2024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45579</v>
      </c>
      <c r="E319" s="1" t="n">
        <v>46322</v>
      </c>
      <c r="F319" t="inlineStr">
        <is>
          <t>DALARNAS LÄN</t>
        </is>
      </c>
      <c r="G319" t="inlineStr">
        <is>
          <t>LUDVIKA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23443-2024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45453</v>
      </c>
      <c r="E320" s="1" t="n">
        <v>46322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37549-2024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45541</v>
      </c>
      <c r="E321" s="1" t="n">
        <v>46322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45776</v>
      </c>
      <c r="E322" s="1" t="n">
        <v>46322</v>
      </c>
      <c r="F322" t="inlineStr">
        <is>
          <t>DALARNAS LÄN</t>
        </is>
      </c>
      <c r="G322" t="inlineStr">
        <is>
          <t>LUDVIKA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45909</v>
      </c>
      <c r="E323" s="1" t="n">
        <v>46322</v>
      </c>
      <c r="F323" t="inlineStr">
        <is>
          <t>DALARNAS LÄN</t>
        </is>
      </c>
      <c r="G323" t="inlineStr">
        <is>
          <t>LUDVIKA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45989</v>
      </c>
      <c r="E324" s="1" t="n">
        <v>46322</v>
      </c>
      <c r="F324" t="inlineStr">
        <is>
          <t>DALARNAS LÄN</t>
        </is>
      </c>
      <c r="G324" t="inlineStr">
        <is>
          <t>LUDVIKA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24027-2025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45796</v>
      </c>
      <c r="E325" s="1" t="n">
        <v>46322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46322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45929</v>
      </c>
      <c r="E327" s="1" t="n">
        <v>46322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45929</v>
      </c>
      <c r="E328" s="1" t="n">
        <v>46322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46322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46322</v>
      </c>
      <c r="F330" t="inlineStr">
        <is>
          <t>DALARNAS LÄN</t>
        </is>
      </c>
      <c r="G330" t="inlineStr">
        <is>
          <t>LUDVIKA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46322</v>
      </c>
      <c r="F331" t="inlineStr">
        <is>
          <t>DALARNAS LÄN</t>
        </is>
      </c>
      <c r="G331" t="inlineStr">
        <is>
          <t>LUDVIKA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46322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45791</v>
      </c>
      <c r="E333" s="1" t="n">
        <v>46322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45791</v>
      </c>
      <c r="E334" s="1" t="n">
        <v>46322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46322</v>
      </c>
      <c r="F335" t="inlineStr">
        <is>
          <t>DALARNAS LÄN</t>
        </is>
      </c>
      <c r="G335" t="inlineStr">
        <is>
          <t>LUDVIKA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30977-2024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45499</v>
      </c>
      <c r="E336" s="1" t="n">
        <v>46322</v>
      </c>
      <c r="F336" t="inlineStr">
        <is>
          <t>DALARNAS LÄN</t>
        </is>
      </c>
      <c r="G336" t="inlineStr">
        <is>
          <t>LUDVIKA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45799</v>
      </c>
      <c r="E337" s="1" t="n">
        <v>46322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22806-2026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46160</v>
      </c>
      <c r="E338" s="1" t="n">
        <v>46322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46322</v>
      </c>
      <c r="F339" t="inlineStr">
        <is>
          <t>DALARNAS LÄN</t>
        </is>
      </c>
      <c r="G339" t="inlineStr">
        <is>
          <t>LUDVIKA</t>
        </is>
      </c>
      <c r="H339" t="inlineStr">
        <is>
          <t>Naturvårdsverket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46322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46160</v>
      </c>
      <c r="E341" s="1" t="n">
        <v>46322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45995</v>
      </c>
      <c r="E342" s="1" t="n">
        <v>46322</v>
      </c>
      <c r="F342" t="inlineStr">
        <is>
          <t>DALARNAS LÄN</t>
        </is>
      </c>
      <c r="G342" t="inlineStr">
        <is>
          <t>LUDVIKA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45995</v>
      </c>
      <c r="E343" s="1" t="n">
        <v>46322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60452-2025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45995</v>
      </c>
      <c r="E344" s="1" t="n">
        <v>46322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45800</v>
      </c>
      <c r="E345" s="1" t="n">
        <v>46322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25235-2025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45800</v>
      </c>
      <c r="E346" s="1" t="n">
        <v>46322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51080-2024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45603</v>
      </c>
      <c r="E347" s="1" t="n">
        <v>46322</v>
      </c>
      <c r="F347" t="inlineStr">
        <is>
          <t>DALARNAS LÄN</t>
        </is>
      </c>
      <c r="G347" t="inlineStr">
        <is>
          <t>LUDVIKA</t>
        </is>
      </c>
      <c r="H347" t="inlineStr">
        <is>
          <t>Naturvårdsverket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46322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46322</v>
      </c>
      <c r="F349" t="inlineStr">
        <is>
          <t>DALARNAS LÄN</t>
        </is>
      </c>
      <c r="G349" t="inlineStr">
        <is>
          <t>LUDVIKA</t>
        </is>
      </c>
      <c r="H349" t="inlineStr">
        <is>
          <t>Naturvårdsverket</t>
        </is>
      </c>
      <c r="I349" t="n">
        <v>9.9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56346-2022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44890</v>
      </c>
      <c r="E350" s="1" t="n">
        <v>46322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26320-2025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45805</v>
      </c>
      <c r="E351" s="1" t="n">
        <v>46322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26698-2025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45810</v>
      </c>
      <c r="E352" s="1" t="n">
        <v>46322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45045-2023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45191</v>
      </c>
      <c r="E353" s="1" t="n">
        <v>46322</v>
      </c>
      <c r="F353" t="inlineStr">
        <is>
          <t>DALARNAS LÄN</t>
        </is>
      </c>
      <c r="G353" t="inlineStr">
        <is>
          <t>LUDVIKA</t>
        </is>
      </c>
      <c r="H353" t="inlineStr">
        <is>
          <t>Sveaskog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21034-2026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46146</v>
      </c>
      <c r="E354" s="1" t="n">
        <v>46322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46001</v>
      </c>
      <c r="E355" s="1" t="n">
        <v>46322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26794-2025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45810</v>
      </c>
      <c r="E356" s="1" t="n">
        <v>46322</v>
      </c>
      <c r="F356" t="inlineStr">
        <is>
          <t>DALARNAS LÄN</t>
        </is>
      </c>
      <c r="G356" t="inlineStr">
        <is>
          <t>LUDVIKA</t>
        </is>
      </c>
      <c r="H356" t="inlineStr">
        <is>
          <t>Kommuner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26628-2025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45810</v>
      </c>
      <c r="E357" s="1" t="n">
        <v>46322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45569</v>
      </c>
      <c r="E358" s="1" t="n">
        <v>46322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45813</v>
      </c>
      <c r="E359" s="1" t="n">
        <v>46322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46322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27448-2025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45813</v>
      </c>
      <c r="E361" s="1" t="n">
        <v>46322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45623</v>
      </c>
      <c r="E362" s="1" t="n">
        <v>46322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45813</v>
      </c>
      <c r="E363" s="1" t="n">
        <v>46322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45813</v>
      </c>
      <c r="E364" s="1" t="n">
        <v>46322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46322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15128-2025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45744</v>
      </c>
      <c r="E366" s="1" t="n">
        <v>46322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46322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46322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62706-2025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46322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62930-2025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46322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62945-2025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46009</v>
      </c>
      <c r="E371" s="1" t="n">
        <v>46322</v>
      </c>
      <c r="F371" t="inlineStr">
        <is>
          <t>DALARNAS LÄN</t>
        </is>
      </c>
      <c r="G371" t="inlineStr">
        <is>
          <t>LUDVIKA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62845-2025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46322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46322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65195-2021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44515</v>
      </c>
      <c r="E374" s="1" t="n">
        <v>46322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62838-2025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46322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62824-2025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46322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62842-2025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46322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45824</v>
      </c>
      <c r="E378" s="1" t="n">
        <v>46322</v>
      </c>
      <c r="F378" t="inlineStr">
        <is>
          <t>DALARNAS LÄN</t>
        </is>
      </c>
      <c r="G378" t="inlineStr">
        <is>
          <t>LUDVIKA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46322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56685-2022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44893</v>
      </c>
      <c r="E380" s="1" t="n">
        <v>46322</v>
      </c>
      <c r="F380" t="inlineStr">
        <is>
          <t>DALARNAS LÄN</t>
        </is>
      </c>
      <c r="G380" t="inlineStr">
        <is>
          <t>LUDVIKA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11797-2023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44994</v>
      </c>
      <c r="E381" s="1" t="n">
        <v>46322</v>
      </c>
      <c r="F381" t="inlineStr">
        <is>
          <t>DALARNAS LÄN</t>
        </is>
      </c>
      <c r="G381" t="inlineStr">
        <is>
          <t>LUDVIKA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30288-2025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45827</v>
      </c>
      <c r="E382" s="1" t="n">
        <v>46322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46322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31100-2024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45502</v>
      </c>
      <c r="E384" s="1" t="n">
        <v>46322</v>
      </c>
      <c r="F384" t="inlineStr">
        <is>
          <t>DALARNAS LÄN</t>
        </is>
      </c>
      <c r="G384" t="inlineStr">
        <is>
          <t>LUDVIKA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45826</v>
      </c>
      <c r="E385" s="1" t="n">
        <v>46322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46322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46010</v>
      </c>
      <c r="E387" s="1" t="n">
        <v>46322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46322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30748-2025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46322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45832</v>
      </c>
      <c r="E390" s="1" t="n">
        <v>46322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32019-2025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46322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59351-2023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45253</v>
      </c>
      <c r="E392" s="1" t="n">
        <v>46322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33063-2025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45840</v>
      </c>
      <c r="E393" s="1" t="n">
        <v>46322</v>
      </c>
      <c r="F393" t="inlineStr">
        <is>
          <t>DALARNAS LÄN</t>
        </is>
      </c>
      <c r="G393" t="inlineStr">
        <is>
          <t>LUDVIKA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46322</v>
      </c>
      <c r="F394" t="inlineStr">
        <is>
          <t>DALARNAS LÄN</t>
        </is>
      </c>
      <c r="G394" t="inlineStr">
        <is>
          <t>LUDVIKA</t>
        </is>
      </c>
      <c r="H394" t="inlineStr">
        <is>
          <t>Övriga Aktiebolag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45208</v>
      </c>
      <c r="E395" s="1" t="n">
        <v>46322</v>
      </c>
      <c r="F395" t="inlineStr">
        <is>
          <t>DALARNAS LÄN</t>
        </is>
      </c>
      <c r="G395" t="inlineStr">
        <is>
          <t>LUDVIKA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33244-2025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46322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34067-2025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45845</v>
      </c>
      <c r="E397" s="1" t="n">
        <v>46322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32332-2024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45512</v>
      </c>
      <c r="E398" s="1" t="n">
        <v>46322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31043-2024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45502</v>
      </c>
      <c r="E399" s="1" t="n">
        <v>46322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57557-2023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46322</v>
      </c>
      <c r="F400" t="inlineStr">
        <is>
          <t>DALARNAS LÄN</t>
        </is>
      </c>
      <c r="G400" t="inlineStr">
        <is>
          <t>LUDVIKA</t>
        </is>
      </c>
      <c r="I400" t="n">
        <v>12.7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34861-2025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45849</v>
      </c>
      <c r="E401" s="1" t="n">
        <v>46322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34455-2024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45525</v>
      </c>
      <c r="E402" s="1" t="n">
        <v>46322</v>
      </c>
      <c r="F402" t="inlineStr">
        <is>
          <t>DALARNAS LÄN</t>
        </is>
      </c>
      <c r="G402" t="inlineStr">
        <is>
          <t>LUDVIKA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46322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45825</v>
      </c>
      <c r="E404" s="1" t="n">
        <v>46322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45562</v>
      </c>
      <c r="E405" s="1" t="n">
        <v>46322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49035-2024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45594</v>
      </c>
      <c r="E406" s="1" t="n">
        <v>46322</v>
      </c>
      <c r="F406" t="inlineStr">
        <is>
          <t>DALARNAS LÄN</t>
        </is>
      </c>
      <c r="G406" t="inlineStr">
        <is>
          <t>LUDVIKA</t>
        </is>
      </c>
      <c r="H406" t="inlineStr">
        <is>
          <t>Naturvårdsverket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61621-2022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44916</v>
      </c>
      <c r="E407" s="1" t="n">
        <v>46322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45512</v>
      </c>
      <c r="E408" s="1" t="n">
        <v>46322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61799-2025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46002</v>
      </c>
      <c r="E409" s="1" t="n">
        <v>46322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45832</v>
      </c>
      <c r="E410" s="1" t="n">
        <v>46322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31057-2025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45832</v>
      </c>
      <c r="E411" s="1" t="n">
        <v>46322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45832</v>
      </c>
      <c r="E412" s="1" t="n">
        <v>46322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45840</v>
      </c>
      <c r="E413" s="1" t="n">
        <v>46322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49060-2023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45210</v>
      </c>
      <c r="E414" s="1" t="n">
        <v>46322</v>
      </c>
      <c r="F414" t="inlineStr">
        <is>
          <t>DALARNAS LÄN</t>
        </is>
      </c>
      <c r="G414" t="inlineStr">
        <is>
          <t>LUDVIKA</t>
        </is>
      </c>
      <c r="H414" t="inlineStr">
        <is>
          <t>Naturvårdsverket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49114-2023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46322</v>
      </c>
      <c r="F415" t="inlineStr">
        <is>
          <t>DALARNAS LÄN</t>
        </is>
      </c>
      <c r="G415" t="inlineStr">
        <is>
          <t>LUDVIKA</t>
        </is>
      </c>
      <c r="H415" t="inlineStr">
        <is>
          <t>Naturvårdsverket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17677-2022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44680</v>
      </c>
      <c r="E416" s="1" t="n">
        <v>46322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47366-2023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45202</v>
      </c>
      <c r="E417" s="1" t="n">
        <v>46322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45869</v>
      </c>
      <c r="E418" s="1" t="n">
        <v>46322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43055-2024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45567</v>
      </c>
      <c r="E419" s="1" t="n">
        <v>46322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45337</v>
      </c>
      <c r="E420" s="1" t="n">
        <v>46322</v>
      </c>
      <c r="F420" t="inlineStr">
        <is>
          <t>DALARNAS LÄN</t>
        </is>
      </c>
      <c r="G420" t="inlineStr">
        <is>
          <t>LUDVIKA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60660-2024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45644</v>
      </c>
      <c r="E421" s="1" t="n">
        <v>46322</v>
      </c>
      <c r="F421" t="inlineStr">
        <is>
          <t>DALARNAS LÄN</t>
        </is>
      </c>
      <c r="G421" t="inlineStr">
        <is>
          <t>LUDVIKA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46322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46322</v>
      </c>
      <c r="F423" t="inlineStr">
        <is>
          <t>DALARNAS LÄN</t>
        </is>
      </c>
      <c r="G423" t="inlineStr">
        <is>
          <t>LUDVIKA</t>
        </is>
      </c>
      <c r="H423" t="inlineStr">
        <is>
          <t>Naturvårdsverket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45761</v>
      </c>
      <c r="E424" s="1" t="n">
        <v>46322</v>
      </c>
      <c r="F424" t="inlineStr">
        <is>
          <t>DALARNAS LÄN</t>
        </is>
      </c>
      <c r="G424" t="inlineStr">
        <is>
          <t>LUDVIKA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46322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45961</v>
      </c>
      <c r="E426" s="1" t="n">
        <v>46322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45875</v>
      </c>
      <c r="E427" s="1" t="n">
        <v>46322</v>
      </c>
      <c r="F427" t="inlineStr">
        <is>
          <t>DALARNAS LÄN</t>
        </is>
      </c>
      <c r="G427" t="inlineStr">
        <is>
          <t>LUDVIKA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45637</v>
      </c>
      <c r="E428" s="1" t="n">
        <v>46322</v>
      </c>
      <c r="F428" t="inlineStr">
        <is>
          <t>DALARNAS LÄN</t>
        </is>
      </c>
      <c r="G428" t="inlineStr">
        <is>
          <t>LUDVIKA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46322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46322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48642-2022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46322</v>
      </c>
      <c r="F431" t="inlineStr">
        <is>
          <t>DALARNAS LÄN</t>
        </is>
      </c>
      <c r="G431" t="inlineStr">
        <is>
          <t>LUDVIKA</t>
        </is>
      </c>
      <c r="H431" t="inlineStr">
        <is>
          <t>Naturvårdsverket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18724-2022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44687</v>
      </c>
      <c r="E432" s="1" t="n">
        <v>46322</v>
      </c>
      <c r="F432" t="inlineStr">
        <is>
          <t>DALARNAS LÄN</t>
        </is>
      </c>
      <c r="G432" t="inlineStr">
        <is>
          <t>LUDVIKA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46322</v>
      </c>
      <c r="F433" t="inlineStr">
        <is>
          <t>DALARNAS LÄN</t>
        </is>
      </c>
      <c r="G433" t="inlineStr">
        <is>
          <t>LUDVIKA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33673-2022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44789</v>
      </c>
      <c r="E434" s="1" t="n">
        <v>46322</v>
      </c>
      <c r="F434" t="inlineStr">
        <is>
          <t>DALARNAS LÄN</t>
        </is>
      </c>
      <c r="G434" t="inlineStr">
        <is>
          <t>LUDVIKA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56680-2022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44893</v>
      </c>
      <c r="E435" s="1" t="n">
        <v>46322</v>
      </c>
      <c r="F435" t="inlineStr">
        <is>
          <t>DALARNAS LÄN</t>
        </is>
      </c>
      <c r="G435" t="inlineStr">
        <is>
          <t>LUDVIKA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46322</v>
      </c>
      <c r="F436" t="inlineStr">
        <is>
          <t>DALARNAS LÄN</t>
        </is>
      </c>
      <c r="G436" t="inlineStr">
        <is>
          <t>LUDVIKA</t>
        </is>
      </c>
      <c r="H436" t="inlineStr">
        <is>
          <t>Kommuner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36527-2024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45537</v>
      </c>
      <c r="E437" s="1" t="n">
        <v>46322</v>
      </c>
      <c r="F437" t="inlineStr">
        <is>
          <t>DALARNAS LÄN</t>
        </is>
      </c>
      <c r="G437" t="inlineStr">
        <is>
          <t>LUDVIKA</t>
        </is>
      </c>
      <c r="H437" t="inlineStr">
        <is>
          <t>Övriga Aktiebolag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28062-2026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46195</v>
      </c>
      <c r="E438" s="1" t="n">
        <v>46322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73703-2021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44552</v>
      </c>
      <c r="E439" s="1" t="n">
        <v>46322</v>
      </c>
      <c r="F439" t="inlineStr">
        <is>
          <t>DALARNAS LÄN</t>
        </is>
      </c>
      <c r="G439" t="inlineStr">
        <is>
          <t>LUDVIKA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20974-2026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46322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27389-2024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46322</v>
      </c>
      <c r="F441" t="inlineStr">
        <is>
          <t>DALARNAS LÄN</t>
        </is>
      </c>
      <c r="G441" t="inlineStr">
        <is>
          <t>LUDVIKA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52230-2023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45224</v>
      </c>
      <c r="E442" s="1" t="n">
        <v>46322</v>
      </c>
      <c r="F442" t="inlineStr">
        <is>
          <t>DALARNAS LÄN</t>
        </is>
      </c>
      <c r="G442" t="inlineStr">
        <is>
          <t>LUDVIKA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46322</v>
      </c>
      <c r="F443" t="inlineStr">
        <is>
          <t>DALARNAS LÄN</t>
        </is>
      </c>
      <c r="G443" t="inlineStr">
        <is>
          <t>LUDVIKA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44520-2023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46322</v>
      </c>
      <c r="F444" t="inlineStr">
        <is>
          <t>DALARNAS LÄN</t>
        </is>
      </c>
      <c r="G444" t="inlineStr">
        <is>
          <t>LUDVIKA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57217-2024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45629</v>
      </c>
      <c r="E445" s="1" t="n">
        <v>46322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62368-2025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46322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20973-2026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46322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46322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45685</v>
      </c>
      <c r="E449" s="1" t="n">
        <v>46322</v>
      </c>
      <c r="F449" t="inlineStr">
        <is>
          <t>DALARNAS LÄN</t>
        </is>
      </c>
      <c r="G449" t="inlineStr">
        <is>
          <t>LUDVIKA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27989-2026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46322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28132-2026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46322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46322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28116-2026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46322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28158-2026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46322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28801-2026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46322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46322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46322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46322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46322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28792-2026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46322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28067-2026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46322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31299-2026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46218</v>
      </c>
      <c r="E462" s="1" t="n">
        <v>46322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41090-2022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44825</v>
      </c>
      <c r="E463" s="1" t="n">
        <v>46322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46217</v>
      </c>
      <c r="E464" s="1" t="n">
        <v>46322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28838-2026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46322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46219</v>
      </c>
      <c r="E466" s="1" t="n">
        <v>46322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46322</v>
      </c>
      <c r="F467" t="inlineStr">
        <is>
          <t>DALARNAS LÄN</t>
        </is>
      </c>
      <c r="G467" t="inlineStr">
        <is>
          <t>LUDVIKA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923-2024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45301</v>
      </c>
      <c r="E468" s="1" t="n">
        <v>46322</v>
      </c>
      <c r="F468" t="inlineStr">
        <is>
          <t>DALARNAS LÄN</t>
        </is>
      </c>
      <c r="G468" t="inlineStr">
        <is>
          <t>LUDVIKA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45297</v>
      </c>
      <c r="E469" s="1" t="n">
        <v>46322</v>
      </c>
      <c r="F469" t="inlineStr">
        <is>
          <t>DALARNAS LÄN</t>
        </is>
      </c>
      <c r="G469" t="inlineStr">
        <is>
          <t>LUDVIKA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45335</v>
      </c>
      <c r="E470" s="1" t="n">
        <v>46322</v>
      </c>
      <c r="F470" t="inlineStr">
        <is>
          <t>DALARNAS LÄN</t>
        </is>
      </c>
      <c r="G470" t="inlineStr">
        <is>
          <t>LUDVIKA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46225</v>
      </c>
      <c r="E471" s="1" t="n">
        <v>46322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45639</v>
      </c>
      <c r="E472" s="1" t="n">
        <v>46322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32277-2024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45512</v>
      </c>
      <c r="E473" s="1" t="n">
        <v>46322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46074-2023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45196</v>
      </c>
      <c r="E474" s="1" t="n">
        <v>46322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46230</v>
      </c>
      <c r="E475" s="1" t="n">
        <v>46322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46230</v>
      </c>
      <c r="E476" s="1" t="n">
        <v>46322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46206</v>
      </c>
      <c r="E477" s="1" t="n">
        <v>46322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51208-2023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45219</v>
      </c>
      <c r="E478" s="1" t="n">
        <v>46322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46233</v>
      </c>
      <c r="E479" s="1" t="n">
        <v>46322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12497-2024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45379</v>
      </c>
      <c r="E480" s="1" t="n">
        <v>46322</v>
      </c>
      <c r="F480" t="inlineStr">
        <is>
          <t>DALARNAS LÄN</t>
        </is>
      </c>
      <c r="G480" t="inlineStr">
        <is>
          <t>LUDVIKA</t>
        </is>
      </c>
      <c r="H480" t="inlineStr">
        <is>
          <t>Naturvårdsverket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28157-2023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46322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37957-2026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46280</v>
      </c>
      <c r="E482" s="1" t="n">
        <v>46322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38160-2026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46281</v>
      </c>
      <c r="E483" s="1" t="n">
        <v>46322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32995-2023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46322</v>
      </c>
      <c r="F484" t="inlineStr">
        <is>
          <t>DALARNAS LÄN</t>
        </is>
      </c>
      <c r="G484" t="inlineStr">
        <is>
          <t>LUDVIKA</t>
        </is>
      </c>
      <c r="H484" t="inlineStr">
        <is>
          <t>Kommuner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30039-2024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45488</v>
      </c>
      <c r="E485" s="1" t="n">
        <v>46322</v>
      </c>
      <c r="F485" t="inlineStr">
        <is>
          <t>DALARNAS LÄN</t>
        </is>
      </c>
      <c r="G485" t="inlineStr">
        <is>
          <t>LUDVIKA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7238-2023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44970</v>
      </c>
      <c r="E486" s="1" t="n">
        <v>46322</v>
      </c>
      <c r="F486" t="inlineStr">
        <is>
          <t>DALARNAS LÄN</t>
        </is>
      </c>
      <c r="G486" t="inlineStr">
        <is>
          <t>LUDVIKA</t>
        </is>
      </c>
      <c r="H486" t="inlineStr">
        <is>
          <t>Övriga Aktiebolag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46322</v>
      </c>
      <c r="F487" t="inlineStr">
        <is>
          <t>DALARNAS LÄN</t>
        </is>
      </c>
      <c r="G487" t="inlineStr">
        <is>
          <t>LUDVIKA</t>
        </is>
      </c>
      <c r="H487" t="inlineStr">
        <is>
          <t>Övriga Aktiebolag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45551</v>
      </c>
      <c r="E488" s="1" t="n">
        <v>46322</v>
      </c>
      <c r="F488" t="inlineStr">
        <is>
          <t>DALARNAS LÄN</t>
        </is>
      </c>
      <c r="G488" t="inlineStr">
        <is>
          <t>LUDVIKA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37955-2026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46280</v>
      </c>
      <c r="E489" s="1" t="n">
        <v>46322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7.7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46322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47496-2022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44853</v>
      </c>
      <c r="E491" s="1" t="n">
        <v>46322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64171-2023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45279</v>
      </c>
      <c r="E492" s="1" t="n">
        <v>46322</v>
      </c>
      <c r="F492" t="inlineStr">
        <is>
          <t>DALARNAS LÄN</t>
        </is>
      </c>
      <c r="G492" t="inlineStr">
        <is>
          <t>LUDVIKA</t>
        </is>
      </c>
      <c r="I492" t="n">
        <v>8.6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46322</v>
      </c>
      <c r="F493" t="inlineStr">
        <is>
          <t>DALARNAS LÄN</t>
        </is>
      </c>
      <c r="G493" t="inlineStr">
        <is>
          <t>LUDVIKA</t>
        </is>
      </c>
      <c r="H493" t="inlineStr">
        <is>
          <t>Naturvårdsverket</t>
        </is>
      </c>
      <c r="I493" t="n">
        <v>19.8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28134-2023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45099</v>
      </c>
      <c r="E494" s="1" t="n">
        <v>46322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46322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17879-2026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46322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17882-2026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46322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43240-2024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45568</v>
      </c>
      <c r="E498" s="1" t="n">
        <v>46322</v>
      </c>
      <c r="F498" t="inlineStr">
        <is>
          <t>DALARNAS LÄN</t>
        </is>
      </c>
      <c r="G498" t="inlineStr">
        <is>
          <t>LUDVIKA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18357-2026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46322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46322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18362-2026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46126</v>
      </c>
      <c r="E501" s="1" t="n">
        <v>46322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41158-2022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44825</v>
      </c>
      <c r="E502" s="1" t="n">
        <v>46322</v>
      </c>
      <c r="F502" t="inlineStr">
        <is>
          <t>DALARNAS LÄN</t>
        </is>
      </c>
      <c r="G502" t="inlineStr">
        <is>
          <t>LUDVIKA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38661-2026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46283</v>
      </c>
      <c r="E503" s="1" t="n">
        <v>46322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38638-2026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46283</v>
      </c>
      <c r="E504" s="1" t="n">
        <v>46322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18829-2026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46128</v>
      </c>
      <c r="E505" s="1" t="n">
        <v>46322</v>
      </c>
      <c r="F505" t="inlineStr">
        <is>
          <t>DALARNAS LÄN</t>
        </is>
      </c>
      <c r="G505" t="inlineStr">
        <is>
          <t>LUDVIKA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18708-2023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45043</v>
      </c>
      <c r="E506" s="1" t="n">
        <v>46322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14986-2024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45399</v>
      </c>
      <c r="E507" s="1" t="n">
        <v>46322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46283</v>
      </c>
      <c r="E508" s="1" t="n">
        <v>46322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38656-2026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46283</v>
      </c>
      <c r="E509" s="1" t="n">
        <v>46322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60843-2024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45644</v>
      </c>
      <c r="E510" s="1" t="n">
        <v>46322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38357-2026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46282</v>
      </c>
      <c r="E511" s="1" t="n">
        <v>46322</v>
      </c>
      <c r="F511" t="inlineStr">
        <is>
          <t>DALARNAS LÄN</t>
        </is>
      </c>
      <c r="G511" t="inlineStr">
        <is>
          <t>LUDVIKA</t>
        </is>
      </c>
      <c r="H511" t="inlineStr">
        <is>
          <t>Naturvårdsverket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19610-2026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46134</v>
      </c>
      <c r="E512" s="1" t="n">
        <v>46322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65104-2023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45288</v>
      </c>
      <c r="E513" s="1" t="n">
        <v>46322</v>
      </c>
      <c r="F513" t="inlineStr">
        <is>
          <t>DALARNAS LÄN</t>
        </is>
      </c>
      <c r="G513" t="inlineStr">
        <is>
          <t>LUDVIKA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45960</v>
      </c>
      <c r="E514" s="1" t="n">
        <v>46322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59186-2025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45988</v>
      </c>
      <c r="E515" s="1" t="n">
        <v>46322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20.5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46322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32224-2025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45835</v>
      </c>
      <c r="E517" s="1" t="n">
        <v>46322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45743</v>
      </c>
      <c r="E518" s="1" t="n">
        <v>46322</v>
      </c>
      <c r="F518" t="inlineStr">
        <is>
          <t>DALARNAS LÄN</t>
        </is>
      </c>
      <c r="G518" t="inlineStr">
        <is>
          <t>LUDVIKA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59050-2022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44903</v>
      </c>
      <c r="E519" s="1" t="n">
        <v>46322</v>
      </c>
      <c r="F519" t="inlineStr">
        <is>
          <t>DALARNAS LÄN</t>
        </is>
      </c>
      <c r="G519" t="inlineStr">
        <is>
          <t>LUDVIKA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45544-2024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45579</v>
      </c>
      <c r="E520" s="1" t="n">
        <v>46322</v>
      </c>
      <c r="F520" t="inlineStr">
        <is>
          <t>DALARNAS LÄN</t>
        </is>
      </c>
      <c r="G520" t="inlineStr">
        <is>
          <t>LUDVIKA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45547-2024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46322</v>
      </c>
      <c r="F521" t="inlineStr">
        <is>
          <t>DALARNAS LÄN</t>
        </is>
      </c>
      <c r="G521" t="inlineStr">
        <is>
          <t>LUDVIKA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46241</v>
      </c>
      <c r="E522" s="1" t="n">
        <v>46322</v>
      </c>
      <c r="F522" t="inlineStr">
        <is>
          <t>DALARNAS LÄN</t>
        </is>
      </c>
      <c r="G522" t="inlineStr">
        <is>
          <t>LUDVIKA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46322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55151-2025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45968</v>
      </c>
      <c r="E524" s="1" t="n">
        <v>46322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46322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45849</v>
      </c>
      <c r="E526" s="1" t="n">
        <v>46322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46287</v>
      </c>
      <c r="E527" s="1" t="n">
        <v>46322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46241</v>
      </c>
      <c r="E528" s="1" t="n">
        <v>46322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46241</v>
      </c>
      <c r="E529" s="1" t="n">
        <v>46322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52912-2025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45954</v>
      </c>
      <c r="E530" s="1" t="n">
        <v>46322</v>
      </c>
      <c r="F530" t="inlineStr">
        <is>
          <t>DALARNAS LÄN</t>
        </is>
      </c>
      <c r="G530" t="inlineStr">
        <is>
          <t>LUDVIKA</t>
        </is>
      </c>
      <c r="I530" t="n">
        <v>9.800000000000001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29578-2025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45825</v>
      </c>
      <c r="E531" s="1" t="n">
        <v>46322</v>
      </c>
      <c r="F531" t="inlineStr">
        <is>
          <t>DALARNAS LÄN</t>
        </is>
      </c>
      <c r="G531" t="inlineStr">
        <is>
          <t>LUDVIKA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46241</v>
      </c>
      <c r="E532" s="1" t="n">
        <v>46322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45827</v>
      </c>
      <c r="E533" s="1" t="n">
        <v>46322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7526-2025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45705</v>
      </c>
      <c r="E534" s="1" t="n">
        <v>46322</v>
      </c>
      <c r="F534" t="inlineStr">
        <is>
          <t>DALARNAS LÄN</t>
        </is>
      </c>
      <c r="G534" t="inlineStr">
        <is>
          <t>LUDVIKA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41828-2025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45902</v>
      </c>
      <c r="E535" s="1" t="n">
        <v>46322</v>
      </c>
      <c r="F535" t="inlineStr">
        <is>
          <t>DALARNAS LÄN</t>
        </is>
      </c>
      <c r="G535" t="inlineStr">
        <is>
          <t>LUDVIKA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32854-2023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45112</v>
      </c>
      <c r="E536" s="1" t="n">
        <v>46322</v>
      </c>
      <c r="F536" t="inlineStr">
        <is>
          <t>DALARNAS LÄN</t>
        </is>
      </c>
      <c r="G536" t="inlineStr">
        <is>
          <t>LUDVIKA</t>
        </is>
      </c>
      <c r="H536" t="inlineStr">
        <is>
          <t>Kommuner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45198</v>
      </c>
      <c r="E537" s="1" t="n">
        <v>46322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46241</v>
      </c>
      <c r="E538" s="1" t="n">
        <v>46322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61507-2023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45265</v>
      </c>
      <c r="E539" s="1" t="n">
        <v>46322</v>
      </c>
      <c r="F539" t="inlineStr">
        <is>
          <t>DALARNAS LÄN</t>
        </is>
      </c>
      <c r="G539" t="inlineStr">
        <is>
          <t>LUDVIKA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35708-2025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45860</v>
      </c>
      <c r="E540" s="1" t="n">
        <v>46322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49951-2022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44865</v>
      </c>
      <c r="E541" s="1" t="n">
        <v>46322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34875-2025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45849</v>
      </c>
      <c r="E542" s="1" t="n">
        <v>46322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55323-2025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45971</v>
      </c>
      <c r="E543" s="1" t="n">
        <v>46322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42106-2024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45562</v>
      </c>
      <c r="E544" s="1" t="n">
        <v>46322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47671-2024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45588</v>
      </c>
      <c r="E545" s="1" t="n">
        <v>46322</v>
      </c>
      <c r="F545" t="inlineStr">
        <is>
          <t>DALARNAS LÄN</t>
        </is>
      </c>
      <c r="G545" t="inlineStr">
        <is>
          <t>LUDVIKA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34070-2025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45845</v>
      </c>
      <c r="E546" s="1" t="n">
        <v>46322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46037</v>
      </c>
      <c r="E547" s="1" t="n">
        <v>46322</v>
      </c>
      <c r="F547" t="inlineStr">
        <is>
          <t>DALARNAS LÄN</t>
        </is>
      </c>
      <c r="G547" t="inlineStr">
        <is>
          <t>LUDVIKA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39435-2026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46288</v>
      </c>
      <c r="E548" s="1" t="n">
        <v>46322</v>
      </c>
      <c r="F548" t="inlineStr">
        <is>
          <t>DALARNAS LÄN</t>
        </is>
      </c>
      <c r="G548" t="inlineStr">
        <is>
          <t>LUDVIKA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52466-2023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45225</v>
      </c>
      <c r="E549" s="1" t="n">
        <v>46322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45481</v>
      </c>
      <c r="E550" s="1" t="n">
        <v>46322</v>
      </c>
      <c r="F550" t="inlineStr">
        <is>
          <t>DALARNAS LÄN</t>
        </is>
      </c>
      <c r="G550" t="inlineStr">
        <is>
          <t>LUDVIKA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16814-2024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45411</v>
      </c>
      <c r="E551" s="1" t="n">
        <v>46322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44537-2024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45574</v>
      </c>
      <c r="E552" s="1" t="n">
        <v>46322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7683-2026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46322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31270-2022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44771</v>
      </c>
      <c r="E554" s="1" t="n">
        <v>46322</v>
      </c>
      <c r="F554" t="inlineStr">
        <is>
          <t>DALARNAS LÄN</t>
        </is>
      </c>
      <c r="G554" t="inlineStr">
        <is>
          <t>LUDVIKA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20789-2026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46141</v>
      </c>
      <c r="E555" s="1" t="n">
        <v>46322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56203-2024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45624</v>
      </c>
      <c r="E556" s="1" t="n">
        <v>46322</v>
      </c>
      <c r="F556" t="inlineStr">
        <is>
          <t>DALARNAS LÄN</t>
        </is>
      </c>
      <c r="G556" t="inlineStr">
        <is>
          <t>LUDVIKA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45103</v>
      </c>
      <c r="E557" s="1" t="n">
        <v>46322</v>
      </c>
      <c r="F557" t="inlineStr">
        <is>
          <t>DALARNAS LÄN</t>
        </is>
      </c>
      <c r="G557" t="inlineStr">
        <is>
          <t>LUDVIKA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20427-2025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45775</v>
      </c>
      <c r="E558" s="1" t="n">
        <v>46322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46322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20666-2026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46322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38869-2026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46286</v>
      </c>
      <c r="E561" s="1" t="n">
        <v>46322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46185-2024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45581</v>
      </c>
      <c r="E562" s="1" t="n">
        <v>46322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33839-2024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45520</v>
      </c>
      <c r="E563" s="1" t="n">
        <v>46322</v>
      </c>
      <c r="F563" t="inlineStr">
        <is>
          <t>DALARNAS LÄN</t>
        </is>
      </c>
      <c r="G563" t="inlineStr">
        <is>
          <t>LUDVIKA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20778-2026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46141</v>
      </c>
      <c r="E564" s="1" t="n">
        <v>46322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46290</v>
      </c>
      <c r="E565" s="1" t="n">
        <v>46322</v>
      </c>
      <c r="F565" t="inlineStr">
        <is>
          <t>DALARNAS LÄN</t>
        </is>
      </c>
      <c r="G565" t="inlineStr">
        <is>
          <t>LUDVIKA</t>
        </is>
      </c>
      <c r="H565" t="inlineStr">
        <is>
          <t>Naturvårdsverket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39855-2026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46290</v>
      </c>
      <c r="E566" s="1" t="n">
        <v>46322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46247</v>
      </c>
      <c r="E567" s="1" t="n">
        <v>46322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54730-2022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44883</v>
      </c>
      <c r="E568" s="1" t="n">
        <v>46322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46322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46286</v>
      </c>
      <c r="E570" s="1" t="n">
        <v>46322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46322</v>
      </c>
      <c r="F571" t="inlineStr">
        <is>
          <t>DALARNAS LÄN</t>
        </is>
      </c>
      <c r="G571" t="inlineStr">
        <is>
          <t>LUDVIKA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46142</v>
      </c>
      <c r="E572" s="1" t="n">
        <v>46322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46142</v>
      </c>
      <c r="E573" s="1" t="n">
        <v>46322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21152-2023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45062</v>
      </c>
      <c r="E574" s="1" t="n">
        <v>46322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39849-2023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45168</v>
      </c>
      <c r="E575" s="1" t="n">
        <v>46322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33373-2026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46247</v>
      </c>
      <c r="E576" s="1" t="n">
        <v>46322</v>
      </c>
      <c r="F576" t="inlineStr">
        <is>
          <t>DALARNAS LÄN</t>
        </is>
      </c>
      <c r="G576" t="inlineStr">
        <is>
          <t>LUDVIKA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39878-2026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46290</v>
      </c>
      <c r="E577" s="1" t="n">
        <v>46322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45616</v>
      </c>
      <c r="E578" s="1" t="n">
        <v>46322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39789-2026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46290</v>
      </c>
      <c r="E579" s="1" t="n">
        <v>46322</v>
      </c>
      <c r="F579" t="inlineStr">
        <is>
          <t>DALARNAS LÄN</t>
        </is>
      </c>
      <c r="G579" t="inlineStr">
        <is>
          <t>LUDVIKA</t>
        </is>
      </c>
      <c r="H579" t="inlineStr">
        <is>
          <t>Naturvårdsverket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19071-2025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45765</v>
      </c>
      <c r="E580" s="1" t="n">
        <v>46322</v>
      </c>
      <c r="F580" t="inlineStr">
        <is>
          <t>DALARNAS LÄN</t>
        </is>
      </c>
      <c r="G580" t="inlineStr">
        <is>
          <t>LUDVIKA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49045-2024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45594</v>
      </c>
      <c r="E581" s="1" t="n">
        <v>46322</v>
      </c>
      <c r="F581" t="inlineStr">
        <is>
          <t>DALARNAS LÄN</t>
        </is>
      </c>
      <c r="G581" t="inlineStr">
        <is>
          <t>LUDVIKA</t>
        </is>
      </c>
      <c r="H581" t="inlineStr">
        <is>
          <t>Naturvårdsverket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46322</v>
      </c>
      <c r="F582" t="inlineStr">
        <is>
          <t>DALARNAS LÄN</t>
        </is>
      </c>
      <c r="G582" t="inlineStr">
        <is>
          <t>LUDVIKA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38446-2025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45883</v>
      </c>
      <c r="E583" s="1" t="n">
        <v>46322</v>
      </c>
      <c r="F583" t="inlineStr">
        <is>
          <t>DALARNAS LÄN</t>
        </is>
      </c>
      <c r="G583" t="inlineStr">
        <is>
          <t>LUDVIKA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21462-2026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46148</v>
      </c>
      <c r="E584" s="1" t="n">
        <v>46322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21872-2026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46150</v>
      </c>
      <c r="E585" s="1" t="n">
        <v>46322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70046-2021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44533</v>
      </c>
      <c r="E586" s="1" t="n">
        <v>46322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46322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43704-2024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45569</v>
      </c>
      <c r="E588" s="1" t="n">
        <v>46322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55972-2025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45973</v>
      </c>
      <c r="E589" s="1" t="n">
        <v>46322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22580-2026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46322</v>
      </c>
      <c r="F590" t="inlineStr">
        <is>
          <t>DALARNAS LÄN</t>
        </is>
      </c>
      <c r="G590" t="inlineStr">
        <is>
          <t>LUDVIKA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40392-2026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46322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46142</v>
      </c>
      <c r="E592" s="1" t="n">
        <v>46322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45679</v>
      </c>
      <c r="E593" s="1" t="n">
        <v>46322</v>
      </c>
      <c r="F593" t="inlineStr">
        <is>
          <t>DALARNAS LÄN</t>
        </is>
      </c>
      <c r="G593" t="inlineStr">
        <is>
          <t>LUDVIKA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16843-2026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46113</v>
      </c>
      <c r="E594" s="1" t="n">
        <v>46322</v>
      </c>
      <c r="F594" t="inlineStr">
        <is>
          <t>DALARNAS LÄN</t>
        </is>
      </c>
      <c r="G594" t="inlineStr">
        <is>
          <t>LUDVIKA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46322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45110</v>
      </c>
      <c r="E596" s="1" t="n">
        <v>46322</v>
      </c>
      <c r="F596" t="inlineStr">
        <is>
          <t>DALARNAS LÄN</t>
        </is>
      </c>
      <c r="G596" t="inlineStr">
        <is>
          <t>LUDVIKA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40438-2026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46294</v>
      </c>
      <c r="E597" s="1" t="n">
        <v>46322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46294</v>
      </c>
      <c r="E598" s="1" t="n">
        <v>46322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46161</v>
      </c>
      <c r="E599" s="1" t="n">
        <v>46322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45166</v>
      </c>
      <c r="E600" s="1" t="n">
        <v>46322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22813-2026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46160</v>
      </c>
      <c r="E601" s="1" t="n">
        <v>46322</v>
      </c>
      <c r="F601" t="inlineStr">
        <is>
          <t>DALARNAS LÄN</t>
        </is>
      </c>
      <c r="G601" t="inlineStr">
        <is>
          <t>LUDVIKA</t>
        </is>
      </c>
      <c r="H601" t="inlineStr">
        <is>
          <t>Naturvårdsverket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32119-2023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46322</v>
      </c>
      <c r="F602" t="inlineStr">
        <is>
          <t>DALARNAS LÄN</t>
        </is>
      </c>
      <c r="G602" t="inlineStr">
        <is>
          <t>LUDVIKA</t>
        </is>
      </c>
      <c r="H602" t="inlineStr">
        <is>
          <t>Naturvårdsverket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34845-2024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45526</v>
      </c>
      <c r="E603" s="1" t="n">
        <v>46322</v>
      </c>
      <c r="F603" t="inlineStr">
        <is>
          <t>DALARNAS LÄN</t>
        </is>
      </c>
      <c r="G603" t="inlineStr">
        <is>
          <t>LUDVIKA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25299-2022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44730</v>
      </c>
      <c r="E604" s="1" t="n">
        <v>46322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11632-2024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45373</v>
      </c>
      <c r="E605" s="1" t="n">
        <v>46322</v>
      </c>
      <c r="F605" t="inlineStr">
        <is>
          <t>DALARNAS LÄN</t>
        </is>
      </c>
      <c r="G605" t="inlineStr">
        <is>
          <t>LUDVIKA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40431-2026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46294</v>
      </c>
      <c r="E606" s="1" t="n">
        <v>46322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6.7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40384-2026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46294</v>
      </c>
      <c r="E607" s="1" t="n">
        <v>46322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56672-2023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45243</v>
      </c>
      <c r="E608" s="1" t="n">
        <v>46322</v>
      </c>
      <c r="F608" t="inlineStr">
        <is>
          <t>DALARNAS LÄN</t>
        </is>
      </c>
      <c r="G608" t="inlineStr">
        <is>
          <t>LUDVIKA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46167</v>
      </c>
      <c r="E609" s="1" t="n">
        <v>46322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32305-2024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45512</v>
      </c>
      <c r="E610" s="1" t="n">
        <v>46322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23097-2025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46322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46038</v>
      </c>
      <c r="E612" s="1" t="n">
        <v>46322</v>
      </c>
      <c r="F612" t="inlineStr">
        <is>
          <t>DALARNAS LÄN</t>
        </is>
      </c>
      <c r="G612" t="inlineStr">
        <is>
          <t>LUDVIKA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31380-2025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45833</v>
      </c>
      <c r="E613" s="1" t="n">
        <v>46322</v>
      </c>
      <c r="F613" t="inlineStr">
        <is>
          <t>DALARNAS LÄN</t>
        </is>
      </c>
      <c r="G613" t="inlineStr">
        <is>
          <t>LUDVIKA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31818-2025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45834</v>
      </c>
      <c r="E614" s="1" t="n">
        <v>46322</v>
      </c>
      <c r="F614" t="inlineStr">
        <is>
          <t>DALARNAS LÄN</t>
        </is>
      </c>
      <c r="G614" t="inlineStr">
        <is>
          <t>LUDVIKA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61309-2022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44915</v>
      </c>
      <c r="E615" s="1" t="n">
        <v>46322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29780-2024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45485</v>
      </c>
      <c r="E616" s="1" t="n">
        <v>46322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60788-2024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45644</v>
      </c>
      <c r="E617" s="1" t="n">
        <v>46322</v>
      </c>
      <c r="F617" t="inlineStr">
        <is>
          <t>DALARNAS LÄN</t>
        </is>
      </c>
      <c r="G617" t="inlineStr">
        <is>
          <t>LUDVIKA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46322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51043-2024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45603</v>
      </c>
      <c r="E619" s="1" t="n">
        <v>46322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17.9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17913-2026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46122</v>
      </c>
      <c r="E620" s="1" t="n">
        <v>46322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45621</v>
      </c>
      <c r="E621" s="1" t="n">
        <v>46322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24776-2026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46171</v>
      </c>
      <c r="E622" s="1" t="n">
        <v>46322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44942</v>
      </c>
      <c r="E623" s="1" t="n">
        <v>46322</v>
      </c>
      <c r="F623" t="inlineStr">
        <is>
          <t>DALARNAS LÄN</t>
        </is>
      </c>
      <c r="G623" t="inlineStr">
        <is>
          <t>LUDVIKA</t>
        </is>
      </c>
      <c r="I623" t="n">
        <v>13.1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24673-2026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46171</v>
      </c>
      <c r="E624" s="1" t="n">
        <v>46322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23515-2026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46163</v>
      </c>
      <c r="E625" s="1" t="n">
        <v>46322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46171</v>
      </c>
      <c r="E626" s="1" t="n">
        <v>46322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25320-2026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46176</v>
      </c>
      <c r="E627" s="1" t="n">
        <v>46322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8.1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24609-2026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46171</v>
      </c>
      <c r="E628" s="1" t="n">
        <v>46322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25193-2026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46175</v>
      </c>
      <c r="E629" s="1" t="n">
        <v>46322</v>
      </c>
      <c r="F629" t="inlineStr">
        <is>
          <t>DALARNAS LÄN</t>
        </is>
      </c>
      <c r="G629" t="inlineStr">
        <is>
          <t>LUDVIKA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46171</v>
      </c>
      <c r="E630" s="1" t="n">
        <v>46322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46171</v>
      </c>
      <c r="E631" s="1" t="n">
        <v>46322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23917-2026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46167</v>
      </c>
      <c r="E632" s="1" t="n">
        <v>46322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20969-2026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46142</v>
      </c>
      <c r="E633" s="1" t="n">
        <v>46322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16.9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49166-2025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45938</v>
      </c>
      <c r="E634" s="1" t="n">
        <v>46322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23617-2026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46163</v>
      </c>
      <c r="E635" s="1" t="n">
        <v>46322</v>
      </c>
      <c r="F635" t="inlineStr">
        <is>
          <t>DALARNAS LÄN</t>
        </is>
      </c>
      <c r="G635" t="inlineStr">
        <is>
          <t>LUDVIKA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34584-2026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46255</v>
      </c>
      <c r="E636" s="1" t="n">
        <v>46322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34638-2026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46255</v>
      </c>
      <c r="E637" s="1" t="n">
        <v>46322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26382-2026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46183</v>
      </c>
      <c r="E638" s="1" t="n">
        <v>46322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34631-2026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46255</v>
      </c>
      <c r="E639" s="1" t="n">
        <v>46322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46255</v>
      </c>
      <c r="E640" s="1" t="n">
        <v>46322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16768-2025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45754</v>
      </c>
      <c r="E641" s="1" t="n">
        <v>46322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5970-2022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44599</v>
      </c>
      <c r="E642" s="1" t="n">
        <v>46322</v>
      </c>
      <c r="F642" t="inlineStr">
        <is>
          <t>DALARNAS LÄN</t>
        </is>
      </c>
      <c r="G642" t="inlineStr">
        <is>
          <t>LUDVIKA</t>
        </is>
      </c>
      <c r="I642" t="n">
        <v>8.4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46258</v>
      </c>
      <c r="E643" s="1" t="n">
        <v>46322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56818-2023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45244</v>
      </c>
      <c r="E644" s="1" t="n">
        <v>46322</v>
      </c>
      <c r="F644" t="inlineStr">
        <is>
          <t>DALARNAS LÄN</t>
        </is>
      </c>
      <c r="G644" t="inlineStr">
        <is>
          <t>LUDVIKA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41443-2026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46301</v>
      </c>
      <c r="E645" s="1" t="n">
        <v>46322</v>
      </c>
      <c r="F645" t="inlineStr">
        <is>
          <t>DALARNAS LÄN</t>
        </is>
      </c>
      <c r="G645" t="inlineStr">
        <is>
          <t>LUDVIKA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44970</v>
      </c>
      <c r="E646" s="1" t="n">
        <v>46322</v>
      </c>
      <c r="F646" t="inlineStr">
        <is>
          <t>DALARNAS LÄN</t>
        </is>
      </c>
      <c r="G646" t="inlineStr">
        <is>
          <t>LUDVIKA</t>
        </is>
      </c>
      <c r="H646" t="inlineStr">
        <is>
          <t>Övriga Aktiebolag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46656-2023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45198</v>
      </c>
      <c r="E647" s="1" t="n">
        <v>46322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34632-2026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46255</v>
      </c>
      <c r="E648" s="1" t="n">
        <v>46322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34550-2026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46255</v>
      </c>
      <c r="E649" s="1" t="n">
        <v>46322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34599-2026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46255</v>
      </c>
      <c r="E650" s="1" t="n">
        <v>46322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34147-2026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46253</v>
      </c>
      <c r="E651" s="1" t="n">
        <v>46322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35105-2026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46260</v>
      </c>
      <c r="E652" s="1" t="n">
        <v>46322</v>
      </c>
      <c r="F652" t="inlineStr">
        <is>
          <t>DALARNAS LÄN</t>
        </is>
      </c>
      <c r="G652" t="inlineStr">
        <is>
          <t>LUDVIKA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53620-2022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44879</v>
      </c>
      <c r="E653" s="1" t="n">
        <v>46322</v>
      </c>
      <c r="F653" t="inlineStr">
        <is>
          <t>DALARNAS LÄN</t>
        </is>
      </c>
      <c r="G653" t="inlineStr">
        <is>
          <t>LUDVIKA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46260</v>
      </c>
      <c r="E654" s="1" t="n">
        <v>46322</v>
      </c>
      <c r="F654" t="inlineStr">
        <is>
          <t>DALARNAS LÄN</t>
        </is>
      </c>
      <c r="G654" t="inlineStr">
        <is>
          <t>LUDVIKA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46258</v>
      </c>
      <c r="E655" s="1" t="n">
        <v>46322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57969-2024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45631</v>
      </c>
      <c r="E656" s="1" t="n">
        <v>46322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39761-2022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44819</v>
      </c>
      <c r="E657" s="1" t="n">
        <v>46322</v>
      </c>
      <c r="F657" t="inlineStr">
        <is>
          <t>DALARNAS LÄN</t>
        </is>
      </c>
      <c r="G657" t="inlineStr">
        <is>
          <t>LUDVIKA</t>
        </is>
      </c>
      <c r="H657" t="inlineStr">
        <is>
          <t>Naturvårdsverket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38921-2025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45887</v>
      </c>
      <c r="E658" s="1" t="n">
        <v>46322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42335-2026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46307</v>
      </c>
      <c r="E659" s="1" t="n">
        <v>46322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9.699999999999999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49669-2024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45596</v>
      </c>
      <c r="E660" s="1" t="n">
        <v>46322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33397-2026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46247</v>
      </c>
      <c r="E661" s="1" t="n">
        <v>46322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29734-2026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46322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31393-2026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46220</v>
      </c>
      <c r="E663" s="1" t="n">
        <v>46322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42345-2026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46307</v>
      </c>
      <c r="E664" s="1" t="n">
        <v>46322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56615-2025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45975</v>
      </c>
      <c r="E665" s="1" t="n">
        <v>46322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35490-2026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46262</v>
      </c>
      <c r="E666" s="1" t="n">
        <v>46322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19.9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21145-2023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45062</v>
      </c>
      <c r="E667" s="1" t="n">
        <v>46322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15851-2024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45404</v>
      </c>
      <c r="E668" s="1" t="n">
        <v>46322</v>
      </c>
      <c r="F668" t="inlineStr">
        <is>
          <t>DALARNAS LÄN</t>
        </is>
      </c>
      <c r="G668" t="inlineStr">
        <is>
          <t>LUDVIKA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41400-2022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44826</v>
      </c>
      <c r="E669" s="1" t="n">
        <v>46322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42743-2026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46309</v>
      </c>
      <c r="E670" s="1" t="n">
        <v>46322</v>
      </c>
      <c r="F670" t="inlineStr">
        <is>
          <t>DALARNAS LÄN</t>
        </is>
      </c>
      <c r="G670" t="inlineStr">
        <is>
          <t>LUDVIKA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38868-2026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46286</v>
      </c>
      <c r="E671" s="1" t="n">
        <v>46322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35837-2026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46265</v>
      </c>
      <c r="E672" s="1" t="n">
        <v>46322</v>
      </c>
      <c r="F672" t="inlineStr">
        <is>
          <t>DALARNAS LÄN</t>
        </is>
      </c>
      <c r="G672" t="inlineStr">
        <is>
          <t>LUDVIKA</t>
        </is>
      </c>
      <c r="H672" t="inlineStr">
        <is>
          <t>Kyrkan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48774-2024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45593</v>
      </c>
      <c r="E673" s="1" t="n">
        <v>46322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35648-2026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46265</v>
      </c>
      <c r="E674" s="1" t="n">
        <v>46322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37392-2023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45156</v>
      </c>
      <c r="E675" s="1" t="n">
        <v>46322</v>
      </c>
      <c r="F675" t="inlineStr">
        <is>
          <t>DALARNAS LÄN</t>
        </is>
      </c>
      <c r="G675" t="inlineStr">
        <is>
          <t>LUDVIKA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11436-2024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45372</v>
      </c>
      <c r="E676" s="1" t="n">
        <v>46322</v>
      </c>
      <c r="F676" t="inlineStr">
        <is>
          <t>DALARNAS LÄN</t>
        </is>
      </c>
      <c r="G676" t="inlineStr">
        <is>
          <t>LUDVIKA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36073-2026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46267</v>
      </c>
      <c r="E677" s="1" t="n">
        <v>46322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43009-2026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46311</v>
      </c>
      <c r="E678" s="1" t="n">
        <v>46322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39854-2026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46290</v>
      </c>
      <c r="E679" s="1" t="n">
        <v>46322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40142-2022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44820</v>
      </c>
      <c r="E680" s="1" t="n">
        <v>46322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40151-2022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44820</v>
      </c>
      <c r="E681" s="1" t="n">
        <v>46322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39777-2026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46322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21741-2022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44708</v>
      </c>
      <c r="E683" s="1" t="n">
        <v>46322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36126-2026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46267</v>
      </c>
      <c r="E684" s="1" t="n">
        <v>46322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45218</v>
      </c>
      <c r="E685" s="1" t="n">
        <v>46322</v>
      </c>
      <c r="F685" t="inlineStr">
        <is>
          <t>DALARNAS LÄN</t>
        </is>
      </c>
      <c r="G685" t="inlineStr">
        <is>
          <t>LUDVIKA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36820-2026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46272</v>
      </c>
      <c r="E686" s="1" t="n">
        <v>46322</v>
      </c>
      <c r="F686" t="inlineStr">
        <is>
          <t>DALARNAS LÄN</t>
        </is>
      </c>
      <c r="G686" t="inlineStr">
        <is>
          <t>LUDVIKA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43265-2026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46314</v>
      </c>
      <c r="E687" s="1" t="n">
        <v>46322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36065-2026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46267</v>
      </c>
      <c r="E688" s="1" t="n">
        <v>46322</v>
      </c>
      <c r="F688" t="inlineStr">
        <is>
          <t>DALARNAS LÄN</t>
        </is>
      </c>
      <c r="G688" t="inlineStr">
        <is>
          <t>LUDVIKA</t>
        </is>
      </c>
      <c r="I688" t="n">
        <v>8.5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56621-2023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45243</v>
      </c>
      <c r="E689" s="1" t="n">
        <v>46322</v>
      </c>
      <c r="F689" t="inlineStr">
        <is>
          <t>DALARNAS LÄN</t>
        </is>
      </c>
      <c r="G689" t="inlineStr">
        <is>
          <t>LUDVIKA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43392-2026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46314</v>
      </c>
      <c r="E690" s="1" t="n">
        <v>46322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41616-2024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45560</v>
      </c>
      <c r="E691" s="1" t="n">
        <v>46322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33345-2024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45519</v>
      </c>
      <c r="E692" s="1" t="n">
        <v>46322</v>
      </c>
      <c r="F692" t="inlineStr">
        <is>
          <t>DALARNAS LÄN</t>
        </is>
      </c>
      <c r="G692" t="inlineStr">
        <is>
          <t>LUDVIKA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43544-2026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46315</v>
      </c>
      <c r="E693" s="1" t="n">
        <v>46322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43519-2026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46315</v>
      </c>
      <c r="E694" s="1" t="n">
        <v>46322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9.800000000000001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24682-2026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46171</v>
      </c>
      <c r="E695" s="1" t="n">
        <v>46322</v>
      </c>
      <c r="F695" t="inlineStr">
        <is>
          <t>DALARNAS LÄN</t>
        </is>
      </c>
      <c r="G695" t="inlineStr">
        <is>
          <t>LUDVIKA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35103-2026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46260</v>
      </c>
      <c r="E696" s="1" t="n">
        <v>46322</v>
      </c>
      <c r="F696" t="inlineStr">
        <is>
          <t>DALARNAS LÄN</t>
        </is>
      </c>
      <c r="G696" t="inlineStr">
        <is>
          <t>LUDVIKA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37033-2026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46273</v>
      </c>
      <c r="E697" s="1" t="n">
        <v>46322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10.1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37052-2026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46273</v>
      </c>
      <c r="E698" s="1" t="n">
        <v>46322</v>
      </c>
      <c r="F698" t="inlineStr">
        <is>
          <t>DALARNAS LÄN</t>
        </is>
      </c>
      <c r="G698" t="inlineStr">
        <is>
          <t>LUDVIKA</t>
        </is>
      </c>
      <c r="I698" t="n">
        <v>8.5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37015-2026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46273</v>
      </c>
      <c r="E699" s="1" t="n">
        <v>46322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37000-2026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46273</v>
      </c>
      <c r="E700" s="1" t="n">
        <v>46322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37626-2026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46276</v>
      </c>
      <c r="E701" s="1" t="n">
        <v>46322</v>
      </c>
      <c r="F701" t="inlineStr">
        <is>
          <t>DALARNAS LÄN</t>
        </is>
      </c>
      <c r="G701" t="inlineStr">
        <is>
          <t>LUDVIKA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22830-2026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46160</v>
      </c>
      <c r="E702" s="1" t="n">
        <v>46322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44235-2026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46318</v>
      </c>
      <c r="E703" s="1" t="n">
        <v>46322</v>
      </c>
      <c r="F703" t="inlineStr">
        <is>
          <t>DALARNAS LÄN</t>
        </is>
      </c>
      <c r="G703" t="inlineStr">
        <is>
          <t>LUDVIKA</t>
        </is>
      </c>
      <c r="H703" t="inlineStr">
        <is>
          <t>Naturvårdsverket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44121-2026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46318</v>
      </c>
      <c r="E704" s="1" t="n">
        <v>46322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44123-2026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46318</v>
      </c>
      <c r="E705" s="1" t="n">
        <v>46322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46150</v>
      </c>
      <c r="E706" s="1" t="n">
        <v>46322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37719-2026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46279</v>
      </c>
      <c r="E707" s="1" t="n">
        <v>46322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44141-2026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46318</v>
      </c>
      <c r="E708" s="1" t="n">
        <v>46322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22599-2025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45789</v>
      </c>
      <c r="E709" s="1" t="n">
        <v>46322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44512-2026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46321</v>
      </c>
      <c r="E710" s="1" t="n">
        <v>46322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19.6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37702-2026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46279</v>
      </c>
      <c r="E711" s="1" t="n">
        <v>46322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37359-2026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46275</v>
      </c>
      <c r="E712" s="1" t="n">
        <v>46322</v>
      </c>
      <c r="F712" t="inlineStr">
        <is>
          <t>DALARNAS LÄN</t>
        </is>
      </c>
      <c r="G712" t="inlineStr">
        <is>
          <t>LUDVIKA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37706-2026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46279</v>
      </c>
      <c r="E713" s="1" t="n">
        <v>46322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44261-2026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46318</v>
      </c>
      <c r="E714" s="1" t="n">
        <v>46322</v>
      </c>
      <c r="F714" t="inlineStr">
        <is>
          <t>DALARNAS LÄN</t>
        </is>
      </c>
      <c r="G714" t="inlineStr">
        <is>
          <t>LUDVIKA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46029-2025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45924</v>
      </c>
      <c r="E715" s="1" t="n">
        <v>46322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44238-2026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46318</v>
      </c>
      <c r="E716" s="1" t="n">
        <v>46322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15.9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2837-2023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45167</v>
      </c>
      <c r="E717" s="1" t="n">
        <v>46322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1122-2023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45015</v>
      </c>
      <c r="E718" s="1" t="n">
        <v>46322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3660-2023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45216</v>
      </c>
      <c r="E719" s="1" t="n">
        <v>46322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1246-2024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45400</v>
      </c>
      <c r="E720" s="1" t="n">
        <v>46322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35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1096-2024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45391</v>
      </c>
      <c r="E721" s="1" t="n">
        <v>46322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26.7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4863-2022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44805</v>
      </c>
      <c r="E722" s="1" t="n">
        <v>46322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1113-2023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46322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37.9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>
      <c r="A724" t="inlineStr">
        <is>
          <t>S 1815-2026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46190</v>
      </c>
      <c r="E724" s="1" t="n">
        <v>46322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2026-10-27T03:07:38Z</dcterms:created>
  <dcterms:modified xmlns:dcterms="http://purl.org/dc/terms/" xmlns:xsi="http://www.w3.org/2001/XMLSchema-instance" xsi:type="dcterms:W3CDTF">2026-10-27T03:07:39Z</dcterms:modified>
</cp:coreProperties>
</file>
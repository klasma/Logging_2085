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45813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45813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45813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45813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45813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45813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45813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45813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45813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45813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45813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45813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45813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45813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45813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45813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45813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45813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45813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45813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45813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45813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45813</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45813</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45813</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45813</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45813</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45813</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45813</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45813</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45813</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45813</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45813</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45813</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45813</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45813</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45813</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45813</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45813</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45813</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45813</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45813</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45813</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45813</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45813</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45813</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45813</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45813</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45813</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45813</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45813</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45813</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45813</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45813</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45813</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45813</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45813</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45813</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45813</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45813</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45813</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45813</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45813</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45813</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45813</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45813</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45813</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45813</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45813</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45813</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45813</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45813</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45813</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45813</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45813</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45813</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45813</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45813</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45813</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45813</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45813</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45813</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45813</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45813</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45813</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45813</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45813</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45813</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45813</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45813</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45813</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45813</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45813</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45813</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23107-2025</t>
        </is>
      </c>
      <c r="B96" s="1" t="n">
        <v>45791</v>
      </c>
      <c r="C96" s="1" t="n">
        <v>45813</v>
      </c>
      <c r="D96" t="inlineStr">
        <is>
          <t>DALARNAS LÄN</t>
        </is>
      </c>
      <c r="E96" t="inlineStr">
        <is>
          <t>LUDVIKA</t>
        </is>
      </c>
      <c r="F96" t="inlineStr">
        <is>
          <t>Bergvik skog väst AB</t>
        </is>
      </c>
      <c r="G96" t="n">
        <v>3.4</v>
      </c>
      <c r="H96" t="n">
        <v>1</v>
      </c>
      <c r="I96" t="n">
        <v>0</v>
      </c>
      <c r="J96" t="n">
        <v>0</v>
      </c>
      <c r="K96" t="n">
        <v>0</v>
      </c>
      <c r="L96" t="n">
        <v>0</v>
      </c>
      <c r="M96" t="n">
        <v>0</v>
      </c>
      <c r="N96" t="n">
        <v>0</v>
      </c>
      <c r="O96" t="n">
        <v>0</v>
      </c>
      <c r="P96" t="n">
        <v>0</v>
      </c>
      <c r="Q96" t="n">
        <v>1</v>
      </c>
      <c r="R96" s="2" t="inlineStr">
        <is>
          <t>Större vattensalamander</t>
        </is>
      </c>
      <c r="S96">
        <f>HYPERLINK("https://klasma.github.io/Logging_202085/artfynd/A 23107-2025 artfynd.xlsx", "A 23107-2025")</f>
        <v/>
      </c>
      <c r="T96">
        <f>HYPERLINK("https://klasma.github.io/Logging_202085/kartor/A 23107-2025 karta.png", "A 23107-2025")</f>
        <v/>
      </c>
      <c r="V96">
        <f>HYPERLINK("https://klasma.github.io/Logging_202085/klagomål/A 23107-2025 FSC-klagomål.docx", "A 23107-2025")</f>
        <v/>
      </c>
      <c r="W96">
        <f>HYPERLINK("https://klasma.github.io/Logging_202085/klagomålsmail/A 23107-2025 FSC-klagomål mail.docx", "A 23107-2025")</f>
        <v/>
      </c>
      <c r="X96">
        <f>HYPERLINK("https://klasma.github.io/Logging_202085/tillsyn/A 23107-2025 tillsynsbegäran.docx", "A 23107-2025")</f>
        <v/>
      </c>
      <c r="Y96">
        <f>HYPERLINK("https://klasma.github.io/Logging_202085/tillsynsmail/A 23107-2025 tillsynsbegäran mail.docx", "A 23107-2025")</f>
        <v/>
      </c>
    </row>
    <row r="97" ht="15" customHeight="1">
      <c r="A97" t="inlineStr">
        <is>
          <t>A 23102-2025</t>
        </is>
      </c>
      <c r="B97" s="1" t="n">
        <v>45791</v>
      </c>
      <c r="C97" s="1" t="n">
        <v>45813</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23085-2025</t>
        </is>
      </c>
      <c r="B98" s="1" t="n">
        <v>45791</v>
      </c>
      <c r="C98" s="1" t="n">
        <v>45813</v>
      </c>
      <c r="D98" t="inlineStr">
        <is>
          <t>DALARNAS LÄN</t>
        </is>
      </c>
      <c r="E98" t="inlineStr">
        <is>
          <t>LUDVIKA</t>
        </is>
      </c>
      <c r="F98" t="inlineStr">
        <is>
          <t>Bergvik skog väst AB</t>
        </is>
      </c>
      <c r="G98" t="n">
        <v>3.9</v>
      </c>
      <c r="H98" t="n">
        <v>1</v>
      </c>
      <c r="I98" t="n">
        <v>0</v>
      </c>
      <c r="J98" t="n">
        <v>0</v>
      </c>
      <c r="K98" t="n">
        <v>1</v>
      </c>
      <c r="L98" t="n">
        <v>0</v>
      </c>
      <c r="M98" t="n">
        <v>0</v>
      </c>
      <c r="N98" t="n">
        <v>0</v>
      </c>
      <c r="O98" t="n">
        <v>1</v>
      </c>
      <c r="P98" t="n">
        <v>1</v>
      </c>
      <c r="Q98" t="n">
        <v>1</v>
      </c>
      <c r="R98" s="2" t="inlineStr">
        <is>
          <t>Berguv</t>
        </is>
      </c>
      <c r="S98">
        <f>HYPERLINK("https://klasma.github.io/Logging_202085/artfynd/A 23085-2025 artfynd.xlsx", "A 23085-2025")</f>
        <v/>
      </c>
      <c r="T98">
        <f>HYPERLINK("https://klasma.github.io/Logging_202085/kartor/A 23085-2025 karta.png", "A 23085-2025")</f>
        <v/>
      </c>
      <c r="V98">
        <f>HYPERLINK("https://klasma.github.io/Logging_202085/klagomål/A 23085-2025 FSC-klagomål.docx", "A 23085-2025")</f>
        <v/>
      </c>
      <c r="W98">
        <f>HYPERLINK("https://klasma.github.io/Logging_202085/klagomålsmail/A 23085-2025 FSC-klagomål mail.docx", "A 23085-2025")</f>
        <v/>
      </c>
      <c r="X98">
        <f>HYPERLINK("https://klasma.github.io/Logging_202085/tillsyn/A 23085-2025 tillsynsbegäran.docx", "A 23085-2025")</f>
        <v/>
      </c>
      <c r="Y98">
        <f>HYPERLINK("https://klasma.github.io/Logging_202085/tillsynsmail/A 23085-2025 tillsynsbegäran mail.docx", "A 23085-2025")</f>
        <v/>
      </c>
      <c r="Z98">
        <f>HYPERLINK("https://klasma.github.io/Logging_202085/fåglar/A 23085-2025 prioriterade fågelarter.docx", "A 23085-2025")</f>
        <v/>
      </c>
    </row>
    <row r="99" ht="15" customHeight="1">
      <c r="A99" t="inlineStr">
        <is>
          <t>A 25282-2025</t>
        </is>
      </c>
      <c r="B99" s="1" t="n">
        <v>45800</v>
      </c>
      <c r="C99" s="1" t="n">
        <v>45813</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45813</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45813</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45813</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45813</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45813</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45813</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45813</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45813</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45813</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45813</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45813</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45813</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45813</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45813</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45813</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45813</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45813</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45813</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45813</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45813</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45813</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45813</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45813</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45813</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45813</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45813</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45813</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45813</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45813</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45813</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45813</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45813</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45813</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45813</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45813</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45813</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45813</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45813</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45813</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45813</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45813</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45813</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45813</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45813</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45813</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45813</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45813</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45813</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45813</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45813</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45813</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45813</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45813</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45813</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45813</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45813</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45813</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45813</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45813</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45813</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45813</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45813</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45813</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45813</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45813</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45813</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45813</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45813</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45813</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45813</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45813</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45813</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45813</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45813</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45813</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45813</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45813</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45813</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45813</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45813</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45813</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45813</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45813</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45813</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45813</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45813</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45813</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45813</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45813</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45813</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45813</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45813</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45813</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45813</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45813</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45813</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45813</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45813</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45813</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45813</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45813</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45813</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45813</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45813</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45813</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45813</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45813</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45813</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45813</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45813</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45813</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45813</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45813</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45813</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45813</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45813</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45813</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45813</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45813</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45813</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45813</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45813</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45813</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45813</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45813</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45813</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45813</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45813</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45813</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45813</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45813</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45813</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45813</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45813</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45813</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45813</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45813</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45813</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45813</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45813</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45813</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45813</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45813</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45813</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45813</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45813</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45813</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45813</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45813</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45813</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45813</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45813</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45813</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45813</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45813</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45813</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45813</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45813</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45813</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45813</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45813</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45813</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45813</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45813</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45813</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45813</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45813</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45813</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45813</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45813</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45813</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45813</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45813</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45813</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45813</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45813</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45813</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45813</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45813</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45813</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45813</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45813</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45813</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45813</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45813</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45813</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45813</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45813</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45813</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45813</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45813</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45813</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45813</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45813</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45813</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45813</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45813</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45813</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45813</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45813</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45813</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45813</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45813</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45813</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45813</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45813</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45813</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45813</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45813</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45813</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45813</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45813</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45813</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45813</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45813</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45813</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45813</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45813</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45813</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45813</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45813</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45813</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45813</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45813</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45813</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45813</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45813</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45813</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45813</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45813</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45813</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45813</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45813</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45813</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45813</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45813</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45813</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45813</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45813</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45813</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45813</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45813</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45813</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45813</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45813</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45813</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45813</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45813</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45813</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45813</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45813</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45813</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45813</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45813</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45813</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45813</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45813</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45813</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45813</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45813</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45813</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45813</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45813</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45813</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45813</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45813</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45813</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45813</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45813</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45813</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45813</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45813</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45813</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45813</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45813</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45813</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45813</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45813</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45813</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45813</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45813</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45813</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45813</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45813</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45813</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45813</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45813</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45813</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45813</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45813</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45813</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45813</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45813</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45813</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45813</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45813</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45813</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45813</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45813</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45813</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45813</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45813</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45813</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45813</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45813</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45813</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45813</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45813</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45813</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45813</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45813</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45813</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45813</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45813</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45813</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45813</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45813</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45813</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45813</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45813</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45813</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45813</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45813</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45813</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45813</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45813</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45813</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45813</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45813</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45813</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45813</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45813</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45813</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45813</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45813</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45813</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45813</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45813</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45813</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45813</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45813</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45813</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45813</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45813</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45813</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45813</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45813</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45813</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45813</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45813</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45813</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45813</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45813</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45813</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45813</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45813</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45813</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45813</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45813</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45813</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45813</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45813</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45813</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45813</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45813</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45813</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45813</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45813</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45813</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45813</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45813</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45813</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45813</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45813</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45813</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45813</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45813</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45813</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45813</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45813</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45813</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45813</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45813</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45813</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45813</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45813</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45813</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45813</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45813</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45813</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45813</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45813</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45813</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45813</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45813</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45813</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45813</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45813</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45813</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45813</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45813</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45813</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45813</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45813</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45813</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45813</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45813</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45813</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45813</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45813</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45813</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45813</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45813</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45813</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45813</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45813</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45813</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45813</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45813</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45813</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45813</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45813</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45813</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45813</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45813</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45813</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45813</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45813</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45813</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45813</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45813</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45813</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45813</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45813</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45813</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45813</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45813</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45813</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45813</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45813</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45813</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45813</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45813</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45813</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45813</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45813</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45813</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45813</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45813</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45813</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45813</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45813</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45813</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45813</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45813</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45813</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45813</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45813</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45813</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45813</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45813</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45813</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45813</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45813</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45813</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45813</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45813</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45813</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45813</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45813</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45813</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45813</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45813</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45813</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45813</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45813</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45813</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45813</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45813</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45813</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45813</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45813</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45813</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45813</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45813</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45813</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45813</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45813</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45813</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45813</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45813</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45813</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45813</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45813</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45813</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45813</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45813</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45813</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45813</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45813</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45813</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45813</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45813</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45813</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45813</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45813</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45813</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45813</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45813</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45813</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45813</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45813</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45813</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45813</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45813</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45813</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45813</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45813</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45813</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45813</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45813</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45813</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45813</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45813</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45813</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45813</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45813</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45813</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45813</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45813</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45813</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45813</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45813</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45813</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45813</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45813</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45813</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45813</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45813</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45813</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45813</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45813</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45813</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45813</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45813</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45813</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45813</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45813</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45813</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45813</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45813</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45813</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45813</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45813</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45813</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45813</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45813</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45813</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45813</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45813</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45813</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45813</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45813</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45813</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45813</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45813</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45813</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45813</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45813</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45813</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45813</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45813</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45813</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45813</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45813</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45813</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45813</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45813</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45813</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45813</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45813</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45813</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45813</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45813</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45813</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45813</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45813</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45813</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45813</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45813</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45813</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45813</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45813</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45813</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45813</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45813</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45813</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45813</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45813</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45813</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45813</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45813</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45813</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45813</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45813</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45813</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45813</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45813</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45813</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45813</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45813</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45813</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45813</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45813</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45813</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45813</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45813</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45813</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45813</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45813</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45813</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45813</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45813</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45813</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45813</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45813</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45813</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45813</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45813</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45813</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45813</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45813</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45813</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45813</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45813</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45813</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45813</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45813</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45813</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45813</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45813</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45813</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45813</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45813</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45813</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45813</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45813</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45813</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45813</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45813</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45813</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45813</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45813</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45813</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45813</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45813</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45813</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45813</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45813</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45813</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45813</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45813</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45813</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45813</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45813</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45813</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45813</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45813</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45813</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45813</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45813</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45813</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45813</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45813</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45813</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45813</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45813</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45813</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45813</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45813</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45813</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45813</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45813</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45813</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45813</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45813</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45813</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45813</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45813</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45813</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45813</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45813</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45813</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45813</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45813</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45813</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45813</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45813</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45813</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45813</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45813</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45813</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45813</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45813</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45813</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45813</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45813</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45813</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45813</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45813</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45813</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45813</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45813</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45813</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45813</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45813</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45813</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45813</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45813</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45813</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45813</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45813</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45813</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45813</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45813</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45813</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45813</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45813</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45813</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45813</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45813</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45813</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45813</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45813</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45813</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45813</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45813</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45813</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45813</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45813</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45813</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45813</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45813</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45813</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45813</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45813</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45813</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45813</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45813</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45813</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45813</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45813</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45813</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45813</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45813</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45813</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45813</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45813</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45813</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45813</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45813</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45813</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45813</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45813</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45813</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45813</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45813</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45813</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45813</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45813</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45813</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45813</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45813</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45813</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45813</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45813</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45813</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45813</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45813</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45813</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45813</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45813</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45813</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45813</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45813</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45813</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45813</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45813</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45813</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45813</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45813</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45813</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45813</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45813</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45813</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45813</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45813</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45813</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45813</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45813</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45813</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45813</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45813</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45813</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45813</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45813</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45813</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45813</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45813</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45813</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45813</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45813</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45813</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45813</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45813</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45813</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45813</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45813</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45813</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45813</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45813</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45813</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45813</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45813</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45813</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45813</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45813</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45813</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45813</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45813</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45813</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45813</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45813</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45813</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45813</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45813</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45813</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45813</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45813</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45813</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45813</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45813</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45813</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45813</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45813</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45813</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45813</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45813</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45813</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45813</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45813</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45813</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45813</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45813</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45813</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45813</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45813</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45813</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45813</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45813</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45813</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45813</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45813</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45813</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45813</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45813</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45813</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45813</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45813</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45813</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45813</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45813</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45813</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45813</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45813</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45813</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45813</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45813</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45813</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45813</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45813</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45813</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45813</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45813</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45813</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45813</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45813</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45813</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45813</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45813</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45813</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45813</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45813</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45813</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45813</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45813</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45813</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45813</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45813</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45813</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45813</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45813</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45813</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45813</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45813</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45813</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45813</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45813</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45813</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45813</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45813</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45813</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45813</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45813</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45813</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45813</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45813</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45813</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45813</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45813</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45813</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45813</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45813</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45813</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45813</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45813</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45813</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45813</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45813</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45813</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45813</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45813</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45813</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45813</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45813</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45813</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45813</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45813</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45813</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45813</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45813</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45813</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45813</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45813</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45813</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45813</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45813</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45813</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45813</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45813</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45813</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45813</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45813</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45813</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45813</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45813</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45813</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45813</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45813</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45813</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45813</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45813</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45813</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45813</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45813</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45813</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45813</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45813</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45813</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45813</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45813</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45813</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45813</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45813</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45813</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45813</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45813</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45813</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45813</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45813</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45813</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45813</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45813</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45813</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45813</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45813</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45813</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45813</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45813</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45813</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45813</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45813</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45813</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45813</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45813</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45813</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45813</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45813</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45813</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45813</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45813</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45813</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45813</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45813</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45813</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45813</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45813</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45813</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45813</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45813</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45813</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45813</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45813</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45813</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45813</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45813</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45813</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45813</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45813</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45813</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45813</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45813</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45813</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45813</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45813</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45813</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45813</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45813</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45813</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45813</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45813</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45813</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45813</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45813</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45813</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45813</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45813</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45813</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45813</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45813</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45813</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45813</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45813</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45813</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45813</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45813</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45813</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45813</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45813</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45813</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45813</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45813</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45813</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45813</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45813</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45813</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45813</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45813</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45813</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45813</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45813</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45813</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45813</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45813</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45813</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45813</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45813</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45813</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45813</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45813</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45813</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45813</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45813</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45813</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45813</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45813</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45813</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45813</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45813</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45813</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45813</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45813</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45813</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45813</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45813</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45813</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45813</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45813</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45813</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45813</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45813</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45813</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45813</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45813</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45813</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45813</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45813</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45813</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45813</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45813</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45813</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45813</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45813</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45813</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45813</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45813</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45813</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45813</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45813</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45813</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21893-2025</t>
        </is>
      </c>
      <c r="B1210" s="1" t="n">
        <v>45784</v>
      </c>
      <c r="C1210" s="1" t="n">
        <v>45813</v>
      </c>
      <c r="D1210" t="inlineStr">
        <is>
          <t>DALARNAS LÄN</t>
        </is>
      </c>
      <c r="E1210" t="inlineStr">
        <is>
          <t>LUDVIKA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45813</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45813</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45813</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45813</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45813</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45813</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45813</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22594-2025</t>
        </is>
      </c>
      <c r="B1218" s="1" t="n">
        <v>45789</v>
      </c>
      <c r="C1218" s="1" t="n">
        <v>45813</v>
      </c>
      <c r="D1218" t="inlineStr">
        <is>
          <t>DALARNAS LÄN</t>
        </is>
      </c>
      <c r="E1218" t="inlineStr">
        <is>
          <t>LUDVIKA</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45813</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22807-2025</t>
        </is>
      </c>
      <c r="B1220" s="1" t="n">
        <v>45789</v>
      </c>
      <c r="C1220" s="1" t="n">
        <v>45813</v>
      </c>
      <c r="D1220" t="inlineStr">
        <is>
          <t>DALARNAS LÄN</t>
        </is>
      </c>
      <c r="E1220" t="inlineStr">
        <is>
          <t>LUDVIKA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45813</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45813</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22606-2025</t>
        </is>
      </c>
      <c r="B1223" s="1" t="n">
        <v>45789</v>
      </c>
      <c r="C1223" s="1" t="n">
        <v>45813</v>
      </c>
      <c r="D1223" t="inlineStr">
        <is>
          <t>DALARNAS LÄN</t>
        </is>
      </c>
      <c r="E1223" t="inlineStr">
        <is>
          <t>LUDVIKA</t>
        </is>
      </c>
      <c r="F1223" t="inlineStr">
        <is>
          <t>Bergvik skog väst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45813</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23082-2025</t>
        </is>
      </c>
      <c r="B1225" s="1" t="n">
        <v>45791</v>
      </c>
      <c r="C1225" s="1" t="n">
        <v>45813</v>
      </c>
      <c r="D1225" t="inlineStr">
        <is>
          <t>DALARNAS LÄN</t>
        </is>
      </c>
      <c r="E1225" t="inlineStr">
        <is>
          <t>LUDVIKA</t>
        </is>
      </c>
      <c r="F1225" t="inlineStr">
        <is>
          <t>Bergvik skog väst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23087-2025</t>
        </is>
      </c>
      <c r="B1226" s="1" t="n">
        <v>45791</v>
      </c>
      <c r="C1226" s="1" t="n">
        <v>45813</v>
      </c>
      <c r="D1226" t="inlineStr">
        <is>
          <t>DALARNAS LÄN</t>
        </is>
      </c>
      <c r="E1226" t="inlineStr">
        <is>
          <t>LUDVIKA</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23097-2025</t>
        </is>
      </c>
      <c r="B1227" s="1" t="n">
        <v>45791</v>
      </c>
      <c r="C1227" s="1" t="n">
        <v>45813</v>
      </c>
      <c r="D1227" t="inlineStr">
        <is>
          <t>DALARNAS LÄN</t>
        </is>
      </c>
      <c r="E1227" t="inlineStr">
        <is>
          <t>LUDVIKA</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23111-2025</t>
        </is>
      </c>
      <c r="B1228" s="1" t="n">
        <v>45791</v>
      </c>
      <c r="C1228" s="1" t="n">
        <v>45813</v>
      </c>
      <c r="D1228" t="inlineStr">
        <is>
          <t>DALARNAS LÄN</t>
        </is>
      </c>
      <c r="E1228" t="inlineStr">
        <is>
          <t>LUDVIKA</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23117-2025</t>
        </is>
      </c>
      <c r="B1229" s="1" t="n">
        <v>45791</v>
      </c>
      <c r="C1229" s="1" t="n">
        <v>45813</v>
      </c>
      <c r="D1229" t="inlineStr">
        <is>
          <t>DALARNAS LÄN</t>
        </is>
      </c>
      <c r="E1229" t="inlineStr">
        <is>
          <t>LUDVIKA</t>
        </is>
      </c>
      <c r="F1229" t="inlineStr">
        <is>
          <t>Bergvik skog väst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23137-2025</t>
        </is>
      </c>
      <c r="B1230" s="1" t="n">
        <v>45791</v>
      </c>
      <c r="C1230" s="1" t="n">
        <v>45813</v>
      </c>
      <c r="D1230" t="inlineStr">
        <is>
          <t>DALARNAS LÄN</t>
        </is>
      </c>
      <c r="E1230" t="inlineStr">
        <is>
          <t>LUDVIKA</t>
        </is>
      </c>
      <c r="F1230" t="inlineStr">
        <is>
          <t>Bergvik skog väst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23139-2025</t>
        </is>
      </c>
      <c r="B1231" s="1" t="n">
        <v>45791</v>
      </c>
      <c r="C1231" s="1" t="n">
        <v>45813</v>
      </c>
      <c r="D1231" t="inlineStr">
        <is>
          <t>DALARNAS LÄN</t>
        </is>
      </c>
      <c r="E1231" t="inlineStr">
        <is>
          <t>LUDVIKA</t>
        </is>
      </c>
      <c r="F1231" t="inlineStr">
        <is>
          <t>Bergvik skog väst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23088-2025</t>
        </is>
      </c>
      <c r="B1232" s="1" t="n">
        <v>45791</v>
      </c>
      <c r="C1232" s="1" t="n">
        <v>45813</v>
      </c>
      <c r="D1232" t="inlineStr">
        <is>
          <t>DALARNAS LÄN</t>
        </is>
      </c>
      <c r="E1232" t="inlineStr">
        <is>
          <t>LUDVIKA</t>
        </is>
      </c>
      <c r="F1232" t="inlineStr">
        <is>
          <t>Bergvik skog väst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23103-2025</t>
        </is>
      </c>
      <c r="B1233" s="1" t="n">
        <v>45791</v>
      </c>
      <c r="C1233" s="1" t="n">
        <v>45813</v>
      </c>
      <c r="D1233" t="inlineStr">
        <is>
          <t>DALARNAS LÄN</t>
        </is>
      </c>
      <c r="E1233" t="inlineStr">
        <is>
          <t>LUDVIKA</t>
        </is>
      </c>
      <c r="F1233" t="inlineStr">
        <is>
          <t>Bergvik skog väst AB</t>
        </is>
      </c>
      <c r="G1233" t="n">
        <v>15.9</v>
      </c>
      <c r="H1233" t="n">
        <v>0</v>
      </c>
      <c r="I1233" t="n">
        <v>0</v>
      </c>
      <c r="J1233" t="n">
        <v>0</v>
      </c>
      <c r="K1233" t="n">
        <v>0</v>
      </c>
      <c r="L1233" t="n">
        <v>0</v>
      </c>
      <c r="M1233" t="n">
        <v>0</v>
      </c>
      <c r="N1233" t="n">
        <v>0</v>
      </c>
      <c r="O1233" t="n">
        <v>0</v>
      </c>
      <c r="P1233" t="n">
        <v>0</v>
      </c>
      <c r="Q1233" t="n">
        <v>0</v>
      </c>
      <c r="R1233" s="2" t="inlineStr"/>
    </row>
    <row r="1234" ht="15" customHeight="1">
      <c r="A1234" t="inlineStr">
        <is>
          <t>A 23105-2025</t>
        </is>
      </c>
      <c r="B1234" s="1" t="n">
        <v>45791</v>
      </c>
      <c r="C1234" s="1" t="n">
        <v>45813</v>
      </c>
      <c r="D1234" t="inlineStr">
        <is>
          <t>DALARNAS LÄN</t>
        </is>
      </c>
      <c r="E1234" t="inlineStr">
        <is>
          <t>LUDVIKA</t>
        </is>
      </c>
      <c r="F1234" t="inlineStr">
        <is>
          <t>Bergvik skog väst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23086-2025</t>
        </is>
      </c>
      <c r="B1235" s="1" t="n">
        <v>45791</v>
      </c>
      <c r="C1235" s="1" t="n">
        <v>45813</v>
      </c>
      <c r="D1235" t="inlineStr">
        <is>
          <t>DALARNAS LÄN</t>
        </is>
      </c>
      <c r="E1235" t="inlineStr">
        <is>
          <t>LUDVIKA</t>
        </is>
      </c>
      <c r="F1235" t="inlineStr">
        <is>
          <t>Bergvik skog väst AB</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45813</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45813</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45813</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45813</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45813</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45813</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24814-2025</t>
        </is>
      </c>
      <c r="B1242" s="1" t="n">
        <v>45799</v>
      </c>
      <c r="C1242" s="1" t="n">
        <v>45813</v>
      </c>
      <c r="D1242" t="inlineStr">
        <is>
          <t>DALARNAS LÄN</t>
        </is>
      </c>
      <c r="E1242" t="inlineStr">
        <is>
          <t>LUDVIKA</t>
        </is>
      </c>
      <c r="F1242" t="inlineStr">
        <is>
          <t>Bergvik skog väst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24789-2025</t>
        </is>
      </c>
      <c r="B1243" s="1" t="n">
        <v>45799</v>
      </c>
      <c r="C1243" s="1" t="n">
        <v>45813</v>
      </c>
      <c r="D1243" t="inlineStr">
        <is>
          <t>DALARNAS LÄN</t>
        </is>
      </c>
      <c r="E1243" t="inlineStr">
        <is>
          <t>LUDVIKA</t>
        </is>
      </c>
      <c r="F1243" t="inlineStr">
        <is>
          <t>Bergvik skog väst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24783-2025</t>
        </is>
      </c>
      <c r="B1244" s="1" t="n">
        <v>45799</v>
      </c>
      <c r="C1244" s="1" t="n">
        <v>45813</v>
      </c>
      <c r="D1244" t="inlineStr">
        <is>
          <t>DALARNAS LÄN</t>
        </is>
      </c>
      <c r="E1244" t="inlineStr">
        <is>
          <t>LUDVIKA</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24974-2025</t>
        </is>
      </c>
      <c r="B1245" s="1" t="n">
        <v>45799</v>
      </c>
      <c r="C1245" s="1" t="n">
        <v>45813</v>
      </c>
      <c r="D1245" t="inlineStr">
        <is>
          <t>DALARNAS LÄN</t>
        </is>
      </c>
      <c r="E1245" t="inlineStr">
        <is>
          <t>LUDVIKA</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25006-2025</t>
        </is>
      </c>
      <c r="B1246" s="1" t="n">
        <v>45799</v>
      </c>
      <c r="C1246" s="1" t="n">
        <v>45813</v>
      </c>
      <c r="D1246" t="inlineStr">
        <is>
          <t>DALARNAS LÄN</t>
        </is>
      </c>
      <c r="E1246" t="inlineStr">
        <is>
          <t>LUDVIKA</t>
        </is>
      </c>
      <c r="F1246" t="inlineStr">
        <is>
          <t>Bergvik skog väst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24939-2025</t>
        </is>
      </c>
      <c r="B1247" s="1" t="n">
        <v>45799</v>
      </c>
      <c r="C1247" s="1" t="n">
        <v>45813</v>
      </c>
      <c r="D1247" t="inlineStr">
        <is>
          <t>DALARNAS LÄN</t>
        </is>
      </c>
      <c r="E1247" t="inlineStr">
        <is>
          <t>LUDVIKA</t>
        </is>
      </c>
      <c r="F1247" t="inlineStr">
        <is>
          <t>Bergvik skog väst AB</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24848-2025</t>
        </is>
      </c>
      <c r="B1248" s="1" t="n">
        <v>45799</v>
      </c>
      <c r="C1248" s="1" t="n">
        <v>45813</v>
      </c>
      <c r="D1248" t="inlineStr">
        <is>
          <t>DALARNAS LÄN</t>
        </is>
      </c>
      <c r="E1248" t="inlineStr">
        <is>
          <t>LUDVIKA</t>
        </is>
      </c>
      <c r="F1248" t="inlineStr">
        <is>
          <t>Bergvik skog väst AB</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24928-2025</t>
        </is>
      </c>
      <c r="B1249" s="1" t="n">
        <v>45799</v>
      </c>
      <c r="C1249" s="1" t="n">
        <v>45813</v>
      </c>
      <c r="D1249" t="inlineStr">
        <is>
          <t>DALARNAS LÄN</t>
        </is>
      </c>
      <c r="E1249" t="inlineStr">
        <is>
          <t>LUDVIKA</t>
        </is>
      </c>
      <c r="F1249" t="inlineStr">
        <is>
          <t>Bergvik skog väst AB</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45813</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24893-2025</t>
        </is>
      </c>
      <c r="B1251" s="1" t="n">
        <v>45799</v>
      </c>
      <c r="C1251" s="1" t="n">
        <v>45813</v>
      </c>
      <c r="D1251" t="inlineStr">
        <is>
          <t>DALARNAS LÄN</t>
        </is>
      </c>
      <c r="E1251" t="inlineStr">
        <is>
          <t>LUDVIKA</t>
        </is>
      </c>
      <c r="F1251" t="inlineStr">
        <is>
          <t>Bergvik skog väst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25004-2025</t>
        </is>
      </c>
      <c r="B1252" s="1" t="n">
        <v>45799</v>
      </c>
      <c r="C1252" s="1" t="n">
        <v>45813</v>
      </c>
      <c r="D1252" t="inlineStr">
        <is>
          <t>DALARNAS LÄN</t>
        </is>
      </c>
      <c r="E1252" t="inlineStr">
        <is>
          <t>LUDVIKA</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25133-2025</t>
        </is>
      </c>
      <c r="B1253" s="1" t="n">
        <v>45800</v>
      </c>
      <c r="C1253" s="1" t="n">
        <v>45813</v>
      </c>
      <c r="D1253" t="inlineStr">
        <is>
          <t>DALARNAS LÄN</t>
        </is>
      </c>
      <c r="E1253" t="inlineStr">
        <is>
          <t>LUDVIKA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25235-2025</t>
        </is>
      </c>
      <c r="B1254" s="1" t="n">
        <v>45800</v>
      </c>
      <c r="C1254" s="1" t="n">
        <v>45813</v>
      </c>
      <c r="D1254" t="inlineStr">
        <is>
          <t>DALARNAS LÄN</t>
        </is>
      </c>
      <c r="E1254" t="inlineStr">
        <is>
          <t>LUDVIKA</t>
        </is>
      </c>
      <c r="F1254" t="inlineStr">
        <is>
          <t>Bergvik skog väst AB</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25157-2025</t>
        </is>
      </c>
      <c r="B1255" s="1" t="n">
        <v>45800</v>
      </c>
      <c r="C1255" s="1" t="n">
        <v>45813</v>
      </c>
      <c r="D1255" t="inlineStr">
        <is>
          <t>DALARNAS LÄN</t>
        </is>
      </c>
      <c r="E1255" t="inlineStr">
        <is>
          <t>LUDVIKA</t>
        </is>
      </c>
      <c r="F1255" t="inlineStr">
        <is>
          <t>Bergvik skog väst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45813</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45813</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25277-2025</t>
        </is>
      </c>
      <c r="B1258" s="1" t="n">
        <v>45800</v>
      </c>
      <c r="C1258" s="1" t="n">
        <v>45813</v>
      </c>
      <c r="D1258" t="inlineStr">
        <is>
          <t>DALARNAS LÄN</t>
        </is>
      </c>
      <c r="E1258" t="inlineStr">
        <is>
          <t>LUDVIKA</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25140-2025</t>
        </is>
      </c>
      <c r="B1259" s="1" t="n">
        <v>45800</v>
      </c>
      <c r="C1259" s="1" t="n">
        <v>45813</v>
      </c>
      <c r="D1259" t="inlineStr">
        <is>
          <t>DALARNAS LÄN</t>
        </is>
      </c>
      <c r="E1259" t="inlineStr">
        <is>
          <t>LUDVIKA</t>
        </is>
      </c>
      <c r="F1259" t="inlineStr">
        <is>
          <t>Bergvik skog väst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25570-2025</t>
        </is>
      </c>
      <c r="B1260" s="1" t="n">
        <v>45803</v>
      </c>
      <c r="C1260" s="1" t="n">
        <v>45813</v>
      </c>
      <c r="D1260" t="inlineStr">
        <is>
          <t>DALARNAS LÄN</t>
        </is>
      </c>
      <c r="E1260" t="inlineStr">
        <is>
          <t>LUDVIKA</t>
        </is>
      </c>
      <c r="F1260" t="inlineStr">
        <is>
          <t>Bergvik skog väst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25627-2025</t>
        </is>
      </c>
      <c r="B1261" s="1" t="n">
        <v>45803</v>
      </c>
      <c r="C1261" s="1" t="n">
        <v>45813</v>
      </c>
      <c r="D1261" t="inlineStr">
        <is>
          <t>DALARNAS LÄN</t>
        </is>
      </c>
      <c r="E1261" t="inlineStr">
        <is>
          <t>LUDVIKA</t>
        </is>
      </c>
      <c r="F1261" t="inlineStr">
        <is>
          <t>Bergvik skog väst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25619-2025</t>
        </is>
      </c>
      <c r="B1262" s="1" t="n">
        <v>45803</v>
      </c>
      <c r="C1262" s="1" t="n">
        <v>45813</v>
      </c>
      <c r="D1262" t="inlineStr">
        <is>
          <t>DALARNAS LÄN</t>
        </is>
      </c>
      <c r="E1262" t="inlineStr">
        <is>
          <t>LUDVIKA</t>
        </is>
      </c>
      <c r="F1262" t="inlineStr">
        <is>
          <t>Bergvik skog väst AB</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45813</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45813</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45813</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45813</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45813</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26719-2025</t>
        </is>
      </c>
      <c r="B1268" s="1" t="n">
        <v>45810</v>
      </c>
      <c r="C1268" s="1" t="n">
        <v>45813</v>
      </c>
      <c r="D1268" t="inlineStr">
        <is>
          <t>DALARNAS LÄN</t>
        </is>
      </c>
      <c r="E1268" t="inlineStr">
        <is>
          <t>LUDVIKA</t>
        </is>
      </c>
      <c r="F1268" t="inlineStr">
        <is>
          <t>Bergvik skog väst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26628-2025</t>
        </is>
      </c>
      <c r="B1269" s="1" t="n">
        <v>45810</v>
      </c>
      <c r="C1269" s="1" t="n">
        <v>45813</v>
      </c>
      <c r="D1269" t="inlineStr">
        <is>
          <t>DALARNAS LÄN</t>
        </is>
      </c>
      <c r="E1269" t="inlineStr">
        <is>
          <t>LUDVIKA</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26794-2025</t>
        </is>
      </c>
      <c r="B1270" s="1" t="n">
        <v>45810</v>
      </c>
      <c r="C1270" s="1" t="n">
        <v>45813</v>
      </c>
      <c r="D1270" t="inlineStr">
        <is>
          <t>DALARNAS LÄN</t>
        </is>
      </c>
      <c r="E1270" t="inlineStr">
        <is>
          <t>LUDVIKA</t>
        </is>
      </c>
      <c r="F1270" t="inlineStr">
        <is>
          <t>Kommuner</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26823-2025</t>
        </is>
      </c>
      <c r="B1271" s="1" t="n">
        <v>45810</v>
      </c>
      <c r="C1271" s="1" t="n">
        <v>45813</v>
      </c>
      <c r="D1271" t="inlineStr">
        <is>
          <t>DALARNAS LÄN</t>
        </is>
      </c>
      <c r="E1271" t="inlineStr">
        <is>
          <t>LUDVIKA</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26826-2025</t>
        </is>
      </c>
      <c r="B1272" s="1" t="n">
        <v>45810</v>
      </c>
      <c r="C1272" s="1" t="n">
        <v>45813</v>
      </c>
      <c r="D1272" t="inlineStr">
        <is>
          <t>DALARNAS LÄN</t>
        </is>
      </c>
      <c r="E1272" t="inlineStr">
        <is>
          <t>LUDVIKA</t>
        </is>
      </c>
      <c r="F1272" t="inlineStr">
        <is>
          <t>Bergvik skog väst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26698-2025</t>
        </is>
      </c>
      <c r="B1273" s="1" t="n">
        <v>45810</v>
      </c>
      <c r="C1273" s="1" t="n">
        <v>45813</v>
      </c>
      <c r="D1273" t="inlineStr">
        <is>
          <t>DALARNAS LÄN</t>
        </is>
      </c>
      <c r="E1273" t="inlineStr">
        <is>
          <t>LUDVIKA</t>
        </is>
      </c>
      <c r="F1273" t="inlineStr">
        <is>
          <t>Bergvik skog väst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26779-2025</t>
        </is>
      </c>
      <c r="B1274" s="1" t="n">
        <v>45810</v>
      </c>
      <c r="C1274" s="1" t="n">
        <v>45813</v>
      </c>
      <c r="D1274" t="inlineStr">
        <is>
          <t>DALARNAS LÄN</t>
        </is>
      </c>
      <c r="E1274" t="inlineStr">
        <is>
          <t>LUDVIKA</t>
        </is>
      </c>
      <c r="F1274" t="inlineStr">
        <is>
          <t>Bergvik skog väst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45813</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c r="A1276" t="inlineStr">
        <is>
          <t>A 26942-2025</t>
        </is>
      </c>
      <c r="B1276" s="1" t="n">
        <v>45811</v>
      </c>
      <c r="C1276" s="1" t="n">
        <v>45813</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2025-06-05T18:32:38Z</dcterms:created>
  <dcterms:modified xmlns:dcterms="http://purl.org/dc/terms/" xmlns:xsi="http://www.w3.org/2001/XMLSchema-instance" xsi:type="dcterms:W3CDTF">2025-06-05T18:32:39Z</dcterms:modified>
</cp:coreProperties>
</file>